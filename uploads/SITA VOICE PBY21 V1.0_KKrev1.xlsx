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45273a860bda65/Documents/Napier/Dissertation/SupplierQuotes/"/>
    </mc:Choice>
  </mc:AlternateContent>
  <xr:revisionPtr revIDLastSave="58" documentId="13_ncr:1_{29BF90ED-CC93-485C-9437-F663F3570703}" xr6:coauthVersionLast="47" xr6:coauthVersionMax="47" xr10:uidLastSave="{E7CF0F45-33EC-47C3-9CBB-9343E10DE895}"/>
  <bookViews>
    <workbookView xWindow="-120" yWindow="-120" windowWidth="29040" windowHeight="15720" tabRatio="898" activeTab="4" xr2:uid="{00000000-000D-0000-FFFF-FFFF00000000}"/>
  </bookViews>
  <sheets>
    <sheet name="Main Menu" sheetId="164" r:id="rId1"/>
    <sheet name="PSTN Termination" sheetId="129" r:id="rId2"/>
    <sheet name="PSTN" sheetId="138" r:id="rId3"/>
    <sheet name="Toll Free" sheetId="139" r:id="rId4"/>
    <sheet name="UIFN" sheetId="140" r:id="rId5"/>
    <sheet name="Toll Share Surcharge" sheetId="141" r:id="rId6"/>
    <sheet name="Country &amp; dest. codes" sheetId="172" r:id="rId7"/>
    <sheet name="country code mapping" sheetId="19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Fill" hidden="1">'[1]#REF'!$A$13:$A$46</definedName>
    <definedName name="_xlnm._FilterDatabase" localSheetId="6" hidden="1">'Country &amp; dest. codes'!$B$7:$WVW$250</definedName>
    <definedName name="_xlnm._FilterDatabase" localSheetId="7" hidden="1">'country code mapping'!$A$1:$C$370</definedName>
    <definedName name="_xlnm._FilterDatabase" localSheetId="2" hidden="1">PSTN!$B$17:$I$237</definedName>
    <definedName name="_xlnm._FilterDatabase" localSheetId="1" hidden="1">'PSTN Termination'!$A$12:$F$475</definedName>
    <definedName name="_xlnm._FilterDatabase" localSheetId="3" hidden="1">'Toll Free'!$B$16:$I$218</definedName>
    <definedName name="_xlnm._FilterDatabase" localSheetId="5" hidden="1">'Toll Share Surcharge'!$B$16:$K$314</definedName>
    <definedName name="_xlnm._FilterDatabase" localSheetId="4" hidden="1">UIFN!$B$17:$I$119</definedName>
    <definedName name="_Key1" hidden="1">'[1]#REF'!$A$13:$A$46</definedName>
    <definedName name="_Order1" hidden="1">255</definedName>
    <definedName name="_Sort" hidden="1">'[1]#REF'!$A$13:$AZ$46</definedName>
    <definedName name="a">'[2]main menu'!$H$4</definedName>
    <definedName name="Accessible_from_all_fixed_and_mobile_networks._Non_geo_number____213_98_2xx_xxxx___213_98_3xx_xxxx">IF(VLOOKUP('[3]data - availability comments'!IV1,'[3]data - availability comments'!D:M,5,FALSE)=0,IF(VLOOKUP('[3]data - availability comments'!IV1,'[3]data - availability comments'!D:M,6,FALSE)=0," ",""))</definedName>
    <definedName name="ACD">'[4]data - main'!$AN$4</definedName>
    <definedName name="active_forex">'[4]info - forex'!$J$9</definedName>
    <definedName name="as">'[2]main menu'!$H$4</definedName>
    <definedName name="availability">'[4]data - PB avail'!$E$5:$AB$508</definedName>
    <definedName name="bb" hidden="1">#REF!</definedName>
    <definedName name="bt_did_mrp">'[4]quote - site BT services'!$Q$18:$Q$217</definedName>
    <definedName name="bt_did_otp">'[4]quote - site BT services'!$N$18:$N$217</definedName>
    <definedName name="bt_did_zone">'[4]quote - site BT services'!$AQ$18:$AQ$217</definedName>
    <definedName name="bt_req_did_mrp">'[4]quote - site BT services'!$R$18:$R$217</definedName>
    <definedName name="ccc">IF(LEFT('[4]quote - site BT services'!$G1,1)="I",IF(DID_CT_IP_ZONE_FIND="DIDZ1",DID_MRP_Z1_VLOOKUP_100,IF(DID_CT_IP_ZONE_FIND="DIDZ2",DID_MRP_Z2_VLOOKUP_100,IF(DID_CT_IP_ZONE_FIND="DIDZ3",DID_MRP_Z3_VLOOKUP_100,DID_CT_IP_ZONE_FIND))))</definedName>
    <definedName name="ccccccccccccc">#REF!</definedName>
    <definedName name="CM_free_move_price">IFERROR(VLOOKUP('[4]quote - usage pricing'!XCD1,'[4]data - PB Free Move'!$A:$P,14,FALSE)*active_forex,"")</definedName>
    <definedName name="confidential">'[5]main menu'!$B$33</definedName>
    <definedName name="connection_type">'[4]data - main'!$AA$4:$AA$10</definedName>
    <definedName name="contract_duration">'[4]data - main'!$AJ$3:$AJ$9</definedName>
    <definedName name="cost_pbDID1" localSheetId="2">#REF!</definedName>
    <definedName name="cost_pbDID1" localSheetId="3">#REF!</definedName>
    <definedName name="cost_pbDID1" localSheetId="5">#REF!</definedName>
    <definedName name="cost_pbDID1" localSheetId="4">#REF!</definedName>
    <definedName name="cost_pbDID1">#REF!</definedName>
    <definedName name="cost_pbDID2" localSheetId="2">#REF!</definedName>
    <definedName name="cost_pbDID2" localSheetId="3">#REF!</definedName>
    <definedName name="cost_pbDID2" localSheetId="5">#REF!</definedName>
    <definedName name="cost_pbDID2" localSheetId="4">#REF!</definedName>
    <definedName name="cost_pbDID2">#REF!</definedName>
    <definedName name="cost_pbVAS1" localSheetId="2">#REF!</definedName>
    <definedName name="cost_pbVAS1" localSheetId="3">#REF!</definedName>
    <definedName name="cost_pbVAS1" localSheetId="5">#REF!</definedName>
    <definedName name="cost_pbVAS1" localSheetId="4">#REF!</definedName>
    <definedName name="cost_pbVAS1">#REF!</definedName>
    <definedName name="cost_pbVAS2" localSheetId="2">#REF!</definedName>
    <definedName name="cost_pbVAS2" localSheetId="3">#REF!</definedName>
    <definedName name="cost_pbVAS2" localSheetId="5">#REF!</definedName>
    <definedName name="cost_pbVAS2" localSheetId="4">#REF!</definedName>
    <definedName name="cost_pbVAS2">#REF!</definedName>
    <definedName name="cost_pbVAS3" localSheetId="2">#REF!</definedName>
    <definedName name="cost_pbVAS3" localSheetId="3">#REF!</definedName>
    <definedName name="cost_pbVAS3" localSheetId="5">#REF!</definedName>
    <definedName name="cost_pbVAS3" localSheetId="4">#REF!</definedName>
    <definedName name="cost_pbVAS3">#REF!</definedName>
    <definedName name="CUR">'[4]data - main'!$AH$5:$AH$6</definedName>
    <definedName name="Currency">'[4]main menu'!$H$4</definedName>
    <definedName name="currency_selected">'[6]main menu'!$H$4</definedName>
    <definedName name="Currency2">'[4]main menu'!$H$4</definedName>
    <definedName name="customer_name">'[4]quote - main'!$C$12</definedName>
    <definedName name="data">'[4]quote - data table pricing'!$A$5:$P$1531</definedName>
    <definedName name="data_table_pricing">'[4]quote - data table pricing'!$A$4:$P$1531</definedName>
    <definedName name="DID_avail">'[4]data - main'!$AX$4:$AY$23</definedName>
    <definedName name="DID_CT_DA_ZONE_FIND">VLOOKUP('[4]quote - site BT services'!$D1,'[4]data - PB avail'!$E$5:$U$253,16,FALSE)</definedName>
    <definedName name="DID_CT_IP_ZONE_FIND">VLOOKUP('[4]quote - site BT services'!$D1,'[4]data - PB avail'!$E$5:$U$253,15,FALSE)</definedName>
    <definedName name="DID_CT_SA_ZONE_FIND">VLOOKUP('[4]quote - site BT services'!$D1,'[4]data - PB avail'!$E$5:$U$253,17,FALSE)</definedName>
    <definedName name="DID_DA_1_to_9">IF(DID_CT_DA_ZONE_FIND="DIDZ1",DID_MRP_Z1_VLOOKUP_10,IF(DID_CT_DA_ZONE_FIND="DIDZ2",DID_MRP_Z2_VLOOKUP_10,IF(DID_CT_DA_ZONE_FIND="DIDZ3",DID_MRP_Z3_VLOOKUP_10,DID_CT_DA_ZONE_FIND)))</definedName>
    <definedName name="DID_DA_10_to_99">IF(DID_CT_DA_ZONE_FIND="DIDZ1",DID_MRP_Z1_VLOOKUP_100,IF(DID_CT_DA_ZONE_FIND="DIDZ2",DID_MRP_Z2_VLOOKUP_100,IF(DID_CT_DA_ZONE_FIND="DIDZ3",DID_MRP_Z3_VLOOKUP_100,DID_CT_DA_ZONE_FIND)))</definedName>
    <definedName name="DID_DA_100_to_999">IF(DID_CT_DA_ZONE_FIND="DIDZ1",DID_MRP_Z1_VLOOKUP_1000,IF(DID_CT_DA_ZONE_FIND="DIDZ2",DID_MRP_Z2_VLOOKUP_1000,IF(DID_CT_DA_ZONE_FIND="DIDZ3",DID_MRP_Z3_VLOOKUP_1000,DID_CT_DA_ZONE_FIND)))</definedName>
    <definedName name="DID_DA_1000">IF(DID_CT_DA_ZONE_FIND="DIDZ1",DID_MRP_Z1_VLOOKUP_10000,IF(DID_CT_DA_ZONE_FIND="DIDZ2",DID_MRP_Z2_VLOOKUP_10000,IF(DID_CT_DA_ZONE_FIND="DIDZ3",DID_MRP_Z3_VLOOKUP_10000,DID_CT_DA_ZONE_FIND)))</definedName>
    <definedName name="DID_IP_1_to_9">IF(LEFT('[4]quote - site BT services'!$G1,1)="I",IF(DID_CT_IP_ZONE_FIND="DIDZ1",DID_MRP_Z1_VLOOKUP_10,IF(DID_CT_IP_ZONE_FIND="DIDZ2",DID_MRP_Z2_VLOOKUP_10,IF(DID_CT_IP_ZONE_FIND="DIDZ3",DID_MRP_Z3_VLOOKUP_10,DID_CT_IP_ZONE_FIND))))</definedName>
    <definedName name="DID_IP_10_to_99">IF(LEFT('[4]quote - site BT services'!$G1,1)="I",IF(DID_CT_IP_ZONE_FIND="DIDZ1",DID_MRP_Z1_VLOOKUP_100,IF(DID_CT_IP_ZONE_FIND="DIDZ2",DID_MRP_Z2_VLOOKUP_100,IF(DID_CT_IP_ZONE_FIND="DIDZ3",DID_MRP_Z3_VLOOKUP_100,DID_CT_IP_ZONE_FIND))))</definedName>
    <definedName name="DID_IP_100_to_999">IF(LEFT('[4]quote - site BT services'!$G1,1)="I",IF(DID_CT_IP_ZONE_FIND="DIDZ1",DID_MRP_Z1_VLOOKUP_1000,IF(DID_CT_IP_ZONE_FIND="DIDZ2",DID_MRP_Z2_VLOOKUP_1000,IF(DID_CT_IP_ZONE_FIND="DIDZ3",DID_MRP_Z3_VLOOKUP_1000,DID_CT_IP_ZONE_FIND))))</definedName>
    <definedName name="DID_IP_1000">IF(LEFT('[4]quote - site BT services'!$G1,1)="I",IF(DID_CT_IP_ZONE_FIND="DIDZ1",DID_MRP_Z1_VLOOKUP_10000,IF(DID_CT_IP_ZONE_FIND="DIDZ2",DID_MRP_Z2_VLOOKUP_10000,IF(DID_CT_IP_ZONE_FIND="DIDZ3",DID_MRP_Z3_VLOOKUP_10000,DID_CT_IP_ZONE_FIND))))</definedName>
    <definedName name="DID_MRP_OUTPUT_1_to_9">IF('[4]quote - site BT services'!XEW1="Dedicated Access",DID_DA_1_to_9,IF('[4]quote - site BT services'!XEW1="Switched Access",DID_SA_1_to_9,DID_IP_1_to_9))</definedName>
    <definedName name="DID_MRP_OUTPUT_10_to_99">IF('[4]quote - site BT services'!XEW1="Dedicated Access",DID_DA_10_to_99,IF('[4]quote - site BT services'!XEW1="Switched Access",DID_SA_10_to_99,DID_IP_10_to_99))</definedName>
    <definedName name="DID_MRP_OUTPUT_100_to_999">IF('[4]quote - site BT services'!XEW1="Dedicated Access",DID_DA_100_to_999,IF('[4]quote - site BT services'!XEW1="Switched Access",DID_SA_100_to_999,DID_IP_100_to_999))</definedName>
    <definedName name="DID_MRP_OUTPUT_1000">IF('[4]quote - site BT services'!XEW1="Dedicated Access",DID_DA_1000,IF('[4]quote - site BT services'!XEW1="Switched Access",DID_SA_1000,DID_IP_1000))</definedName>
    <definedName name="DID_MRP_Z1_VLOOKUP_10">(VLOOKUP("DID Z1 10",'[4]data - Portal PB other'!$B$8:$S$26,18,FALSE)*active_forex)</definedName>
    <definedName name="DID_MRP_Z1_VLOOKUP_100">(VLOOKUP("DID Z1 100",'[4]data - Portal PB other'!$B$8:$S$26,18,FALSE)*active_forex)</definedName>
    <definedName name="DID_MRP_Z1_VLOOKUP_1000">(VLOOKUP("DID Z1 1000",'[4]data - Portal PB other'!$B$8:$S$26,18,FALSE)*active_forex)</definedName>
    <definedName name="DID_MRP_Z1_VLOOKUP_10000">(VLOOKUP("DID Z1 10000",'[4]data - Portal PB other'!$B$8:$S$26,18,FALSE)*active_forex)</definedName>
    <definedName name="DID_MRP_Z2_VLOOKUP_10">(VLOOKUP("DID Z2 10",'[4]data - Portal PB other'!$B$8:$S$26,18,FALSE)*active_forex)</definedName>
    <definedName name="DID_MRP_Z2_VLOOKUP_100">(VLOOKUP("DID Z2 100",'[4]data - Portal PB other'!$B$8:$S$26,18,FALSE)*active_forex)</definedName>
    <definedName name="DID_MRP_Z2_VLOOKUP_1000">(VLOOKUP("DID Z2 1000",'[4]data - Portal PB other'!$B$8:$S$26,18,FALSE)*active_forex)</definedName>
    <definedName name="DID_MRP_Z2_VLOOKUP_10000">(VLOOKUP("DID Z2 10000",'[4]data - Portal PB other'!$B$8:$S$26,18,FALSE)*active_forex)</definedName>
    <definedName name="DID_MRP_Z3_VLOOKUP_10">(VLOOKUP("DID Z3 10",'[4]data - Portal PB other'!$B$8:$S$26,18,FALSE)*active_forex)</definedName>
    <definedName name="DID_MRP_Z3_VLOOKUP_100">(VLOOKUP("DID Z3 100",'[4]data - Portal PB other'!$B$8:$S$26,18,FALSE)*active_forex)</definedName>
    <definedName name="DID_MRP_Z3_VLOOKUP_1000">(VLOOKUP("DID Z3 1000",'[4]data - Portal PB other'!$B$8:$S$26,18,FALSE)*active_forex)</definedName>
    <definedName name="DID_MRP_Z3_VLOOKUP_10000">(VLOOKUP("DID Z3 10000",'[4]data - Portal PB other'!$B$8:$S$26,18,FALSE)*active_forex)</definedName>
    <definedName name="DID_QTY_DA_SUM">SUMIFS('[4]quote - site BT services'!$M$18:$M$137,'[4]quote - site BT services'!$G$18:$G$137,"Dedicated Access",'[4]quote - site BT services'!$D$18:$D$137,'[4]quote - site BT services'!$D1)</definedName>
    <definedName name="DID_QTY_IP_SUM">SUMIFS('[4]quote - site BT services'!$M$18:$M$137,'[4]quote - site BT services'!$G$18:$G$137,"IP Access",'[4]quote - site BT services'!$D$18:$D$137,'[4]quote - site BT services'!$D1)</definedName>
    <definedName name="DID_QTY_IPC_SUM">SUMIFS('[4]quote - site BT services'!$M$18:$M$137,'[4]quote - site BT services'!$G$18:$G$137,"IP Access Connect hub",'[4]quote - site BT services'!$D$18:$D$137,'[4]quote - site BT services'!$D1)</definedName>
    <definedName name="DID_QTY_IPS_SUM">SUMIFS('[4]quote - site BT services'!$M$18:$M$137,'[4]quote - site BT services'!$G$18:$G$137,"IP Access Small",'[4]quote - site BT services'!$D$18:$D$137,'[4]quote - site BT services'!$D1)</definedName>
    <definedName name="DID_QTY_IPT_SUM">SUMIFS('[4]quote - site BT services'!$M$18:$M$137,'[4]quote - site BT services'!$G$18:$G$137,"IP Access Satellite",'[4]quote - site BT services'!$D$18:$D$137,'[4]quote - site BT services'!$D1)</definedName>
    <definedName name="DID_QTY_SA_SUM">SUMIFS('[4]quote - site BT services'!$M$18:$M$137,'[4]quote - site BT services'!$G$18:$G$137,"Switched Access",'[4]quote - site BT services'!$D$18:$D$137,'[4]quote - site BT services'!$D1)</definedName>
    <definedName name="DID_QTY_TOTAL_CT_SUM_1_to_9">(SUM(DID_QTY_IP_SUM,DID_QTY_IPS_SUM,DID_QTY_IPC_SUM,DID_QTY_IPT_SUM,DID_QTY_DA_SUM,DID_QTY_SA_SUM)&lt;=9)</definedName>
    <definedName name="DID_QTY_TOTAL_CT_SUM_10_to_99">AND(DID_QTY_TOTAL_CT_SUM_10_to_99_1,DID_QTY_TOTAL_CT_SUM_10_to_99_2)</definedName>
    <definedName name="DID_QTY_TOTAL_CT_SUM_10_to_99_1">(SUM(DID_QTY_IP_SUM,DID_QTY_IPS_SUM,DID_QTY_IPC_SUM,DID_QTY_IPT_SUM,DID_QTY_DA_SUM,DID_QTY_SA_SUM)&gt;9)</definedName>
    <definedName name="DID_QTY_TOTAL_CT_SUM_10_to_99_2">(SUM(DID_QTY_IP_SUM,DID_QTY_IPS_SUM,DID_QTY_IPC_SUM,DID_QTY_IPT_SUM,DID_QTY_DA_SUM,DID_QTY_SA_SUM)&lt;=99)</definedName>
    <definedName name="DID_QTY_TOTAL_CT_SUM_100_to_999">AND(DID_QTY_TOTAL_CT_SUM_100_to_999_1,DID_QTY_TOTAL_CT_SUM_100_to_999_2)</definedName>
    <definedName name="DID_QTY_TOTAL_CT_SUM_100_to_999_1">(SUM(DID_QTY_IP_SUM,DID_QTY_IPS_SUM,DID_QTY_IPC_SUM,DID_QTY_IPT_SUM,DID_QTY_DA_SUM,DID_QTY_SA_SUM)&gt;99)</definedName>
    <definedName name="DID_QTY_TOTAL_CT_SUM_100_to_999_2">(SUM(DID_QTY_IP_SUM,DID_QTY_IPS_SUM,DID_QTY_IPC_SUM,DID_QTY_IPT_SUM,DID_QTY_DA_SUM,DID_QTY_SA_SUM)&lt;=999)</definedName>
    <definedName name="DID_QTY_TOTAL_CT_SUM_MORE_THEN_1000">(SUM(DID_QTY_IP_SUM,DID_QTY_IPS_SUM,DID_QTY_IPC_SUM,DID_QTY_IPT_SUM,DID_QTY_DA_SUM,DID_QTY_SA_SUM)&gt;999)</definedName>
    <definedName name="did_req_otp">'[4]quote - site BT services'!$O$18:$O$217</definedName>
    <definedName name="DID_SA_1_to_9">IF(DID_CT_SA_ZONE_FIND="DIDZ1",DID_MRP_Z1_VLOOKUP_10,IF(DID_CT_SA_ZONE_FIND="DIDZ2",DID_MRP_Z2_VLOOKUP_10,IF(DID_CT_SA_ZONE_FIND="DIDZ3",DID_MRP_Z3_VLOOKUP_10,DID_CT_SA_ZONE_FIND)))</definedName>
    <definedName name="DID_SA_10_to_99">IF(DID_CT_SA_ZONE_FIND="DIDZ1",DID_MRP_Z1_VLOOKUP_100,IF(DID_CT_SA_ZONE_FIND="DIDZ2",DID_MRP_Z2_VLOOKUP_100,IF(DID_CT_SA_ZONE_FIND="DIDZ3",DID_MRP_Z3_VLOOKUP_100,DID_CT_SA_ZONE_FIND)))</definedName>
    <definedName name="DID_SA_100_to_999">IF(DID_CT_SA_ZONE_FIND="DIDZ1",DID_MRP_Z1_VLOOKUP_1000,IF(DID_CT_SA_ZONE_FIND="DIDZ2",DID_MRP_Z2_VLOOKUP_1000,IF(DID_CT_SA_ZONE_FIND="DIDZ3",DID_MRP_Z3_VLOOKUP_1000,DID_CT_SA_ZONE_FIND)))</definedName>
    <definedName name="DID_SA_1000">IF(DID_CT_SA_ZONE_FIND="DIDZ1",DID_MRP_Z1_VLOOKUP_10000,IF(DID_CT_SA_ZONE_FIND="DIDZ2",DID_MRP_Z2_VLOOKUP_10000,IF(DID_CT_SA_ZONE_FIND="DIDZ3",DID_MRP_Z3_VLOOKUP_10000,DID_CT_SA_ZONE_FIND)))</definedName>
    <definedName name="DOM_Discountable">'[4]data - Portal PB tariff'!$K$9:$K$1064</definedName>
    <definedName name="eeee" hidden="1">{"'March 99 routing'!$A$1:$AD$34"}</definedName>
    <definedName name="error_cust_mngd">'[3]quote - NIVR app Cust Managed'!$AW$13</definedName>
    <definedName name="error_cust_mngd_MRP">'[3]quote - NIVR app Cust Managed'!$AZ$13</definedName>
    <definedName name="error_cust_mngd_OTP">'[3]quote - NIVR app Cust Managed'!$AY$13</definedName>
    <definedName name="error_import_portalref">'[4]quote - main'!$M$17</definedName>
    <definedName name="error_main">'[4]quote - main'!$K$11</definedName>
    <definedName name="error_main_export">'[4]quote - main'!$M$11</definedName>
    <definedName name="error_orange_mngd">'[3]quote - NIVR app Orange Managed'!$BF$13</definedName>
    <definedName name="error_orange_MRP">'[3]quote - NIVR app Orange Managed'!$BH$17</definedName>
    <definedName name="error_orange_OTP">'[3]quote - NIVR app Orange Managed'!$BH$13</definedName>
    <definedName name="Error_Site_NotAvailable">'[4]quote - sites'!$AH$7</definedName>
    <definedName name="Error_SiteBT_BrokenRule">'[4]quote - site BT services'!$AM$9</definedName>
    <definedName name="error_tuning_mngd">'[3]quote - NIVR app Orange Managed'!$BF$17</definedName>
    <definedName name="fffffffffffffff">(VLOOKUP("DID Z3 10000",'[4]data - Portal PB other'!$B$8:$S$26,18,FALSE)*active_forex)</definedName>
    <definedName name="hide_install" localSheetId="2">#REF!</definedName>
    <definedName name="hide_install" localSheetId="3">#REF!</definedName>
    <definedName name="hide_install" localSheetId="5">#REF!</definedName>
    <definedName name="hide_install" localSheetId="4">#REF!</definedName>
    <definedName name="hide_install">#REF!</definedName>
    <definedName name="hide_pbDID" localSheetId="2">#REF!</definedName>
    <definedName name="hide_pbDID" localSheetId="3">#REF!</definedName>
    <definedName name="hide_pbDID" localSheetId="5">#REF!</definedName>
    <definedName name="hide_pbDID" localSheetId="4">#REF!</definedName>
    <definedName name="hide_pbDID">#REF!</definedName>
    <definedName name="hide_pbfcost">#REF!</definedName>
    <definedName name="hide_pbfeatures">#REF!</definedName>
    <definedName name="hide_pbncost">#REF!</definedName>
    <definedName name="hide_pbnumber">#REF!</definedName>
    <definedName name="hide_pbVAS" localSheetId="2">#REF!</definedName>
    <definedName name="hide_pbVAS" localSheetId="3">#REF!</definedName>
    <definedName name="hide_pbVAS" localSheetId="5">#REF!</definedName>
    <definedName name="hide_pbVAS" localSheetId="4">#REF!</definedName>
    <definedName name="hide_pbVAS">#REF!</definedName>
    <definedName name="HTML_CodePage" hidden="1">1252</definedName>
    <definedName name="HTML_Control" localSheetId="2" hidden="1">{"'March 99 routing'!$A$1:$AD$34"}</definedName>
    <definedName name="HTML_Control" localSheetId="1" hidden="1">{"'March 99 routing'!$A$1:$AD$34"}</definedName>
    <definedName name="HTML_Control" localSheetId="3" hidden="1">{"'March 99 routing'!$A$1:$AD$34"}</definedName>
    <definedName name="HTML_Control" localSheetId="5" hidden="1">{"'March 99 routing'!$A$1:$AD$34"}</definedName>
    <definedName name="HTML_Control" localSheetId="4" hidden="1">{"'March 99 routing'!$A$1:$AD$34"}</definedName>
    <definedName name="HTML_Control" hidden="1">{"'March 99 routing'!$A$1:$AD$34"}</definedName>
    <definedName name="HTML_Description" hidden="1">""</definedName>
    <definedName name="HTML_Email" hidden="1">"Edouard.Blondeau@globalone.net"</definedName>
    <definedName name="HTML_Header" hidden="1">"March 99 routing"</definedName>
    <definedName name="HTML_LastUpdate" hidden="1">"11/02/99"</definedName>
    <definedName name="HTML_LineAfter" hidden="1">FALSE</definedName>
    <definedName name="HTML_LineBefore" hidden="1">FALSE</definedName>
    <definedName name="HTML_Name" hidden="1">"Edouard Blondeau"</definedName>
    <definedName name="HTML_OBDlg2" hidden="1">TRUE</definedName>
    <definedName name="HTML_OBDlg4" hidden="1">TRUE</definedName>
    <definedName name="HTML_OS" hidden="1">0</definedName>
    <definedName name="HTML_PathFile" hidden="1">"C:\My Documents\Mar99VR.htm"</definedName>
    <definedName name="HTML_Title" hidden="1">"Mar99 Voice Routing"</definedName>
    <definedName name="i">IF(AND('[3]quote - NIVR app Cust Managed'!HP1&lt;&gt;"",'[3]quote - NIVR app Cust Managed'!HV1&lt;&gt;"",'[3]quote - NIVR app Cust Managed'!IB1=""),VLOOKUP(MAX('[3]quote - NIVR app Cust Managed'!Q1:R1),'[3]data - main'!$AC$4:$AD$8,2,FALSE),mmmm)</definedName>
    <definedName name="import_data">'[4]quote - import sheet'!$A:$P</definedName>
    <definedName name="import_scenariono">'[4]quote - import sheet'!$AH$4</definedName>
    <definedName name="import_sorted_data">'[4]quote - import sheet'!$R:$AH</definedName>
    <definedName name="import_std">'[4]quote - import sheet'!$AH$5</definedName>
    <definedName name="INT_Discountable">'[4]data - Portal PB tariff'!$K$1065:$K$1528</definedName>
    <definedName name="INT_Tariff_Zone">'[4]data - Portal PB tariff'!$A$1065:$A$1528</definedName>
    <definedName name="k">IF(AND('[3]quote - NIVR app Cust Managed'!HN1&lt;&gt;"",'[3]quote - NIVR app Cust Managed'!HT1&lt;&gt;"",'[3]quote - NIVR app Cust Managed'!HZ1=""),VLOOKUP(MAX('[3]quote - NIVR app Cust Managed'!AA1:AB1),'[3]data - main'!$AC$4:$AE$8,3,FALSE),NIVR_cust_OTP_case_2_P)</definedName>
    <definedName name="lead_region">'[4]quote - main'!$C$14</definedName>
    <definedName name="lead_region_list">'[4]data - main'!$BA$4:$BA$7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P_free_move_price">IFERROR(VLOOKUP('[4]quote - usage pricing'!XCD1,'[4]data - PB Free Move'!$A:$P,12,FALSE)*active_forex,"")</definedName>
    <definedName name="LP_free_move_price_blnk">IFERROR(VLOOKUP('[4]quote - usage pricing'!XCD1,'[4]data - PB Free Move'!$A:$P,12,FALSE)*active_forex,"")</definedName>
    <definedName name="MCD_list">'[4]data - main'!$AQ$4:$AQ$6</definedName>
    <definedName name="mmmm">IF(AND('[3]quote - NIVR app Cust Managed'!HP1&lt;&gt;"",'[3]quote - NIVR app Cust Managed'!HV1="",'[3]quote - NIVR app Cust Managed'!IB1&lt;&gt;""),VLOOKUP(MAX('[3]quote - NIVR app Cust Managed'!Q1,'[3]quote - NIVR app Cust Managed'!S1),'[3]data - main'!$AC$4:$AD$8,2,FALSE),NIVR_cust_OTP_case_3_A)</definedName>
    <definedName name="mmmmmmmmmmmmmm">#REF!</definedName>
    <definedName name="mmmmmmmmmmmmmmmmmmmmmmmm">#REF!</definedName>
    <definedName name="mnmn">IFERROR(VLOOKUP('[4]quote - usage pricing'!XCD1,'[4]data - PB Free Move'!$A:$P,13,FALSE)*active_forex,"")</definedName>
    <definedName name="New2ToolVersion">'[4]main menu'!$F$2</definedName>
    <definedName name="NIVR_cust_app_pack_country_MRP_A">IF('[3]quote - NIVR app Cust Managed'!$C$18="country manager",IF('[3]quote - NIVR app Cust Managed'!GY1/'[3]quote - NIVR app Cust Managed'!GU1&gt;='[3]quote - NIVR app Cust Managed'!$BD$8,"not required",IF('[3]quote - NIVR app Cust Managed'!GY1/'[3]quote - NIVR app Cust Managed'!GU1&gt;='[3]quote - NIVR app Cust Managed'!$BF$8,"sales",IF('[3]quote - NIVR app Cust Managed'!GY1/'[3]quote - NIVR app Cust Managed'!GU1&gt;='[3]quote - NIVR app Cust Managed'!$BH$8,"country manager",IF('[3]quote - NIVR app Cust Managed'!GY1/'[3]quote - NIVR app Cust Managed'!GU1&gt;='[3]quote - NIVR app Cust Managed'!$BJ$8,"regional manager",IF('[3]quote - NIVR app Cust Managed'!GY1/'[3]quote - NIVR app Cust Managed'!GU1&lt;='[3]quote - NIVR app Cust Managed'!$BJ$8,"DAC approver"))))),"country manager")</definedName>
    <definedName name="NIVR_cust_app_pack_country_MRP_P">IF('[3]quote - NIVR app Cust Managed'!$C$18="country manager",IF('[3]quote - NIVR app Cust Managed'!GM1/'[3]quote - NIVR app Cust Managed'!GI1='[3]quote - NIVR app Cust Managed'!$BD$8,"list",IF('[3]quote - NIVR app Cust Managed'!GM1/'[3]quote - NIVR app Cust Managed'!GI1='[3]quote - NIVR app Cust Managed'!$BF$8,"sales discretionary",IF('[3]quote - NIVR app Cust Managed'!GM1/'[3]quote - NIVR app Cust Managed'!GI1='[3]quote - NIVR app Cust Managed'!$BH$8,"country manager",IF('[3]quote - NIVR app Cust Managed'!GM1/'[3]quote - NIVR app Cust Managed'!GI1='[3]quote - NIVR app Cust Managed'!$BJ$8,"regional manager","customised")))),"country manager")</definedName>
    <definedName name="NIVR_cust_app_pack_country_OTP_A">IF('[3]quote - NIVR app Cust Managed'!$C$18="country manager",IF('[3]quote - NIVR app Cust Managed'!HC1/'[3]quote - NIVR app Cust Managed'!HA1&gt;='[3]quote - NIVR app Cust Managed'!$BC$8,"not required",IF('[3]quote - NIVR app Cust Managed'!HC1/'[3]quote - NIVR app Cust Managed'!HA1&gt;='[3]quote - NIVR app Cust Managed'!$BE$8,"sales",IF('[3]quote - NIVR app Cust Managed'!HC1/'[3]quote - NIVR app Cust Managed'!HA1&gt;='[3]quote - NIVR app Cust Managed'!$BG$8,"country manager",IF('[3]quote - NIVR app Cust Managed'!HC1/'[3]quote - NIVR app Cust Managed'!HA1&gt;='[3]quote - NIVR app Cust Managed'!$BI$8,"regional manager",IF('[3]quote - NIVR app Cust Managed'!HC1/'[3]quote - NIVR app Cust Managed'!HA1&lt;='[3]quote - NIVR app Cust Managed'!$BI$8,"DAC approver"))))),"country manager")</definedName>
    <definedName name="NIVR_cust_app_pack_country_OTP_P">IF('[3]quote - NIVR app Cust Managed'!$C$18="country manager",IF('[3]quote - NIVR app Cust Managed'!GQ1/'[3]quote - NIVR app Cust Managed'!GO1='[3]quote - NIVR app Cust Managed'!$BC$8,"list",IF('[3]quote - NIVR app Cust Managed'!GQ1/'[3]quote - NIVR app Cust Managed'!GO1='[3]quote - NIVR app Cust Managed'!$BE$8,"sales discretionary",IF('[3]quote - NIVR app Cust Managed'!GQ1/'[3]quote - NIVR app Cust Managed'!GO1='[3]quote - NIVR app Cust Managed'!$BG$8,"country manager",IF('[3]quote - NIVR app Cust Managed'!GQ1/'[3]quote - NIVR app Cust Managed'!GO1='[3]quote - NIVR app Cust Managed'!$BI$8,"regional manager","customised")))),"country manager")</definedName>
    <definedName name="NIVR_cust_app_pack_list_MRP_A">IF('[3]quote - NIVR app Cust Managed'!$C$18="list",IF('[3]quote - NIVR app Cust Managed'!GY1/'[3]quote - NIVR app Cust Managed'!GU1&gt;='[3]quote - NIVR app Cust Managed'!$BD$8,"not required",IF('[3]quote - NIVR app Cust Managed'!GY1/'[3]quote - NIVR app Cust Managed'!GU1&gt;='[3]quote - NIVR app Cust Managed'!$BF$8,"sales",IF('[3]quote - NIVR app Cust Managed'!GY1/'[3]quote - NIVR app Cust Managed'!GU1&gt;='[3]quote - NIVR app Cust Managed'!$BH$8,"country manager",IF('[3]quote - NIVR app Cust Managed'!GY1/'[3]quote - NIVR app Cust Managed'!GU1&gt;='[3]quote - NIVR app Cust Managed'!$BJ$8,"regional manager",IF('[3]quote - NIVR app Cust Managed'!GY1/'[3]quote - NIVR app Cust Managed'!GU1&lt;='[3]quote - NIVR app Cust Managed'!$BJ$8,"DAC approver"))))),"not required")</definedName>
    <definedName name="NIVR_cust_app_pack_list_MRP_P">IF('[3]quote - NIVR app Cust Managed'!$C$18="list",IF('[3]quote - NIVR app Cust Managed'!GM1/'[3]quote - NIVR app Cust Managed'!GI1='[3]quote - NIVR app Cust Managed'!$BD$8,"list",IF('[3]quote - NIVR app Cust Managed'!GM1/'[3]quote - NIVR app Cust Managed'!GI1='[3]quote - NIVR app Cust Managed'!$BF$8,"sales discretionary",IF('[3]quote - NIVR app Cust Managed'!GM1/'[3]quote - NIVR app Cust Managed'!GI1='[3]quote - NIVR app Cust Managed'!$BH$8,"country manager",IF('[3]quote - NIVR app Cust Managed'!GM1/'[3]quote - NIVR app Cust Managed'!GI1='[3]quote - NIVR app Cust Managed'!$BJ$8,"regional manager","customised")))),"list")</definedName>
    <definedName name="NIVR_cust_app_pack_list_OTP_A">IF('[3]quote - NIVR app Cust Managed'!$C$18="list",IF('[3]quote - NIVR app Cust Managed'!HC1/'[3]quote - NIVR app Cust Managed'!HA1&gt;='[3]quote - NIVR app Cust Managed'!$BC$8,"not required",IF('[3]quote - NIVR app Cust Managed'!HC1/'[3]quote - NIVR app Cust Managed'!HA1&gt;='[3]quote - NIVR app Cust Managed'!$BE$8,"sales",IF('[3]quote - NIVR app Cust Managed'!HC1/'[3]quote - NIVR app Cust Managed'!HA1&gt;='[3]quote - NIVR app Cust Managed'!$BG$8,"country manager",IF('[3]quote - NIVR app Cust Managed'!HC1/'[3]quote - NIVR app Cust Managed'!HA1&gt;='[3]quote - NIVR app Cust Managed'!$BI$8,"regional manager",IF('[3]quote - NIVR app Cust Managed'!HC1/'[3]quote - NIVR app Cust Managed'!HA1&lt;='[3]quote - NIVR app Cust Managed'!$BI$8,"DAC approver"))))),"not required")</definedName>
    <definedName name="NIVR_cust_app_pack_list_OTP_P">IF('[3]quote - NIVR app Cust Managed'!$C$18="list",IF('[3]quote - NIVR app Cust Managed'!GQ1/'[3]quote - NIVR app Cust Managed'!GO1='[3]quote - NIVR app Cust Managed'!$BC$8,"list",IF('[3]quote - NIVR app Cust Managed'!GQ1/'[3]quote - NIVR app Cust Managed'!GO1='[3]quote - NIVR app Cust Managed'!$BE$8,"sales discretionary",IF('[3]quote - NIVR app Cust Managed'!GQ1/'[3]quote - NIVR app Cust Managed'!GO1='[3]quote - NIVR app Cust Managed'!$BG$8,"country manager",IF('[3]quote - NIVR app Cust Managed'!GQ1/'[3]quote - NIVR app Cust Managed'!GO1='[3]quote - NIVR app Cust Managed'!$BI$8,"regional manager","customised")))),"list")</definedName>
    <definedName name="NIVR_cust_app_pack_regional_MRP_A">IF('[3]quote - NIVR app Cust Managed'!$C$18="regional manager",IF('[3]quote - NIVR app Cust Managed'!GY1/'[3]quote - NIVR app Cust Managed'!GU1&gt;='[3]quote - NIVR app Cust Managed'!$BD$8,"not required",IF('[3]quote - NIVR app Cust Managed'!GY1/'[3]quote - NIVR app Cust Managed'!GU1&gt;='[3]quote - NIVR app Cust Managed'!$BF$8,"sales",IF('[3]quote - NIVR app Cust Managed'!GY1/'[3]quote - NIVR app Cust Managed'!GU1&gt;='[3]quote - NIVR app Cust Managed'!$BH$8,"country manager",IF('[3]quote - NIVR app Cust Managed'!GY1/'[3]quote - NIVR app Cust Managed'!GU1&gt;='[3]quote - NIVR app Cust Managed'!$BJ$8,"regional manager",IF('[3]quote - NIVR app Cust Managed'!GY1/'[3]quote - NIVR app Cust Managed'!GU1&lt;='[3]quote - NIVR app Cust Managed'!$BJ$8,"DAC approver"))))),"regional manager")</definedName>
    <definedName name="NIVR_cust_app_pack_regional_MRP_P">IF('[3]quote - NIVR app Cust Managed'!$C$18="regional manager",IF('[3]quote - NIVR app Cust Managed'!GM1/'[3]quote - NIVR app Cust Managed'!GI1='[3]quote - NIVR app Cust Managed'!$BD$8,"list",IF('[3]quote - NIVR app Cust Managed'!GM1/'[3]quote - NIVR app Cust Managed'!GI1='[3]quote - NIVR app Cust Managed'!$BF$8,"sales discretionary",IF('[3]quote - NIVR app Cust Managed'!GM1/'[3]quote - NIVR app Cust Managed'!GI1='[3]quote - NIVR app Cust Managed'!$BH$8,"country manager",IF('[3]quote - NIVR app Cust Managed'!GM1/'[3]quote - NIVR app Cust Managed'!GI1='[3]quote - NIVR app Cust Managed'!$BJ$8,"regional manager","customised")))),"regional manager")</definedName>
    <definedName name="NIVR_cust_app_pack_regional_OTP_A">IF('[3]quote - NIVR app Cust Managed'!$C$18="regional manager",IF('[3]quote - NIVR app Cust Managed'!HC1/'[3]quote - NIVR app Cust Managed'!HA1&gt;='[3]quote - NIVR app Cust Managed'!$BC$8,"not required",IF('[3]quote - NIVR app Cust Managed'!HC1/'[3]quote - NIVR app Cust Managed'!HA1&gt;='[3]quote - NIVR app Cust Managed'!$BE$8,"sales",IF('[3]quote - NIVR app Cust Managed'!HC1/'[3]quote - NIVR app Cust Managed'!HA1&gt;='[3]quote - NIVR app Cust Managed'!$BG$8,"country manager",IF('[3]quote - NIVR app Cust Managed'!HC1/'[3]quote - NIVR app Cust Managed'!HA1&gt;='[3]quote - NIVR app Cust Managed'!$BI$8,"regional manager",IF('[3]quote - NIVR app Cust Managed'!HC1/'[3]quote - NIVR app Cust Managed'!HA1&lt;='[3]quote - NIVR app Cust Managed'!$BI$8,"DAC approver"))))),"regional manager")</definedName>
    <definedName name="NIVR_cust_app_pack_regional_OTP_P">IF('[3]quote - NIVR app Cust Managed'!$C$18="regional manager",IF('[3]quote - NIVR app Cust Managed'!GQ1/'[3]quote - NIVR app Cust Managed'!GO1='[3]quote - NIVR app Cust Managed'!$BC$8,"list",IF('[3]quote - NIVR app Cust Managed'!GQ1/'[3]quote - NIVR app Cust Managed'!GO1='[3]quote - NIVR app Cust Managed'!$BE$8,"sales discretionary",IF('[3]quote - NIVR app Cust Managed'!GQ1/'[3]quote - NIVR app Cust Managed'!GO1='[3]quote - NIVR app Cust Managed'!$BG$8,"country manager",IF('[3]quote - NIVR app Cust Managed'!GQ1/'[3]quote - NIVR app Cust Managed'!GO1='[3]quote - NIVR app Cust Managed'!$BI$8,"regional manager","customised")))),"regional manager")</definedName>
    <definedName name="NIVR_cust_app_pack_sales_MRP_A">IF('[3]quote - NIVR app Cust Managed'!$C$18="sales discretionary",IF('[3]quote - NIVR app Cust Managed'!GY1/'[3]quote - NIVR app Cust Managed'!GU1&gt;='[3]quote - NIVR app Cust Managed'!$BD$8,"not required",IF('[3]quote - NIVR app Cust Managed'!GY1/'[3]quote - NIVR app Cust Managed'!GU1&gt;='[3]quote - NIVR app Cust Managed'!$BF$8,"sales",IF('[3]quote - NIVR app Cust Managed'!GY1/'[3]quote - NIVR app Cust Managed'!GU1&gt;='[3]quote - NIVR app Cust Managed'!$BH$8,"country manager",IF('[3]quote - NIVR app Cust Managed'!GY1/'[3]quote - NIVR app Cust Managed'!GU1&gt;='[3]quote - NIVR app Cust Managed'!$BJ$8,"regional manager",IF('[3]quote - NIVR app Cust Managed'!GY1/'[3]quote - NIVR app Cust Managed'!GU1&lt;='[3]quote - NIVR app Cust Managed'!$BJ$8,"DAC approver"))))),"sales")</definedName>
    <definedName name="NIVR_cust_app_pack_sales_MRP_P">IF('[3]quote - NIVR app Cust Managed'!$C$18="sales discretionary",IF('[3]quote - NIVR app Cust Managed'!GM1/'[3]quote - NIVR app Cust Managed'!GI1='[3]quote - NIVR app Cust Managed'!$BD$8,"list",IF('[3]quote - NIVR app Cust Managed'!GM1/'[3]quote - NIVR app Cust Managed'!GI1='[3]quote - NIVR app Cust Managed'!$BF$8,"sales discretionary",IF('[3]quote - NIVR app Cust Managed'!GM1/'[3]quote - NIVR app Cust Managed'!GI1='[3]quote - NIVR app Cust Managed'!$BH$8,"country manager",IF('[3]quote - NIVR app Cust Managed'!GM1/'[3]quote - NIVR app Cust Managed'!GI1='[3]quote - NIVR app Cust Managed'!$BJ$8,"regional manager","customised")))),"sales discretionary")</definedName>
    <definedName name="NIVR_cust_app_pack_sales_OTP_A">IF('[3]quote - NIVR app Cust Managed'!$C$18="sales discretionary",IF('[3]quote - NIVR app Cust Managed'!HC1/'[3]quote - NIVR app Cust Managed'!HA1&gt;='[3]quote - NIVR app Cust Managed'!$BC$8,"not required",IF('[3]quote - NIVR app Cust Managed'!HC1/'[3]quote - NIVR app Cust Managed'!HA1&gt;='[3]quote - NIVR app Cust Managed'!$BE$8,"sales",IF('[3]quote - NIVR app Cust Managed'!HC1/'[3]quote - NIVR app Cust Managed'!HA1&gt;='[3]quote - NIVR app Cust Managed'!$BG$8,"country manager",IF('[3]quote - NIVR app Cust Managed'!HC1/'[3]quote - NIVR app Cust Managed'!HA1&gt;='[3]quote - NIVR app Cust Managed'!$BI$8,"regional manager",IF('[3]quote - NIVR app Cust Managed'!HC1/'[3]quote - NIVR app Cust Managed'!HA1&lt;='[3]quote - NIVR app Cust Managed'!$BI$8,"DAC approver"))))),"sales")</definedName>
    <definedName name="NIVR_cust_app_pack_sales_OTP_P">IF('[3]quote - NIVR app Cust Managed'!$C$18="sales discretionary",IF('[3]quote - NIVR app Cust Managed'!GQ1/'[3]quote - NIVR app Cust Managed'!GO1='[3]quote - NIVR app Cust Managed'!$BC$8,"list",IF('[3]quote - NIVR app Cust Managed'!GQ1/'[3]quote - NIVR app Cust Managed'!GO1='[3]quote - NIVR app Cust Managed'!$BE$8,"sales discretionary",IF('[3]quote - NIVR app Cust Managed'!GQ1/'[3]quote - NIVR app Cust Managed'!GO1='[3]quote - NIVR app Cust Managed'!$BG$8,"country manager",IF('[3]quote - NIVR app Cust Managed'!GQ1/'[3]quote - NIVR app Cust Managed'!GO1='[3]quote - NIVR app Cust Managed'!$BI$8,"regional manager","customised")))),"sales discretionary")</definedName>
    <definedName name="NIVR_cust_app_with_survey_pack_country_MRP_A">IF('[3]quote - NIVR app Cust Managed'!$C$18="country manager",IF('[3]quote - NIVR app Cust Managed'!HD1/'[3]quote - NIVR app Cust Managed'!GZ1&gt;='[3]quote - NIVR app Cust Managed'!$BD$9,"not required",IF('[3]quote - NIVR app Cust Managed'!HD1/'[3]quote - NIVR app Cust Managed'!GZ1&gt;='[3]quote - NIVR app Cust Managed'!$BF$9,"sales",IF('[3]quote - NIVR app Cust Managed'!HD1/'[3]quote - NIVR app Cust Managed'!GZ1&gt;='[3]quote - NIVR app Cust Managed'!$BH$9,"country manager",IF('[3]quote - NIVR app Cust Managed'!HD1/'[3]quote - NIVR app Cust Managed'!GZ1&gt;='[3]quote - NIVR app Cust Managed'!$BJ$9,"regional manager",IF('[3]quote - NIVR app Cust Managed'!HD1/'[3]quote - NIVR app Cust Managed'!GZ1&lt;='[3]quote - NIVR app Cust Managed'!$BJ$9,"DAC approver"))))),"country manager")</definedName>
    <definedName name="NIVR_cust_app_with_survey_pack_country_MRP_P">IF('[3]quote - NIVR app Cust Managed'!$C$18="country manager",IF('[3]quote - NIVR app Cust Managed'!GR1/'[3]quote - NIVR app Cust Managed'!GN1='[3]quote - NIVR app Cust Managed'!$BD$9,"list",IF('[3]quote - NIVR app Cust Managed'!GR1/'[3]quote - NIVR app Cust Managed'!GN1='[3]quote - NIVR app Cust Managed'!$BF$9,"sales discretionary",IF('[3]quote - NIVR app Cust Managed'!GR1/'[3]quote - NIVR app Cust Managed'!GN1='[3]quote - NIVR app Cust Managed'!$BH$9,"country manager",IF('[3]quote - NIVR app Cust Managed'!GR1/'[3]quote - NIVR app Cust Managed'!GN1='[3]quote - NIVR app Cust Managed'!$BJ$9,"regional manager","customised")))),"country manager")</definedName>
    <definedName name="NIVR_cust_app_with_survey_pack_country_OTP_A">IF('[3]quote - NIVR app Cust Managed'!$C$18="country manager",IF('[3]quote - NIVR app Cust Managed'!HH1/'[3]quote - NIVR app Cust Managed'!HF1&gt;='[3]quote - NIVR app Cust Managed'!$BC$9,"not required",IF('[3]quote - NIVR app Cust Managed'!HH1/'[3]quote - NIVR app Cust Managed'!HF1&gt;='[3]quote - NIVR app Cust Managed'!$BE$9,"sales",IF('[3]quote - NIVR app Cust Managed'!HH1/'[3]quote - NIVR app Cust Managed'!HF1&gt;='[3]quote - NIVR app Cust Managed'!$BG$9,"country manager",IF('[3]quote - NIVR app Cust Managed'!HH1/'[3]quote - NIVR app Cust Managed'!HF1&gt;='[3]quote - NIVR app Cust Managed'!$BI$9,"regional manager",IF('[3]quote - NIVR app Cust Managed'!HH1/'[3]quote - NIVR app Cust Managed'!HF1&lt;='[3]quote - NIVR app Cust Managed'!$BI$9,"DAC approver"))))),"country manager")</definedName>
    <definedName name="NIVR_cust_app_with_survey_pack_country_OTP_P">IF('[3]quote - NIVR app Cust Managed'!$C$18="country manager",IF('[3]quote - NIVR app Cust Managed'!GV1/'[3]quote - NIVR app Cust Managed'!GT1='[3]quote - NIVR app Cust Managed'!$BC$9,"list",IF('[3]quote - NIVR app Cust Managed'!GV1/'[3]quote - NIVR app Cust Managed'!GT1='[3]quote - NIVR app Cust Managed'!$BE$9,"sales discretionary",IF('[3]quote - NIVR app Cust Managed'!GV1/'[3]quote - NIVR app Cust Managed'!GT1='[3]quote - NIVR app Cust Managed'!$BG$9,"country manager",IF('[3]quote - NIVR app Cust Managed'!GV1/'[3]quote - NIVR app Cust Managed'!GT1='[3]quote - NIVR app Cust Managed'!$BI$9,"regional manager","customised")))),"country manager")</definedName>
    <definedName name="NIVR_cust_app_with_survey_pack_list_MRP_A">IF('[3]quote - NIVR app Cust Managed'!$C$18="list",IF('[3]quote - NIVR app Cust Managed'!HD1/'[3]quote - NIVR app Cust Managed'!GZ1&gt;='[3]quote - NIVR app Cust Managed'!$BD$9,"not required",IF('[3]quote - NIVR app Cust Managed'!HD1/'[3]quote - NIVR app Cust Managed'!GZ1&gt;='[3]quote - NIVR app Cust Managed'!$BF$9,"sales",IF('[3]quote - NIVR app Cust Managed'!HD1/'[3]quote - NIVR app Cust Managed'!GZ1&gt;='[3]quote - NIVR app Cust Managed'!$BH$9,"country manager",IF('[3]quote - NIVR app Cust Managed'!HD1/'[3]quote - NIVR app Cust Managed'!GZ1&gt;='[3]quote - NIVR app Cust Managed'!$BJ$9,"regional manager",IF('[3]quote - NIVR app Cust Managed'!HD1/'[3]quote - NIVR app Cust Managed'!GZ1&lt;='[3]quote - NIVR app Cust Managed'!$BJ$9,"DAC approver"))))),"not required")</definedName>
    <definedName name="NIVR_cust_app_with_survey_pack_list_MRP_P">IF('[3]quote - NIVR app Cust Managed'!$C$18="list",IF('[3]quote - NIVR app Cust Managed'!GR1/'[3]quote - NIVR app Cust Managed'!GN1='[3]quote - NIVR app Cust Managed'!$BD$9,"list",IF('[3]quote - NIVR app Cust Managed'!GR1/'[3]quote - NIVR app Cust Managed'!GN1='[3]quote - NIVR app Cust Managed'!$BF$9,"sales discretionary",IF('[3]quote - NIVR app Cust Managed'!GR1/'[3]quote - NIVR app Cust Managed'!GN1='[3]quote - NIVR app Cust Managed'!$BH$9,"country manager",IF('[3]quote - NIVR app Cust Managed'!GR1/'[3]quote - NIVR app Cust Managed'!GN1='[3]quote - NIVR app Cust Managed'!$BJ$9,"regional manager","customised")))),"list")</definedName>
    <definedName name="NIVR_cust_app_with_survey_pack_list_OTP_A">IF('[3]quote - NIVR app Cust Managed'!$C$18="list",IF('[3]quote - NIVR app Cust Managed'!HH1/'[3]quote - NIVR app Cust Managed'!HF1&gt;='[3]quote - NIVR app Cust Managed'!$BC$9,"not required",IF('[3]quote - NIVR app Cust Managed'!HH1/'[3]quote - NIVR app Cust Managed'!HF1&gt;='[3]quote - NIVR app Cust Managed'!$BE$9,"sales",IF('[3]quote - NIVR app Cust Managed'!HH1/'[3]quote - NIVR app Cust Managed'!HF1&gt;='[3]quote - NIVR app Cust Managed'!$BG$9,"country manager",IF('[3]quote - NIVR app Cust Managed'!HH1/'[3]quote - NIVR app Cust Managed'!HF1&gt;='[3]quote - NIVR app Cust Managed'!$BI$9,"regional manager",IF('[3]quote - NIVR app Cust Managed'!HH1/'[3]quote - NIVR app Cust Managed'!HF1&lt;='[3]quote - NIVR app Cust Managed'!$BI$9,"DAC approver"))))),"not required")</definedName>
    <definedName name="NIVR_cust_app_with_survey_pack_list_OTP_P">IF('[3]quote - NIVR app Cust Managed'!$C$18="list",IF('[3]quote - NIVR app Cust Managed'!GV1/'[3]quote - NIVR app Cust Managed'!GT1='[3]quote - NIVR app Cust Managed'!$BC$9,"list",IF('[3]quote - NIVR app Cust Managed'!GV1/'[3]quote - NIVR app Cust Managed'!GT1='[3]quote - NIVR app Cust Managed'!$BE$9,"sales discretionary",IF('[3]quote - NIVR app Cust Managed'!GV1/'[3]quote - NIVR app Cust Managed'!GT1='[3]quote - NIVR app Cust Managed'!$BG$9,"country manager",IF('[3]quote - NIVR app Cust Managed'!GV1/'[3]quote - NIVR app Cust Managed'!GT1='[3]quote - NIVR app Cust Managed'!$BI$9,"regional manager","customised")))),"list")</definedName>
    <definedName name="NIVR_cust_app_with_survey_pack_regional_MRP_A">IF('[3]quote - NIVR app Cust Managed'!$C$18="regional manager",IF('[3]quote - NIVR app Cust Managed'!HD1/'[3]quote - NIVR app Cust Managed'!GZ1&gt;='[3]quote - NIVR app Cust Managed'!$BD$9,"not required",IF('[3]quote - NIVR app Cust Managed'!HD1/'[3]quote - NIVR app Cust Managed'!GZ1&gt;='[3]quote - NIVR app Cust Managed'!$BF$9,"sales",IF('[3]quote - NIVR app Cust Managed'!HD1/'[3]quote - NIVR app Cust Managed'!GZ1&gt;='[3]quote - NIVR app Cust Managed'!$BH$9,"country manager",IF('[3]quote - NIVR app Cust Managed'!HD1/'[3]quote - NIVR app Cust Managed'!GZ1&gt;='[3]quote - NIVR app Cust Managed'!$BJ$9,"regional manager",IF('[3]quote - NIVR app Cust Managed'!HD1/'[3]quote - NIVR app Cust Managed'!GZ1&lt;='[3]quote - NIVR app Cust Managed'!$BJ$9,"DAC approver"))))),"regional manager")</definedName>
    <definedName name="NIVR_cust_app_with_survey_pack_regional_MRP_P">IF('[3]quote - NIVR app Cust Managed'!$C$18="regional manager",IF('[3]quote - NIVR app Cust Managed'!GR1/'[3]quote - NIVR app Cust Managed'!GN1='[3]quote - NIVR app Cust Managed'!$BD$9,"list",IF('[3]quote - NIVR app Cust Managed'!GR1/'[3]quote - NIVR app Cust Managed'!GN1='[3]quote - NIVR app Cust Managed'!$BF$9,"sales discretionary",IF('[3]quote - NIVR app Cust Managed'!GR1/'[3]quote - NIVR app Cust Managed'!GN1='[3]quote - NIVR app Cust Managed'!$BH$9,"country manager",IF('[3]quote - NIVR app Cust Managed'!GR1/'[3]quote - NIVR app Cust Managed'!GN1='[3]quote - NIVR app Cust Managed'!$BJ$9,"regional manager","customised")))),"regional manager")</definedName>
    <definedName name="NIVR_cust_app_with_survey_pack_regional_OTP_A">IF('[3]quote - NIVR app Cust Managed'!$C$18="regional manager",IF('[3]quote - NIVR app Cust Managed'!HH1/'[3]quote - NIVR app Cust Managed'!HF1&gt;='[3]quote - NIVR app Cust Managed'!$BC$9,"not required",IF('[3]quote - NIVR app Cust Managed'!HH1/'[3]quote - NIVR app Cust Managed'!HF1&gt;='[3]quote - NIVR app Cust Managed'!$BE$9,"sales",IF('[3]quote - NIVR app Cust Managed'!HH1/'[3]quote - NIVR app Cust Managed'!HF1&gt;='[3]quote - NIVR app Cust Managed'!$BG$9,"country manager",IF('[3]quote - NIVR app Cust Managed'!HH1/'[3]quote - NIVR app Cust Managed'!HF1&gt;='[3]quote - NIVR app Cust Managed'!$BI$9,"regional manager",IF('[3]quote - NIVR app Cust Managed'!HH1/'[3]quote - NIVR app Cust Managed'!HF1&lt;='[3]quote - NIVR app Cust Managed'!$BI$9,"DAC approver"))))),"regional manager")</definedName>
    <definedName name="NIVR_cust_app_with_survey_pack_regional_OTP_P">IF('[3]quote - NIVR app Cust Managed'!$C$18="regional manager",IF('[3]quote - NIVR app Cust Managed'!GV1/'[3]quote - NIVR app Cust Managed'!GT1='[3]quote - NIVR app Cust Managed'!$BC$9,"list",IF('[3]quote - NIVR app Cust Managed'!GV1/'[3]quote - NIVR app Cust Managed'!GT1='[3]quote - NIVR app Cust Managed'!$BE$9,"sales discretionary",IF('[3]quote - NIVR app Cust Managed'!GV1/'[3]quote - NIVR app Cust Managed'!GT1='[3]quote - NIVR app Cust Managed'!$BG$9,"country manager",IF('[3]quote - NIVR app Cust Managed'!GV1/'[3]quote - NIVR app Cust Managed'!GT1='[3]quote - NIVR app Cust Managed'!$BI$9,"regional manager","customised")))),"regional manager")</definedName>
    <definedName name="NIVR_cust_app_with_survey_pack_sales_MRP_A">IF('[3]quote - NIVR app Cust Managed'!$C$18="sales discretionary",IF('[3]quote - NIVR app Cust Managed'!HD1/'[3]quote - NIVR app Cust Managed'!GZ1&gt;='[3]quote - NIVR app Cust Managed'!$BD$9,"not required",IF('[3]quote - NIVR app Cust Managed'!HD1/'[3]quote - NIVR app Cust Managed'!GZ1&gt;='[3]quote - NIVR app Cust Managed'!$BF$9,"sales",IF('[3]quote - NIVR app Cust Managed'!HD1/'[3]quote - NIVR app Cust Managed'!GZ1&gt;='[3]quote - NIVR app Cust Managed'!$BH$9,"country manager",IF('[3]quote - NIVR app Cust Managed'!HD1/'[3]quote - NIVR app Cust Managed'!GZ1&gt;='[3]quote - NIVR app Cust Managed'!$BJ$9,"regional manager",IF('[3]quote - NIVR app Cust Managed'!HD1/'[3]quote - NIVR app Cust Managed'!GZ1&lt;='[3]quote - NIVR app Cust Managed'!$BJ$9,"DAC approver"))))),"sales")</definedName>
    <definedName name="NIVR_cust_app_with_survey_pack_sales_MRP_P">IF('[3]quote - NIVR app Cust Managed'!$C$18="sales discretionary",IF('[3]quote - NIVR app Cust Managed'!GR1/'[3]quote - NIVR app Cust Managed'!GN1='[3]quote - NIVR app Cust Managed'!$BD$9,"list",IF('[3]quote - NIVR app Cust Managed'!GR1/'[3]quote - NIVR app Cust Managed'!GN1='[3]quote - NIVR app Cust Managed'!$BF$9,"sales discretionary",IF('[3]quote - NIVR app Cust Managed'!GR1/'[3]quote - NIVR app Cust Managed'!GN1='[3]quote - NIVR app Cust Managed'!$BH$9,"country manager",IF('[3]quote - NIVR app Cust Managed'!GR1/'[3]quote - NIVR app Cust Managed'!GN1='[3]quote - NIVR app Cust Managed'!$BJ$9,"regional manager","customised")))),"sales discretionary")</definedName>
    <definedName name="NIVR_cust_app_with_survey_pack_sales_OTP_A">IF('[3]quote - NIVR app Cust Managed'!$C$18="sales discretionary",IF('[3]quote - NIVR app Cust Managed'!HH1/'[3]quote - NIVR app Cust Managed'!HF1&gt;='[3]quote - NIVR app Cust Managed'!$BC$9,"not required",IF('[3]quote - NIVR app Cust Managed'!HH1/'[3]quote - NIVR app Cust Managed'!HF1&gt;='[3]quote - NIVR app Cust Managed'!$BE$9,"sales",IF('[3]quote - NIVR app Cust Managed'!HH1/'[3]quote - NIVR app Cust Managed'!HF1&gt;='[3]quote - NIVR app Cust Managed'!$BG$9,"country manager",IF('[3]quote - NIVR app Cust Managed'!HH1/'[3]quote - NIVR app Cust Managed'!HF1&gt;='[3]quote - NIVR app Cust Managed'!$BI$9,"regional manager",IF('[3]quote - NIVR app Cust Managed'!HH1/'[3]quote - NIVR app Cust Managed'!HF1&lt;='[3]quote - NIVR app Cust Managed'!$BI$9,"DAC approver"))))),"sales")</definedName>
    <definedName name="NIVR_cust_app_with_survey_pack_sales_OTP_P">IF('[3]quote - NIVR app Cust Managed'!$C$18="sales discretionary",IF('[3]quote - NIVR app Cust Managed'!GV1/'[3]quote - NIVR app Cust Managed'!GT1='[3]quote - NIVR app Cust Managed'!$BC$9,"list",IF('[3]quote - NIVR app Cust Managed'!GV1/'[3]quote - NIVR app Cust Managed'!GT1='[3]quote - NIVR app Cust Managed'!$BE$9,"sales discretionary",IF('[3]quote - NIVR app Cust Managed'!GV1/'[3]quote - NIVR app Cust Managed'!GT1='[3]quote - NIVR app Cust Managed'!$BG$9,"country manager",IF('[3]quote - NIVR app Cust Managed'!GV1/'[3]quote - NIVR app Cust Managed'!GT1='[3]quote - NIVR app Cust Managed'!$BI$9,"regional manager","customised")))),"sales discretionary")</definedName>
    <definedName name="NIVR_cust_MRP_case_1_A">IF(AND('[3]quote - NIVR app Cust Managed'!HQ1&lt;&gt;"",'[3]quote - NIVR app Cust Managed'!HW1&lt;&gt;"",'[3]quote - NIVR app Cust Managed'!IC1=""),VLOOKUP(MAX('[3]quote - NIVR app Cust Managed'!V1:W1),'[3]data - main'!$AC$4:$AD$8,2,FALSE),NIVR_cust_MRP_case_2_A)</definedName>
    <definedName name="NIVR_cust_MRP_case_1_P">IF(AND('[3]quote - NIVR app Cust Managed'!HO1&lt;&gt;"",'[3]quote - NIVR app Cust Managed'!HU1&lt;&gt;"",'[3]quote - NIVR app Cust Managed'!IA1=""),VLOOKUP(MAX('[3]quote - NIVR app Cust Managed'!AF1:AG1),'[3]data - main'!$AC$4:$AE$8,3,FALSE),NIVR_cust_MRP_case_2_P)</definedName>
    <definedName name="NIVR_cust_MRP_case_2_A">IF(AND('[3]quote - NIVR app Cust Managed'!HQ1&lt;&gt;"",'[3]quote - NIVR app Cust Managed'!HW1="",'[3]quote - NIVR app Cust Managed'!IC1&lt;&gt;""),VLOOKUP(MAX('[3]quote - NIVR app Cust Managed'!V1,'[3]quote - NIVR app Cust Managed'!X1),'[3]data - main'!$AC$4:$AD$8,2,FALSE),NIVR_cust_MRP_case_3_A)</definedName>
    <definedName name="NIVR_cust_MRP_case_2_P">IF(AND('[3]quote - NIVR app Cust Managed'!HO1&lt;&gt;"",'[3]quote - NIVR app Cust Managed'!HU1="",'[3]quote - NIVR app Cust Managed'!IA1&lt;&gt;""),VLOOKUP(MAX('[3]quote - NIVR app Cust Managed'!AF1,'[3]quote - NIVR app Cust Managed'!AH1),'[3]data - main'!$AC$4:$AE$8,3,FALSE),NIVR_cust_MRP_case_3_P)</definedName>
    <definedName name="NIVR_cust_MRP_case_3_A">IF(AND('[3]quote - NIVR app Cust Managed'!HQ1="",'[3]quote - NIVR app Cust Managed'!HW1&lt;&gt;"",'[3]quote - NIVR app Cust Managed'!IC1&lt;&gt;""),VLOOKUP(MAX('[3]quote - NIVR app Cust Managed'!W1:X1),'[3]data - main'!$AC$4:$AD$8,2,FALSE),IF(AND('[3]quote - NIVR app Cust Managed'!HQ1&lt;&gt;"",'[3]quote - NIVR app Cust Managed'!HW1&lt;&gt;"",'[3]quote - NIVR app Cust Managed'!IC1&lt;&gt;""),VLOOKUP(MAX('[3]quote - NIVR app Cust Managed'!V1:X1),'[3]data - main'!$AC$4:$AD$8,2,FALSE)))</definedName>
    <definedName name="NIVR_cust_MRP_case_3_P">IF(AND('[3]quote - NIVR app Cust Managed'!HO1="",'[3]quote - NIVR app Cust Managed'!HU1&lt;&gt;"",'[3]quote - NIVR app Cust Managed'!IA1&lt;&gt;""),VLOOKUP(MAX('[3]quote - NIVR app Cust Managed'!AG1:AH1),'[3]data - main'!$AC$4:$AE$8,3,FALSE),IF(AND('[3]quote - NIVR app Cust Managed'!HO1&lt;&gt;"",'[3]quote - NIVR app Cust Managed'!HU1&lt;&gt;"",'[3]quote - NIVR app Cust Managed'!IA1&lt;&gt;""),VLOOKUP(MAX('[3]quote - NIVR app Cust Managed'!AF1:AH1),'[3]data - main'!$AC$4:$AE$8,3,FALSE)))</definedName>
    <definedName name="NIVR_cust_OTP_case_1_A">IF(AND('[3]quote - NIVR app Cust Managed'!HP1&lt;&gt;"",'[3]quote - NIVR app Cust Managed'!HV1&lt;&gt;"",'[3]quote - NIVR app Cust Managed'!IB1=""),VLOOKUP(MAX('[3]quote - NIVR app Cust Managed'!Q1:R1),'[3]data - main'!$AC$4:$AD$8,2,FALSE),NIVR_cust_OTP_case_2_A)</definedName>
    <definedName name="NIVR_cust_OTP_case_1_P">IF(AND('[3]quote - NIVR app Cust Managed'!HN1&lt;&gt;"",'[3]quote - NIVR app Cust Managed'!HT1&lt;&gt;"",'[3]quote - NIVR app Cust Managed'!HZ1=""),VLOOKUP(MAX('[3]quote - NIVR app Cust Managed'!AA1:AB1),'[3]data - main'!$AC$4:$AE$8,3,FALSE),NIVR_cust_OTP_case_2_P)</definedName>
    <definedName name="NIVR_cust_OTP_case_2_A">IF(AND('[3]quote - NIVR app Cust Managed'!HP1&lt;&gt;"",'[3]quote - NIVR app Cust Managed'!HV1="",'[3]quote - NIVR app Cust Managed'!IB1&lt;&gt;""),VLOOKUP(MAX('[3]quote - NIVR app Cust Managed'!Q1,'[3]quote - NIVR app Cust Managed'!S1),'[3]data - main'!$AC$4:$AD$8,2,FALSE),NIVR_cust_OTP_case_3_A)</definedName>
    <definedName name="NIVR_cust_OTP_case_2_P">IF(AND('[3]quote - NIVR app Cust Managed'!HN1&lt;&gt;"",'[3]quote - NIVR app Cust Managed'!HT1="",'[3]quote - NIVR app Cust Managed'!HZ1&lt;&gt;""),VLOOKUP(MAX('[3]quote - NIVR app Cust Managed'!AA1,'[3]quote - NIVR app Cust Managed'!AC1),'[3]data - main'!$AC$4:$AE$8,3,FALSE),NIVR_cust_OTP_case_3_P)</definedName>
    <definedName name="NIVR_cust_OTP_case_3_A">IF(AND('[3]quote - NIVR app Cust Managed'!HP1="",'[3]quote - NIVR app Cust Managed'!HV1&lt;&gt;"",'[3]quote - NIVR app Cust Managed'!IB1&lt;&gt;""),VLOOKUP(MAX('[3]quote - NIVR app Cust Managed'!R1:S1),'[3]data - main'!$AC$4:$AD$8,2,FALSE),IF(AND('[3]quote - NIVR app Cust Managed'!HP1&lt;&gt;"",'[3]quote - NIVR app Cust Managed'!HV1&lt;&gt;"",'[3]quote - NIVR app Cust Managed'!IB1&lt;&gt;""),VLOOKUP(MAX('[3]quote - NIVR app Cust Managed'!Q1:S1),'[3]data - main'!$AC$4:$AD$8,2,FALSE)))</definedName>
    <definedName name="NIVR_cust_OTP_case_3_P">IF(AND('[3]quote - NIVR app Cust Managed'!HN1="",'[3]quote - NIVR app Cust Managed'!HT1&lt;&gt;"",'[3]quote - NIVR app Cust Managed'!HZ1&lt;&gt;""),VLOOKUP(MAX('[3]quote - NIVR app Cust Managed'!AB1:AC1),'[3]data - main'!$AC$4:$AE$8,3,FALSE),IF(AND('[3]quote - NIVR app Cust Managed'!HN1&lt;&gt;"",'[3]quote - NIVR app Cust Managed'!HT1&lt;&gt;"",'[3]quote - NIVR app Cust Managed'!HZ1&lt;&gt;""),VLOOKUP(MAX('[3]quote - NIVR app Cust Managed'!AA1:AC1),'[3]data - main'!$AC$4:$AE$8,3,FALSE)))</definedName>
    <definedName name="NIVR_cust_survey_app_pack_country_MRP_A">IF('[3]quote - NIVR app Cust Managed'!$C$18="country manager",IF('[3]quote - NIVR app Cust Managed'!HI1/'[3]quote - NIVR app Cust Managed'!HE1&gt;='[3]quote - NIVR app Cust Managed'!$BD$10,"not required",IF('[3]quote - NIVR app Cust Managed'!HI1/'[3]quote - NIVR app Cust Managed'!HE1&gt;='[3]quote - NIVR app Cust Managed'!$BF$10,"sales",IF('[3]quote - NIVR app Cust Managed'!HI1/'[3]quote - NIVR app Cust Managed'!HE1&gt;='[3]quote - NIVR app Cust Managed'!$BH$10,"country manager",IF('[3]quote - NIVR app Cust Managed'!HI1/'[3]quote - NIVR app Cust Managed'!HE1&gt;='[3]quote - NIVR app Cust Managed'!$BJ$10,"regional manager",IF('[3]quote - NIVR app Cust Managed'!HI1/'[3]quote - NIVR app Cust Managed'!HE1&lt;='[3]quote - NIVR app Cust Managed'!$BJ$10,"DAC approver"))))),"country manager")</definedName>
    <definedName name="NIVR_cust_survey_app_pack_country_MRP_P">IF('[3]quote - NIVR app Cust Managed'!$C$18="country manager",IF('[3]quote - NIVR app Cust Managed'!GW1/'[3]quote - NIVR app Cust Managed'!GS1='[3]quote - NIVR app Cust Managed'!$BD$10,"list",IF('[3]quote - NIVR app Cust Managed'!GW1/'[3]quote - NIVR app Cust Managed'!GS1='[3]quote - NIVR app Cust Managed'!$BF$10,"sales discretionary",IF('[3]quote - NIVR app Cust Managed'!GW1/'[3]quote - NIVR app Cust Managed'!GS1='[3]quote - NIVR app Cust Managed'!$BH$10,"country manager",IF('[3]quote - NIVR app Cust Managed'!GW1/'[3]quote - NIVR app Cust Managed'!GS1='[3]quote - NIVR app Cust Managed'!$BJ$10,"regional manager","customised")))),"country manager")</definedName>
    <definedName name="NIVR_cust_survey_app_pack_country_OTP_A">IF('[3]quote - NIVR app Cust Managed'!$C$18="country manager",IF('[3]quote - NIVR app Cust Managed'!HM1/'[3]quote - NIVR app Cust Managed'!HK1&gt;='[3]quote - NIVR app Cust Managed'!$BC$10,"not required",IF('[3]quote - NIVR app Cust Managed'!HM1/'[3]quote - NIVR app Cust Managed'!HK1&gt;='[3]quote - NIVR app Cust Managed'!$BE$10,"sales",IF('[3]quote - NIVR app Cust Managed'!HM1/'[3]quote - NIVR app Cust Managed'!HK1&gt;='[3]quote - NIVR app Cust Managed'!$BG$10,"country manager",IF('[3]quote - NIVR app Cust Managed'!HM1/'[3]quote - NIVR app Cust Managed'!HK1&gt;='[3]quote - NIVR app Cust Managed'!$BI$10,"regional manager",IF('[3]quote - NIVR app Cust Managed'!HM1/'[3]quote - NIVR app Cust Managed'!HK1&lt;='[3]quote - NIVR app Cust Managed'!$BI$10,"DAC approver"))))),"country manager")</definedName>
    <definedName name="NIVR_cust_survey_app_pack_country_OTP_P">IF('[3]quote - NIVR app Cust Managed'!$C$18="country manager",IF('[3]quote - NIVR app Cust Managed'!HA1/'[3]quote - NIVR app Cust Managed'!GY1='[3]quote - NIVR app Cust Managed'!$BC$10,"list",IF('[3]quote - NIVR app Cust Managed'!HA1/'[3]quote - NIVR app Cust Managed'!GY1='[3]quote - NIVR app Cust Managed'!$BE$10,"sales discretionary",IF('[3]quote - NIVR app Cust Managed'!HA1/'[3]quote - NIVR app Cust Managed'!GY1='[3]quote - NIVR app Cust Managed'!$BG$10,"country manager",IF('[3]quote - NIVR app Cust Managed'!HA1/'[3]quote - NIVR app Cust Managed'!GY1='[3]quote - NIVR app Cust Managed'!$BI$10,"regional manager","customised")))),"country manager")</definedName>
    <definedName name="NIVR_cust_survey_app_pack_list_MRP_A">IF('[3]quote - NIVR app Cust Managed'!$C$18="list",IF('[3]quote - NIVR app Cust Managed'!HI1/'[3]quote - NIVR app Cust Managed'!HE1&gt;='[3]quote - NIVR app Cust Managed'!$BD$10,"not required",IF('[3]quote - NIVR app Cust Managed'!HI1/'[3]quote - NIVR app Cust Managed'!HE1&gt;='[3]quote - NIVR app Cust Managed'!$BF$10,"sales",IF('[3]quote - NIVR app Cust Managed'!HI1/'[3]quote - NIVR app Cust Managed'!HE1&gt;='[3]quote - NIVR app Cust Managed'!$BH$10,"country manager",IF('[3]quote - NIVR app Cust Managed'!HI1/'[3]quote - NIVR app Cust Managed'!HE1&gt;='[3]quote - NIVR app Cust Managed'!$BJ$10,"regional manager",IF('[3]quote - NIVR app Cust Managed'!HI1/'[3]quote - NIVR app Cust Managed'!HE1&lt;='[3]quote - NIVR app Cust Managed'!$BJ$10,"DAC approver"))))),"not required")</definedName>
    <definedName name="NIVR_cust_survey_app_pack_list_MRP_P">IF('[3]quote - NIVR app Cust Managed'!$C$18="list",IF('[3]quote - NIVR app Cust Managed'!GW1/'[3]quote - NIVR app Cust Managed'!GS1='[3]quote - NIVR app Cust Managed'!$BD$10,"list",IF('[3]quote - NIVR app Cust Managed'!GW1/'[3]quote - NIVR app Cust Managed'!GS1='[3]quote - NIVR app Cust Managed'!$BF$10,"sales discretionary",IF('[3]quote - NIVR app Cust Managed'!GW1/'[3]quote - NIVR app Cust Managed'!GS1='[3]quote - NIVR app Cust Managed'!$BH$10,"country manager",IF('[3]quote - NIVR app Cust Managed'!GW1/'[3]quote - NIVR app Cust Managed'!GS1='[3]quote - NIVR app Cust Managed'!$BJ$10,"regional manager","customised")))),"list")</definedName>
    <definedName name="NIVR_cust_survey_app_pack_list_OTP_A">IF('[3]quote - NIVR app Cust Managed'!$C$18="list",IF('[3]quote - NIVR app Cust Managed'!HM1/'[3]quote - NIVR app Cust Managed'!HK1&gt;='[3]quote - NIVR app Cust Managed'!$BC$10,"not required",IF('[3]quote - NIVR app Cust Managed'!HM1/'[3]quote - NIVR app Cust Managed'!HK1&gt;='[3]quote - NIVR app Cust Managed'!$BE$10,"sales",IF('[3]quote - NIVR app Cust Managed'!HM1/'[3]quote - NIVR app Cust Managed'!HK1&gt;='[3]quote - NIVR app Cust Managed'!$BG$10,"country manager",IF('[3]quote - NIVR app Cust Managed'!HM1/'[3]quote - NIVR app Cust Managed'!HK1&gt;='[3]quote - NIVR app Cust Managed'!$BI$10,"regional manager",IF('[3]quote - NIVR app Cust Managed'!HM1/'[3]quote - NIVR app Cust Managed'!HK1&lt;='[3]quote - NIVR app Cust Managed'!$BI$10,"DAC approver"))))),"not required")</definedName>
    <definedName name="NIVR_cust_survey_app_pack_list_OTP_P">IF('[3]quote - NIVR app Cust Managed'!$C$18="list",IF('[3]quote - NIVR app Cust Managed'!HA1/'[3]quote - NIVR app Cust Managed'!GY1='[3]quote - NIVR app Cust Managed'!$BC$10,"list",IF('[3]quote - NIVR app Cust Managed'!HA1/'[3]quote - NIVR app Cust Managed'!GY1='[3]quote - NIVR app Cust Managed'!$BE$10,"sales discretionary",IF('[3]quote - NIVR app Cust Managed'!HA1/'[3]quote - NIVR app Cust Managed'!GY1='[3]quote - NIVR app Cust Managed'!$BG$10,"country manager",IF('[3]quote - NIVR app Cust Managed'!HA1/'[3]quote - NIVR app Cust Managed'!GY1='[3]quote - NIVR app Cust Managed'!$BI$10,"regional manager","customised")))),"list")</definedName>
    <definedName name="NIVR_cust_survey_app_pack_regional_MRP_A">IF('[3]quote - NIVR app Cust Managed'!$C$18="regional manager",IF('[3]quote - NIVR app Cust Managed'!HI1/'[3]quote - NIVR app Cust Managed'!HE1&gt;='[3]quote - NIVR app Cust Managed'!$BD$10,"not required",IF('[3]quote - NIVR app Cust Managed'!HI1/'[3]quote - NIVR app Cust Managed'!HE1&gt;='[3]quote - NIVR app Cust Managed'!$BF$10,"sales",IF('[3]quote - NIVR app Cust Managed'!HI1/'[3]quote - NIVR app Cust Managed'!HE1&gt;='[3]quote - NIVR app Cust Managed'!$BH$10,"country manager",IF('[3]quote - NIVR app Cust Managed'!HI1/'[3]quote - NIVR app Cust Managed'!HE1&gt;='[3]quote - NIVR app Cust Managed'!$BJ$10,"regional manager",IF('[3]quote - NIVR app Cust Managed'!HI1/'[3]quote - NIVR app Cust Managed'!HE1&lt;='[3]quote - NIVR app Cust Managed'!$BJ$10,"DAC approver"))))),"regional manager")</definedName>
    <definedName name="NIVR_cust_survey_app_pack_regional_MRP_P">IF('[3]quote - NIVR app Cust Managed'!$C$18="regional manager",IF('[3]quote - NIVR app Cust Managed'!GW1/'[3]quote - NIVR app Cust Managed'!GS1='[3]quote - NIVR app Cust Managed'!$BD$10,"list",IF('[3]quote - NIVR app Cust Managed'!GW1/'[3]quote - NIVR app Cust Managed'!GS1='[3]quote - NIVR app Cust Managed'!$BF$10,"sales discretionary",IF('[3]quote - NIVR app Cust Managed'!GW1/'[3]quote - NIVR app Cust Managed'!GS1='[3]quote - NIVR app Cust Managed'!$BH$10,"country manager",IF('[3]quote - NIVR app Cust Managed'!GW1/'[3]quote - NIVR app Cust Managed'!GS1='[3]quote - NIVR app Cust Managed'!$BJ$10,"regional manager","customised")))),"regional manager")</definedName>
    <definedName name="NIVR_cust_survey_app_pack_regional_OTP_A">IF('[3]quote - NIVR app Cust Managed'!$C$18="regional manager",IF('[3]quote - NIVR app Cust Managed'!HM1/'[3]quote - NIVR app Cust Managed'!HK1&gt;='[3]quote - NIVR app Cust Managed'!$BC$10,"not required",IF('[3]quote - NIVR app Cust Managed'!HM1/'[3]quote - NIVR app Cust Managed'!HK1&gt;='[3]quote - NIVR app Cust Managed'!$BE$10,"sales",IF('[3]quote - NIVR app Cust Managed'!HM1/'[3]quote - NIVR app Cust Managed'!HK1&gt;='[3]quote - NIVR app Cust Managed'!$BG$10,"country manager",IF('[3]quote - NIVR app Cust Managed'!HM1/'[3]quote - NIVR app Cust Managed'!HK1&gt;='[3]quote - NIVR app Cust Managed'!$BI$10,"regional manager",IF('[3]quote - NIVR app Cust Managed'!HM1/'[3]quote - NIVR app Cust Managed'!HK1&lt;='[3]quote - NIVR app Cust Managed'!$BI$10,"DAC approver"))))),"regional manager")</definedName>
    <definedName name="NIVR_cust_survey_app_pack_regional_OTP_P">IF('[3]quote - NIVR app Cust Managed'!$C$18="regional manager",IF('[3]quote - NIVR app Cust Managed'!HA1/'[3]quote - NIVR app Cust Managed'!GY1='[3]quote - NIVR app Cust Managed'!$BC$10,"list",IF('[3]quote - NIVR app Cust Managed'!HA1/'[3]quote - NIVR app Cust Managed'!GY1='[3]quote - NIVR app Cust Managed'!$BE$10,"sales discretionary",IF('[3]quote - NIVR app Cust Managed'!HA1/'[3]quote - NIVR app Cust Managed'!GY1='[3]quote - NIVR app Cust Managed'!$BG$10,"country manager",IF('[3]quote - NIVR app Cust Managed'!HA1/'[3]quote - NIVR app Cust Managed'!GY1='[3]quote - NIVR app Cust Managed'!$BI$10,"regional manager","customised")))),"regional manager")</definedName>
    <definedName name="NIVR_cust_survey_app_pack_sales_MRP_A">IF('[3]quote - NIVR app Cust Managed'!$C$18="sales discretionary",IF('[3]quote - NIVR app Cust Managed'!HI1/'[3]quote - NIVR app Cust Managed'!HE1&gt;='[3]quote - NIVR app Cust Managed'!$BD$10,"not required",IF('[3]quote - NIVR app Cust Managed'!HI1/'[3]quote - NIVR app Cust Managed'!HE1&gt;='[3]quote - NIVR app Cust Managed'!$BF$10,"sales",IF('[3]quote - NIVR app Cust Managed'!HI1/'[3]quote - NIVR app Cust Managed'!HE1&gt;='[3]quote - NIVR app Cust Managed'!$BH$10,"country manager",IF('[3]quote - NIVR app Cust Managed'!HI1/'[3]quote - NIVR app Cust Managed'!HE1&gt;='[3]quote - NIVR app Cust Managed'!$BJ$10,"regional manager",IF('[3]quote - NIVR app Cust Managed'!HI1/'[3]quote - NIVR app Cust Managed'!HE1&lt;='[3]quote - NIVR app Cust Managed'!$BJ$10,"DAC approver"))))),"sales")</definedName>
    <definedName name="NIVR_cust_survey_app_pack_sales_MRP_P">IF('[3]quote - NIVR app Cust Managed'!$C$18="sales discretionary",IF('[3]quote - NIVR app Cust Managed'!GW1/'[3]quote - NIVR app Cust Managed'!GS1='[3]quote - NIVR app Cust Managed'!$BD$10,"list",IF('[3]quote - NIVR app Cust Managed'!GW1/'[3]quote - NIVR app Cust Managed'!GS1='[3]quote - NIVR app Cust Managed'!$BF$10,"sales discretionary",IF('[3]quote - NIVR app Cust Managed'!GW1/'[3]quote - NIVR app Cust Managed'!GS1='[3]quote - NIVR app Cust Managed'!$BH$10,"country manager",IF('[3]quote - NIVR app Cust Managed'!GW1/'[3]quote - NIVR app Cust Managed'!GS1='[3]quote - NIVR app Cust Managed'!$BJ$10,"regional manager","customised")))),"sales discretionary")</definedName>
    <definedName name="NIVR_cust_survey_app_pack_sales_OTP_A">IF('[3]quote - NIVR app Cust Managed'!$C$18="sales discretionary",IF('[3]quote - NIVR app Cust Managed'!HM1/'[3]quote - NIVR app Cust Managed'!HK1&gt;='[3]quote - NIVR app Cust Managed'!$BC$10,"not required",IF('[3]quote - NIVR app Cust Managed'!HM1/'[3]quote - NIVR app Cust Managed'!HK1&gt;='[3]quote - NIVR app Cust Managed'!$BE$10,"sales",IF('[3]quote - NIVR app Cust Managed'!HM1/'[3]quote - NIVR app Cust Managed'!HK1&gt;='[3]quote - NIVR app Cust Managed'!$BG$10,"country manager",IF('[3]quote - NIVR app Cust Managed'!HM1/'[3]quote - NIVR app Cust Managed'!HK1&gt;='[3]quote - NIVR app Cust Managed'!$BI$10,"regional manager",IF('[3]quote - NIVR app Cust Managed'!HM1/'[3]quote - NIVR app Cust Managed'!HK1&lt;='[3]quote - NIVR app Cust Managed'!$BI$10,"DAC approver"))))),"sales")</definedName>
    <definedName name="NIVR_cust_survey_app_pack_sales_OTP_P">IF('[3]quote - NIVR app Cust Managed'!$C$18="sales discretionary",IF('[3]quote - NIVR app Cust Managed'!HA1/'[3]quote - NIVR app Cust Managed'!GY1='[3]quote - NIVR app Cust Managed'!$BC$10,"list",IF('[3]quote - NIVR app Cust Managed'!HA1/'[3]quote - NIVR app Cust Managed'!GY1='[3]quote - NIVR app Cust Managed'!$BE$10,"sales discretionary",IF('[3]quote - NIVR app Cust Managed'!HA1/'[3]quote - NIVR app Cust Managed'!GY1='[3]quote - NIVR app Cust Managed'!$BG$10,"country manager",IF('[3]quote - NIVR app Cust Managed'!HA1/'[3]quote - NIVR app Cust Managed'!GY1='[3]quote - NIVR app Cust Managed'!$BI$10,"regional manager","customised")))),"sales discretionary")</definedName>
    <definedName name="NIVR_orange_greet_pack_country_MRP_A">IF('[3]quote - NIVR app Orange Managed'!$C$18="country manager",IF('[3]quote - NIVR app Orange Managed'!GM1/'[3]quote - NIVR app Orange Managed'!GI1&gt;='[3]quote - NIVR app Orange Managed'!$BL$8,"not required",IF('[3]quote - NIVR app Orange Managed'!GM1/'[3]quote - NIVR app Orange Managed'!GI1&gt;='[3]quote - NIVR app Orange Managed'!$BN$8,"sales",IF('[3]quote - NIVR app Orange Managed'!GM1/'[3]quote - NIVR app Orange Managed'!GI1&gt;='[3]quote - NIVR app Orange Managed'!$BP$8,"country manager",IF('[3]quote - NIVR app Orange Managed'!GM1/'[3]quote - NIVR app Orange Managed'!GI1&gt;='[3]quote - NIVR app Orange Managed'!$BR$8,"regional manager",IF('[3]quote - NIVR app Orange Managed'!GM1/'[3]quote - NIVR app Orange Managed'!GI1&lt;='[3]quote - NIVR app Orange Managed'!$BR$8,"DAC approver"))))),"country manager")</definedName>
    <definedName name="NIVR_orange_greet_pack_country_MRP_P">IF('[3]quote - NIVR app Orange Managed'!$C$18="country manager",IF('[3]quote - NIVR app Orange Managed'!FW1/'[3]quote - NIVR app Orange Managed'!FS1='[3]quote - NIVR app Orange Managed'!$BL$8,"list",IF('[3]quote - NIVR app Orange Managed'!FW1/'[3]quote - NIVR app Orange Managed'!FS1='[3]quote - NIVR app Orange Managed'!$BN$8,"sales discretionary",IF('[3]quote - NIVR app Orange Managed'!FW1/'[3]quote - NIVR app Orange Managed'!FS1='[3]quote - NIVR app Orange Managed'!$BP$8,"country manager",IF('[3]quote - NIVR app Orange Managed'!FW1/'[3]quote - NIVR app Orange Managed'!FS1='[3]quote - NIVR app Orange Managed'!$BR$8,"regional manager","customised")))),"country manager")</definedName>
    <definedName name="NIVR_orange_greet_pack_country_OTP_A">IF('[3]quote - NIVR app Orange Managed'!$C$18="country manager",IF('[3]quote - NIVR app Orange Managed'!GS1/'[3]quote - NIVR app Orange Managed'!GQ1&gt;='[3]quote - NIVR app Orange Managed'!$BK$8,"not required",IF('[3]quote - NIVR app Orange Managed'!GS1/'[3]quote - NIVR app Orange Managed'!GQ1&gt;='[3]quote - NIVR app Orange Managed'!$BM$8,"sales",IF('[3]quote - NIVR app Orange Managed'!GS1/'[3]quote - NIVR app Orange Managed'!GQ1&gt;='[3]quote - NIVR app Orange Managed'!$BO$8,"country manager",IF('[3]quote - NIVR app Orange Managed'!GS1/'[3]quote - NIVR app Orange Managed'!GQ1&gt;='[3]quote - NIVR app Orange Managed'!$BQ$8,"regional manager",IF('[3]quote - NIVR app Orange Managed'!GS1/'[3]quote - NIVR app Orange Managed'!GQ1&lt;='[3]quote - NIVR app Orange Managed'!$BQ$8,"DAC approver"))))),"country manager")</definedName>
    <definedName name="NIVR_orange_greet_pack_country_OTP_P">IF('[3]quote - NIVR app Orange Managed'!$C$18="country manager",IF('[3]quote - NIVR app Orange Managed'!GC1/'[3]quote - NIVR app Orange Managed'!GA1='[3]quote - NIVR app Orange Managed'!$BK$8,"list",IF('[3]quote - NIVR app Orange Managed'!GC1/'[3]quote - NIVR app Orange Managed'!GA1='[3]quote - NIVR app Orange Managed'!$BM$8,"sales discretionary",IF('[3]quote - NIVR app Orange Managed'!GC1/'[3]quote - NIVR app Orange Managed'!GA1='[3]quote - NIVR app Orange Managed'!$BO$8,"country manager",IF('[3]quote - NIVR app Orange Managed'!GC1/'[3]quote - NIVR app Orange Managed'!GA1='[3]quote - NIVR app Orange Managed'!$BQ$8,"regional manager","customised")))),"country manager")</definedName>
    <definedName name="NIVR_orange_greet_pack_list_MRP_A">IF('[3]quote - NIVR app Orange Managed'!$C$18="list",IF('[3]quote - NIVR app Orange Managed'!GM1/'[3]quote - NIVR app Orange Managed'!GI1&gt;='[3]quote - NIVR app Orange Managed'!$BL$8,"not required",IF('[3]quote - NIVR app Orange Managed'!GM1/'[3]quote - NIVR app Orange Managed'!GI1&gt;='[3]quote - NIVR app Orange Managed'!$BN$8,"sales",IF('[3]quote - NIVR app Orange Managed'!GM1/'[3]quote - NIVR app Orange Managed'!GI1&gt;='[3]quote - NIVR app Orange Managed'!$BP$8,"country manager",IF('[3]quote - NIVR app Orange Managed'!GM1/'[3]quote - NIVR app Orange Managed'!GI1&gt;='[3]quote - NIVR app Orange Managed'!$BR$8,"regional manager",IF('[3]quote - NIVR app Orange Managed'!GM1/'[3]quote - NIVR app Orange Managed'!GI1&lt;='[3]quote - NIVR app Orange Managed'!$BR$8,"DAC approver"))))),"not required")</definedName>
    <definedName name="NIVR_orange_greet_pack_list_MRP_P">IF('[3]quote - NIVR app Orange Managed'!$C$18="list",IF('[3]quote - NIVR app Orange Managed'!FW1/'[3]quote - NIVR app Orange Managed'!FS1='[3]quote - NIVR app Orange Managed'!$BL$8,"list",IF('[3]quote - NIVR app Orange Managed'!FW1/'[3]quote - NIVR app Orange Managed'!FS1='[3]quote - NIVR app Orange Managed'!$BN$8,"sales discretionary",IF('[3]quote - NIVR app Orange Managed'!FW1/'[3]quote - NIVR app Orange Managed'!FS1='[3]quote - NIVR app Orange Managed'!$BP$8,"country manager",IF('[3]quote - NIVR app Orange Managed'!FW1/'[3]quote - NIVR app Orange Managed'!FS1='[3]quote - NIVR app Orange Managed'!$BR$8,"regional manager","customised")))),"list")</definedName>
    <definedName name="NIVR_orange_greet_pack_list_OTP_A">IF('[3]quote - NIVR app Orange Managed'!$C$18="list",IF('[3]quote - NIVR app Orange Managed'!GS1/'[3]quote - NIVR app Orange Managed'!GQ1&gt;='[3]quote - NIVR app Orange Managed'!$BK$8,"not required",IF('[3]quote - NIVR app Orange Managed'!GS1/'[3]quote - NIVR app Orange Managed'!GQ1&gt;='[3]quote - NIVR app Orange Managed'!$BM$8,"sales",IF('[3]quote - NIVR app Orange Managed'!GS1/'[3]quote - NIVR app Orange Managed'!GQ1&gt;='[3]quote - NIVR app Orange Managed'!$BO$8,"country manager",IF('[3]quote - NIVR app Orange Managed'!GS1/'[3]quote - NIVR app Orange Managed'!GQ1&gt;='[3]quote - NIVR app Orange Managed'!$BQ$8,"regional manager",IF('[3]quote - NIVR app Orange Managed'!GS1/'[3]quote - NIVR app Orange Managed'!GQ1&lt;='[3]quote - NIVR app Orange Managed'!$BQ$8,"DAC approver"))))),"not required")</definedName>
    <definedName name="NIVR_orange_greet_pack_list_OTP_P">IF('[3]quote - NIVR app Orange Managed'!$C$18="list",IF('[3]quote - NIVR app Orange Managed'!GC1/'[3]quote - NIVR app Orange Managed'!GA1='[3]quote - NIVR app Orange Managed'!$BK$8,"list",IF('[3]quote - NIVR app Orange Managed'!GC1/'[3]quote - NIVR app Orange Managed'!GA1='[3]quote - NIVR app Orange Managed'!$BM$8,"sales discretionary",IF('[3]quote - NIVR app Orange Managed'!GC1/'[3]quote - NIVR app Orange Managed'!GA1='[3]quote - NIVR app Orange Managed'!$BO$8,"country manager",IF('[3]quote - NIVR app Orange Managed'!GC1/'[3]quote - NIVR app Orange Managed'!GA1='[3]quote - NIVR app Orange Managed'!$BQ$8,"regional manager","customised")))),"list")</definedName>
    <definedName name="NIVR_orange_greet_pack_regional_MRP_A">IF('[3]quote - NIVR app Orange Managed'!$C$18="regional manager",IF('[3]quote - NIVR app Orange Managed'!GM1/'[3]quote - NIVR app Orange Managed'!GI1&gt;='[3]quote - NIVR app Orange Managed'!$BL$8,"not required",IF('[3]quote - NIVR app Orange Managed'!GM1/'[3]quote - NIVR app Orange Managed'!GI1&gt;='[3]quote - NIVR app Orange Managed'!$BN$8,"sales",IF('[3]quote - NIVR app Orange Managed'!GM1/'[3]quote - NIVR app Orange Managed'!GI1&gt;='[3]quote - NIVR app Orange Managed'!$BP$8,"country manager",IF('[3]quote - NIVR app Orange Managed'!GM1/'[3]quote - NIVR app Orange Managed'!GI1&gt;='[3]quote - NIVR app Orange Managed'!$BR$8,"regional manager",IF('[3]quote - NIVR app Orange Managed'!GM1/'[3]quote - NIVR app Orange Managed'!GI1&lt;='[3]quote - NIVR app Orange Managed'!$BR$8,"DAC approver"))))),"regional manager")</definedName>
    <definedName name="NIVR_orange_greet_pack_regional_MRP_P">IF('[3]quote - NIVR app Orange Managed'!$C$18="regional manager",IF('[3]quote - NIVR app Orange Managed'!FW1/'[3]quote - NIVR app Orange Managed'!FS1='[3]quote - NIVR app Orange Managed'!$BL$8,"list",IF('[3]quote - NIVR app Orange Managed'!FW1/'[3]quote - NIVR app Orange Managed'!FS1='[3]quote - NIVR app Orange Managed'!$BN$8,"sales discretionary",IF('[3]quote - NIVR app Orange Managed'!FW1/'[3]quote - NIVR app Orange Managed'!FS1='[3]quote - NIVR app Orange Managed'!$BP$8,"country manager",IF('[3]quote - NIVR app Orange Managed'!FW1/'[3]quote - NIVR app Orange Managed'!FS1='[3]quote - NIVR app Orange Managed'!$BR$8,"regional manager","customised")))),"regional manager")</definedName>
    <definedName name="NIVR_orange_greet_pack_regional_OTP_A">IF('[3]quote - NIVR app Orange Managed'!$C$18="regional manager",IF('[3]quote - NIVR app Orange Managed'!GS1/'[3]quote - NIVR app Orange Managed'!GQ1&gt;='[3]quote - NIVR app Orange Managed'!$BK$8,"not required",IF('[3]quote - NIVR app Orange Managed'!GS1/'[3]quote - NIVR app Orange Managed'!GQ1&gt;='[3]quote - NIVR app Orange Managed'!$BM$8,"sales",IF('[3]quote - NIVR app Orange Managed'!GS1/'[3]quote - NIVR app Orange Managed'!GQ1&gt;='[3]quote - NIVR app Orange Managed'!$BO$8,"country manager",IF('[3]quote - NIVR app Orange Managed'!GS1/'[3]quote - NIVR app Orange Managed'!GQ1&gt;='[3]quote - NIVR app Orange Managed'!$BQ$8,"regional manager",IF('[3]quote - NIVR app Orange Managed'!GS1/'[3]quote - NIVR app Orange Managed'!GQ1&lt;='[3]quote - NIVR app Orange Managed'!$BQ$8,"DAC approver"))))),"regional manager")</definedName>
    <definedName name="NIVR_orange_greet_pack_regional_OTP_P">IF('[3]quote - NIVR app Orange Managed'!$C$18="regional manager",IF('[3]quote - NIVR app Orange Managed'!GC1/'[3]quote - NIVR app Orange Managed'!GA1='[3]quote - NIVR app Orange Managed'!$BK$8,"list",IF('[3]quote - NIVR app Orange Managed'!GC1/'[3]quote - NIVR app Orange Managed'!GA1='[3]quote - NIVR app Orange Managed'!$BM$8,"sales discretionary",IF('[3]quote - NIVR app Orange Managed'!GC1/'[3]quote - NIVR app Orange Managed'!GA1='[3]quote - NIVR app Orange Managed'!$BO$8,"country manager",IF('[3]quote - NIVR app Orange Managed'!GC1/'[3]quote - NIVR app Orange Managed'!GA1='[3]quote - NIVR app Orange Managed'!$BQ$8,"regional manager","customised")))),"regional manager")</definedName>
    <definedName name="NIVR_orange_greet_pack_sales_MRP_A">IF('[3]quote - NIVR app Orange Managed'!$C$18="sales discretionary",IF('[3]quote - NIVR app Orange Managed'!GM1/'[3]quote - NIVR app Orange Managed'!GI1&gt;='[3]quote - NIVR app Orange Managed'!$BL$8,"not required",IF('[3]quote - NIVR app Orange Managed'!GM1/'[3]quote - NIVR app Orange Managed'!GI1&gt;='[3]quote - NIVR app Orange Managed'!$BN$8,"sales",IF('[3]quote - NIVR app Orange Managed'!GM1/'[3]quote - NIVR app Orange Managed'!GI1&gt;='[3]quote - NIVR app Orange Managed'!$BP$8,"country manager",IF('[3]quote - NIVR app Orange Managed'!GM1/'[3]quote - NIVR app Orange Managed'!GI1&gt;='[3]quote - NIVR app Orange Managed'!$BR$8,"regional manager",IF('[3]quote - NIVR app Orange Managed'!GM1/'[3]quote - NIVR app Orange Managed'!GI1&lt;='[3]quote - NIVR app Orange Managed'!$BR$8,"DAC approver"))))),"sales")</definedName>
    <definedName name="NIVR_orange_greet_pack_sales_MRP_P">IF('[3]quote - NIVR app Orange Managed'!$C$18="sales discretionary",IF('[3]quote - NIVR app Orange Managed'!FW1/'[3]quote - NIVR app Orange Managed'!FS1='[3]quote - NIVR app Orange Managed'!$BL$8,"list",IF('[3]quote - NIVR app Orange Managed'!FW1/'[3]quote - NIVR app Orange Managed'!FS1='[3]quote - NIVR app Orange Managed'!$BN$8,"sales discretionary",IF('[3]quote - NIVR app Orange Managed'!FW1/'[3]quote - NIVR app Orange Managed'!FS1='[3]quote - NIVR app Orange Managed'!$BP$8,"country manager",IF('[3]quote - NIVR app Orange Managed'!FW1/'[3]quote - NIVR app Orange Managed'!FS1='[3]quote - NIVR app Orange Managed'!$BR$8,"regional manager","customised")))),"sales discretionary")</definedName>
    <definedName name="NIVR_orange_greet_pack_sales_OTP_A">IF('[3]quote - NIVR app Orange Managed'!$C$18="sales discretionary",IF('[3]quote - NIVR app Orange Managed'!GS1/'[3]quote - NIVR app Orange Managed'!GQ1&gt;='[3]quote - NIVR app Orange Managed'!$BK$8,"not required",IF('[3]quote - NIVR app Orange Managed'!GS1/'[3]quote - NIVR app Orange Managed'!GQ1&gt;='[3]quote - NIVR app Orange Managed'!$BM$8,"sales",IF('[3]quote - NIVR app Orange Managed'!GS1/'[3]quote - NIVR app Orange Managed'!GQ1&gt;='[3]quote - NIVR app Orange Managed'!$BO$8,"country manager",IF('[3]quote - NIVR app Orange Managed'!GS1/'[3]quote - NIVR app Orange Managed'!GQ1&gt;='[3]quote - NIVR app Orange Managed'!$BQ$8,"regional manager",IF('[3]quote - NIVR app Orange Managed'!GS1/'[3]quote - NIVR app Orange Managed'!GQ1&lt;='[3]quote - NIVR app Orange Managed'!$BQ$8,"DAC approver"))))),"sales")</definedName>
    <definedName name="NIVR_orange_greet_pack_sales_OTP_P">IF('[3]quote - NIVR app Orange Managed'!$C$18="sales discretionary",IF('[3]quote - NIVR app Orange Managed'!GC1/'[3]quote - NIVR app Orange Managed'!GA1='[3]quote - NIVR app Orange Managed'!$BK$8,"list",IF('[3]quote - NIVR app Orange Managed'!GC1/'[3]quote - NIVR app Orange Managed'!GA1='[3]quote - NIVR app Orange Managed'!$BM$8,"sales discretionary",IF('[3]quote - NIVR app Orange Managed'!GC1/'[3]quote - NIVR app Orange Managed'!GA1='[3]quote - NIVR app Orange Managed'!$BO$8,"country manager",IF('[3]quote - NIVR app Orange Managed'!GC1/'[3]quote - NIVR app Orange Managed'!GA1='[3]quote - NIVR app Orange Managed'!$BQ$8,"regional manager","customised")))),"sales discretionary")</definedName>
    <definedName name="NIVR_orange_MRP_case_0_A">IF(AND('[3]quote - NIVR app Orange Managed'!HG1&lt;&gt;"",'[3]quote - NIVR app Orange Managed'!HM1&lt;&gt;"",'[3]quote - NIVR app Orange Managed'!HS1="",'[3]quote - NIVR app Orange Managed'!HY1=""),VLOOKUP(MAX('[3]quote - NIVR app Orange Managed'!Y1:Z1),'[3]data - main'!$AC$4:$AD$8,2,FALSE),NIVR_orange_MRP_case_1_A)</definedName>
    <definedName name="NIVR_orange_MRP_case_0_P">IF(AND('[3]quote - NIVR app Orange Managed'!HE1&lt;&gt;"",'[3]quote - NIVR app Orange Managed'!HK1&lt;&gt;"",'[3]quote - NIVR app Orange Managed'!HQ1="",'[3]quote - NIVR app Orange Managed'!HW1=""),VLOOKUP(MAX('[3]quote - NIVR app Orange Managed'!AM1:AN1),'[3]data - main'!$AC$4:$AE$8,3,FALSE),NIVR_orange_MRP_case_1_P)</definedName>
    <definedName name="NIVR_orange_MRP_case_1_A">IF(AND('[3]quote - NIVR app Orange Managed'!HG1&lt;&gt;"",'[3]quote - NIVR app Orange Managed'!HM1="",'[3]quote - NIVR app Orange Managed'!HS1&lt;&gt;"",'[3]quote - NIVR app Orange Managed'!HY1=""),VLOOKUP(MAX('[3]quote - NIVR app Orange Managed'!Y1,'[3]quote - NIVR app Orange Managed'!AA1),'[3]data - main'!$AC$4:$AD$8,2,FALSE),IF(AND('[3]quote - NIVR app Orange Managed'!HG1&lt;&gt;"",'[3]quote - NIVR app Orange Managed'!HM1="",'[3]quote - NIVR app Orange Managed'!HS1="",'[3]quote - NIVR app Orange Managed'!HY1&lt;&gt;""),VLOOKUP(MAX('[3]quote - NIVR app Orange Managed'!Y1,'[3]quote - NIVR app Orange Managed'!AB1),'[3]data - main'!$AC$4:$AD$8,2,FALSE),NIVR_orange_MRP_case_2_A))</definedName>
    <definedName name="NIVR_orange_MRP_case_1_P">IF(AND('[3]quote - NIVR app Orange Managed'!HE1&lt;&gt;"",'[3]quote - NIVR app Orange Managed'!HK1="",'[3]quote - NIVR app Orange Managed'!HQ1&lt;&gt;"",'[3]quote - NIVR app Orange Managed'!HW1=""),VLOOKUP(MAX('[3]quote - NIVR app Orange Managed'!AM1,'[3]quote - NIVR app Orange Managed'!AO1),'[3]data - main'!$AC$4:$AE$8,3,FALSE),IF(AND('[3]quote - NIVR app Orange Managed'!HE1&lt;&gt;"",'[3]quote - NIVR app Orange Managed'!HK1="",'[3]quote - NIVR app Orange Managed'!HQ1="",'[3]quote - NIVR app Orange Managed'!HW1&lt;&gt;""),VLOOKUP(MAX('[3]quote - NIVR app Orange Managed'!AM1,'[3]quote - NIVR app Orange Managed'!AP1),'[3]data - main'!$AC$4:$AE$8,3,FALSE),NIVR_orange_MRP_case_2_P))</definedName>
    <definedName name="NIVR_orange_MRP_case_2_A">IF(AND('[3]quote - NIVR app Orange Managed'!HG1="",'[3]quote - NIVR app Orange Managed'!HM1&lt;&gt;"",'[3]quote - NIVR app Orange Managed'!HS1&lt;&gt;"",'[3]quote - NIVR app Orange Managed'!HY1=""),VLOOKUP(MAX('[3]quote - NIVR app Orange Managed'!Z1:AA1),'[3]data - main'!$AC$4:$AD$8,2,FALSE),IF(AND('[3]quote - NIVR app Orange Managed'!HG1="",'[3]quote - NIVR app Orange Managed'!HM1&lt;&gt;"",'[3]quote - NIVR app Orange Managed'!HS1="",'[3]quote - NIVR app Orange Managed'!HY1&lt;&gt;""),VLOOKUP(MAX('[3]quote - NIVR app Orange Managed'!Z1,'[3]quote - NIVR app Orange Managed'!AB1),'[3]data - main'!$AC$4:$AD$8,2,FALSE),NIVR_orange_MRP_case_3_A))</definedName>
    <definedName name="NIVR_orange_MRP_case_2_P">IF(AND('[3]quote - NIVR app Orange Managed'!HE1="",'[3]quote - NIVR app Orange Managed'!HK1&lt;&gt;"",'[3]quote - NIVR app Orange Managed'!HQ1&lt;&gt;"",'[3]quote - NIVR app Orange Managed'!HW1=""),VLOOKUP(MAX('[3]quote - NIVR app Orange Managed'!AN1:AO1),'[3]data - main'!$AC$4:$AE$8,3,FALSE),IF(AND('[3]quote - NIVR app Orange Managed'!HE1="",'[3]quote - NIVR app Orange Managed'!HK1&lt;&gt;"",'[3]quote - NIVR app Orange Managed'!HQ1="",'[3]quote - NIVR app Orange Managed'!HW1&lt;&gt;""),VLOOKUP(MAX('[3]quote - NIVR app Orange Managed'!AN1,'[3]quote - NIVR app Orange Managed'!AP1),'[3]data - main'!$AC$4:$AE$8,3,FALSE),NIVR_orange_MRP_case_3_P))</definedName>
    <definedName name="NIVR_orange_MRP_case_3_A">IF(AND('[3]quote - NIVR app Orange Managed'!HG1="",'[3]quote - NIVR app Orange Managed'!HM1="",'[3]quote - NIVR app Orange Managed'!HS1&lt;&gt;"",'[3]quote - NIVR app Orange Managed'!HY1&lt;&gt;""),VLOOKUP(MAX('[3]quote - NIVR app Orange Managed'!AA1:AB1),'[3]data - main'!$AC$4:$AD$8,2,FALSE),IF(AND('[3]quote - NIVR app Orange Managed'!HG1&lt;&gt;"",'[3]quote - NIVR app Orange Managed'!HM1&lt;&gt;"",'[3]quote - NIVR app Orange Managed'!HS1&lt;&gt;"",'[3]quote - NIVR app Orange Managed'!HY1=""),VLOOKUP(MAX('[3]quote - NIVR app Orange Managed'!Y1:AA1),'[3]data - main'!$AC$4:$AD$8,2,FALSE),NIVR_orange_MRP_case_4_A))</definedName>
    <definedName name="NIVR_orange_MRP_case_3_P">IF(AND('[3]quote - NIVR app Orange Managed'!HE1="",'[3]quote - NIVR app Orange Managed'!HK1="",'[3]quote - NIVR app Orange Managed'!HQ1&lt;&gt;"",'[3]quote - NIVR app Orange Managed'!HW1&lt;&gt;""),VLOOKUP(MAX('[3]quote - NIVR app Orange Managed'!AO1:AP1),'[3]data - main'!$AC$4:$AE$8,3,FALSE),IF(AND('[3]quote - NIVR app Orange Managed'!HE1&lt;&gt;"",'[3]quote - NIVR app Orange Managed'!HK1&lt;&gt;"",'[3]quote - NIVR app Orange Managed'!HQ1&lt;&gt;"",'[3]quote - NIVR app Orange Managed'!HW1=""),VLOOKUP(MAX('[3]quote - NIVR app Orange Managed'!AM1:AO1),'[3]data - main'!$AC$4:$AE$8,3,FALSE),NIVR_orange_MRP_case_4_P))</definedName>
    <definedName name="NIVR_orange_MRP_case_4_A">IF(AND('[3]quote - NIVR app Orange Managed'!HG1&lt;&gt;"",'[3]quote - NIVR app Orange Managed'!HM1="",'[3]quote - NIVR app Orange Managed'!HS1&lt;&gt;"",'[3]quote - NIVR app Orange Managed'!HY1&lt;&gt;""),VLOOKUP(MAX('[3]quote - NIVR app Orange Managed'!Y1,'[3]quote - NIVR app Orange Managed'!AA1:AB1),'[3]data - main'!$AC$4:$AD$8,2,FALSE),IF(AND('[3]quote - NIVR app Orange Managed'!HG1&lt;&gt;"",'[3]quote - NIVR app Orange Managed'!HM1&lt;&gt;"",'[3]quote - NIVR app Orange Managed'!HS1="",'[3]quote - NIVR app Orange Managed'!HY1&lt;&gt;""),VLOOKUP(MAX('[3]quote - NIVR app Orange Managed'!Y1:Z1,'[3]quote - NIVR app Orange Managed'!AB1),'[3]data - main'!$AC$4:$AD$8,2,FALSE),NIVR_orange_MRP_case_5_A))</definedName>
    <definedName name="NIVR_orange_MRP_case_4_P">IF(AND('[3]quote - NIVR app Orange Managed'!HE1&lt;&gt;"",'[3]quote - NIVR app Orange Managed'!HK1="",'[3]quote - NIVR app Orange Managed'!HQ1&lt;&gt;"",'[3]quote - NIVR app Orange Managed'!HW1&lt;&gt;""),VLOOKUP(MAX('[3]quote - NIVR app Orange Managed'!AM1,'[3]quote - NIVR app Orange Managed'!AO1:AP1),'[3]data - main'!$AC$4:$AE$8,3,FALSE),IF(AND('[3]quote - NIVR app Orange Managed'!HE1&lt;&gt;"",'[3]quote - NIVR app Orange Managed'!HK1&lt;&gt;"",'[3]quote - NIVR app Orange Managed'!HQ1="",'[3]quote - NIVR app Orange Managed'!HW1&lt;&gt;""),VLOOKUP(MAX('[3]quote - NIVR app Orange Managed'!AM1:AN1,'[3]quote - NIVR app Orange Managed'!AP1),'[3]data - main'!$AC$4:$AE$8,3,FALSE),NIVR_orange_MRP_case_5_P))</definedName>
    <definedName name="NIVR_orange_MRP_case_5_A">IF(AND('[3]quote - NIVR app Orange Managed'!HG1="",'[3]quote - NIVR app Orange Managed'!HM1&lt;&gt;"",'[3]quote - NIVR app Orange Managed'!HS1&lt;&gt;"",'[3]quote - NIVR app Orange Managed'!HY1&lt;&gt;""),VLOOKUP(MAX('[3]quote - NIVR app Orange Managed'!Z1:AB1),'[3]data - main'!$AC$4:$AD$8,2,FALSE),IF(AND('[3]quote - NIVR app Orange Managed'!HG1&lt;&gt;"",'[3]quote - NIVR app Orange Managed'!HM1&lt;&gt;"",'[3]quote - NIVR app Orange Managed'!HS1&lt;&gt;"",'[3]quote - NIVR app Orange Managed'!HY1&lt;&gt;""),VLOOKUP(MAX('[3]quote - NIVR app Orange Managed'!Y1:AB1),'[3]data - main'!$AC$4:$AD$8,2,FALSE)))</definedName>
    <definedName name="NIVR_orange_MRP_case_5_P">IF(AND('[3]quote - NIVR app Orange Managed'!HE1="",'[3]quote - NIVR app Orange Managed'!HK1&lt;&gt;"",'[3]quote - NIVR app Orange Managed'!HQ1&lt;&gt;"",'[3]quote - NIVR app Orange Managed'!HW1&lt;&gt;""),VLOOKUP(MAX('[3]quote - NIVR app Orange Managed'!AN1:AP1),'[3]data - main'!$AC$4:$AE$8,3,FALSE),IF(AND('[3]quote - NIVR app Orange Managed'!HE1&lt;&gt;"",'[3]quote - NIVR app Orange Managed'!HK1&lt;&gt;"",'[3]quote - NIVR app Orange Managed'!HQ1&lt;&gt;"",'[3]quote - NIVR app Orange Managed'!HW1&lt;&gt;""),VLOOKUP(MAX('[3]quote - NIVR app Orange Managed'!AM1:AP1),'[3]data - main'!$AC$4:$AE$8,3,FALSE)))</definedName>
    <definedName name="NIVR_orange_OTP_case_0_A">IF(AND('[3]quote - NIVR app Orange Managed'!HF1&lt;&gt;"",'[3]quote - NIVR app Orange Managed'!HL1&lt;&gt;"",'[3]quote - NIVR app Orange Managed'!HR1="",'[3]quote - NIVR app Orange Managed'!HX1=""),VLOOKUP(MAX('[3]quote - NIVR app Orange Managed'!R1:S1),'[3]data - main'!$AC$4:$AD$8,2,FALSE),NIVR_orange_OTP_case_1_A)</definedName>
    <definedName name="NIVR_orange_OTP_case_0_P">IF(AND('[3]quote - NIVR app Orange Managed'!HD1&lt;&gt;"",'[3]quote - NIVR app Orange Managed'!HJ1&lt;&gt;"",'[3]quote - NIVR app Orange Managed'!HP1="",'[3]quote - NIVR app Orange Managed'!HV1=""),VLOOKUP(MAX('[3]quote - NIVR app Orange Managed'!AF1:AG1),'[3]data - main'!$AC$4:$AE$8,3,FALSE),NIVR_orange_OTP_case_1_P)</definedName>
    <definedName name="NIVR_orange_OTP_case_1_A">IF(AND('[3]quote - NIVR app Orange Managed'!HF1&lt;&gt;"",'[3]quote - NIVR app Orange Managed'!HL1="",'[3]quote - NIVR app Orange Managed'!HR1&lt;&gt;"",'[3]quote - NIVR app Orange Managed'!HX1=""),VLOOKUP(MAX('[3]quote - NIVR app Orange Managed'!R1,'[3]quote - NIVR app Orange Managed'!T1),'[3]data - main'!$AC$4:$AD$8,2,FALSE),IF(AND('[3]quote - NIVR app Orange Managed'!HF1&lt;&gt;"",'[3]quote - NIVR app Orange Managed'!HL1="",'[3]quote - NIVR app Orange Managed'!HR1="",'[3]quote - NIVR app Orange Managed'!HX1&lt;&gt;""),VLOOKUP(MAX('[3]quote - NIVR app Orange Managed'!R1,'[3]quote - NIVR app Orange Managed'!U1),'[3]data - main'!$AC$4:$AD$8,2,FALSE),NIVR_orange_OTP_case_2_A))</definedName>
    <definedName name="NIVR_orange_OTP_case_1_P">IF(AND('[3]quote - NIVR app Orange Managed'!HD1&lt;&gt;"",'[3]quote - NIVR app Orange Managed'!HJ1="",'[3]quote - NIVR app Orange Managed'!HP1&lt;&gt;"",'[3]quote - NIVR app Orange Managed'!HV1=""),VLOOKUP(MAX('[3]quote - NIVR app Orange Managed'!AF1,'[3]quote - NIVR app Orange Managed'!AH1),'[3]data - main'!$AC$4:$AE$8,3,FALSE),IF(AND('[3]quote - NIVR app Orange Managed'!HD1&lt;&gt;"",'[3]quote - NIVR app Orange Managed'!HJ1="",'[3]quote - NIVR app Orange Managed'!HP1="",'[3]quote - NIVR app Orange Managed'!HV1&lt;&gt;""),VLOOKUP(MAX('[3]quote - NIVR app Orange Managed'!AF1,'[3]quote - NIVR app Orange Managed'!AI1),'[3]data - main'!$AC$4:$AE$8,3,FALSE),NIVR_orange_OTP_case_2_P))</definedName>
    <definedName name="NIVR_orange_OTP_case_2_A">IF(AND('[3]quote - NIVR app Orange Managed'!HF1="",'[3]quote - NIVR app Orange Managed'!HL1&lt;&gt;"",'[3]quote - NIVR app Orange Managed'!HR1&lt;&gt;"",'[3]quote - NIVR app Orange Managed'!HX1=""),VLOOKUP(MAX('[3]quote - NIVR app Orange Managed'!S1:T1),'[3]data - main'!$AC$4:$AD$8,2,FALSE),IF(AND('[3]quote - NIVR app Orange Managed'!HF1="",'[3]quote - NIVR app Orange Managed'!HL1&lt;&gt;"",'[3]quote - NIVR app Orange Managed'!HR1="",'[3]quote - NIVR app Orange Managed'!HX1&lt;&gt;""),VLOOKUP(MAX('[3]quote - NIVR app Orange Managed'!S1,'[3]quote - NIVR app Orange Managed'!U1),'[3]data - main'!$AC$4:$AD$8,2,FALSE),NIVR_orange_OTP_case_3_A))</definedName>
    <definedName name="NIVR_orange_OTP_case_2_P">IF(AND('[3]quote - NIVR app Orange Managed'!HD1="",'[3]quote - NIVR app Orange Managed'!HJ1&lt;&gt;"",'[3]quote - NIVR app Orange Managed'!HP1&lt;&gt;"",'[3]quote - NIVR app Orange Managed'!HV1=""),VLOOKUP(MAX('[3]quote - NIVR app Orange Managed'!AG1:AH1),'[3]data - main'!$AC$4:$AE$8,3,FALSE),IF(AND('[3]quote - NIVR app Orange Managed'!HD1="",'[3]quote - NIVR app Orange Managed'!HJ1&lt;&gt;"",'[3]quote - NIVR app Orange Managed'!HP1="",'[3]quote - NIVR app Orange Managed'!HV1&lt;&gt;""),VLOOKUP(MAX('[3]quote - NIVR app Orange Managed'!AG1,'[3]quote - NIVR app Orange Managed'!AI1),'[3]data - main'!$AC$4:$AE$8,3,FALSE),NIVR_orange_OTP_case_3_P))</definedName>
    <definedName name="NIVR_orange_OTP_case_3_A">IF(AND('[3]quote - NIVR app Orange Managed'!HF1="",'[3]quote - NIVR app Orange Managed'!HL1="",'[3]quote - NIVR app Orange Managed'!HR1&lt;&gt;"",'[3]quote - NIVR app Orange Managed'!HX1&lt;&gt;""),VLOOKUP(MAX('[3]quote - NIVR app Orange Managed'!T1:U1),'[3]data - main'!$AC$4:$AD$8,2,FALSE),IF(AND('[3]quote - NIVR app Orange Managed'!HF1&lt;&gt;"",'[3]quote - NIVR app Orange Managed'!HL1&lt;&gt;"",'[3]quote - NIVR app Orange Managed'!HR1&lt;&gt;"",'[3]quote - NIVR app Orange Managed'!HX1=""),VLOOKUP(MAX('[3]quote - NIVR app Orange Managed'!R1:T1),'[3]data - main'!$AC$4:$AD$8,2,FALSE),NIVR_orange_OTP_case_4_A))</definedName>
    <definedName name="NIVR_orange_OTP_case_3_P">IF(AND('[3]quote - NIVR app Orange Managed'!HD1="",'[3]quote - NIVR app Orange Managed'!HJ1="",'[3]quote - NIVR app Orange Managed'!HP1&lt;&gt;"",'[3]quote - NIVR app Orange Managed'!HV1&lt;&gt;""),VLOOKUP(MAX('[3]quote - NIVR app Orange Managed'!AH1:AI1),'[3]data - main'!$AC$4:$AE$8,3,FALSE),IF(AND('[3]quote - NIVR app Orange Managed'!HD1&lt;&gt;"",'[3]quote - NIVR app Orange Managed'!HJ1&lt;&gt;"",'[3]quote - NIVR app Orange Managed'!HP1&lt;&gt;"",'[3]quote - NIVR app Orange Managed'!HV1=""),VLOOKUP(MAX('[3]quote - NIVR app Orange Managed'!AF1:AH1),'[3]data - main'!$AC$4:$AE$8,3,FALSE),NIVR_orange_OTP_case_4_P))</definedName>
    <definedName name="NIVR_orange_OTP_case_4_A">IF(AND('[3]quote - NIVR app Orange Managed'!HF1&lt;&gt;"",'[3]quote - NIVR app Orange Managed'!HL1="",'[3]quote - NIVR app Orange Managed'!HR1&lt;&gt;"",'[3]quote - NIVR app Orange Managed'!HX1&lt;&gt;""),VLOOKUP(MAX('[3]quote - NIVR app Orange Managed'!R1,'[3]quote - NIVR app Orange Managed'!T1:U1),'[3]data - main'!$AC$4:$AD$8,2,FALSE),IF(AND('[3]quote - NIVR app Orange Managed'!HF1&lt;&gt;"",'[3]quote - NIVR app Orange Managed'!HL1&lt;&gt;"",'[3]quote - NIVR app Orange Managed'!HR1="",'[3]quote - NIVR app Orange Managed'!HX1&lt;&gt;""),VLOOKUP(MAX('[3]quote - NIVR app Orange Managed'!R1:S1,'[3]quote - NIVR app Orange Managed'!U1),'[3]data - main'!$AC$4:$AD$8,2,FALSE),NIVR_orange_OTP_case_5_A))</definedName>
    <definedName name="NIVR_orange_OTP_case_4_P">IF(AND('[3]quote - NIVR app Orange Managed'!HD1&lt;&gt;"",'[3]quote - NIVR app Orange Managed'!HJ1="",'[3]quote - NIVR app Orange Managed'!HP1&lt;&gt;"",'[3]quote - NIVR app Orange Managed'!HV1&lt;&gt;""),VLOOKUP(MAX('[3]quote - NIVR app Orange Managed'!AF1,'[3]quote - NIVR app Orange Managed'!AH1:AI1),'[3]data - main'!$AC$4:$AE$8,3,FALSE),IF(AND('[3]quote - NIVR app Orange Managed'!HD1&lt;&gt;"",'[3]quote - NIVR app Orange Managed'!HJ1&lt;&gt;"",'[3]quote - NIVR app Orange Managed'!HP1="",'[3]quote - NIVR app Orange Managed'!HV1&lt;&gt;""),VLOOKUP(MAX('[3]quote - NIVR app Orange Managed'!AF1:AG1,'[3]quote - NIVR app Orange Managed'!AI1),'[3]data - main'!$AC$4:$AE$8,3,FALSE),NIVR_orange_OTP_case_5_P))</definedName>
    <definedName name="NIVR_orange_OTP_case_5_A">IF(AND('[3]quote - NIVR app Orange Managed'!HF1="",'[3]quote - NIVR app Orange Managed'!HL1&lt;&gt;"",'[3]quote - NIVR app Orange Managed'!HR1&lt;&gt;"",'[3]quote - NIVR app Orange Managed'!HX1&lt;&gt;""),VLOOKUP(MAX('[3]quote - NIVR app Orange Managed'!S1:U1),'[3]data - main'!$AC$4:$AD$8,2,FALSE),IF(AND('[3]quote - NIVR app Orange Managed'!HF1&lt;&gt;"",'[3]quote - NIVR app Orange Managed'!HL1&lt;&gt;"",'[3]quote - NIVR app Orange Managed'!HR1&lt;&gt;"",'[3]quote - NIVR app Orange Managed'!HX1&lt;&gt;""),VLOOKUP(MAX('[3]quote - NIVR app Orange Managed'!R1:U1),'[3]data - main'!$AC$4:$AD$8,2,FALSE)))</definedName>
    <definedName name="NIVR_orange_OTP_case_5_P">IF(AND('[3]quote - NIVR app Orange Managed'!HD1="",'[3]quote - NIVR app Orange Managed'!HJ1&lt;&gt;"",'[3]quote - NIVR app Orange Managed'!HP1&lt;&gt;"",'[3]quote - NIVR app Orange Managed'!HV1&lt;&gt;""),VLOOKUP(MAX('[3]quote - NIVR app Orange Managed'!AG1:AI1),'[3]data - main'!$AC$4:$AE$8,3,FALSE),IF(AND('[3]quote - NIVR app Orange Managed'!HD1&lt;&gt;"",'[3]quote - NIVR app Orange Managed'!HJ1&lt;&gt;"",'[3]quote - NIVR app Orange Managed'!HP1&lt;&gt;"",'[3]quote - NIVR app Orange Managed'!HV1&lt;&gt;""),VLOOKUP(MAX('[3]quote - NIVR app Orange Managed'!AF1:AI1),'[3]data - main'!$AC$4:$AE$8,3,FALSE)))</definedName>
    <definedName name="NIVR_orange_pre_pack_country_MRP_A">IF('[3]quote - NIVR app Orange Managed'!$C$18="country manager",IF('[3]quote - NIVR app Orange Managed'!HB1/'[3]quote - NIVR app Orange Managed'!GX1&gt;='[3]quote - NIVR app Orange Managed'!$BL$11,"not required",IF('[3]quote - NIVR app Orange Managed'!HB1/'[3]quote - NIVR app Orange Managed'!GX1&gt;='[3]quote - NIVR app Orange Managed'!$BN$11,"sales",IF('[3]quote - NIVR app Orange Managed'!HB1/'[3]quote - NIVR app Orange Managed'!GX1&gt;='[3]quote - NIVR app Orange Managed'!$BP$11,"country manager",IF('[3]quote - NIVR app Orange Managed'!HB1/'[3]quote - NIVR app Orange Managed'!GX1&gt;='[3]quote - NIVR app Orange Managed'!$BR$11,"regional manager",IF('[3]quote - NIVR app Orange Managed'!HB1/'[3]quote - NIVR app Orange Managed'!GX1&lt;='[3]quote - NIVR app Orange Managed'!$BR$11,"DAC approver"))))),"country manager")</definedName>
    <definedName name="NIVR_orange_pre_pack_country_MRP_P">IF('[3]quote - NIVR app Orange Managed'!$C$18="country manager",IF('[3]quote - NIVR app Orange Managed'!GL1/'[3]quote - NIVR app Orange Managed'!GH1='[3]quote - NIVR app Orange Managed'!$BL$11,"list",IF('[3]quote - NIVR app Orange Managed'!GL1/'[3]quote - NIVR app Orange Managed'!GH1='[3]quote - NIVR app Orange Managed'!$BN$11,"sales discretionary",IF('[3]quote - NIVR app Orange Managed'!GL1/'[3]quote - NIVR app Orange Managed'!GH1='[3]quote - NIVR app Orange Managed'!$BP$11,"country manager",IF('[3]quote - NIVR app Orange Managed'!GL1/'[3]quote - NIVR app Orange Managed'!GH1='[3]quote - NIVR app Orange Managed'!$BR$11,"regional manager","customised")))),"country manager")</definedName>
    <definedName name="NIVR_orange_pre_pack_country_OTP_A">IF('[3]quote - NIVR app Orange Managed'!$C$18="country manager",IF('[3]quote - NIVR app Orange Managed'!HH1/'[3]quote - NIVR app Orange Managed'!HF1&gt;='[3]quote - NIVR app Orange Managed'!$BK$11,"not required",IF('[3]quote - NIVR app Orange Managed'!HH1/'[3]quote - NIVR app Orange Managed'!HF1&gt;='[3]quote - NIVR app Orange Managed'!$BM$11,"sales",IF('[3]quote - NIVR app Orange Managed'!HH1/'[3]quote - NIVR app Orange Managed'!HF1&gt;='[3]quote - NIVR app Orange Managed'!$BO$11,"country manager",IF('[3]quote - NIVR app Orange Managed'!HH1/'[3]quote - NIVR app Orange Managed'!HF1&gt;='[3]quote - NIVR app Orange Managed'!$BQ$11,"regional manager",IF('[3]quote - NIVR app Orange Managed'!HH1/'[3]quote - NIVR app Orange Managed'!HF1&lt;='[3]quote - NIVR app Orange Managed'!$BQ$11,"DAC approver"))))),"country manager")</definedName>
    <definedName name="NIVR_orange_pre_pack_country_OTP_P">IF('[3]quote - NIVR app Orange Managed'!$C$18="country manager",IF('[3]quote - NIVR app Orange Managed'!GR1/'[3]quote - NIVR app Orange Managed'!GP1='[3]quote - NIVR app Orange Managed'!$BK$11,"list",IF('[3]quote - NIVR app Orange Managed'!GR1/'[3]quote - NIVR app Orange Managed'!GP1='[3]quote - NIVR app Orange Managed'!$BM$11,"sales discretionary",IF('[3]quote - NIVR app Orange Managed'!GR1/'[3]quote - NIVR app Orange Managed'!GP1='[3]quote - NIVR app Orange Managed'!$BO$11,"country manager",IF('[3]quote - NIVR app Orange Managed'!GR1/'[3]quote - NIVR app Orange Managed'!GP1='[3]quote - NIVR app Orange Managed'!$BQ$11,"regional manager","customised")))),"country manager")</definedName>
    <definedName name="NIVR_orange_pre_pack_list_MRP_A">IF('[3]quote - NIVR app Orange Managed'!$C$18="list",IF('[3]quote - NIVR app Orange Managed'!HB1/'[3]quote - NIVR app Orange Managed'!GX1&gt;='[3]quote - NIVR app Orange Managed'!$BL$11,"not required",IF('[3]quote - NIVR app Orange Managed'!HB1/'[3]quote - NIVR app Orange Managed'!GX1&gt;='[3]quote - NIVR app Orange Managed'!$BN$11,"sales",IF('[3]quote - NIVR app Orange Managed'!HB1/'[3]quote - NIVR app Orange Managed'!GX1&gt;='[3]quote - NIVR app Orange Managed'!$BP$11,"country manager",IF('[3]quote - NIVR app Orange Managed'!HB1/'[3]quote - NIVR app Orange Managed'!GX1&gt;='[3]quote - NIVR app Orange Managed'!$BR$11,"regional manager",IF('[3]quote - NIVR app Orange Managed'!HB1/'[3]quote - NIVR app Orange Managed'!GX1&lt;='[3]quote - NIVR app Orange Managed'!$BR$11,"DAC approver"))))),"not required")</definedName>
    <definedName name="NIVR_orange_pre_pack_list_MRP_P">IF('[3]quote - NIVR app Orange Managed'!$C$18="list",IF('[3]quote - NIVR app Orange Managed'!GL1/'[3]quote - NIVR app Orange Managed'!GH1='[3]quote - NIVR app Orange Managed'!$BL$11,"list",IF('[3]quote - NIVR app Orange Managed'!GL1/'[3]quote - NIVR app Orange Managed'!GH1='[3]quote - NIVR app Orange Managed'!$BN$11,"sales discretionary",IF('[3]quote - NIVR app Orange Managed'!GL1/'[3]quote - NIVR app Orange Managed'!GH1='[3]quote - NIVR app Orange Managed'!$BP$11,"country manager",IF('[3]quote - NIVR app Orange Managed'!GL1/'[3]quote - NIVR app Orange Managed'!GH1='[3]quote - NIVR app Orange Managed'!$BR$11,"regional manager","customised")))),"list")</definedName>
    <definedName name="NIVR_orange_pre_pack_list_OTP_A">IF('[3]quote - NIVR app Orange Managed'!$C$18="list",IF('[3]quote - NIVR app Orange Managed'!HH1/'[3]quote - NIVR app Orange Managed'!HF1&gt;='[3]quote - NIVR app Orange Managed'!$BK$11,"not required",IF('[3]quote - NIVR app Orange Managed'!HH1/'[3]quote - NIVR app Orange Managed'!HF1&gt;='[3]quote - NIVR app Orange Managed'!$BM$11,"sales",IF('[3]quote - NIVR app Orange Managed'!HH1/'[3]quote - NIVR app Orange Managed'!HF1&gt;='[3]quote - NIVR app Orange Managed'!$BO$11,"country manager",IF('[3]quote - NIVR app Orange Managed'!HH1/'[3]quote - NIVR app Orange Managed'!HF1&gt;='[3]quote - NIVR app Orange Managed'!$BQ$11,"regional manager",IF('[3]quote - NIVR app Orange Managed'!HH1/'[3]quote - NIVR app Orange Managed'!HF1&lt;='[3]quote - NIVR app Orange Managed'!$BQ$11,"DAC approver"))))),"not required")</definedName>
    <definedName name="NIVR_orange_pre_pack_list_OTP_P">IF('[3]quote - NIVR app Orange Managed'!$C$18="list",IF('[3]quote - NIVR app Orange Managed'!GR1/'[3]quote - NIVR app Orange Managed'!GP1='[3]quote - NIVR app Orange Managed'!$BK$11,"list",IF('[3]quote - NIVR app Orange Managed'!GR1/'[3]quote - NIVR app Orange Managed'!GP1='[3]quote - NIVR app Orange Managed'!$BM$11,"sales discretionary",IF('[3]quote - NIVR app Orange Managed'!GR1/'[3]quote - NIVR app Orange Managed'!GP1='[3]quote - NIVR app Orange Managed'!$BO$11,"country manager",IF('[3]quote - NIVR app Orange Managed'!GR1/'[3]quote - NIVR app Orange Managed'!GP1='[3]quote - NIVR app Orange Managed'!$BQ$11,"regional manager","customised")))),"list")</definedName>
    <definedName name="NIVR_orange_pre_pack_regional_MRP_A">IF('[3]quote - NIVR app Orange Managed'!$C$18="regional manager",IF('[3]quote - NIVR app Orange Managed'!HB1/'[3]quote - NIVR app Orange Managed'!GX1&gt;='[3]quote - NIVR app Orange Managed'!$BL$11,"not required",IF('[3]quote - NIVR app Orange Managed'!HB1/'[3]quote - NIVR app Orange Managed'!GX1&gt;='[3]quote - NIVR app Orange Managed'!$BN$11,"sales",IF('[3]quote - NIVR app Orange Managed'!HB1/'[3]quote - NIVR app Orange Managed'!GX1&gt;='[3]quote - NIVR app Orange Managed'!$BP$11,"country manager",IF('[3]quote - NIVR app Orange Managed'!HB1/'[3]quote - NIVR app Orange Managed'!GX1&gt;='[3]quote - NIVR app Orange Managed'!$BR$11,"regional manager",IF('[3]quote - NIVR app Orange Managed'!HB1/'[3]quote - NIVR app Orange Managed'!GX1&lt;='[3]quote - NIVR app Orange Managed'!$BR$11,"DAC approver"))))),"regional manager")</definedName>
    <definedName name="NIVR_orange_pre_pack_regional_MRP_P">IF('[3]quote - NIVR app Orange Managed'!$C$18="regional manager",IF('[3]quote - NIVR app Orange Managed'!GL1/'[3]quote - NIVR app Orange Managed'!GH1='[3]quote - NIVR app Orange Managed'!$BL$11,"list",IF('[3]quote - NIVR app Orange Managed'!GL1/'[3]quote - NIVR app Orange Managed'!GH1='[3]quote - NIVR app Orange Managed'!$BN$11,"sales discretionary",IF('[3]quote - NIVR app Orange Managed'!GL1/'[3]quote - NIVR app Orange Managed'!GH1='[3]quote - NIVR app Orange Managed'!$BP$11,"country manager",IF('[3]quote - NIVR app Orange Managed'!GL1/'[3]quote - NIVR app Orange Managed'!GH1='[3]quote - NIVR app Orange Managed'!$BR$11,"regional manager","customised")))),"regional manager")</definedName>
    <definedName name="NIVR_orange_pre_pack_regional_OTP_A">IF('[3]quote - NIVR app Orange Managed'!$C$18="regional manager",IF('[3]quote - NIVR app Orange Managed'!HH1/'[3]quote - NIVR app Orange Managed'!HF1&gt;='[3]quote - NIVR app Orange Managed'!$BK$11,"not required",IF('[3]quote - NIVR app Orange Managed'!HH1/'[3]quote - NIVR app Orange Managed'!HF1&gt;='[3]quote - NIVR app Orange Managed'!$BM$11,"sales",IF('[3]quote - NIVR app Orange Managed'!HH1/'[3]quote - NIVR app Orange Managed'!HF1&gt;='[3]quote - NIVR app Orange Managed'!$BO$11,"country manager",IF('[3]quote - NIVR app Orange Managed'!HH1/'[3]quote - NIVR app Orange Managed'!HF1&gt;='[3]quote - NIVR app Orange Managed'!$BQ$11,"regional manager",IF('[3]quote - NIVR app Orange Managed'!HH1/'[3]quote - NIVR app Orange Managed'!HF1&lt;='[3]quote - NIVR app Orange Managed'!$BQ$11,"DAC approver"))))),"regional manager")</definedName>
    <definedName name="NIVR_orange_pre_pack_regional_OTP_P">IF('[3]quote - NIVR app Orange Managed'!$C$18="regional manager",IF('[3]quote - NIVR app Orange Managed'!GR1/'[3]quote - NIVR app Orange Managed'!GP1='[3]quote - NIVR app Orange Managed'!$BK$11,"list",IF('[3]quote - NIVR app Orange Managed'!GR1/'[3]quote - NIVR app Orange Managed'!GP1='[3]quote - NIVR app Orange Managed'!$BM$11,"sales discretionary",IF('[3]quote - NIVR app Orange Managed'!GR1/'[3]quote - NIVR app Orange Managed'!GP1='[3]quote - NIVR app Orange Managed'!$BO$11,"country manager",IF('[3]quote - NIVR app Orange Managed'!GR1/'[3]quote - NIVR app Orange Managed'!GP1='[3]quote - NIVR app Orange Managed'!$BQ$11,"regional manager","customised")))),"regional manager")</definedName>
    <definedName name="NIVR_orange_pre_pack_sales_MRP_A">IF('[3]quote - NIVR app Orange Managed'!$C$18="sales discretionary",IF('[3]quote - NIVR app Orange Managed'!HB1/'[3]quote - NIVR app Orange Managed'!GX1&gt;='[3]quote - NIVR app Orange Managed'!$BL$11,"not required",IF('[3]quote - NIVR app Orange Managed'!HB1/'[3]quote - NIVR app Orange Managed'!GX1&gt;='[3]quote - NIVR app Orange Managed'!$BN$11,"sales",IF('[3]quote - NIVR app Orange Managed'!HB1/'[3]quote - NIVR app Orange Managed'!GX1&gt;='[3]quote - NIVR app Orange Managed'!$BP$11,"country manager",IF('[3]quote - NIVR app Orange Managed'!HB1/'[3]quote - NIVR app Orange Managed'!GX1&gt;='[3]quote - NIVR app Orange Managed'!$BR$11,"regional manager",IF('[3]quote - NIVR app Orange Managed'!HB1/'[3]quote - NIVR app Orange Managed'!GX1&lt;='[3]quote - NIVR app Orange Managed'!$BR$11,"DAC approver"))))),"sales")</definedName>
    <definedName name="NIVR_orange_pre_pack_sales_MRP_P">IF('[3]quote - NIVR app Orange Managed'!$C$18="sales discretionary",IF('[3]quote - NIVR app Orange Managed'!GL1/'[3]quote - NIVR app Orange Managed'!GH1='[3]quote - NIVR app Orange Managed'!$BL$11,"list",IF('[3]quote - NIVR app Orange Managed'!GL1/'[3]quote - NIVR app Orange Managed'!GH1='[3]quote - NIVR app Orange Managed'!$BN$11,"sales discretionary",IF('[3]quote - NIVR app Orange Managed'!GL1/'[3]quote - NIVR app Orange Managed'!GH1='[3]quote - NIVR app Orange Managed'!$BP$11,"country manager",IF('[3]quote - NIVR app Orange Managed'!GL1/'[3]quote - NIVR app Orange Managed'!GH1='[3]quote - NIVR app Orange Managed'!$BR$11,"regional manager","customised")))),"sales discretionary")</definedName>
    <definedName name="NIVR_orange_pre_pack_sales_OTP_A">IF('[3]quote - NIVR app Orange Managed'!$C$18="sales discretionary",IF('[3]quote - NIVR app Orange Managed'!HH1/'[3]quote - NIVR app Orange Managed'!HF1&gt;='[3]quote - NIVR app Orange Managed'!$BK$11,"not required",IF('[3]quote - NIVR app Orange Managed'!HH1/'[3]quote - NIVR app Orange Managed'!HF1&gt;='[3]quote - NIVR app Orange Managed'!$BM$11,"sales",IF('[3]quote - NIVR app Orange Managed'!HH1/'[3]quote - NIVR app Orange Managed'!HF1&gt;='[3]quote - NIVR app Orange Managed'!$BO$11,"country manager",IF('[3]quote - NIVR app Orange Managed'!HH1/'[3]quote - NIVR app Orange Managed'!HF1&gt;='[3]quote - NIVR app Orange Managed'!$BQ$11,"regional manager",IF('[3]quote - NIVR app Orange Managed'!HH1/'[3]quote - NIVR app Orange Managed'!HF1&lt;='[3]quote - NIVR app Orange Managed'!$BQ$11,"DAC approver"))))),"sales")</definedName>
    <definedName name="NIVR_orange_pre_pack_sales_OTP_P">IF('[3]quote - NIVR app Orange Managed'!$C$18="sales discretionary",IF('[3]quote - NIVR app Orange Managed'!GR1/'[3]quote - NIVR app Orange Managed'!GP1='[3]quote - NIVR app Orange Managed'!$BK$11,"list",IF('[3]quote - NIVR app Orange Managed'!GR1/'[3]quote - NIVR app Orange Managed'!GP1='[3]quote - NIVR app Orange Managed'!$BM$11,"sales discretionary",IF('[3]quote - NIVR app Orange Managed'!GR1/'[3]quote - NIVR app Orange Managed'!GP1='[3]quote - NIVR app Orange Managed'!$BO$11,"country manager",IF('[3]quote - NIVR app Orange Managed'!GR1/'[3]quote - NIVR app Orange Managed'!GP1='[3]quote - NIVR app Orange Managed'!$BQ$11,"regional manager","customised")))),"sales discretionary")</definedName>
    <definedName name="NIVR_orange_sim_pack_country_MRP_A">IF('[3]quote - NIVR app Orange Managed'!$C$18="country manager",IF('[3]quote - NIVR app Orange Managed'!GR1/'[3]quote - NIVR app Orange Managed'!GN1&gt;='[3]quote - NIVR app Orange Managed'!$BL$9,"not required",IF('[3]quote - NIVR app Orange Managed'!GR1/'[3]quote - NIVR app Orange Managed'!GN1&gt;='[3]quote - NIVR app Orange Managed'!$BN$9,"sales",IF('[3]quote - NIVR app Orange Managed'!GR1/'[3]quote - NIVR app Orange Managed'!GN1&gt;='[3]quote - NIVR app Orange Managed'!$BP$9,"country manager",IF('[3]quote - NIVR app Orange Managed'!GR1/'[3]quote - NIVR app Orange Managed'!GN1&gt;='[3]quote - NIVR app Orange Managed'!$BR$9,"regional manager",IF('[3]quote - NIVR app Orange Managed'!GR1/'[3]quote - NIVR app Orange Managed'!GN1&lt;='[3]quote - NIVR app Orange Managed'!$BR$9,"DAC approver"))))),"country manager")</definedName>
    <definedName name="NIVR_orange_sim_pack_country_MRP_P">IF('[3]quote - NIVR app Orange Managed'!$C$18="country manager",IF('[3]quote - NIVR app Orange Managed'!GB1/'[3]quote - NIVR app Orange Managed'!FX1='[3]quote - NIVR app Orange Managed'!$BL$9,"list",IF('[3]quote - NIVR app Orange Managed'!GB1/'[3]quote - NIVR app Orange Managed'!FX1='[3]quote - NIVR app Orange Managed'!$BN$9,"sales discretionary",IF('[3]quote - NIVR app Orange Managed'!GB1/'[3]quote - NIVR app Orange Managed'!FX1='[3]quote - NIVR app Orange Managed'!$BP$9,"country manager",IF('[3]quote - NIVR app Orange Managed'!GB1/'[3]quote - NIVR app Orange Managed'!FX1='[3]quote - NIVR app Orange Managed'!$BR$9,"regional manager","customised")))),"country manager")</definedName>
    <definedName name="NIVR_orange_sim_pack_country_OTP_A">IF('[3]quote - NIVR app Orange Managed'!$C$18="country manager",IF('[3]quote - NIVR app Orange Managed'!GX1/'[3]quote - NIVR app Orange Managed'!GV1&gt;='[3]quote - NIVR app Orange Managed'!$BK$9,"not required",IF('[3]quote - NIVR app Orange Managed'!GX1/'[3]quote - NIVR app Orange Managed'!GV1&gt;='[3]quote - NIVR app Orange Managed'!$BM$9,"sales",IF('[3]quote - NIVR app Orange Managed'!GX1/'[3]quote - NIVR app Orange Managed'!GV1&gt;='[3]quote - NIVR app Orange Managed'!$BO$9,"country manager",IF('[3]quote - NIVR app Orange Managed'!GX1/'[3]quote - NIVR app Orange Managed'!GV1&gt;='[3]quote - NIVR app Orange Managed'!$BQ$9,"regional manager",IF('[3]quote - NIVR app Orange Managed'!GX1/'[3]quote - NIVR app Orange Managed'!GV1&lt;='[3]quote - NIVR app Orange Managed'!$BQ$9,"DAC approver"))))),"country manager")</definedName>
    <definedName name="NIVR_orange_sim_pack_country_OTP_P">IF('[3]quote - NIVR app Orange Managed'!$C$18="country manager",IF('[3]quote - NIVR app Orange Managed'!GH1/'[3]quote - NIVR app Orange Managed'!GF1='[3]quote - NIVR app Orange Managed'!$BK$9,"list",IF('[3]quote - NIVR app Orange Managed'!GH1/'[3]quote - NIVR app Orange Managed'!GF1='[3]quote - NIVR app Orange Managed'!$BM$9,"sales discretionary",IF('[3]quote - NIVR app Orange Managed'!GH1/'[3]quote - NIVR app Orange Managed'!GF1='[3]quote - NIVR app Orange Managed'!$BO$9,"country manager",IF('[3]quote - NIVR app Orange Managed'!GH1/'[3]quote - NIVR app Orange Managed'!GF1='[3]quote - NIVR app Orange Managed'!$BQ$9,"regional manager","customised")))),"country manager")</definedName>
    <definedName name="NIVR_orange_sim_pack_list_MRP_A">IF('[3]quote - NIVR app Orange Managed'!$C$18="list",IF('[3]quote - NIVR app Orange Managed'!GR1/'[3]quote - NIVR app Orange Managed'!GN1&gt;='[3]quote - NIVR app Orange Managed'!$BL$9,"not required",IF('[3]quote - NIVR app Orange Managed'!GR1/'[3]quote - NIVR app Orange Managed'!GN1&gt;='[3]quote - NIVR app Orange Managed'!$BN$9,"sales",IF('[3]quote - NIVR app Orange Managed'!GR1/'[3]quote - NIVR app Orange Managed'!GN1&gt;='[3]quote - NIVR app Orange Managed'!$BP$9,"country manager",IF('[3]quote - NIVR app Orange Managed'!GR1/'[3]quote - NIVR app Orange Managed'!GN1&gt;='[3]quote - NIVR app Orange Managed'!$BR$9,"regional manager",IF('[3]quote - NIVR app Orange Managed'!GR1/'[3]quote - NIVR app Orange Managed'!GN1&lt;='[3]quote - NIVR app Orange Managed'!$BR$9,"DAC approver"))))),"not required")</definedName>
    <definedName name="NIVR_orange_sim_pack_list_MRP_P">IF('[3]quote - NIVR app Orange Managed'!$C$18="list",IF('[3]quote - NIVR app Orange Managed'!GB1/'[3]quote - NIVR app Orange Managed'!FX1='[3]quote - NIVR app Orange Managed'!$BL$9,"list",IF('[3]quote - NIVR app Orange Managed'!GB1/'[3]quote - NIVR app Orange Managed'!FX1='[3]quote - NIVR app Orange Managed'!$BN$9,"sales discretionary",IF('[3]quote - NIVR app Orange Managed'!GB1/'[3]quote - NIVR app Orange Managed'!FX1='[3]quote - NIVR app Orange Managed'!$BP$9,"country manager",IF('[3]quote - NIVR app Orange Managed'!GB1/'[3]quote - NIVR app Orange Managed'!FX1='[3]quote - NIVR app Orange Managed'!$BR$9,"regional manager","customised")))),"list")</definedName>
    <definedName name="NIVR_orange_sim_pack_list_OTP_A">IF('[3]quote - NIVR app Orange Managed'!$C$18="list",IF('[3]quote - NIVR app Orange Managed'!GX1/'[3]quote - NIVR app Orange Managed'!GV1&gt;='[3]quote - NIVR app Orange Managed'!$BK$9,"not required",IF('[3]quote - NIVR app Orange Managed'!GX1/'[3]quote - NIVR app Orange Managed'!GV1&gt;='[3]quote - NIVR app Orange Managed'!$BM$9,"sales",IF('[3]quote - NIVR app Orange Managed'!GX1/'[3]quote - NIVR app Orange Managed'!GV1&gt;='[3]quote - NIVR app Orange Managed'!$BO$9,"country manager",IF('[3]quote - NIVR app Orange Managed'!GX1/'[3]quote - NIVR app Orange Managed'!GV1&gt;='[3]quote - NIVR app Orange Managed'!$BQ$9,"regional manager",IF('[3]quote - NIVR app Orange Managed'!GX1/'[3]quote - NIVR app Orange Managed'!GV1&lt;='[3]quote - NIVR app Orange Managed'!$BQ$9,"DAC approver"))))),"not required")</definedName>
    <definedName name="NIVR_orange_sim_pack_list_OTP_P">IF('[3]quote - NIVR app Orange Managed'!$C$18="list",IF('[3]quote - NIVR app Orange Managed'!GH1/'[3]quote - NIVR app Orange Managed'!GF1='[3]quote - NIVR app Orange Managed'!$BK$9,"list",IF('[3]quote - NIVR app Orange Managed'!GH1/'[3]quote - NIVR app Orange Managed'!GF1='[3]quote - NIVR app Orange Managed'!$BM$9,"sales discretionary",IF('[3]quote - NIVR app Orange Managed'!GH1/'[3]quote - NIVR app Orange Managed'!GF1='[3]quote - NIVR app Orange Managed'!$BO$9,"country manager",IF('[3]quote - NIVR app Orange Managed'!GH1/'[3]quote - NIVR app Orange Managed'!GF1='[3]quote - NIVR app Orange Managed'!$BQ$9,"regional manager","customised")))),"list")</definedName>
    <definedName name="NIVR_orange_sim_pack_regional_MRP_A">IF('[3]quote - NIVR app Orange Managed'!$C$18="regional manager",IF('[3]quote - NIVR app Orange Managed'!GR1/'[3]quote - NIVR app Orange Managed'!GN1&gt;='[3]quote - NIVR app Orange Managed'!$BL$9,"not required",IF('[3]quote - NIVR app Orange Managed'!GR1/'[3]quote - NIVR app Orange Managed'!GN1&gt;='[3]quote - NIVR app Orange Managed'!$BN$9,"sales",IF('[3]quote - NIVR app Orange Managed'!GR1/'[3]quote - NIVR app Orange Managed'!GN1&gt;='[3]quote - NIVR app Orange Managed'!$BP$9,"country manager",IF('[3]quote - NIVR app Orange Managed'!GR1/'[3]quote - NIVR app Orange Managed'!GN1&gt;='[3]quote - NIVR app Orange Managed'!$BR$9,"regional manager",IF('[3]quote - NIVR app Orange Managed'!GR1/'[3]quote - NIVR app Orange Managed'!GN1&lt;='[3]quote - NIVR app Orange Managed'!$BR$9,"DAC approver"))))),"regional manager")</definedName>
    <definedName name="NIVR_orange_sim_pack_regional_MRP_P">IF('[3]quote - NIVR app Orange Managed'!$C$18="regional manager",IF('[3]quote - NIVR app Orange Managed'!GB1/'[3]quote - NIVR app Orange Managed'!FX1='[3]quote - NIVR app Orange Managed'!$BL$9,"list",IF('[3]quote - NIVR app Orange Managed'!GB1/'[3]quote - NIVR app Orange Managed'!FX1='[3]quote - NIVR app Orange Managed'!$BN$9,"sales discretionary",IF('[3]quote - NIVR app Orange Managed'!GB1/'[3]quote - NIVR app Orange Managed'!FX1='[3]quote - NIVR app Orange Managed'!$BP$9,"country manager",IF('[3]quote - NIVR app Orange Managed'!GB1/'[3]quote - NIVR app Orange Managed'!FX1='[3]quote - NIVR app Orange Managed'!$BR$9,"regional manager","customised")))),"regional manager")</definedName>
    <definedName name="NIVR_orange_sim_pack_regional_OTP_A">IF('[3]quote - NIVR app Orange Managed'!$C$18="regional manager",IF('[3]quote - NIVR app Orange Managed'!GX1/'[3]quote - NIVR app Orange Managed'!GV1&gt;='[3]quote - NIVR app Orange Managed'!$BK$9,"not required",IF('[3]quote - NIVR app Orange Managed'!GX1/'[3]quote - NIVR app Orange Managed'!GV1&gt;='[3]quote - NIVR app Orange Managed'!$BM$9,"sales",IF('[3]quote - NIVR app Orange Managed'!GX1/'[3]quote - NIVR app Orange Managed'!GV1&gt;='[3]quote - NIVR app Orange Managed'!$BO$9,"country manager",IF('[3]quote - NIVR app Orange Managed'!GX1/'[3]quote - NIVR app Orange Managed'!GV1&gt;='[3]quote - NIVR app Orange Managed'!$BQ$9,"regional manager",IF('[3]quote - NIVR app Orange Managed'!GX1/'[3]quote - NIVR app Orange Managed'!GV1&lt;='[3]quote - NIVR app Orange Managed'!$BQ$9,"DAC approver"))))),"regional manager")</definedName>
    <definedName name="NIVR_orange_sim_pack_regional_OTP_P">IF('[3]quote - NIVR app Orange Managed'!$C$18="regional manager",IF('[3]quote - NIVR app Orange Managed'!GH1/'[3]quote - NIVR app Orange Managed'!GF1='[3]quote - NIVR app Orange Managed'!$BK$9,"list",IF('[3]quote - NIVR app Orange Managed'!GH1/'[3]quote - NIVR app Orange Managed'!GF1='[3]quote - NIVR app Orange Managed'!$BM$9,"sales discretionary",IF('[3]quote - NIVR app Orange Managed'!GH1/'[3]quote - NIVR app Orange Managed'!GF1='[3]quote - NIVR app Orange Managed'!$BO$9,"country manager",IF('[3]quote - NIVR app Orange Managed'!GH1/'[3]quote - NIVR app Orange Managed'!GF1='[3]quote - NIVR app Orange Managed'!$BQ$9,"regional manager","customised")))),"regional manager")</definedName>
    <definedName name="NIVR_orange_sim_pack_sales_MRP_A">IF('[3]quote - NIVR app Orange Managed'!$C$18="sales discretionary",IF('[3]quote - NIVR app Orange Managed'!GR1/'[3]quote - NIVR app Orange Managed'!GN1&gt;='[3]quote - NIVR app Orange Managed'!$BL$9,"not required",IF('[3]quote - NIVR app Orange Managed'!GR1/'[3]quote - NIVR app Orange Managed'!GN1&gt;='[3]quote - NIVR app Orange Managed'!$BN$9,"sales",IF('[3]quote - NIVR app Orange Managed'!GR1/'[3]quote - NIVR app Orange Managed'!GN1&gt;='[3]quote - NIVR app Orange Managed'!$BP$9,"country manager",IF('[3]quote - NIVR app Orange Managed'!GR1/'[3]quote - NIVR app Orange Managed'!GN1&gt;='[3]quote - NIVR app Orange Managed'!$BR$9,"regional manager",IF('[3]quote - NIVR app Orange Managed'!GR1/'[3]quote - NIVR app Orange Managed'!GN1&lt;='[3]quote - NIVR app Orange Managed'!$BR$9,"DAC approver"))))),"sales")</definedName>
    <definedName name="NIVR_orange_sim_pack_sales_MRP_P">IF('[3]quote - NIVR app Orange Managed'!$C$18="sales discretionary",IF('[3]quote - NIVR app Orange Managed'!GB1/'[3]quote - NIVR app Orange Managed'!FX1='[3]quote - NIVR app Orange Managed'!$BL$9,"list",IF('[3]quote - NIVR app Orange Managed'!GB1/'[3]quote - NIVR app Orange Managed'!FX1='[3]quote - NIVR app Orange Managed'!$BN$9,"sales discretionary",IF('[3]quote - NIVR app Orange Managed'!GB1/'[3]quote - NIVR app Orange Managed'!FX1='[3]quote - NIVR app Orange Managed'!$BP$9,"country manager",IF('[3]quote - NIVR app Orange Managed'!GB1/'[3]quote - NIVR app Orange Managed'!FX1='[3]quote - NIVR app Orange Managed'!$BR$9,"regional manager","customised")))),"sales discretionary")</definedName>
    <definedName name="NIVR_orange_sim_pack_sales_OTP_A">IF('[3]quote - NIVR app Orange Managed'!$C$18="sales discretionary",IF('[3]quote - NIVR app Orange Managed'!GX1/'[3]quote - NIVR app Orange Managed'!GV1&gt;='[3]quote - NIVR app Orange Managed'!$BK$9,"not required",IF('[3]quote - NIVR app Orange Managed'!GX1/'[3]quote - NIVR app Orange Managed'!GV1&gt;='[3]quote - NIVR app Orange Managed'!$BM$9,"sales",IF('[3]quote - NIVR app Orange Managed'!GX1/'[3]quote - NIVR app Orange Managed'!GV1&gt;='[3]quote - NIVR app Orange Managed'!$BO$9,"country manager",IF('[3]quote - NIVR app Orange Managed'!GX1/'[3]quote - NIVR app Orange Managed'!GV1&gt;='[3]quote - NIVR app Orange Managed'!$BQ$9,"regional manager",IF('[3]quote - NIVR app Orange Managed'!GX1/'[3]quote - NIVR app Orange Managed'!GV1&lt;='[3]quote - NIVR app Orange Managed'!$BQ$9,"DAC approver"))))),"sales")</definedName>
    <definedName name="NIVR_orange_sim_pack_sales_OTP_P">IF('[3]quote - NIVR app Orange Managed'!$C$18="sales discretionary",IF('[3]quote - NIVR app Orange Managed'!GH1/'[3]quote - NIVR app Orange Managed'!GF1='[3]quote - NIVR app Orange Managed'!$BK$9,"list",IF('[3]quote - NIVR app Orange Managed'!GH1/'[3]quote - NIVR app Orange Managed'!GF1='[3]quote - NIVR app Orange Managed'!$BM$9,"sales discretionary",IF('[3]quote - NIVR app Orange Managed'!GH1/'[3]quote - NIVR app Orange Managed'!GF1='[3]quote - NIVR app Orange Managed'!$BO$9,"country manager",IF('[3]quote - NIVR app Orange Managed'!GH1/'[3]quote - NIVR app Orange Managed'!GF1='[3]quote - NIVR app Orange Managed'!$BQ$9,"regional manager","customised")))),"sales discretionary")</definedName>
    <definedName name="NIVR_orange_sta_pack_country_MRP_A">IF('[3]quote - NIVR app Orange Managed'!$C$18="country manager",IF('[3]quote - NIVR app Orange Managed'!GW1/'[3]quote - NIVR app Orange Managed'!GS1&gt;='[3]quote - NIVR app Orange Managed'!$BL$10,"not required",IF('[3]quote - NIVR app Orange Managed'!GW1/'[3]quote - NIVR app Orange Managed'!GS1&gt;='[3]quote - NIVR app Orange Managed'!$BN$10,"sales",IF('[3]quote - NIVR app Orange Managed'!GW1/'[3]quote - NIVR app Orange Managed'!GS1&gt;='[3]quote - NIVR app Orange Managed'!$BP$10,"country manager",IF('[3]quote - NIVR app Orange Managed'!GW1/'[3]quote - NIVR app Orange Managed'!GS1&gt;='[3]quote - NIVR app Orange Managed'!$BR$10,"regional manager",IF('[3]quote - NIVR app Orange Managed'!GW1/'[3]quote - NIVR app Orange Managed'!GS1&lt;='[3]quote - NIVR app Orange Managed'!$BR$10,"DAC approver"))))),"country manager")</definedName>
    <definedName name="NIVR_orange_sta_pack_country_MRP_P">IF('[3]quote - NIVR app Orange Managed'!$C$18="country manager",IF('[3]quote - NIVR app Orange Managed'!GG1/'[3]quote - NIVR app Orange Managed'!GC1='[3]quote - NIVR app Orange Managed'!$BL$10,"list",IF('[3]quote - NIVR app Orange Managed'!GG1/'[3]quote - NIVR app Orange Managed'!GC1='[3]quote - NIVR app Orange Managed'!$BN$10,"sales discretionary",IF('[3]quote - NIVR app Orange Managed'!GG1/'[3]quote - NIVR app Orange Managed'!GC1='[3]quote - NIVR app Orange Managed'!$BP$10,"country manager",IF('[3]quote - NIVR app Orange Managed'!GG1/'[3]quote - NIVR app Orange Managed'!GC1='[3]quote - NIVR app Orange Managed'!$BR$10,"regional manager","customised")))),"country manager")</definedName>
    <definedName name="NIVR_orange_sta_pack_country_OTP_A">IF('[3]quote - NIVR app Orange Managed'!$C$18="country manager",IF('[3]quote - NIVR app Orange Managed'!HC1/'[3]quote - NIVR app Orange Managed'!HA1&gt;='[3]quote - NIVR app Orange Managed'!$BK$10,"not required",IF('[3]quote - NIVR app Orange Managed'!HC1/'[3]quote - NIVR app Orange Managed'!HA1&gt;='[3]quote - NIVR app Orange Managed'!$BM$10,"sales",IF('[3]quote - NIVR app Orange Managed'!HC1/'[3]quote - NIVR app Orange Managed'!HA1&gt;='[3]quote - NIVR app Orange Managed'!$BO$10,"country manager",IF('[3]quote - NIVR app Orange Managed'!HC1/'[3]quote - NIVR app Orange Managed'!HA1&gt;='[3]quote - NIVR app Orange Managed'!$BQ$10,"regional manager",IF('[3]quote - NIVR app Orange Managed'!HC1/'[3]quote - NIVR app Orange Managed'!HA1&lt;='[3]quote - NIVR app Orange Managed'!$BQ$10,"DAC approver"))))),"country manager")</definedName>
    <definedName name="NIVR_orange_sta_pack_country_OTP_P">IF('[3]quote - NIVR app Orange Managed'!$C$18="country manager",IF('[3]quote - NIVR app Orange Managed'!GM1/'[3]quote - NIVR app Orange Managed'!GK1='[3]quote - NIVR app Orange Managed'!$BK$10,"list",IF('[3]quote - NIVR app Orange Managed'!GM1/'[3]quote - NIVR app Orange Managed'!GK1='[3]quote - NIVR app Orange Managed'!$BM$10,"sales discretionary",IF('[3]quote - NIVR app Orange Managed'!GM1/'[3]quote - NIVR app Orange Managed'!GK1='[3]quote - NIVR app Orange Managed'!$BO$10,"country manager",IF('[3]quote - NIVR app Orange Managed'!GM1/'[3]quote - NIVR app Orange Managed'!GK1='[3]quote - NIVR app Orange Managed'!$BQ$10,"regional manager","customised")))),"country manager")</definedName>
    <definedName name="NIVR_orange_sta_pack_list_MRP_A">IF('[3]quote - NIVR app Orange Managed'!$C$18="list",IF('[3]quote - NIVR app Orange Managed'!GW1/'[3]quote - NIVR app Orange Managed'!GS1&gt;='[3]quote - NIVR app Orange Managed'!$BL$10,"not required",IF('[3]quote - NIVR app Orange Managed'!GW1/'[3]quote - NIVR app Orange Managed'!GS1&gt;='[3]quote - NIVR app Orange Managed'!$BN$10,"sales",IF('[3]quote - NIVR app Orange Managed'!GW1/'[3]quote - NIVR app Orange Managed'!GS1&gt;='[3]quote - NIVR app Orange Managed'!$BP$10,"country manager",IF('[3]quote - NIVR app Orange Managed'!GW1/'[3]quote - NIVR app Orange Managed'!GS1&gt;='[3]quote - NIVR app Orange Managed'!$BR$10,"regional manager",IF('[3]quote - NIVR app Orange Managed'!GW1/'[3]quote - NIVR app Orange Managed'!GS1&lt;='[3]quote - NIVR app Orange Managed'!$BR$10,"DAC approver"))))),"not required")</definedName>
    <definedName name="NIVR_orange_sta_pack_list_MRP_P">IF('[3]quote - NIVR app Orange Managed'!$C$18="list",IF('[3]quote - NIVR app Orange Managed'!GG1/'[3]quote - NIVR app Orange Managed'!GC1='[3]quote - NIVR app Orange Managed'!$BL$10,"list",IF('[3]quote - NIVR app Orange Managed'!GG1/'[3]quote - NIVR app Orange Managed'!GC1='[3]quote - NIVR app Orange Managed'!$BN$10,"sales discretionary",IF('[3]quote - NIVR app Orange Managed'!GG1/'[3]quote - NIVR app Orange Managed'!GC1='[3]quote - NIVR app Orange Managed'!$BP$10,"country manager",IF('[3]quote - NIVR app Orange Managed'!GG1/'[3]quote - NIVR app Orange Managed'!GC1='[3]quote - NIVR app Orange Managed'!$BR$10,"regional manager","customised")))),"list")</definedName>
    <definedName name="NIVR_orange_sta_pack_list_OTP_A">IF('[3]quote - NIVR app Orange Managed'!$C$18="list",IF('[3]quote - NIVR app Orange Managed'!HC1/'[3]quote - NIVR app Orange Managed'!HA1&gt;='[3]quote - NIVR app Orange Managed'!$BK$10,"not required",IF('[3]quote - NIVR app Orange Managed'!HC1/'[3]quote - NIVR app Orange Managed'!HA1&gt;='[3]quote - NIVR app Orange Managed'!$BM$10,"sales",IF('[3]quote - NIVR app Orange Managed'!HC1/'[3]quote - NIVR app Orange Managed'!HA1&gt;='[3]quote - NIVR app Orange Managed'!$BO$10,"country manager",IF('[3]quote - NIVR app Orange Managed'!HC1/'[3]quote - NIVR app Orange Managed'!HA1&gt;='[3]quote - NIVR app Orange Managed'!$BQ$10,"regional manager",IF('[3]quote - NIVR app Orange Managed'!HC1/'[3]quote - NIVR app Orange Managed'!HA1&lt;='[3]quote - NIVR app Orange Managed'!$BQ$10,"DAC approver"))))),"not required")</definedName>
    <definedName name="NIVR_orange_sta_pack_list_OTP_P">IF('[3]quote - NIVR app Orange Managed'!$C$18="list",IF('[3]quote - NIVR app Orange Managed'!GM1/'[3]quote - NIVR app Orange Managed'!GK1='[3]quote - NIVR app Orange Managed'!$BK$10,"list",IF('[3]quote - NIVR app Orange Managed'!GM1/'[3]quote - NIVR app Orange Managed'!GK1='[3]quote - NIVR app Orange Managed'!$BM$10,"sales discretionary",IF('[3]quote - NIVR app Orange Managed'!GM1/'[3]quote - NIVR app Orange Managed'!GK1='[3]quote - NIVR app Orange Managed'!$BO$10,"country manager",IF('[3]quote - NIVR app Orange Managed'!GM1/'[3]quote - NIVR app Orange Managed'!GK1='[3]quote - NIVR app Orange Managed'!$BQ$10,"regional manager","customised")))),"list")</definedName>
    <definedName name="NIVR_orange_sta_pack_regional_MRP_A">IF('[3]quote - NIVR app Orange Managed'!$C$18="regional manager",IF('[3]quote - NIVR app Orange Managed'!GW1/'[3]quote - NIVR app Orange Managed'!GS1&gt;='[3]quote - NIVR app Orange Managed'!$BL$10,"not required",IF('[3]quote - NIVR app Orange Managed'!GW1/'[3]quote - NIVR app Orange Managed'!GS1&gt;='[3]quote - NIVR app Orange Managed'!$BN$10,"sales",IF('[3]quote - NIVR app Orange Managed'!GW1/'[3]quote - NIVR app Orange Managed'!GS1&gt;='[3]quote - NIVR app Orange Managed'!$BP$10,"country manager",IF('[3]quote - NIVR app Orange Managed'!GW1/'[3]quote - NIVR app Orange Managed'!GS1&gt;='[3]quote - NIVR app Orange Managed'!$BR$10,"regional manager",IF('[3]quote - NIVR app Orange Managed'!GW1/'[3]quote - NIVR app Orange Managed'!GS1&lt;='[3]quote - NIVR app Orange Managed'!$BR$10,"DAC approver"))))),"regional manager")</definedName>
    <definedName name="NIVR_orange_sta_pack_regional_MRP_P">IF('[3]quote - NIVR app Orange Managed'!$C$18="regional manager",IF('[3]quote - NIVR app Orange Managed'!GG1/'[3]quote - NIVR app Orange Managed'!GC1='[3]quote - NIVR app Orange Managed'!$BL$10,"list",IF('[3]quote - NIVR app Orange Managed'!GG1/'[3]quote - NIVR app Orange Managed'!GC1='[3]quote - NIVR app Orange Managed'!$BN$10,"sales discretionary",IF('[3]quote - NIVR app Orange Managed'!GG1/'[3]quote - NIVR app Orange Managed'!GC1='[3]quote - NIVR app Orange Managed'!$BP$10,"country manager",IF('[3]quote - NIVR app Orange Managed'!GG1/'[3]quote - NIVR app Orange Managed'!GC1='[3]quote - NIVR app Orange Managed'!$BR$10,"regional manager","customised")))),"regional manager")</definedName>
    <definedName name="NIVR_orange_sta_pack_regional_OTP_A">IF('[3]quote - NIVR app Orange Managed'!$C$18="regional manager",IF('[3]quote - NIVR app Orange Managed'!HC1/'[3]quote - NIVR app Orange Managed'!HA1&gt;='[3]quote - NIVR app Orange Managed'!$BK$10,"not required",IF('[3]quote - NIVR app Orange Managed'!HC1/'[3]quote - NIVR app Orange Managed'!HA1&gt;='[3]quote - NIVR app Orange Managed'!$BM$10,"sales",IF('[3]quote - NIVR app Orange Managed'!HC1/'[3]quote - NIVR app Orange Managed'!HA1&gt;='[3]quote - NIVR app Orange Managed'!$BO$10,"country manager",IF('[3]quote - NIVR app Orange Managed'!HC1/'[3]quote - NIVR app Orange Managed'!HA1&gt;='[3]quote - NIVR app Orange Managed'!$BQ$10,"regional manager",IF('[3]quote - NIVR app Orange Managed'!HC1/'[3]quote - NIVR app Orange Managed'!HA1&lt;='[3]quote - NIVR app Orange Managed'!$BQ$10,"DAC approver"))))),"regional manager")</definedName>
    <definedName name="NIVR_orange_sta_pack_regional_OTP_P">IF('[3]quote - NIVR app Orange Managed'!$C$18="regional manager",IF('[3]quote - NIVR app Orange Managed'!GM1/'[3]quote - NIVR app Orange Managed'!GK1='[3]quote - NIVR app Orange Managed'!$BK$10,"list",IF('[3]quote - NIVR app Orange Managed'!GM1/'[3]quote - NIVR app Orange Managed'!GK1='[3]quote - NIVR app Orange Managed'!$BM$10,"sales discretionary",IF('[3]quote - NIVR app Orange Managed'!GM1/'[3]quote - NIVR app Orange Managed'!GK1='[3]quote - NIVR app Orange Managed'!$BO$10,"country manager",IF('[3]quote - NIVR app Orange Managed'!GM1/'[3]quote - NIVR app Orange Managed'!GK1='[3]quote - NIVR app Orange Managed'!$BQ$10,"regional manager","customised")))),"regional manager")</definedName>
    <definedName name="NIVR_orange_sta_pack_sales_MRP_A">IF('[3]quote - NIVR app Orange Managed'!$C$18="sales discretionary",IF('[3]quote - NIVR app Orange Managed'!GW1/'[3]quote - NIVR app Orange Managed'!GS1&gt;='[3]quote - NIVR app Orange Managed'!$BL$10,"not required",IF('[3]quote - NIVR app Orange Managed'!GW1/'[3]quote - NIVR app Orange Managed'!GS1&gt;='[3]quote - NIVR app Orange Managed'!$BN$10,"sales",IF('[3]quote - NIVR app Orange Managed'!GW1/'[3]quote - NIVR app Orange Managed'!GS1&gt;='[3]quote - NIVR app Orange Managed'!$BP$10,"country manager",IF('[3]quote - NIVR app Orange Managed'!GW1/'[3]quote - NIVR app Orange Managed'!GS1&gt;='[3]quote - NIVR app Orange Managed'!$BR$10,"regional manager",IF('[3]quote - NIVR app Orange Managed'!GW1/'[3]quote - NIVR app Orange Managed'!GS1&lt;='[3]quote - NIVR app Orange Managed'!$BR$10,"DAC approver"))))),"sales")</definedName>
    <definedName name="NIVR_orange_sta_pack_sales_MRP_P">IF('[3]quote - NIVR app Orange Managed'!$C$18="sales discretionary",IF('[3]quote - NIVR app Orange Managed'!GG1/'[3]quote - NIVR app Orange Managed'!GC1='[3]quote - NIVR app Orange Managed'!$BL$10,"list",IF('[3]quote - NIVR app Orange Managed'!GG1/'[3]quote - NIVR app Orange Managed'!GC1='[3]quote - NIVR app Orange Managed'!$BN$10,"sales discretionary",IF('[3]quote - NIVR app Orange Managed'!GG1/'[3]quote - NIVR app Orange Managed'!GC1='[3]quote - NIVR app Orange Managed'!$BP$10,"country manager",IF('[3]quote - NIVR app Orange Managed'!GG1/'[3]quote - NIVR app Orange Managed'!GC1='[3]quote - NIVR app Orange Managed'!$BR$10,"regional manager","customised")))),"sales discretionary")</definedName>
    <definedName name="NIVR_orange_sta_pack_sales_OTP_A">IF('[3]quote - NIVR app Orange Managed'!$C$18="sales discretionary",IF('[3]quote - NIVR app Orange Managed'!HC1/'[3]quote - NIVR app Orange Managed'!HA1&gt;='[3]quote - NIVR app Orange Managed'!$BK$10,"not required",IF('[3]quote - NIVR app Orange Managed'!HC1/'[3]quote - NIVR app Orange Managed'!HA1&gt;='[3]quote - NIVR app Orange Managed'!$BM$10,"sales",IF('[3]quote - NIVR app Orange Managed'!HC1/'[3]quote - NIVR app Orange Managed'!HA1&gt;='[3]quote - NIVR app Orange Managed'!$BO$10,"country manager",IF('[3]quote - NIVR app Orange Managed'!HC1/'[3]quote - NIVR app Orange Managed'!HA1&gt;='[3]quote - NIVR app Orange Managed'!$BQ$10,"regional manager",IF('[3]quote - NIVR app Orange Managed'!HC1/'[3]quote - NIVR app Orange Managed'!HA1&lt;='[3]quote - NIVR app Orange Managed'!$BQ$10,"DAC approver"))))),"sales")</definedName>
    <definedName name="NIVR_orange_sta_pack_sales_OTP_P">IF('[3]quote - NIVR app Orange Managed'!$C$18="sales discretionary",IF('[3]quote - NIVR app Orange Managed'!GM1/'[3]quote - NIVR app Orange Managed'!GK1='[3]quote - NIVR app Orange Managed'!$BK$10,"list",IF('[3]quote - NIVR app Orange Managed'!GM1/'[3]quote - NIVR app Orange Managed'!GK1='[3]quote - NIVR app Orange Managed'!$BM$10,"sales discretionary",IF('[3]quote - NIVR app Orange Managed'!GM1/'[3]quote - NIVR app Orange Managed'!GK1='[3]quote - NIVR app Orange Managed'!$BO$10,"country manager",IF('[3]quote - NIVR app Orange Managed'!GM1/'[3]quote - NIVR app Orange Managed'!GK1='[3]quote - NIVR app Orange Managed'!$BQ$10,"regional manager","customised")))),"sales discretionary")</definedName>
    <definedName name="NIVR_usage_app_country">IF('[3]quote - NIVR usage pricing'!$C$17="country manager",IF('[3]quote - NIVR usage pricing'!IT1&gt;='[3]quote - NIVR usage pricing'!K1,"not required",IF('[3]quote - NIVR usage pricing'!IT1&gt;='[3]quote - NIVR usage pricing'!L1,"sales",IF('[3]quote - NIVR usage pricing'!IT1&gt;='[3]quote - NIVR usage pricing'!M1,"country manager",IF('[3]quote - NIVR usage pricing'!IT1&gt;='[3]quote - NIVR usage pricing'!N1,"regional manager",IF('[3]quote - NIVR usage pricing'!IT1&lt;='[3]quote - NIVR usage pricing'!N1,"DAC approver"))))),"country manager")</definedName>
    <definedName name="NIVR_usage_app_list">IF('[3]quote - NIVR usage pricing'!$C$17="list",IF('[3]quote - NIVR usage pricing'!IT1&gt;='[3]quote - NIVR usage pricing'!K1,"not required",IF('[3]quote - NIVR usage pricing'!IT1&gt;='[3]quote - NIVR usage pricing'!L1,"sales",IF('[3]quote - NIVR usage pricing'!IT1&gt;='[3]quote - NIVR usage pricing'!M1,"country manager",IF('[3]quote - NIVR usage pricing'!IT1&gt;='[3]quote - NIVR usage pricing'!N1,"regional manager",IF('[3]quote - NIVR usage pricing'!IT1&lt;='[3]quote - NIVR usage pricing'!N1,"DAC approver"))))),"not required")</definedName>
    <definedName name="NIVR_usage_app_regional">IF('[3]quote - NIVR usage pricing'!$C$17="regional manager",IF('[3]quote - NIVR usage pricing'!IT1&gt;='[3]quote - NIVR usage pricing'!K1,"not required",IF('[3]quote - NIVR usage pricing'!IT1&gt;='[3]quote - NIVR usage pricing'!L1,"sales",IF('[3]quote - NIVR usage pricing'!IT1&gt;='[3]quote - NIVR usage pricing'!M1,"country manager",IF('[3]quote - NIVR usage pricing'!IT1&gt;='[3]quote - NIVR usage pricing'!N1,"regional manager",IF('[3]quote - NIVR usage pricing'!IT1&lt;='[3]quote - NIVR usage pricing'!N1,"DAC approver"))))),"regional manager")</definedName>
    <definedName name="NIVR_usage_app_sales">IF('[3]quote - NIVR usage pricing'!$C$17="sales discretionary",IF('[3]quote - NIVR usage pricing'!IT1&gt;='[3]quote - NIVR usage pricing'!K1,"not required",IF('[3]quote - NIVR usage pricing'!IT1&gt;='[3]quote - NIVR usage pricing'!L1,"sales",IF('[3]quote - NIVR usage pricing'!IT1&gt;='[3]quote - NIVR usage pricing'!M1,"country manager",IF('[3]quote - NIVR usage pricing'!IT1&gt;='[3]quote - NIVR usage pricing'!N1,"regional manager",IF('[3]quote - NIVR usage pricing'!IT1&lt;='[3]quote - NIVR usage pricing'!N1,"DAC approver"))))),"sales discretionary")</definedName>
    <definedName name="NIVR_usage_price_country">IF('[3]quote - NIVR usage pricing'!$C$17="country manager",IF('[3]quote - NIVR usage pricing'!IS1='[3]quote - NIVR usage pricing'!J1,"list",IF('[3]quote - NIVR usage pricing'!IS1='[3]quote - NIVR usage pricing'!K1,"sales discretionary",IF('[3]quote - NIVR usage pricing'!IS1='[3]quote - NIVR usage pricing'!L1,"country manager",IF('[3]quote - NIVR usage pricing'!IS1='[3]quote - NIVR usage pricing'!M1,"regional manager","customised")))),"list")</definedName>
    <definedName name="NIVR_usage_price_list">IF('[3]quote - NIVR usage pricing'!$C$17="list",IF('[3]quote - NIVR usage pricing'!IS1='[3]quote - NIVR usage pricing'!J1,"list",IF('[3]quote - NIVR usage pricing'!IS1='[3]quote - NIVR usage pricing'!K1,"sales discretionary",IF('[3]quote - NIVR usage pricing'!IS1='[3]quote - NIVR usage pricing'!L1,"country manager",IF('[3]quote - NIVR usage pricing'!IS1='[3]quote - NIVR usage pricing'!M1,"regional manager","customised")))),"list")</definedName>
    <definedName name="NIVR_usage_price_regional">IF('[3]quote - NIVR usage pricing'!$C$17="regional manager",IF('[3]quote - NIVR usage pricing'!IS1='[3]quote - NIVR usage pricing'!J1,"list",IF('[3]quote - NIVR usage pricing'!IS1='[3]quote - NIVR usage pricing'!K1,"sales discretionary",IF('[3]quote - NIVR usage pricing'!IS1='[3]quote - NIVR usage pricing'!L1,"country manager",IF('[3]quote - NIVR usage pricing'!IS1='[3]quote - NIVR usage pricing'!M1,"regional manager","customised")))),"list")</definedName>
    <definedName name="NIVR_usage_price_sales">IF('[3]quote - NIVR usage pricing'!$C$17="sales discretionary",IF('[3]quote - NIVR usage pricing'!IS1='[3]quote - NIVR usage pricing'!J1,"list",IF('[3]quote - NIVR usage pricing'!IS1='[3]quote - NIVR usage pricing'!K1,"sales discretionary",IF('[3]quote - NIVR usage pricing'!IS1='[3]quote - NIVR usage pricing'!L1,"country manager",IF('[3]quote - NIVR usage pricing'!IS1='[3]quote - NIVR usage pricing'!M1,"regional manager","customised")))),"list")</definedName>
    <definedName name="nn">#REF!</definedName>
    <definedName name="nnnn">IF(AND('[3]quote - NIVR app Orange Managed'!HF1="",'[3]quote - NIVR app Orange Managed'!HL1&lt;&gt;"",'[3]quote - NIVR app Orange Managed'!HR1&lt;&gt;"",'[3]quote - NIVR app Orange Managed'!HX1=""),VLOOKUP(MAX('[3]quote - NIVR app Orange Managed'!S1:T1),'[3]data - main'!$AC$4:$AD$8,2,FALSE),IF(AND('[3]quote - NIVR app Orange Managed'!HF1="",'[3]quote - NIVR app Orange Managed'!HL1&lt;&gt;"",'[3]quote - NIVR app Orange Managed'!HR1="",'[3]quote - NIVR app Orange Managed'!HX1&lt;&gt;""),VLOOKUP(MAX('[3]quote - NIVR app Orange Managed'!S1,'[3]quote - NIVR app Orange Managed'!U1),'[3]data - main'!$AC$4:$AD$8,2,FALSE),NIVR_orange_OTP_case_3_A))</definedName>
    <definedName name="nnnnnnnnnnn">#REF!</definedName>
    <definedName name="pbnstart">#REF!</definedName>
    <definedName name="pbook_usage">'[4]pbook - usage pricing'!$S$9:$AW$1531</definedName>
    <definedName name="PRICESLVSwoREV">'[7]Countries wo Rev. Dial Plan'!$A$7:$AX$30</definedName>
    <definedName name="PRICESLVSwoREVREF">'[7]Countries wo Rev. Dial Plan'!$A$7:$A$30</definedName>
    <definedName name="pricing_portal_ref">'[4]quote - main'!$C$13</definedName>
    <definedName name="PSTN_PRINT">IF(VLOOKUP('[3]data - availability comments'!IV1,'[3]data - availability comments'!D:M,9,FALSE)="",IF(VLOOKUP('[3]data - availability comments'!IV1,'[3]data - availability comments'!D:M,10,FALSE)=""," ",VLOOKUP('[3]data - availability comments'!IV1,'[3]data - availability comments'!D:M,10,FALSE)),VLOOKUP('[3]data - availability comments'!IV1,'[3]data - availability comments'!D:M,9,FALSE)&amp;CHAR(10)&amp;VLOOKUP('[3]data - availability comments'!IV1,'[3]data - availability comments'!D:M,10,FALSE))</definedName>
    <definedName name="PSTN_Total_Revenue">'[3]quote - CCA usage pricing'!$BQ$4</definedName>
    <definedName name="recommended_requested">'[4]quote - usage pricing'!$Z$5</definedName>
    <definedName name="RM_free_move_price">IFERROR(VLOOKUP('[4]quote - usage pricing'!XCD1,'[4]data - PB Free Move'!$A:$P,15,FALSE)*active_forex,"")</definedName>
    <definedName name="rrererere">IFERROR(VLOOKUP('[4]quote - usage pricing'!XCD1,'[4]data - PB Free Move'!$A:$P,12,FALSE)*active_forex,"")</definedName>
    <definedName name="rrrrrr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rrrrrrrrrrrrrrrrrrrrrrr">IFERROR(VLOOKUP('[4]quote - usage pricing'!XCD1,'[4]data - PB Free Move'!$A:$P,12,FALSE)*active_forex,"")</definedName>
    <definedName name="RS_PRINT">IF(VLOOKUP('[3]data - availability comments'!IV65447,'[3]data - availability comments'!D:M,5,FALSE)=0,IF(VLOOKUP('[3]data - availability comments'!IV65447,'[3]data - availability comments'!D:M,6,FALSE)=0," ",VLOOKUP('[3]data - availability comments'!IV65447,'[3]data - availability comments'!D:M,6,FALSE)),VLOOKUP('[3]data - availability comments'!IV65447,'[3]data - availability comments'!D:M,5,FALSE)&amp;CHAR(10)&amp;VLOOKUP('[3]data - availability comments'!IV65447,'[3]data - availability comments'!D:M,6,FALSE))</definedName>
    <definedName name="RS_Total_Revenue">'[3]quote - CCA usage pricing'!$BQ$7</definedName>
    <definedName name="SAMAJ_check">'[4]data - PB avail'!$B$5:$D$253</definedName>
    <definedName name="SD_free_move_price">IFERROR(VLOOKUP('[4]quote - usage pricing'!XCD1,'[4]data - PB Free Move'!$A:$P,13,FALSE)*active_forex,"")</definedName>
    <definedName name="sdf" localSheetId="2" hidden="1">#REF!</definedName>
    <definedName name="sdf" localSheetId="1" hidden="1">#REF!</definedName>
    <definedName name="sdf" localSheetId="3" hidden="1">#REF!</definedName>
    <definedName name="sdf" localSheetId="5" hidden="1">#REF!</definedName>
    <definedName name="sdf" localSheetId="4" hidden="1">#REF!</definedName>
    <definedName name="sdf" hidden="1">#REF!</definedName>
    <definedName name="showrate_usage_filtere">#REF!</definedName>
    <definedName name="site_country">'[4]data - PB avail'!$E$5:$E$253</definedName>
    <definedName name="site_installation" localSheetId="2">#REF!</definedName>
    <definedName name="site_installation" localSheetId="3">#REF!</definedName>
    <definedName name="site_installation" localSheetId="5">#REF!</definedName>
    <definedName name="site_installation" localSheetId="4">#REF!</definedName>
    <definedName name="site_installation">#REF!</definedName>
    <definedName name="sites_implementation_request">'[4]quote - sites'!$P$16:$P$215</definedName>
    <definedName name="start_install" localSheetId="2">#REF!</definedName>
    <definedName name="start_install" localSheetId="3">#REF!</definedName>
    <definedName name="start_install" localSheetId="5">#REF!</definedName>
    <definedName name="start_install" localSheetId="4">#REF!</definedName>
    <definedName name="start_install">#REF!</definedName>
    <definedName name="start_pbDID" localSheetId="2">#REF!</definedName>
    <definedName name="start_pbDID" localSheetId="3">#REF!</definedName>
    <definedName name="start_pbDID" localSheetId="5">#REF!</definedName>
    <definedName name="start_pbDID" localSheetId="4">#REF!</definedName>
    <definedName name="start_pbDID">#REF!</definedName>
    <definedName name="start_pbfeatures">#REF!</definedName>
    <definedName name="start_pbVAS" localSheetId="2">#REF!</definedName>
    <definedName name="start_pbVAS" localSheetId="3">#REF!</definedName>
    <definedName name="start_pbVAS" localSheetId="5">#REF!</definedName>
    <definedName name="start_pbVAS" localSheetId="4">#REF!</definedName>
    <definedName name="start_pbVAS">#REF!</definedName>
    <definedName name="start_summary">'[4]quote - pricing summary'!$C$12</definedName>
    <definedName name="std_version_check">'[4]quote - import sheet'!$AJ$6</definedName>
    <definedName name="std_versions">'[4]data - main'!$BH$4:$BH$36</definedName>
    <definedName name="StdPricing">'[4]main menu'!$F$3</definedName>
    <definedName name="strVersion">'[6]main menu'!$F$3</definedName>
    <definedName name="SURPSTN_Total_Revenue">'[3]quote - CCA usage pricing'!$BQ$9</definedName>
    <definedName name="t">IF(AND('[3]quote - NIVR app Cust Managed'!HO1&lt;&gt;"",'[3]quote - NIVR app Cust Managed'!HU1&lt;&gt;"",'[3]quote - NIVR app Cust Managed'!IA1=""),VLOOKUP(MAX('[3]quote - NIVR app Cust Managed'!AF1:AG1),'[3]data - main'!$AC$4:$AE$8,3,FALSE),u)</definedName>
    <definedName name="tariff_list">'[4]data - main'!$L$4:$L$7</definedName>
    <definedName name="tariff_sheet_filename">'[4]quote - tariff sheet'!$A$4</definedName>
    <definedName name="Tariff_Zone">'[4]data - Portal PB tariff'!$A$9:$A$1530</definedName>
    <definedName name="template_forex">'[4]quote - import sheet'!$AK$8</definedName>
    <definedName name="TF_PRINT">IF(VLOOKUP('[3]data - availability comments'!IV1,'[3]data - availability comments'!D:M,7,FALSE)=0,IF(VLOOKUP('[3]data - availability comments'!IV1,'[3]data - availability comments'!D:M,8,FALSE)=0," ",VLOOKUP('[3]data - availability comments'!IV1,'[3]data - availability comments'!D:M,8,FALSE)),VLOOKUP('[3]data - availability comments'!IV1,'[3]data - availability comments'!D:M,7,FALSE)&amp;CHAR(10)&amp;VLOOKUP('[3]data - availability comments'!IV1,'[3]data - availability comments'!D:M,8,FALSE))</definedName>
    <definedName name="TF_Total_Revenue">'[3]quote - CCA usage pricing'!$BQ$5</definedName>
    <definedName name="tool_currency">'[4]data - main'!$BL$5</definedName>
    <definedName name="tool_title">'[4]data - main'!$BL$4</definedName>
    <definedName name="tool_type">'[3]main menu'!$O$1</definedName>
    <definedName name="ToolVersion">'[4]main menu'!$F$2</definedName>
    <definedName name="total_MRP">'[4]quote - pricing summary'!$F$24</definedName>
    <definedName name="total_OTP">'[4]quote - pricing summary'!$E$24</definedName>
    <definedName name="Total_Revenue">'[3]quote - CCA usage pricing'!$BQ$10</definedName>
    <definedName name="traffic_persitetype">'[4]data - main'!$BD$4:$BE$10</definedName>
    <definedName name="TS_Total_Revenue">'[3]quote - CCA usage pricing'!$BQ$6</definedName>
    <definedName name="tyrtyryrtyr">IF(AND('[3]quote - NIVR app Cust Managed'!HQ1&lt;&gt;"",'[3]quote - NIVR app Cust Managed'!HW1&lt;&gt;"",'[3]quote - NIVR app Cust Managed'!IC1=""),VLOOKUP(MAX('[3]quote - NIVR app Cust Managed'!V1:W1),'[3]data - main'!$AC$4:$AD$8,2,FALSE),y)</definedName>
    <definedName name="u">IF(AND('[3]quote - NIVR app Cust Managed'!HO1&lt;&gt;"",'[3]quote - NIVR app Cust Managed'!HU1="",'[3]quote - NIVR app Cust Managed'!IA1&lt;&gt;""),VLOOKUP(MAX('[3]quote - NIVR app Cust Managed'!AF1,'[3]quote - NIVR app Cust Managed'!AH1),'[3]data - main'!$AC$4:$AE$8,3,FALSE),NIVR_cust_MRP_case_3_P)</definedName>
    <definedName name="UIFN_PRINT">IF(VLOOKUP('[3]data - availability comments'!IV1,'[3]data - availability comments'!D:M,3,FALSE)=0,VLOOKUP('[3]data - availability comments'!IV1,'[3]data - availability comments'!D:M,4,FALSE),VLOOKUP('[3]data - availability comments'!IV1,'[3]data - availability comments'!D:M,3,FALSE)&amp;CHAR(10)&amp;VLOOKUP('[3]data - availability comments'!IV1,'[3]data - availability comments'!D:M,4,FALSE))</definedName>
    <definedName name="UIFN_Total_Revenue">'[3]quote - CCA usage pricing'!$BQ$8</definedName>
    <definedName name="uniqueIDREF">'[7]Countries w. Reviewed Dial Plan'!$N:$N</definedName>
    <definedName name="uniqueIDTABLE">'[7]Countries w. Reviewed Dial Plan'!$N:$AL</definedName>
    <definedName name="USDequalsEURO" comment="Every release we have to update this if  price is changed">0.88</definedName>
    <definedName name="USDForex">'[3]main menu'!$O$4</definedName>
    <definedName name="User_USD_Forex">'[3]info - forex'!$D$27</definedName>
    <definedName name="vvv">#REF!</definedName>
    <definedName name="vvvvvvvvv">#REF!</definedName>
    <definedName name="vvvvvvvvvvvvvvvv">#REF!</definedName>
    <definedName name="we">#REF!</definedName>
    <definedName name="weeee">#REF!</definedName>
    <definedName name="Whereareyou" localSheetId="2" hidden="1">{"'March 99 routing'!$A$1:$AD$34"}</definedName>
    <definedName name="Whereareyou" localSheetId="3" hidden="1">{"'March 99 routing'!$A$1:$AD$34"}</definedName>
    <definedName name="Whereareyou" localSheetId="4" hidden="1">{"'March 99 routing'!$A$1:$AD$34"}</definedName>
    <definedName name="Whereareyou" hidden="1">{"'March 99 routing'!$A$1:$AD$34"}</definedName>
    <definedName name="xv" localSheetId="2" hidden="1">#REF!</definedName>
    <definedName name="xv" localSheetId="1" hidden="1">#REF!</definedName>
    <definedName name="xv" localSheetId="3" hidden="1">#REF!</definedName>
    <definedName name="xv" localSheetId="5" hidden="1">#REF!</definedName>
    <definedName name="xv" localSheetId="4" hidden="1">#REF!</definedName>
    <definedName name="xv" hidden="1">#REF!</definedName>
    <definedName name="xxxxxxxx">#REF!</definedName>
    <definedName name="xxxxxxxxxxxxxxxxxxxxx" hidden="1">{"'March 99 routing'!$A$1:$AD$34"}</definedName>
    <definedName name="xxxxxxxxxxxxxxxxxxxxxxx" hidden="1">#REF!</definedName>
    <definedName name="y">IF(AND('[3]quote - NIVR app Cust Managed'!HQ1&lt;&gt;"",'[3]quote - NIVR app Cust Managed'!HW1="",'[3]quote - NIVR app Cust Managed'!IC1&lt;&gt;""),VLOOKUP(MAX('[3]quote - NIVR app Cust Managed'!V1,'[3]quote - NIVR app Cust Managed'!X1),'[3]data - main'!$AC$4:$AD$8,2,FALSE),NIVR_cust_MRP_case_3_A)</definedName>
    <definedName name="zr" localSheetId="2" hidden="1">#REF!</definedName>
    <definedName name="zr" localSheetId="1" hidden="1">#REF!</definedName>
    <definedName name="zr" localSheetId="3" hidden="1">#REF!</definedName>
    <definedName name="zr" localSheetId="5" hidden="1">#REF!</definedName>
    <definedName name="zr" localSheetId="4" hidden="1">#REF!</definedName>
    <definedName name="zr" hidden="1">#REF!</definedName>
  </definedNames>
  <calcPr calcId="191029"/>
  <pivotCaches>
    <pivotCache cacheId="0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" i="138" l="1"/>
  <c r="G119" i="140" l="1"/>
  <c r="G118" i="140"/>
  <c r="G117" i="140"/>
  <c r="G116" i="140"/>
  <c r="G115" i="140"/>
  <c r="G114" i="140"/>
  <c r="G113" i="140"/>
  <c r="G112" i="140"/>
  <c r="G111" i="140"/>
  <c r="G110" i="140"/>
  <c r="G109" i="140"/>
  <c r="G108" i="140"/>
  <c r="G107" i="140"/>
  <c r="G106" i="140"/>
  <c r="G105" i="140"/>
  <c r="G104" i="140"/>
  <c r="G103" i="140"/>
  <c r="G102" i="140"/>
  <c r="G101" i="140"/>
  <c r="G100" i="140"/>
  <c r="G99" i="140"/>
  <c r="G98" i="140"/>
  <c r="G97" i="140"/>
  <c r="G96" i="140"/>
  <c r="G95" i="140"/>
  <c r="G94" i="140"/>
  <c r="G93" i="140"/>
  <c r="G92" i="140"/>
  <c r="G91" i="140"/>
  <c r="G90" i="140"/>
  <c r="G89" i="140"/>
  <c r="G88" i="140"/>
  <c r="G87" i="140"/>
  <c r="G86" i="140"/>
  <c r="G85" i="140"/>
  <c r="G84" i="140"/>
  <c r="G83" i="140"/>
  <c r="G82" i="140"/>
  <c r="G81" i="140"/>
  <c r="G80" i="140"/>
  <c r="G79" i="140"/>
  <c r="G78" i="140"/>
  <c r="G77" i="140"/>
  <c r="G76" i="140"/>
  <c r="G75" i="140"/>
  <c r="G74" i="140"/>
  <c r="G73" i="140"/>
  <c r="G72" i="140"/>
  <c r="G71" i="140"/>
  <c r="G70" i="140"/>
  <c r="G69" i="140"/>
  <c r="G68" i="140"/>
  <c r="G67" i="140"/>
  <c r="G66" i="140"/>
  <c r="G65" i="140"/>
  <c r="G64" i="140"/>
  <c r="G63" i="140"/>
  <c r="G62" i="140"/>
  <c r="G61" i="140"/>
  <c r="G60" i="140"/>
  <c r="G59" i="140"/>
  <c r="G58" i="140"/>
  <c r="G57" i="140"/>
  <c r="G56" i="140"/>
  <c r="G55" i="140"/>
  <c r="G54" i="140"/>
  <c r="G53" i="140"/>
  <c r="G52" i="140"/>
  <c r="G51" i="140"/>
  <c r="G50" i="140"/>
  <c r="G49" i="140"/>
  <c r="G48" i="140"/>
  <c r="G47" i="140"/>
  <c r="G46" i="140"/>
  <c r="G45" i="140"/>
  <c r="G44" i="140"/>
  <c r="G43" i="140"/>
  <c r="G42" i="140"/>
  <c r="G41" i="140"/>
  <c r="G40" i="140"/>
  <c r="G39" i="140"/>
  <c r="G38" i="140"/>
  <c r="G37" i="140"/>
  <c r="G36" i="140"/>
  <c r="G35" i="140"/>
  <c r="G34" i="140"/>
  <c r="G33" i="140"/>
  <c r="G32" i="140"/>
  <c r="G31" i="140"/>
  <c r="G30" i="140"/>
  <c r="G29" i="140"/>
  <c r="G28" i="140"/>
  <c r="G27" i="140"/>
  <c r="G26" i="140"/>
  <c r="G25" i="140"/>
  <c r="G24" i="140"/>
  <c r="G23" i="140"/>
  <c r="G22" i="140"/>
  <c r="G21" i="140"/>
  <c r="G20" i="140"/>
  <c r="G19" i="140"/>
  <c r="G18" i="140"/>
  <c r="D178" i="139" l="1"/>
  <c r="D177" i="139"/>
  <c r="D42" i="139"/>
  <c r="D41" i="139"/>
  <c r="D145" i="138" l="1"/>
  <c r="D143" i="138"/>
  <c r="D137" i="138"/>
  <c r="D115" i="138"/>
  <c r="D105" i="138"/>
  <c r="D103" i="138"/>
  <c r="D91" i="138"/>
  <c r="D33" i="138"/>
  <c r="D23" i="138"/>
  <c r="D144" i="138"/>
  <c r="D142" i="138"/>
  <c r="D136" i="138"/>
  <c r="D114" i="138"/>
  <c r="D104" i="138"/>
  <c r="D102" i="138"/>
  <c r="D90" i="138"/>
  <c r="D32" i="138"/>
  <c r="D22" i="138"/>
  <c r="C369" i="193" l="1"/>
  <c r="C367" i="193"/>
  <c r="C365" i="193"/>
  <c r="B370" i="193"/>
  <c r="C370" i="193" s="1"/>
  <c r="C368" i="193"/>
  <c r="C366" i="193"/>
  <c r="B364" i="193"/>
  <c r="C364" i="193" s="1"/>
  <c r="B363" i="193"/>
  <c r="C363" i="193" s="1"/>
  <c r="B362" i="193"/>
  <c r="C362" i="193" s="1"/>
  <c r="B361" i="193"/>
  <c r="C361" i="193" s="1"/>
  <c r="B360" i="193"/>
  <c r="C360" i="193" s="1"/>
  <c r="C359" i="193"/>
  <c r="C358" i="193"/>
  <c r="C357" i="193"/>
  <c r="C356" i="193"/>
  <c r="C355" i="193"/>
  <c r="C354" i="193"/>
  <c r="C353" i="193"/>
  <c r="B352" i="193"/>
  <c r="C352" i="193" s="1"/>
  <c r="C351" i="193"/>
  <c r="B350" i="193"/>
  <c r="C350" i="193" s="1"/>
  <c r="B349" i="193"/>
  <c r="C349" i="193" s="1"/>
  <c r="C348" i="193"/>
  <c r="C347" i="193"/>
  <c r="C346" i="193"/>
  <c r="C345" i="193"/>
  <c r="C344" i="193"/>
  <c r="C343" i="193"/>
  <c r="C342" i="193"/>
  <c r="C341" i="193"/>
  <c r="C340" i="193"/>
  <c r="C339" i="193"/>
  <c r="B338" i="193"/>
  <c r="C338" i="193" s="1"/>
  <c r="C337" i="193"/>
  <c r="C336" i="193"/>
  <c r="C335" i="193"/>
  <c r="B334" i="193"/>
  <c r="C334" i="193" s="1"/>
  <c r="B333" i="193"/>
  <c r="C333" i="193" s="1"/>
  <c r="B332" i="193"/>
  <c r="C332" i="193" s="1"/>
  <c r="B331" i="193"/>
  <c r="C331" i="193" s="1"/>
  <c r="B330" i="193"/>
  <c r="C330" i="193" s="1"/>
  <c r="B7" i="164"/>
  <c r="G35" i="139"/>
  <c r="G177" i="139"/>
  <c r="G41" i="139"/>
  <c r="G17" i="139"/>
  <c r="G53" i="139"/>
  <c r="G101" i="139"/>
  <c r="G149" i="139"/>
  <c r="G199" i="139"/>
  <c r="G19" i="139"/>
  <c r="G55" i="139"/>
  <c r="G87" i="139"/>
  <c r="G135" i="139"/>
  <c r="G217" i="139"/>
  <c r="G39" i="139"/>
  <c r="G105" i="139"/>
  <c r="G169" i="139"/>
  <c r="G23" i="139"/>
  <c r="G75" i="139"/>
  <c r="G123" i="139"/>
  <c r="G139" i="139"/>
  <c r="G155" i="139"/>
  <c r="G171" i="139"/>
  <c r="G189" i="139"/>
  <c r="G205" i="139"/>
  <c r="G69" i="139"/>
  <c r="G117" i="139"/>
  <c r="G165" i="139"/>
  <c r="G183" i="139"/>
  <c r="G71" i="139"/>
  <c r="G119" i="139"/>
  <c r="G167" i="139"/>
  <c r="G201" i="139"/>
  <c r="G73" i="139"/>
  <c r="G121" i="139"/>
  <c r="G187" i="139"/>
  <c r="G43" i="139"/>
  <c r="G91" i="139"/>
  <c r="G25" i="139"/>
  <c r="G61" i="139"/>
  <c r="G93" i="139"/>
  <c r="G109" i="139"/>
  <c r="G141" i="139"/>
  <c r="G157" i="139"/>
  <c r="G173" i="139"/>
  <c r="G191" i="139"/>
  <c r="G207" i="139"/>
  <c r="G27" i="139"/>
  <c r="G47" i="139"/>
  <c r="G63" i="139"/>
  <c r="G79" i="139"/>
  <c r="G95" i="139"/>
  <c r="G111" i="139"/>
  <c r="G127" i="139"/>
  <c r="G143" i="139"/>
  <c r="G159" i="139"/>
  <c r="G175" i="139"/>
  <c r="G193" i="139"/>
  <c r="G209" i="139"/>
  <c r="G33" i="139"/>
  <c r="G85" i="139"/>
  <c r="G133" i="139"/>
  <c r="G215" i="139"/>
  <c r="G37" i="139"/>
  <c r="G103" i="139"/>
  <c r="G151" i="139"/>
  <c r="G185" i="139"/>
  <c r="G21" i="139"/>
  <c r="G57" i="139"/>
  <c r="G89" i="139"/>
  <c r="G137" i="139"/>
  <c r="G153" i="139"/>
  <c r="G203" i="139"/>
  <c r="G59" i="139"/>
  <c r="G107" i="139"/>
  <c r="G45" i="139"/>
  <c r="G77" i="139"/>
  <c r="G125" i="139"/>
  <c r="G29" i="139"/>
  <c r="G49" i="139"/>
  <c r="G65" i="139"/>
  <c r="G81" i="139"/>
  <c r="G97" i="139"/>
  <c r="G113" i="139"/>
  <c r="G129" i="139"/>
  <c r="G145" i="139"/>
  <c r="G161" i="139"/>
  <c r="G179" i="139"/>
  <c r="G195" i="139"/>
  <c r="G211" i="139"/>
  <c r="G31" i="139"/>
  <c r="G51" i="139"/>
  <c r="G67" i="139"/>
  <c r="G83" i="139"/>
  <c r="G99" i="139"/>
  <c r="G115" i="139"/>
  <c r="G131" i="139"/>
  <c r="G147" i="139"/>
  <c r="G163" i="139"/>
  <c r="G181" i="139"/>
  <c r="G197" i="139"/>
  <c r="G213" i="139"/>
</calcChain>
</file>

<file path=xl/sharedStrings.xml><?xml version="1.0" encoding="utf-8"?>
<sst xmlns="http://schemas.openxmlformats.org/spreadsheetml/2006/main" count="9125" uniqueCount="2655">
  <si>
    <t>EE</t>
  </si>
  <si>
    <t>FI</t>
  </si>
  <si>
    <t>FR</t>
  </si>
  <si>
    <t>DE</t>
  </si>
  <si>
    <t>Northern Mariana Is</t>
  </si>
  <si>
    <t>Contact Center - Toll &amp; Revenue Share Surcharges</t>
  </si>
  <si>
    <t>number type</t>
  </si>
  <si>
    <t>Brunei</t>
  </si>
  <si>
    <t>Burkina Faso</t>
  </si>
  <si>
    <t>Burundi</t>
  </si>
  <si>
    <t>Cambodia</t>
  </si>
  <si>
    <t>Cameroon</t>
  </si>
  <si>
    <t>Canary Is</t>
  </si>
  <si>
    <t>Cape Verde</t>
  </si>
  <si>
    <t>Cayman Is</t>
  </si>
  <si>
    <t>Central African Republic</t>
  </si>
  <si>
    <t>Chad</t>
  </si>
  <si>
    <t>Comoros</t>
  </si>
  <si>
    <t>Congo</t>
  </si>
  <si>
    <t>Cook Is</t>
  </si>
  <si>
    <t>Costa Rica</t>
  </si>
  <si>
    <t>Croatia</t>
  </si>
  <si>
    <t>Cuba</t>
  </si>
  <si>
    <t>Antarctica</t>
  </si>
  <si>
    <t>Access</t>
  </si>
  <si>
    <t>Contact Center</t>
  </si>
  <si>
    <t>PSTN Termination</t>
  </si>
  <si>
    <t>Contact Center - PSTN Call Collection Prices</t>
  </si>
  <si>
    <t>Contact Center - Toll Free Call Collection Prices</t>
  </si>
  <si>
    <t>Contact Center - UIFN Call Collection Prices</t>
  </si>
  <si>
    <t>Global Networks 88234</t>
  </si>
  <si>
    <t>International Networks</t>
  </si>
  <si>
    <t>Inmarsat</t>
  </si>
  <si>
    <t>Inmarsat B</t>
  </si>
  <si>
    <t>Inmarsat M</t>
  </si>
  <si>
    <t>International Toll Free</t>
  </si>
  <si>
    <t>Maritime Comms Partner 88232</t>
  </si>
  <si>
    <t>Telespazio 88213</t>
  </si>
  <si>
    <t>Thuraya 88216</t>
  </si>
  <si>
    <t>Mongolia</t>
  </si>
  <si>
    <t>Montserrat</t>
  </si>
  <si>
    <t>ZA</t>
  </si>
  <si>
    <t>ES</t>
  </si>
  <si>
    <t>Australia</t>
  </si>
  <si>
    <t>Austria</t>
  </si>
  <si>
    <t>Brazil</t>
  </si>
  <si>
    <t>Canada</t>
  </si>
  <si>
    <t>Denmark</t>
  </si>
  <si>
    <t>Finland</t>
  </si>
  <si>
    <t>Ireland</t>
  </si>
  <si>
    <t>Italy</t>
  </si>
  <si>
    <t>Japan</t>
  </si>
  <si>
    <t>Luxembourg</t>
  </si>
  <si>
    <t>Netherlands</t>
  </si>
  <si>
    <t>New Zealand</t>
  </si>
  <si>
    <t>Norway</t>
  </si>
  <si>
    <t>Portugal</t>
  </si>
  <si>
    <t>Russia</t>
  </si>
  <si>
    <t>Singapore</t>
  </si>
  <si>
    <t>Spain</t>
  </si>
  <si>
    <t>Sweden</t>
  </si>
  <si>
    <t>Switzerland</t>
  </si>
  <si>
    <t>Taiwan</t>
  </si>
  <si>
    <t>United Kingdom</t>
  </si>
  <si>
    <t>USA</t>
  </si>
  <si>
    <t>Belgium</t>
  </si>
  <si>
    <t>Germany</t>
  </si>
  <si>
    <t>France</t>
  </si>
  <si>
    <t>Argentina</t>
  </si>
  <si>
    <t>Bahrain</t>
  </si>
  <si>
    <t>Bulgaria</t>
  </si>
  <si>
    <t>Chile</t>
  </si>
  <si>
    <t>China</t>
  </si>
  <si>
    <t>Colombia</t>
  </si>
  <si>
    <t>Czech Republic</t>
  </si>
  <si>
    <t>Estonia</t>
  </si>
  <si>
    <t>Greece</t>
  </si>
  <si>
    <t>Hong Kong</t>
  </si>
  <si>
    <t>Hungary</t>
  </si>
  <si>
    <t>Iceland</t>
  </si>
  <si>
    <t>India</t>
  </si>
  <si>
    <t>Indonesia</t>
  </si>
  <si>
    <t>Israel</t>
  </si>
  <si>
    <t>Kenya</t>
  </si>
  <si>
    <t>Latvia</t>
  </si>
  <si>
    <t>Lebanon</t>
  </si>
  <si>
    <t>Lithuania</t>
  </si>
  <si>
    <t>Malaysia</t>
  </si>
  <si>
    <t>Mexico</t>
  </si>
  <si>
    <t>Morocco</t>
  </si>
  <si>
    <t>Peru</t>
  </si>
  <si>
    <t>Philippines</t>
  </si>
  <si>
    <t>Poland</t>
  </si>
  <si>
    <t>Puerto Rico</t>
  </si>
  <si>
    <t>Romania</t>
  </si>
  <si>
    <t>Saudi Arabia</t>
  </si>
  <si>
    <t>Senegal</t>
  </si>
  <si>
    <t>Slovakia</t>
  </si>
  <si>
    <t>South Africa</t>
  </si>
  <si>
    <t>Thailand</t>
  </si>
  <si>
    <t>Tunisia</t>
  </si>
  <si>
    <t>Turkey</t>
  </si>
  <si>
    <t>United Arab Emirates</t>
  </si>
  <si>
    <t>Venezuela</t>
  </si>
  <si>
    <t>Zimbabwe</t>
  </si>
  <si>
    <t>One time</t>
  </si>
  <si>
    <t>Per minute</t>
  </si>
  <si>
    <t>All prices exclude VAT and apply at all times of day.</t>
  </si>
  <si>
    <t>&gt;&gt; Main Menu</t>
  </si>
  <si>
    <t>Fixed Charges Per Number</t>
  </si>
  <si>
    <t>Installation</t>
  </si>
  <si>
    <t>Rental</t>
  </si>
  <si>
    <t>Monthly</t>
  </si>
  <si>
    <t>'na' indicates not available as a standard service, please see Voice Availaibility Matrix.</t>
  </si>
  <si>
    <t>Toll Share</t>
  </si>
  <si>
    <t>All rates in USD</t>
  </si>
  <si>
    <t>Toll Free Call Usage</t>
  </si>
  <si>
    <t>UIFN Call Usage</t>
  </si>
  <si>
    <t>Toll Shared Call Usage</t>
  </si>
  <si>
    <t>Panama</t>
  </si>
  <si>
    <t>unique ID</t>
  </si>
  <si>
    <t>Iran</t>
  </si>
  <si>
    <t>Iraq</t>
  </si>
  <si>
    <t>Jamaica</t>
  </si>
  <si>
    <t>Jordan</t>
  </si>
  <si>
    <t>Kazakhstan</t>
  </si>
  <si>
    <t>Kiribati</t>
  </si>
  <si>
    <t>Kuwait</t>
  </si>
  <si>
    <t>Laos</t>
  </si>
  <si>
    <t>Lesotho</t>
  </si>
  <si>
    <t>Liberia</t>
  </si>
  <si>
    <t>Libya</t>
  </si>
  <si>
    <t>Macao</t>
  </si>
  <si>
    <t>Macedonia</t>
  </si>
  <si>
    <t>Qatar</t>
  </si>
  <si>
    <t>Russia Moscow</t>
  </si>
  <si>
    <t>Russia St Petersburg</t>
  </si>
  <si>
    <t>Rwanda</t>
  </si>
  <si>
    <t>Sao Tome &amp; Principe</t>
  </si>
  <si>
    <t>HK</t>
  </si>
  <si>
    <t>GB</t>
  </si>
  <si>
    <t>French Polynesia</t>
  </si>
  <si>
    <t>Gabon</t>
  </si>
  <si>
    <t>Gambia</t>
  </si>
  <si>
    <t>Georgia</t>
  </si>
  <si>
    <t>Ghana</t>
  </si>
  <si>
    <t>Grenada</t>
  </si>
  <si>
    <t>Guantanamo</t>
  </si>
  <si>
    <t>Guatemala</t>
  </si>
  <si>
    <t>Guinea-Bissau</t>
  </si>
  <si>
    <t>Guyana</t>
  </si>
  <si>
    <t>Haiti</t>
  </si>
  <si>
    <t>Honduras</t>
  </si>
  <si>
    <t>Guinea</t>
  </si>
  <si>
    <t>Korea North</t>
  </si>
  <si>
    <t>Korea South</t>
  </si>
  <si>
    <t>Montenegro</t>
  </si>
  <si>
    <t>Myanmar</t>
  </si>
  <si>
    <t>LU</t>
  </si>
  <si>
    <t>Gibraltar</t>
  </si>
  <si>
    <t>Greenland</t>
  </si>
  <si>
    <t>Guadeloupe</t>
  </si>
  <si>
    <t>Guam</t>
  </si>
  <si>
    <t>Liechtenstein</t>
  </si>
  <si>
    <t>Malta</t>
  </si>
  <si>
    <t>Martinique</t>
  </si>
  <si>
    <t>Monaco</t>
  </si>
  <si>
    <t>Nicaragua</t>
  </si>
  <si>
    <t>Reunion Is</t>
  </si>
  <si>
    <t>San Marino</t>
  </si>
  <si>
    <t>Slovenia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</si>
  <si>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</si>
  <si>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</si>
  <si>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</si>
  <si>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</si>
  <si>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</si>
  <si>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</si>
  <si>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</si>
  <si>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&amp; Barbuda</t>
  </si>
  <si>
    <t>Armenia</t>
  </si>
  <si>
    <t>Aruba</t>
  </si>
  <si>
    <t>Azerbaijan</t>
  </si>
  <si>
    <t>Azores</t>
  </si>
  <si>
    <t>Bahamas</t>
  </si>
  <si>
    <t>Bangladesh</t>
  </si>
  <si>
    <t>Barbados</t>
  </si>
  <si>
    <t>Belarus</t>
  </si>
  <si>
    <t>Belize</t>
  </si>
  <si>
    <t>Benin</t>
  </si>
  <si>
    <t>Bermuda</t>
  </si>
  <si>
    <t>Bhutan</t>
  </si>
  <si>
    <t>Bolivia</t>
  </si>
  <si>
    <t>Botswana</t>
  </si>
  <si>
    <t>NL</t>
  </si>
  <si>
    <t>IT</t>
  </si>
  <si>
    <t>JP</t>
  </si>
  <si>
    <t>NAM</t>
  </si>
  <si>
    <t>Bosnia &amp; Herzegovina</t>
  </si>
  <si>
    <t>Congo Dem. Rep.</t>
  </si>
  <si>
    <t>French Guiana</t>
  </si>
  <si>
    <t>IE</t>
  </si>
  <si>
    <t>Wallis &amp; Futuna</t>
  </si>
  <si>
    <t>Yemen</t>
  </si>
  <si>
    <t>Zambia</t>
  </si>
  <si>
    <t>Kyrgyzstan</t>
  </si>
  <si>
    <t>Madagascar</t>
  </si>
  <si>
    <t>Madeira</t>
  </si>
  <si>
    <t>Malawi</t>
  </si>
  <si>
    <t>Maldives</t>
  </si>
  <si>
    <t>Mali</t>
  </si>
  <si>
    <t>Marshall Is</t>
  </si>
  <si>
    <t>Mauritania</t>
  </si>
  <si>
    <t>Mauritius</t>
  </si>
  <si>
    <t>Mayotte</t>
  </si>
  <si>
    <t>Micronesia</t>
  </si>
  <si>
    <t>Moldova</t>
  </si>
  <si>
    <t>DK</t>
  </si>
  <si>
    <t>TPM charges not applicable to Advance PSTN Call Usage</t>
  </si>
  <si>
    <t>TPM charges not applicable to Advance Toll Free Call Usage</t>
  </si>
  <si>
    <t>TPM charges not applicable to Advance UIFN Call Usage</t>
  </si>
  <si>
    <t>TPM charges not applicable to Advance Toll Shared Call Usage</t>
  </si>
  <si>
    <t>Mozambique</t>
  </si>
  <si>
    <t>Namibia</t>
  </si>
  <si>
    <t>Nauru Is</t>
  </si>
  <si>
    <t>Nepal</t>
  </si>
  <si>
    <t>New Caledonia</t>
  </si>
  <si>
    <t>Niger</t>
  </si>
  <si>
    <t>Nigeria</t>
  </si>
  <si>
    <t>Niue Is</t>
  </si>
  <si>
    <t>Norfolk Is</t>
  </si>
  <si>
    <t>Oman</t>
  </si>
  <si>
    <t>Pakistan</t>
  </si>
  <si>
    <t>Palau</t>
  </si>
  <si>
    <t>Palestine</t>
  </si>
  <si>
    <t>Papua New Guinea</t>
  </si>
  <si>
    <t>Paraguay</t>
  </si>
  <si>
    <t>TW</t>
  </si>
  <si>
    <t>Samoa</t>
  </si>
  <si>
    <t>Curacao</t>
  </si>
  <si>
    <t>Serbia</t>
  </si>
  <si>
    <t>Cyprus</t>
  </si>
  <si>
    <t>Diego Garcia</t>
  </si>
  <si>
    <t>Djibouti</t>
  </si>
  <si>
    <t>PL</t>
  </si>
  <si>
    <t>PT</t>
  </si>
  <si>
    <t>Turks &amp; Caicos Is</t>
  </si>
  <si>
    <t>Turkey North Cyprus</t>
  </si>
  <si>
    <t>SE</t>
  </si>
  <si>
    <t>CH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</si>
  <si>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</si>
  <si>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</si>
  <si>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</si>
  <si>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</si>
  <si>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</si>
  <si>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</si>
  <si>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</si>
  <si>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</si>
  <si>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Ethiopia</t>
  </si>
  <si>
    <t>Faeroe Is</t>
  </si>
  <si>
    <t>Falkland Is</t>
  </si>
  <si>
    <t>Fiji</t>
  </si>
  <si>
    <t>Seychelles</t>
  </si>
  <si>
    <t>Sierra Leone</t>
  </si>
  <si>
    <t>Solomon Is</t>
  </si>
  <si>
    <t>Somalia</t>
  </si>
  <si>
    <t>Sri Lanka</t>
  </si>
  <si>
    <t>St Helena</t>
  </si>
  <si>
    <t>St Kitts &amp; Nevis</t>
  </si>
  <si>
    <t>St Lucia</t>
  </si>
  <si>
    <t>St Pierre &amp; Miquelon</t>
  </si>
  <si>
    <t>Sudan</t>
  </si>
  <si>
    <t>Suriname</t>
  </si>
  <si>
    <t>Swaziland</t>
  </si>
  <si>
    <t>Syria</t>
  </si>
  <si>
    <t>Tajikistan</t>
  </si>
  <si>
    <t>Tanzania</t>
  </si>
  <si>
    <t>Togo</t>
  </si>
  <si>
    <t>Tokelau</t>
  </si>
  <si>
    <t>Tonga</t>
  </si>
  <si>
    <t>Trinidad &amp; Tobago</t>
  </si>
  <si>
    <t>Turkmenistan</t>
  </si>
  <si>
    <t>Tuvalu</t>
  </si>
  <si>
    <t>Uganda</t>
  </si>
  <si>
    <t>Ukraine</t>
  </si>
  <si>
    <t>Uruguay</t>
  </si>
  <si>
    <t>Uzbekistan</t>
  </si>
  <si>
    <t>Vanuatu</t>
  </si>
  <si>
    <t>Vatican City</t>
  </si>
  <si>
    <t>Vietnam</t>
  </si>
  <si>
    <t>NO</t>
  </si>
  <si>
    <t>RU</t>
  </si>
  <si>
    <t>Russia Kaliningrad</t>
  </si>
  <si>
    <t>SG</t>
  </si>
  <si>
    <t>US</t>
  </si>
  <si>
    <t>AU</t>
  </si>
  <si>
    <t>AT</t>
  </si>
  <si>
    <t>BE</t>
  </si>
  <si>
    <t>Ivory Coast</t>
  </si>
  <si>
    <t>South Sudan</t>
  </si>
  <si>
    <t>Usa</t>
  </si>
  <si>
    <t>Virgin Is (Us)</t>
  </si>
  <si>
    <t>Bosnia</t>
  </si>
  <si>
    <t>Saint Maarten</t>
  </si>
  <si>
    <t>Revenue Share international</t>
  </si>
  <si>
    <t>Usa Alabama</t>
  </si>
  <si>
    <t>Usa Alaska</t>
  </si>
  <si>
    <t>Usa Arizona</t>
  </si>
  <si>
    <t>Usa Arkansas</t>
  </si>
  <si>
    <t>Usa California</t>
  </si>
  <si>
    <t>Usa Colorado</t>
  </si>
  <si>
    <t>Usa Connecticut</t>
  </si>
  <si>
    <t>Usa Delaware</t>
  </si>
  <si>
    <t>Usa Florida</t>
  </si>
  <si>
    <t>Usa Georgia</t>
  </si>
  <si>
    <t>Usa Hawaii</t>
  </si>
  <si>
    <t>Usa Idaho</t>
  </si>
  <si>
    <t>Usa Illinois</t>
  </si>
  <si>
    <t>Usa Indiana</t>
  </si>
  <si>
    <t>Usa Iowa</t>
  </si>
  <si>
    <t>Usa Kansas</t>
  </si>
  <si>
    <t>Usa Kentucky</t>
  </si>
  <si>
    <t>Usa Louisiana</t>
  </si>
  <si>
    <t>Usa Maine</t>
  </si>
  <si>
    <t>Usa Maryland</t>
  </si>
  <si>
    <t>Usa Massachusetts</t>
  </si>
  <si>
    <t>Usa Michigan</t>
  </si>
  <si>
    <t>Usa Minnesota</t>
  </si>
  <si>
    <t>Usa Mississippi</t>
  </si>
  <si>
    <t>Usa Missouri</t>
  </si>
  <si>
    <t>Usa Montana</t>
  </si>
  <si>
    <t>Usa Nebraska</t>
  </si>
  <si>
    <t>Usa Nevada</t>
  </si>
  <si>
    <t>Usa New Hampshire</t>
  </si>
  <si>
    <t>Usa New Jersey</t>
  </si>
  <si>
    <t>Usa New Mexico</t>
  </si>
  <si>
    <t>Usa New York</t>
  </si>
  <si>
    <t>Usa North Carolina</t>
  </si>
  <si>
    <t>Usa North Dakota</t>
  </si>
  <si>
    <t>Usa Ohio</t>
  </si>
  <si>
    <t>Usa Oklahoma</t>
  </si>
  <si>
    <t>Usa Oregon</t>
  </si>
  <si>
    <t>Usa Pennsylvania</t>
  </si>
  <si>
    <t>Usa Rhode Island</t>
  </si>
  <si>
    <t>Usa South Carolina</t>
  </si>
  <si>
    <t>Usa South Dakota</t>
  </si>
  <si>
    <t>Usa Tennessee</t>
  </si>
  <si>
    <t>Usa Texas</t>
  </si>
  <si>
    <t>Usa Utah</t>
  </si>
  <si>
    <t>Usa Vermont</t>
  </si>
  <si>
    <t>Usa Virginia</t>
  </si>
  <si>
    <t>Usa Washington</t>
  </si>
  <si>
    <t>Usa Washington Dc</t>
  </si>
  <si>
    <t>Usa West Virginia</t>
  </si>
  <si>
    <t>Usa Wisconsin</t>
  </si>
  <si>
    <t>Usa Wyoming</t>
  </si>
  <si>
    <t>Bonaire St Eust Saba</t>
  </si>
  <si>
    <t>Bonaire St Eust Saba Mobile</t>
  </si>
  <si>
    <t>Global Satellite Gmss</t>
  </si>
  <si>
    <t>Inmarsat B Hsd</t>
  </si>
  <si>
    <t>Inmarsat Bgan</t>
  </si>
  <si>
    <t>Inmarsat Bgan Hsd</t>
  </si>
  <si>
    <t>Inmarsat M4 Hsd</t>
  </si>
  <si>
    <t>Inmarsat Mm</t>
  </si>
  <si>
    <t>Midway Islands (Hawaii)</t>
  </si>
  <si>
    <t>Virgin Is (Uk)</t>
  </si>
  <si>
    <t>Collecting Country</t>
  </si>
  <si>
    <t>South Korea</t>
  </si>
  <si>
    <t>PSTN Termination (Contact Center)</t>
  </si>
  <si>
    <t>Globalstar</t>
  </si>
  <si>
    <t>PILOT VACS1 Schedule</t>
  </si>
  <si>
    <t>Per Number</t>
  </si>
  <si>
    <t>Network Global Personnal NB</t>
  </si>
  <si>
    <t>Network Int Orange 90131</t>
  </si>
  <si>
    <t>Network Int Vodafone</t>
  </si>
  <si>
    <t>Russia Vas Globalstar</t>
  </si>
  <si>
    <t>Satellite Sita On Air</t>
  </si>
  <si>
    <t>&gt;&gt; PSTN Termination</t>
  </si>
  <si>
    <t>Reference Information</t>
  </si>
  <si>
    <t>&gt;&gt; Country &amp; destination codes</t>
  </si>
  <si>
    <t>&gt;&gt; PSTN call collection</t>
  </si>
  <si>
    <t>&gt;&gt; Toll Free call collection</t>
  </si>
  <si>
    <t>&gt;&gt; UIFN call collection</t>
  </si>
  <si>
    <t>&gt;&gt; Toll Share surcharges</t>
  </si>
  <si>
    <t>&gt;&gt; Network Contact Manager (NCM)</t>
  </si>
  <si>
    <t>Kosovo</t>
  </si>
  <si>
    <t>AUS</t>
  </si>
  <si>
    <t>AUT</t>
  </si>
  <si>
    <t>BEL</t>
  </si>
  <si>
    <t>BGR</t>
  </si>
  <si>
    <t>BHR</t>
  </si>
  <si>
    <t>BMU</t>
  </si>
  <si>
    <t>BRA</t>
  </si>
  <si>
    <t>CAN</t>
  </si>
  <si>
    <t>CHE</t>
  </si>
  <si>
    <t>CHL</t>
  </si>
  <si>
    <t>CHN</t>
  </si>
  <si>
    <t>COG</t>
  </si>
  <si>
    <t>CRI</t>
  </si>
  <si>
    <t>CZE</t>
  </si>
  <si>
    <t>DEU</t>
  </si>
  <si>
    <t>DNK</t>
  </si>
  <si>
    <t>DOM</t>
  </si>
  <si>
    <t>ESP</t>
  </si>
  <si>
    <t>EST</t>
  </si>
  <si>
    <t>FIN</t>
  </si>
  <si>
    <t>FRA</t>
  </si>
  <si>
    <t>GBR</t>
  </si>
  <si>
    <t>GEO</t>
  </si>
  <si>
    <t>GHA</t>
  </si>
  <si>
    <t>GIB</t>
  </si>
  <si>
    <t>GIN</t>
  </si>
  <si>
    <t>GLP</t>
  </si>
  <si>
    <t>GRC</t>
  </si>
  <si>
    <t>French Guyana</t>
  </si>
  <si>
    <t>GUF</t>
  </si>
  <si>
    <t>GUM</t>
  </si>
  <si>
    <t>HKG</t>
  </si>
  <si>
    <t>HRV</t>
  </si>
  <si>
    <t>HUN</t>
  </si>
  <si>
    <t>IND</t>
  </si>
  <si>
    <t>IRL</t>
  </si>
  <si>
    <t>ISL</t>
  </si>
  <si>
    <t>ISR</t>
  </si>
  <si>
    <t>ITA</t>
  </si>
  <si>
    <t>JAM</t>
  </si>
  <si>
    <t>JPN</t>
  </si>
  <si>
    <t>KEN</t>
  </si>
  <si>
    <t>KOR</t>
  </si>
  <si>
    <t>LIE</t>
  </si>
  <si>
    <t>LTU</t>
  </si>
  <si>
    <t>LUX</t>
  </si>
  <si>
    <t>LVA</t>
  </si>
  <si>
    <t>MAR</t>
  </si>
  <si>
    <t>MCO</t>
  </si>
  <si>
    <t>MEX</t>
  </si>
  <si>
    <t>MLI</t>
  </si>
  <si>
    <t>MLT</t>
  </si>
  <si>
    <t>MTQ</t>
  </si>
  <si>
    <t>MUS</t>
  </si>
  <si>
    <t>MYS</t>
  </si>
  <si>
    <t>MYT</t>
  </si>
  <si>
    <t>NER</t>
  </si>
  <si>
    <t>NIC</t>
  </si>
  <si>
    <t>NLD</t>
  </si>
  <si>
    <t>NOR</t>
  </si>
  <si>
    <t>NZL</t>
  </si>
  <si>
    <t>POL</t>
  </si>
  <si>
    <t>PRT</t>
  </si>
  <si>
    <t>Reunion</t>
  </si>
  <si>
    <t>REU</t>
  </si>
  <si>
    <t>RUS</t>
  </si>
  <si>
    <t>SGP</t>
  </si>
  <si>
    <t>SMR</t>
  </si>
  <si>
    <t>SPM</t>
  </si>
  <si>
    <t>SVK</t>
  </si>
  <si>
    <t>SVN</t>
  </si>
  <si>
    <t>SWE</t>
  </si>
  <si>
    <t>TUR</t>
  </si>
  <si>
    <t>TWN</t>
  </si>
  <si>
    <t>TZA</t>
  </si>
  <si>
    <t>VAT</t>
  </si>
  <si>
    <t>VIR</t>
  </si>
  <si>
    <t>ZAF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</si>
  <si>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</si>
  <si>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</si>
  <si>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</si>
  <si>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</si>
  <si>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</si>
  <si>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</si>
  <si>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</si>
  <si>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</si>
  <si>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</si>
  <si>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</si>
  <si>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ATA</t>
  </si>
  <si>
    <t>ATG</t>
  </si>
  <si>
    <t>AZE</t>
  </si>
  <si>
    <t>BDI</t>
  </si>
  <si>
    <t>BEN</t>
  </si>
  <si>
    <t>BES</t>
  </si>
  <si>
    <t>BFA</t>
  </si>
  <si>
    <t>BGD</t>
  </si>
  <si>
    <t>BHS</t>
  </si>
  <si>
    <t>BIH</t>
  </si>
  <si>
    <t>BLR</t>
  </si>
  <si>
    <t>BLZ</t>
  </si>
  <si>
    <t>BOL</t>
  </si>
  <si>
    <t>BRB</t>
  </si>
  <si>
    <t>BRN</t>
  </si>
  <si>
    <t>BTN</t>
  </si>
  <si>
    <t>BWA</t>
  </si>
  <si>
    <t>CAF</t>
  </si>
  <si>
    <t>CIV</t>
  </si>
  <si>
    <t>Cote d'Ivoire</t>
  </si>
  <si>
    <t>CMR</t>
  </si>
  <si>
    <t>COD</t>
  </si>
  <si>
    <t>COK</t>
  </si>
  <si>
    <t>COL</t>
  </si>
  <si>
    <t>COM</t>
  </si>
  <si>
    <t>CPV</t>
  </si>
  <si>
    <t>CUB</t>
  </si>
  <si>
    <t>CUW</t>
  </si>
  <si>
    <t>CYM</t>
  </si>
  <si>
    <t>Cayman Islands</t>
  </si>
  <si>
    <t>CYP</t>
  </si>
  <si>
    <t>DJI</t>
  </si>
  <si>
    <t>DMA</t>
  </si>
  <si>
    <t>DZA</t>
  </si>
  <si>
    <t>ECU</t>
  </si>
  <si>
    <t>EGY</t>
  </si>
  <si>
    <t>ERI</t>
  </si>
  <si>
    <t>ETH</t>
  </si>
  <si>
    <t>FJI</t>
  </si>
  <si>
    <t>FLK</t>
  </si>
  <si>
    <t>FRO</t>
  </si>
  <si>
    <t>FSM</t>
  </si>
  <si>
    <t>GAB</t>
  </si>
  <si>
    <t>GMB</t>
  </si>
  <si>
    <t>GNB</t>
  </si>
  <si>
    <t>GNQ</t>
  </si>
  <si>
    <t>GRD</t>
  </si>
  <si>
    <t>GRL</t>
  </si>
  <si>
    <t>GTM</t>
  </si>
  <si>
    <t>GUY</t>
  </si>
  <si>
    <t>HND</t>
  </si>
  <si>
    <t>HTI</t>
  </si>
  <si>
    <t>IDN</t>
  </si>
  <si>
    <t>IOT</t>
  </si>
  <si>
    <t>IRN</t>
  </si>
  <si>
    <t>IRQ</t>
  </si>
  <si>
    <t>JOR</t>
  </si>
  <si>
    <t>KAZ</t>
  </si>
  <si>
    <t>KGZ</t>
  </si>
  <si>
    <t>KHM</t>
  </si>
  <si>
    <t>KIR</t>
  </si>
  <si>
    <t>KNA</t>
  </si>
  <si>
    <t>KWT</t>
  </si>
  <si>
    <t>LAO</t>
  </si>
  <si>
    <t>LBN</t>
  </si>
  <si>
    <t>LBR</t>
  </si>
  <si>
    <t>LBY</t>
  </si>
  <si>
    <t>LCA</t>
  </si>
  <si>
    <t>LKA</t>
  </si>
  <si>
    <t>LSO</t>
  </si>
  <si>
    <t>MAC</t>
  </si>
  <si>
    <t>MDA</t>
  </si>
  <si>
    <t>MDG</t>
  </si>
  <si>
    <t>MDV</t>
  </si>
  <si>
    <t>MHL</t>
  </si>
  <si>
    <t>MKD</t>
  </si>
  <si>
    <t>MMR</t>
  </si>
  <si>
    <t>MNE</t>
  </si>
  <si>
    <t>MNG</t>
  </si>
  <si>
    <t>MNP</t>
  </si>
  <si>
    <t>Northern Mariana Islands</t>
  </si>
  <si>
    <t>MOZ</t>
  </si>
  <si>
    <t>MRT</t>
  </si>
  <si>
    <t>MSR</t>
  </si>
  <si>
    <t>MWI</t>
  </si>
  <si>
    <t>NCL</t>
  </si>
  <si>
    <t>NGA</t>
  </si>
  <si>
    <t>NIU</t>
  </si>
  <si>
    <t>Niue</t>
  </si>
  <si>
    <t>NPL</t>
  </si>
  <si>
    <t>NRU</t>
  </si>
  <si>
    <t>Nauru</t>
  </si>
  <si>
    <t>OMN</t>
  </si>
  <si>
    <t>PAK</t>
  </si>
  <si>
    <t>PAN</t>
  </si>
  <si>
    <t>PER</t>
  </si>
  <si>
    <t>PHL</t>
  </si>
  <si>
    <t>PLW</t>
  </si>
  <si>
    <t>PNG</t>
  </si>
  <si>
    <t>PRI</t>
  </si>
  <si>
    <t>PRK</t>
  </si>
  <si>
    <t>North Korea</t>
  </si>
  <si>
    <t>PRY</t>
  </si>
  <si>
    <t>PSE</t>
  </si>
  <si>
    <t>PYF</t>
  </si>
  <si>
    <t>QAT</t>
  </si>
  <si>
    <t>RWA</t>
  </si>
  <si>
    <t>SAU</t>
  </si>
  <si>
    <t>SDN</t>
  </si>
  <si>
    <t>SEN</t>
  </si>
  <si>
    <t>SHN</t>
  </si>
  <si>
    <t>SLB</t>
  </si>
  <si>
    <t>SLE</t>
  </si>
  <si>
    <t>SLV</t>
  </si>
  <si>
    <t>SOM</t>
  </si>
  <si>
    <t>SRB</t>
  </si>
  <si>
    <t>SSD</t>
  </si>
  <si>
    <t>STP</t>
  </si>
  <si>
    <t>SUR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</si>
  <si>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</si>
  <si>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</si>
  <si>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</si>
  <si>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</si>
  <si>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</si>
  <si>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</si>
  <si>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</si>
  <si>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</si>
  <si>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</si>
  <si>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</si>
  <si>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</si>
  <si>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</si>
  <si>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</si>
  <si>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</si>
  <si>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</si>
  <si>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TUV</t>
  </si>
  <si>
    <t>UGA</t>
  </si>
  <si>
    <t>UKR</t>
  </si>
  <si>
    <t>URY</t>
  </si>
  <si>
    <t>UZB</t>
  </si>
  <si>
    <t>VCT</t>
  </si>
  <si>
    <t>VEN</t>
  </si>
  <si>
    <t>VGB</t>
  </si>
  <si>
    <t>Virgin Is (UK)</t>
  </si>
  <si>
    <t>VNM</t>
  </si>
  <si>
    <t>VUT</t>
  </si>
  <si>
    <t>WLF</t>
  </si>
  <si>
    <t>WSM</t>
  </si>
  <si>
    <t>YEM</t>
  </si>
  <si>
    <t>ZMB</t>
  </si>
  <si>
    <t>ZWE</t>
  </si>
  <si>
    <t>list of regions</t>
  </si>
  <si>
    <t>list of call types</t>
  </si>
  <si>
    <t>country</t>
  </si>
  <si>
    <t>region</t>
  </si>
  <si>
    <t>description</t>
  </si>
  <si>
    <t>call type</t>
  </si>
  <si>
    <t>RoW 2</t>
  </si>
  <si>
    <t>AF</t>
  </si>
  <si>
    <t>Eur 1</t>
  </si>
  <si>
    <t>major Europe</t>
  </si>
  <si>
    <t>fixed</t>
  </si>
  <si>
    <t>calls to fixed lines</t>
  </si>
  <si>
    <t>Eur 2</t>
  </si>
  <si>
    <t>AL</t>
  </si>
  <si>
    <t>minor Europe</t>
  </si>
  <si>
    <t>mobile</t>
  </si>
  <si>
    <t>calls to mobiles</t>
  </si>
  <si>
    <t>DZ</t>
  </si>
  <si>
    <t>North America</t>
  </si>
  <si>
    <t>NGN</t>
  </si>
  <si>
    <t>calls to non-geographic numbers (e.g. toll free, shared cost)</t>
  </si>
  <si>
    <t>na</t>
  </si>
  <si>
    <t>LAM</t>
  </si>
  <si>
    <t>Latin America</t>
  </si>
  <si>
    <t>on-net</t>
  </si>
  <si>
    <t>on-net calls between customer sites</t>
  </si>
  <si>
    <t>AS</t>
  </si>
  <si>
    <t>Asia 1</t>
  </si>
  <si>
    <t>major Asia</t>
  </si>
  <si>
    <t>access</t>
  </si>
  <si>
    <t>SA Surcharge</t>
  </si>
  <si>
    <t>AD</t>
  </si>
  <si>
    <t>Asia 2</t>
  </si>
  <si>
    <t>minor Asia</t>
  </si>
  <si>
    <t>ISDN</t>
  </si>
  <si>
    <t>international ISDN calls</t>
  </si>
  <si>
    <t>AO</t>
  </si>
  <si>
    <t>RoW 1</t>
  </si>
  <si>
    <t>major Rest Of World</t>
  </si>
  <si>
    <t>AI</t>
  </si>
  <si>
    <t>minor Rest Of World</t>
  </si>
  <si>
    <t>AQ</t>
  </si>
  <si>
    <t>non-geographic number</t>
  </si>
  <si>
    <t>AG</t>
  </si>
  <si>
    <t>Satellite</t>
  </si>
  <si>
    <t>satellite</t>
  </si>
  <si>
    <t>AR</t>
  </si>
  <si>
    <t>AM</t>
  </si>
  <si>
    <t>AW</t>
  </si>
  <si>
    <t>Ascension Is</t>
  </si>
  <si>
    <t>ASC</t>
  </si>
  <si>
    <t>AC</t>
  </si>
  <si>
    <t>AZ</t>
  </si>
  <si>
    <t>BS</t>
  </si>
  <si>
    <t>BH</t>
  </si>
  <si>
    <t>BD</t>
  </si>
  <si>
    <t>BB</t>
  </si>
  <si>
    <t>BY</t>
  </si>
  <si>
    <t>BZ</t>
  </si>
  <si>
    <t>BJ</t>
  </si>
  <si>
    <t>BM</t>
  </si>
  <si>
    <t>BT</t>
  </si>
  <si>
    <t>BO</t>
  </si>
  <si>
    <t>AN</t>
  </si>
  <si>
    <t>BA</t>
  </si>
  <si>
    <t>BW</t>
  </si>
  <si>
    <t>BR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</si>
  <si>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</si>
  <si>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</si>
  <si>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</si>
  <si>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</si>
  <si>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</si>
  <si>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</si>
  <si>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</si>
  <si>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</si>
  <si>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</si>
  <si>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CF</t>
  </si>
  <si>
    <t>TD</t>
  </si>
  <si>
    <t>CL</t>
  </si>
  <si>
    <t>CN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</si>
  <si>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</si>
  <si>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</si>
  <si>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</si>
  <si>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</si>
  <si>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</si>
  <si>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</si>
  <si>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</si>
  <si>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</si>
  <si>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</si>
  <si>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CY</t>
  </si>
  <si>
    <t>CZ</t>
  </si>
  <si>
    <t>IO</t>
  </si>
  <si>
    <t>DJ</t>
  </si>
  <si>
    <t>DM</t>
  </si>
  <si>
    <t>DO</t>
  </si>
  <si>
    <t>TL</t>
  </si>
  <si>
    <t>EC</t>
  </si>
  <si>
    <t>EG</t>
  </si>
  <si>
    <t>SV</t>
  </si>
  <si>
    <t>GQ</t>
  </si>
  <si>
    <t>ER</t>
  </si>
  <si>
    <t>ET</t>
  </si>
  <si>
    <t>FO</t>
  </si>
  <si>
    <t>FK</t>
  </si>
  <si>
    <t>FJ</t>
  </si>
  <si>
    <t>GF</t>
  </si>
  <si>
    <t>PF</t>
  </si>
  <si>
    <t>GA</t>
  </si>
  <si>
    <t>GM</t>
  </si>
  <si>
    <t>GE</t>
  </si>
  <si>
    <t>GH</t>
  </si>
  <si>
    <t>GI</t>
  </si>
  <si>
    <t>Global Satellite GMSS</t>
  </si>
  <si>
    <t>GR</t>
  </si>
  <si>
    <t>GL</t>
  </si>
  <si>
    <t>GD</t>
  </si>
  <si>
    <t>GP</t>
  </si>
  <si>
    <t>GU</t>
  </si>
  <si>
    <t>GT</t>
  </si>
  <si>
    <t>GN</t>
  </si>
  <si>
    <t>GW</t>
  </si>
  <si>
    <t>GY</t>
  </si>
  <si>
    <t>HT</t>
  </si>
  <si>
    <t>HN</t>
  </si>
  <si>
    <t>HU</t>
  </si>
  <si>
    <t>IS</t>
  </si>
  <si>
    <t>IN</t>
  </si>
  <si>
    <t>ID</t>
  </si>
  <si>
    <t>OCE</t>
  </si>
  <si>
    <t>EMS</t>
  </si>
  <si>
    <t>ITF</t>
  </si>
  <si>
    <t>IR</t>
  </si>
  <si>
    <t>IQ</t>
  </si>
  <si>
    <t>IL</t>
  </si>
  <si>
    <t>JM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</si>
  <si>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</si>
  <si>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</si>
  <si>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</si>
  <si>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</si>
  <si>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</si>
  <si>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</si>
  <si>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</si>
  <si>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</si>
  <si>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</si>
  <si>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</si>
  <si>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</si>
  <si>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</si>
  <si>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</si>
  <si>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</si>
  <si>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</si>
  <si>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</si>
  <si>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MO</t>
  </si>
  <si>
    <t>MK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</si>
  <si>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</si>
  <si>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</si>
  <si>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</si>
  <si>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</si>
  <si>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</si>
  <si>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</si>
  <si>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</si>
  <si>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</si>
  <si>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</si>
  <si>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</si>
  <si>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</si>
  <si>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</si>
  <si>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</si>
  <si>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Midway Is</t>
  </si>
  <si>
    <t>UMI</t>
  </si>
  <si>
    <t>UM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</si>
  <si>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</si>
  <si>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</si>
  <si>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</si>
  <si>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</si>
  <si>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</si>
  <si>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</si>
  <si>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</si>
  <si>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</si>
  <si>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</si>
  <si>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</si>
  <si>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</si>
  <si>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Netherlands Antilles</t>
  </si>
  <si>
    <t>ANT</t>
  </si>
  <si>
    <t>NC</t>
  </si>
  <si>
    <t>NZ</t>
  </si>
  <si>
    <t>NI</t>
  </si>
  <si>
    <t>NE</t>
  </si>
  <si>
    <t>NG</t>
  </si>
  <si>
    <t>NU</t>
  </si>
  <si>
    <t>NFK</t>
  </si>
  <si>
    <t>MP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</si>
  <si>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</si>
  <si>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</si>
  <si>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</si>
  <si>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</si>
  <si>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</si>
  <si>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</si>
  <si>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</si>
  <si>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</si>
  <si>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</si>
  <si>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PR</t>
  </si>
  <si>
    <t>QA</t>
  </si>
  <si>
    <t>RE</t>
  </si>
  <si>
    <t>ROU</t>
  </si>
  <si>
    <t>RO</t>
  </si>
  <si>
    <t>RW</t>
  </si>
  <si>
    <t>WS</t>
  </si>
  <si>
    <t>SM</t>
  </si>
  <si>
    <t>ST</t>
  </si>
  <si>
    <t>SA</t>
  </si>
  <si>
    <t>SN</t>
  </si>
  <si>
    <t>SC</t>
  </si>
  <si>
    <t>SL</t>
  </si>
  <si>
    <t>SK</t>
  </si>
  <si>
    <t>SI</t>
  </si>
  <si>
    <t>SB</t>
  </si>
  <si>
    <t>SO</t>
  </si>
  <si>
    <t>LK</t>
  </si>
  <si>
    <t>SH</t>
  </si>
  <si>
    <t>KN</t>
  </si>
  <si>
    <t>LC</t>
  </si>
  <si>
    <t>PM</t>
  </si>
  <si>
    <t>St Vincent &amp; the Grenadines</t>
  </si>
  <si>
    <t>VC</t>
  </si>
  <si>
    <t>SD</t>
  </si>
  <si>
    <t>SR</t>
  </si>
  <si>
    <t>SZ</t>
  </si>
  <si>
    <t>SY</t>
  </si>
  <si>
    <t>TJ</t>
  </si>
  <si>
    <t>TZ</t>
  </si>
  <si>
    <t>TH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</si>
  <si>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</si>
  <si>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</si>
  <si>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</si>
  <si>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</si>
  <si>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</si>
  <si>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</si>
  <si>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</si>
  <si>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</si>
  <si>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</si>
  <si>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</si>
  <si>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</si>
  <si>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</si>
  <si>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United Nations Kosovo</t>
  </si>
  <si>
    <t>UY</t>
  </si>
  <si>
    <t>UZ</t>
  </si>
  <si>
    <t>VU</t>
  </si>
  <si>
    <t>VA</t>
  </si>
  <si>
    <t>VE</t>
  </si>
  <si>
    <t>VN</t>
  </si>
  <si>
    <t>VG</t>
  </si>
  <si>
    <t>Virgin Is (US)</t>
  </si>
  <si>
    <t>VI</t>
  </si>
  <si>
    <t>WF</t>
  </si>
  <si>
    <t>YE</t>
  </si>
  <si>
    <t>ZM</t>
  </si>
  <si>
    <t>ZW</t>
  </si>
  <si>
    <t>Saint Martin</t>
  </si>
  <si>
    <t>MAF</t>
  </si>
  <si>
    <t>Inmarsat GAN FLEET HSD SWIFT 64</t>
  </si>
  <si>
    <t>Network Int DTAG</t>
  </si>
  <si>
    <t>Network Int MEDIALINCC</t>
  </si>
  <si>
    <t>Network Int MT MARITIME SVC</t>
  </si>
  <si>
    <t>Network Int TRANSATEL</t>
  </si>
  <si>
    <t>Satellite Elsacom</t>
  </si>
  <si>
    <t>Satellite Iridium P</t>
  </si>
  <si>
    <t>PSTN  Call Usage</t>
  </si>
  <si>
    <t>Originating Pricing Zone</t>
  </si>
  <si>
    <t>ISO Code</t>
  </si>
  <si>
    <t>Bonaire</t>
  </si>
  <si>
    <t>Bosnia/Herzegovina</t>
  </si>
  <si>
    <t>Burkina</t>
  </si>
  <si>
    <t>Cayman Isl</t>
  </si>
  <si>
    <t>Central African Rep</t>
  </si>
  <si>
    <t>Cook Isl</t>
  </si>
  <si>
    <t>Dem Rep of Congo</t>
  </si>
  <si>
    <t>Dominican Rep</t>
  </si>
  <si>
    <t>Faeroe Isl</t>
  </si>
  <si>
    <t>Falkland Isl</t>
  </si>
  <si>
    <t>Marshall Isl</t>
  </si>
  <si>
    <t>Mayotte Isl</t>
  </si>
  <si>
    <t>Palestinian territory</t>
  </si>
  <si>
    <t>Samoa (Western)</t>
  </si>
  <si>
    <t>Sao Tome/Principe</t>
  </si>
  <si>
    <t>Solomon Isl</t>
  </si>
  <si>
    <t>St. Helena</t>
  </si>
  <si>
    <t>St. Kitts/Nevis</t>
  </si>
  <si>
    <t>St. Lucia</t>
  </si>
  <si>
    <t>St. Pierre/Miquelon</t>
  </si>
  <si>
    <t>St. Vincent/Grenadines</t>
  </si>
  <si>
    <t>Turks &amp; Caicos Isl</t>
  </si>
  <si>
    <t>Virgin Isl (UK)</t>
  </si>
  <si>
    <t>Wallis/Futuna Isls</t>
  </si>
  <si>
    <t>Bonnaire St Eustache Saba</t>
  </si>
  <si>
    <t>Sint Marteen (dutch part)</t>
  </si>
  <si>
    <t>XKX</t>
  </si>
  <si>
    <t>SX</t>
  </si>
  <si>
    <t>CW</t>
  </si>
  <si>
    <t>BQ</t>
  </si>
  <si>
    <t>SS</t>
  </si>
  <si>
    <t>MF</t>
  </si>
  <si>
    <t>KV</t>
  </si>
  <si>
    <t>RS</t>
  </si>
  <si>
    <t>ISO 3 Code</t>
  </si>
  <si>
    <t>ISO 2 Code</t>
  </si>
  <si>
    <t>Grand Total</t>
  </si>
  <si>
    <t>Count of country</t>
  </si>
  <si>
    <t>Total</t>
  </si>
  <si>
    <t>Termination</t>
  </si>
  <si>
    <t>Origination</t>
  </si>
  <si>
    <t>British Virgin Islands</t>
  </si>
  <si>
    <t>Guadaloupe</t>
  </si>
  <si>
    <t>Northern Mariana Isl</t>
  </si>
  <si>
    <t>St. Kitts &amp; Nevis</t>
  </si>
  <si>
    <t>St. Vincent &amp; Grenadines</t>
  </si>
  <si>
    <t>Turks &amp; Caicos Islands</t>
  </si>
  <si>
    <t>Us Virgin Islands</t>
  </si>
  <si>
    <t>#N/A</t>
  </si>
  <si>
    <t>N/A - GMS</t>
  </si>
  <si>
    <t>Usa Freephone</t>
  </si>
  <si>
    <t>India (International)</t>
  </si>
  <si>
    <t>India (Domestic)</t>
  </si>
  <si>
    <t>price availabl upon request</t>
  </si>
  <si>
    <t>Argentina810</t>
  </si>
  <si>
    <t>Business Talk Margin Tool v15.38</t>
  </si>
  <si>
    <t>customer-specific region</t>
  </si>
  <si>
    <t>billing country code</t>
  </si>
  <si>
    <t>ISO-3 country code</t>
  </si>
  <si>
    <t>ISO-2 country code</t>
  </si>
  <si>
    <t>country
(repeated for VLOOKUPs)</t>
  </si>
  <si>
    <t>All other routes</t>
  </si>
  <si>
    <t>AOR</t>
  </si>
  <si>
    <t>Bonaire St Eusta Saba</t>
  </si>
  <si>
    <t>Curaçao</t>
  </si>
  <si>
    <t>DGA</t>
  </si>
  <si>
    <t>IRB</t>
  </si>
  <si>
    <t>NF</t>
  </si>
  <si>
    <t>SCG</t>
  </si>
  <si>
    <t>CS</t>
  </si>
  <si>
    <t>Saint Maarten ( Dutch part)</t>
  </si>
  <si>
    <t>Spain and Canary Islands</t>
  </si>
  <si>
    <t>XKO</t>
  </si>
  <si>
    <t>VIP</t>
  </si>
  <si>
    <t>Orange Group Confidential - 25 JULY 2019</t>
  </si>
  <si>
    <t>region by country</t>
  </si>
  <si>
    <t>regions &amp; call types</t>
  </si>
  <si>
    <t>(All CC Services follow VACS1 Program except IN and NCM)</t>
  </si>
  <si>
    <t>Cayman  Islands</t>
  </si>
  <si>
    <t>Trinidad And Tobago</t>
  </si>
  <si>
    <t>PSTN ALB</t>
  </si>
  <si>
    <t>PSTN DZA</t>
  </si>
  <si>
    <t>PSTN AGO</t>
  </si>
  <si>
    <t>PSTN ARG</t>
  </si>
  <si>
    <t>PSTN AUS</t>
  </si>
  <si>
    <t>PSTN AUT</t>
  </si>
  <si>
    <t>PSTN BGD</t>
  </si>
  <si>
    <t>PSTN BLR</t>
  </si>
  <si>
    <t>PSTN BEL</t>
  </si>
  <si>
    <t>PSTN BEN</t>
  </si>
  <si>
    <t>PSTN BIH</t>
  </si>
  <si>
    <t>PSTN BRA</t>
  </si>
  <si>
    <t>PSTN BGR</t>
  </si>
  <si>
    <t>PSTN BFA</t>
  </si>
  <si>
    <t>PSTN KHM</t>
  </si>
  <si>
    <t>PSTN CMR</t>
  </si>
  <si>
    <t>PSTN CAN</t>
  </si>
  <si>
    <t>PSTN CYM</t>
  </si>
  <si>
    <t>PSTN CHL</t>
  </si>
  <si>
    <t>PSTN CHN</t>
  </si>
  <si>
    <t>PSTN COL</t>
  </si>
  <si>
    <t>PSTN CRI</t>
  </si>
  <si>
    <t>PSTN HRV</t>
  </si>
  <si>
    <t>PSTN CYP</t>
  </si>
  <si>
    <t>PSTN CZE</t>
  </si>
  <si>
    <t>PSTN DNK</t>
  </si>
  <si>
    <t>PSTN DOM</t>
  </si>
  <si>
    <t>PSTN SLV</t>
  </si>
  <si>
    <t>PSTN EST</t>
  </si>
  <si>
    <t>PSTN FIN</t>
  </si>
  <si>
    <t>PSTN FRA</t>
  </si>
  <si>
    <t>PSTN GUF</t>
  </si>
  <si>
    <t>PSTN GEO</t>
  </si>
  <si>
    <t>PSTN DEU</t>
  </si>
  <si>
    <t>PSTN GHA</t>
  </si>
  <si>
    <t>PSTN GRC</t>
  </si>
  <si>
    <t>PSTN GRD</t>
  </si>
  <si>
    <t>PSTN GLP</t>
  </si>
  <si>
    <t>PSTN GTM</t>
  </si>
  <si>
    <t>PSTN HND</t>
  </si>
  <si>
    <t>PSTN HKG</t>
  </si>
  <si>
    <t>PSTN HUN</t>
  </si>
  <si>
    <t>PSTN ISL</t>
  </si>
  <si>
    <t>PSTN IND</t>
  </si>
  <si>
    <t>PSTN IDN</t>
  </si>
  <si>
    <t>PSTN IRL</t>
  </si>
  <si>
    <t>PSTN ISR</t>
  </si>
  <si>
    <t>PSTN ITA</t>
  </si>
  <si>
    <t>PSTN CIV</t>
  </si>
  <si>
    <t>PSTN JAM</t>
  </si>
  <si>
    <t>PSTN JPN</t>
  </si>
  <si>
    <t>PSTN JOR</t>
  </si>
  <si>
    <t>PSTN KAZ</t>
  </si>
  <si>
    <t>PSTN KEN</t>
  </si>
  <si>
    <t>PSTN XKX</t>
  </si>
  <si>
    <t>PSTN KWT</t>
  </si>
  <si>
    <t>PSTN KGZ</t>
  </si>
  <si>
    <t>PSTN LVA</t>
  </si>
  <si>
    <t>PSTN LTU</t>
  </si>
  <si>
    <t>PSTN LUX</t>
  </si>
  <si>
    <t>PSTN MAC</t>
  </si>
  <si>
    <t>PSTN MKD</t>
  </si>
  <si>
    <t>PSTN MYS</t>
  </si>
  <si>
    <t>PSTN MLT</t>
  </si>
  <si>
    <t>PSTN MUS</t>
  </si>
  <si>
    <t>PSTN MEX</t>
  </si>
  <si>
    <t>PSTN MDA</t>
  </si>
  <si>
    <t>PSTN MNE</t>
  </si>
  <si>
    <t>PSTN MAR</t>
  </si>
  <si>
    <t>PSTN NLD</t>
  </si>
  <si>
    <t>PSTN NZL</t>
  </si>
  <si>
    <t>PSTN NIC</t>
  </si>
  <si>
    <t>PSTN NGA</t>
  </si>
  <si>
    <t>PSTN NOR</t>
  </si>
  <si>
    <t>PSTN PAK</t>
  </si>
  <si>
    <t>PSTN PAN</t>
  </si>
  <si>
    <t>PSTN PER</t>
  </si>
  <si>
    <t>PSTN PHL</t>
  </si>
  <si>
    <t>PSTN POL</t>
  </si>
  <si>
    <t>PSTN PRT</t>
  </si>
  <si>
    <t>PSTN PRI</t>
  </si>
  <si>
    <t>PSTN ROU</t>
  </si>
  <si>
    <t>PSTN RUS</t>
  </si>
  <si>
    <t>PSTN SAU</t>
  </si>
  <si>
    <t>PSTN SRB</t>
  </si>
  <si>
    <t>PSTN SYC</t>
  </si>
  <si>
    <t>PSTN SGP</t>
  </si>
  <si>
    <t>PSTN SVK</t>
  </si>
  <si>
    <t>PSTN SVN</t>
  </si>
  <si>
    <t>PSTN ZAF</t>
  </si>
  <si>
    <t>PSTN KOR</t>
  </si>
  <si>
    <t>PSTN ESP</t>
  </si>
  <si>
    <t>PSTN LKA</t>
  </si>
  <si>
    <t>PSTN SWE</t>
  </si>
  <si>
    <t>PSTN CHE</t>
  </si>
  <si>
    <t>PSTN TWN</t>
  </si>
  <si>
    <t>PSTN TJK</t>
  </si>
  <si>
    <t>PSTN THA</t>
  </si>
  <si>
    <t>PSTN TTO</t>
  </si>
  <si>
    <t>PSTN TUN</t>
  </si>
  <si>
    <t>PSTN TUR</t>
  </si>
  <si>
    <t>PSTN UGA</t>
  </si>
  <si>
    <t>PSTN UKR</t>
  </si>
  <si>
    <t>PSTN GBR</t>
  </si>
  <si>
    <t>PSTN URY</t>
  </si>
  <si>
    <t>PSTN USA</t>
  </si>
  <si>
    <t>PSTN VEN</t>
  </si>
  <si>
    <t>PSTN VNM</t>
  </si>
  <si>
    <t>PSTN ZWE</t>
  </si>
  <si>
    <t>TF ARG</t>
  </si>
  <si>
    <t>TF ARG MOB</t>
  </si>
  <si>
    <t>TF AUS</t>
  </si>
  <si>
    <t>TF AUS MOB</t>
  </si>
  <si>
    <t>TF AUT</t>
  </si>
  <si>
    <t>TF AUT MOB</t>
  </si>
  <si>
    <t>TF BHS</t>
  </si>
  <si>
    <t>TF BHS MOB</t>
  </si>
  <si>
    <t>TF BLR</t>
  </si>
  <si>
    <t>TF BLR MOB</t>
  </si>
  <si>
    <t>TF BEL</t>
  </si>
  <si>
    <t>TF BEL MOB</t>
  </si>
  <si>
    <t>TF BLZ</t>
  </si>
  <si>
    <t>TF BLZ MOB</t>
  </si>
  <si>
    <t>TF BMU</t>
  </si>
  <si>
    <t>TF BMU MOB</t>
  </si>
  <si>
    <t>TF BWA</t>
  </si>
  <si>
    <t>TF BWA MOB</t>
  </si>
  <si>
    <t>TF BRA</t>
  </si>
  <si>
    <t>TF BRA MOB</t>
  </si>
  <si>
    <t>TF BRN</t>
  </si>
  <si>
    <t>TF BRN MOB</t>
  </si>
  <si>
    <t>TF BGR</t>
  </si>
  <si>
    <t>TF BGR MOB</t>
  </si>
  <si>
    <t>TF KHM</t>
  </si>
  <si>
    <t>TF KHM MOB</t>
  </si>
  <si>
    <t>TF CAN</t>
  </si>
  <si>
    <t>TF CAN MOB</t>
  </si>
  <si>
    <t>TF CHL</t>
  </si>
  <si>
    <t>TF CHL MOB</t>
  </si>
  <si>
    <t>TF CHN</t>
  </si>
  <si>
    <t>TF CHN MOB</t>
  </si>
  <si>
    <t>TF COL</t>
  </si>
  <si>
    <t>TF COL MOB</t>
  </si>
  <si>
    <t>TF CRI</t>
  </si>
  <si>
    <t>TF CRI MOB</t>
  </si>
  <si>
    <t>TF HRV</t>
  </si>
  <si>
    <t>TF HRV MOB</t>
  </si>
  <si>
    <t>TF CYP</t>
  </si>
  <si>
    <t>TF CYP MOB</t>
  </si>
  <si>
    <t>TF CZE</t>
  </si>
  <si>
    <t>TF CZE MOB</t>
  </si>
  <si>
    <t>TF DNK</t>
  </si>
  <si>
    <t>TF DNK MOB</t>
  </si>
  <si>
    <t>TF DOM</t>
  </si>
  <si>
    <t>TF DOM MOB</t>
  </si>
  <si>
    <t>TF ECU</t>
  </si>
  <si>
    <t>TF ECU MOB</t>
  </si>
  <si>
    <t>TF EGY</t>
  </si>
  <si>
    <t>TF EGY MOB</t>
  </si>
  <si>
    <t>TF EST</t>
  </si>
  <si>
    <t>TF EST MOB</t>
  </si>
  <si>
    <t>TF FIN</t>
  </si>
  <si>
    <t>TF FIN MOB</t>
  </si>
  <si>
    <t>TF FRA</t>
  </si>
  <si>
    <t>TF FRA MOB</t>
  </si>
  <si>
    <t>TF GUF</t>
  </si>
  <si>
    <t>TF GUF MOB</t>
  </si>
  <si>
    <t>TF DEU</t>
  </si>
  <si>
    <t>TF DEU MOB</t>
  </si>
  <si>
    <t>TF GRC</t>
  </si>
  <si>
    <t>TF GRC MOB</t>
  </si>
  <si>
    <t>TF GLP</t>
  </si>
  <si>
    <t>TF GLP MOB</t>
  </si>
  <si>
    <t>TF GUM</t>
  </si>
  <si>
    <t>TF GUM MOB</t>
  </si>
  <si>
    <t>TF HND</t>
  </si>
  <si>
    <t>TF HND MOB</t>
  </si>
  <si>
    <t>TF HKG</t>
  </si>
  <si>
    <t>TF HKG MOB</t>
  </si>
  <si>
    <t>TF HUN</t>
  </si>
  <si>
    <t>TF HUN MOB</t>
  </si>
  <si>
    <t>TF ISL</t>
  </si>
  <si>
    <t>TF ISL MOB</t>
  </si>
  <si>
    <t>TF IND</t>
  </si>
  <si>
    <t>TF IND 000800</t>
  </si>
  <si>
    <t>TF IND MOB</t>
  </si>
  <si>
    <t>TF IND 000800 MOB</t>
  </si>
  <si>
    <t>TF IDN</t>
  </si>
  <si>
    <t>TF IDN MOB</t>
  </si>
  <si>
    <t>TF IRL</t>
  </si>
  <si>
    <t>TF IRL MOB</t>
  </si>
  <si>
    <t>TF ISR</t>
  </si>
  <si>
    <t>TF ISR MOB</t>
  </si>
  <si>
    <t>TF ITA</t>
  </si>
  <si>
    <t>TF ITA MOB</t>
  </si>
  <si>
    <t>TF JPN</t>
  </si>
  <si>
    <t>TF JPN MOB</t>
  </si>
  <si>
    <t>TF JOR</t>
  </si>
  <si>
    <t>TF JOR MOB</t>
  </si>
  <si>
    <t>TF KEN</t>
  </si>
  <si>
    <t>TF KEN MOB</t>
  </si>
  <si>
    <t>TF LVA</t>
  </si>
  <si>
    <t>TF LVA MOB</t>
  </si>
  <si>
    <t>TF LIE</t>
  </si>
  <si>
    <t>TF LIE MOB</t>
  </si>
  <si>
    <t>TF LTU</t>
  </si>
  <si>
    <t>TF LTU MOB</t>
  </si>
  <si>
    <t>TF LUX</t>
  </si>
  <si>
    <t>TF LUX MOB</t>
  </si>
  <si>
    <t>TF MKD</t>
  </si>
  <si>
    <t>TF MKD MOB</t>
  </si>
  <si>
    <t>TF MYS</t>
  </si>
  <si>
    <t>TF MYS MOB</t>
  </si>
  <si>
    <t>TF MLT</t>
  </si>
  <si>
    <t>TF MLT MOB</t>
  </si>
  <si>
    <t>TF MTQ</t>
  </si>
  <si>
    <t>TF MTQ MOB</t>
  </si>
  <si>
    <t>TF MUS</t>
  </si>
  <si>
    <t>TF MUS MOB</t>
  </si>
  <si>
    <t>TF MYT</t>
  </si>
  <si>
    <t>TF MYT MOB</t>
  </si>
  <si>
    <t>TF MEX</t>
  </si>
  <si>
    <t>TF MEX MOB</t>
  </si>
  <si>
    <t>TF MCO</t>
  </si>
  <si>
    <t>TF MCO MOB</t>
  </si>
  <si>
    <t>TF MAR</t>
  </si>
  <si>
    <t>TF MAR MOB</t>
  </si>
  <si>
    <t>TF NLD</t>
  </si>
  <si>
    <t>TF NLD MOB</t>
  </si>
  <si>
    <t>TF NZL</t>
  </si>
  <si>
    <t>TF NZL MOB</t>
  </si>
  <si>
    <t>TF NGA</t>
  </si>
  <si>
    <t>TF NGA MOB</t>
  </si>
  <si>
    <t>TF MNP</t>
  </si>
  <si>
    <t>TF MNP MOB</t>
  </si>
  <si>
    <t>TF NOR</t>
  </si>
  <si>
    <t>TF NOR MOB</t>
  </si>
  <si>
    <t>TF OMN</t>
  </si>
  <si>
    <t>TF OMN MOB</t>
  </si>
  <si>
    <t>TF PAK</t>
  </si>
  <si>
    <t>TF PAK MOB</t>
  </si>
  <si>
    <t>TF PAN</t>
  </si>
  <si>
    <t>TF PAN MOB</t>
  </si>
  <si>
    <t>TF PRY</t>
  </si>
  <si>
    <t>TF PRY MOB</t>
  </si>
  <si>
    <t>TF PER</t>
  </si>
  <si>
    <t>TF PER MOB</t>
  </si>
  <si>
    <t>TF PHL</t>
  </si>
  <si>
    <t>TF PHL MOB</t>
  </si>
  <si>
    <t>TF POL</t>
  </si>
  <si>
    <t>TF POL MOB</t>
  </si>
  <si>
    <t>TF PRT</t>
  </si>
  <si>
    <t>TF PRT MOB</t>
  </si>
  <si>
    <t>TF PRI</t>
  </si>
  <si>
    <t>TF PRI MOB</t>
  </si>
  <si>
    <t>TF QAT</t>
  </si>
  <si>
    <t>TF QAT MOB</t>
  </si>
  <si>
    <t>TF REU</t>
  </si>
  <si>
    <t>TF REU MOB</t>
  </si>
  <si>
    <t>TF ROU</t>
  </si>
  <si>
    <t>TF ROU MOB</t>
  </si>
  <si>
    <t>TF RUS</t>
  </si>
  <si>
    <t>TF RUS MOB</t>
  </si>
  <si>
    <t>TF SAU</t>
  </si>
  <si>
    <t>TF SAU MOB</t>
  </si>
  <si>
    <t>TF SRB</t>
  </si>
  <si>
    <t>TF SRB MOB</t>
  </si>
  <si>
    <t>TF SYC</t>
  </si>
  <si>
    <t>TF SYC MOB</t>
  </si>
  <si>
    <t>TF SGP</t>
  </si>
  <si>
    <t>TF SGP MOB</t>
  </si>
  <si>
    <t>TF SVK</t>
  </si>
  <si>
    <t>TF SVK MOB</t>
  </si>
  <si>
    <t>TF SVN</t>
  </si>
  <si>
    <t>TF SVN MOB</t>
  </si>
  <si>
    <t>TF ZAF</t>
  </si>
  <si>
    <t>TF ZAF MOB</t>
  </si>
  <si>
    <t>TF KOR</t>
  </si>
  <si>
    <t>TF KOR MOB</t>
  </si>
  <si>
    <t>TF ESP</t>
  </si>
  <si>
    <t>TF ESP MOB</t>
  </si>
  <si>
    <t>TF LKA</t>
  </si>
  <si>
    <t>TF LKA MOB</t>
  </si>
  <si>
    <t>TF SWE</t>
  </si>
  <si>
    <t>TF SWE MOB</t>
  </si>
  <si>
    <t>TF CHE</t>
  </si>
  <si>
    <t>TF CHE MOB</t>
  </si>
  <si>
    <t>TF TWN</t>
  </si>
  <si>
    <t>TF TWN MOB</t>
  </si>
  <si>
    <t>TF THA</t>
  </si>
  <si>
    <t>TF THA MOB</t>
  </si>
  <si>
    <t>TF UGA</t>
  </si>
  <si>
    <t>TF UGA MOB</t>
  </si>
  <si>
    <t>TF UKR</t>
  </si>
  <si>
    <t>TF UKR MOB</t>
  </si>
  <si>
    <t>TF ARE</t>
  </si>
  <si>
    <t>TF ARE MOB</t>
  </si>
  <si>
    <t>TF GBR</t>
  </si>
  <si>
    <t>TF GBR MOB</t>
  </si>
  <si>
    <t>TF URY</t>
  </si>
  <si>
    <t>TF URY MOB</t>
  </si>
  <si>
    <t>TF USA</t>
  </si>
  <si>
    <t>TF USA MOB</t>
  </si>
  <si>
    <t>TF VIR</t>
  </si>
  <si>
    <t>TF VIR MOB</t>
  </si>
  <si>
    <t>TF VEN</t>
  </si>
  <si>
    <t>TF VEN MOB</t>
  </si>
  <si>
    <t>TF VNM</t>
  </si>
  <si>
    <t>TF VNM MOB</t>
  </si>
  <si>
    <t>UIFN ARG</t>
  </si>
  <si>
    <t>UIFN ARG MOB</t>
  </si>
  <si>
    <t>UIFN AUS</t>
  </si>
  <si>
    <t>UIFN AUS MOB</t>
  </si>
  <si>
    <t>UIFN AUT</t>
  </si>
  <si>
    <t>UIFN AUT MOB</t>
  </si>
  <si>
    <t>UIFN BLR</t>
  </si>
  <si>
    <t>UIFN BLR MOB</t>
  </si>
  <si>
    <t>UIFN BEL</t>
  </si>
  <si>
    <t>UIFN BEL MOB</t>
  </si>
  <si>
    <t>UIFN BRA</t>
  </si>
  <si>
    <t>UIFN BRA MOB</t>
  </si>
  <si>
    <t>UIFN BGR</t>
  </si>
  <si>
    <t>UIFN BGR MOB</t>
  </si>
  <si>
    <t>UIFN CAN</t>
  </si>
  <si>
    <t>UIFN CAN MOB</t>
  </si>
  <si>
    <t>UIFN CHN</t>
  </si>
  <si>
    <t>UIFN CHN MOB</t>
  </si>
  <si>
    <t>UIFN COL</t>
  </si>
  <si>
    <t>UIFN COL MOB</t>
  </si>
  <si>
    <t>UIFN HRV</t>
  </si>
  <si>
    <t>UIFN HRV MOB</t>
  </si>
  <si>
    <t>UIFN CYP</t>
  </si>
  <si>
    <t>UIFN CYP MOB</t>
  </si>
  <si>
    <t>UIFN CZE</t>
  </si>
  <si>
    <t>UIFN CZE MOB</t>
  </si>
  <si>
    <t>UIFN DNK</t>
  </si>
  <si>
    <t>UIFN DNK MOB</t>
  </si>
  <si>
    <t>UIFN EST</t>
  </si>
  <si>
    <t>UIFN EST MOB</t>
  </si>
  <si>
    <t>UIFN FIN</t>
  </si>
  <si>
    <t>UIFN FIN MOB</t>
  </si>
  <si>
    <t>UIFN FRA</t>
  </si>
  <si>
    <t>UIFN FRA MOB</t>
  </si>
  <si>
    <t>UIFN DEU</t>
  </si>
  <si>
    <t>UIFN DEU MOB</t>
  </si>
  <si>
    <t>UIFN GRC</t>
  </si>
  <si>
    <t>UIFN GRC MOB</t>
  </si>
  <si>
    <t>UIFN HKG</t>
  </si>
  <si>
    <t>UIFN HKG MOB</t>
  </si>
  <si>
    <t>UIFN HUN</t>
  </si>
  <si>
    <t>UIFN HUN MOB</t>
  </si>
  <si>
    <t>UIFN ISL</t>
  </si>
  <si>
    <t>UIFN ISL MOB</t>
  </si>
  <si>
    <t>UIFN IRL</t>
  </si>
  <si>
    <t>UIFN IRL MOB</t>
  </si>
  <si>
    <t>UIFN ISR</t>
  </si>
  <si>
    <t>UIFN ISR MOB</t>
  </si>
  <si>
    <t>UIFN ITA</t>
  </si>
  <si>
    <t>UIFN ITA MOB</t>
  </si>
  <si>
    <t>UIFN JPN</t>
  </si>
  <si>
    <t>UIFN JPN MOB</t>
  </si>
  <si>
    <t>UIFN LVA</t>
  </si>
  <si>
    <t>UIFN LVA MOB</t>
  </si>
  <si>
    <t>UIFN LTU</t>
  </si>
  <si>
    <t>UIFN LTU MOB</t>
  </si>
  <si>
    <t>UIFN LUX</t>
  </si>
  <si>
    <t>UIFN LUX MOB</t>
  </si>
  <si>
    <t>UIFN MAC</t>
  </si>
  <si>
    <t>UIFN MAC MOB</t>
  </si>
  <si>
    <t>UIFN MYS</t>
  </si>
  <si>
    <t>UIFN MYS MOB</t>
  </si>
  <si>
    <t>UIFN NLD</t>
  </si>
  <si>
    <t>UIFN NLD MOB</t>
  </si>
  <si>
    <t>UIFN NZL</t>
  </si>
  <si>
    <t>UIFN NZL MOB</t>
  </si>
  <si>
    <t>UIFN NOR</t>
  </si>
  <si>
    <t>UIFN NOR MOB</t>
  </si>
  <si>
    <t>UIFN PHL</t>
  </si>
  <si>
    <t>UIFN PHL MOB</t>
  </si>
  <si>
    <t>UIFN POL</t>
  </si>
  <si>
    <t>UIFN POL MOB</t>
  </si>
  <si>
    <t>UIFN PRT</t>
  </si>
  <si>
    <t>UIFN PRT MOB</t>
  </si>
  <si>
    <t>UIFN RUS</t>
  </si>
  <si>
    <t>UIFN RUS MOB</t>
  </si>
  <si>
    <t>UIFN SGP</t>
  </si>
  <si>
    <t>UIFN SGP MOB</t>
  </si>
  <si>
    <t>UIFN SVK</t>
  </si>
  <si>
    <t>UIFN SVK MOB</t>
  </si>
  <si>
    <t>UIFN SVN</t>
  </si>
  <si>
    <t>UIFN SVN MOB</t>
  </si>
  <si>
    <t>UIFN ZAF</t>
  </si>
  <si>
    <t>UIFN ZAF MOB</t>
  </si>
  <si>
    <t>UIFN KOR</t>
  </si>
  <si>
    <t>UIFN KOR MOB</t>
  </si>
  <si>
    <t>UIFN ESP</t>
  </si>
  <si>
    <t>UIFN ESP MOB</t>
  </si>
  <si>
    <t>UIFN SWE</t>
  </si>
  <si>
    <t>UIFN SWE MOB</t>
  </si>
  <si>
    <t>UIFN CHE</t>
  </si>
  <si>
    <t>UIFN CHE MOB</t>
  </si>
  <si>
    <t>UIFN TWN</t>
  </si>
  <si>
    <t>UIFN TWN MOB</t>
  </si>
  <si>
    <t>UIFN THA</t>
  </si>
  <si>
    <t>UIFN THA MOB</t>
  </si>
  <si>
    <t>UIFN TUR</t>
  </si>
  <si>
    <t>UIFN TUR MOB</t>
  </si>
  <si>
    <t>UIFN GBR</t>
  </si>
  <si>
    <t>UIFN GBR MOB</t>
  </si>
  <si>
    <t>UIFN USA</t>
  </si>
  <si>
    <t>UIFN USA MOB</t>
  </si>
  <si>
    <t>SURPSTN AFG MOB</t>
  </si>
  <si>
    <t>SURPSTN AFG</t>
  </si>
  <si>
    <t>SURPSTN ALB MOB</t>
  </si>
  <si>
    <t>SURPSTN ALB</t>
  </si>
  <si>
    <t>SURPSTN DZA MOB</t>
  </si>
  <si>
    <t>SURPSTN DZA</t>
  </si>
  <si>
    <t>SURPSTN ASM MOB</t>
  </si>
  <si>
    <t>SURPSTN ASM</t>
  </si>
  <si>
    <t>SURPSTN AND MOB</t>
  </si>
  <si>
    <t>SURPSTN AND</t>
  </si>
  <si>
    <t>SURPSTN AGO MOB</t>
  </si>
  <si>
    <t>SURPSTN AGO</t>
  </si>
  <si>
    <t>SURPSTN AIA MOB</t>
  </si>
  <si>
    <t>SURPSTN AIA</t>
  </si>
  <si>
    <t>SURPSTN ATA MOB</t>
  </si>
  <si>
    <t>SURPSTN ATA</t>
  </si>
  <si>
    <t>SURPSTN ATG MOB</t>
  </si>
  <si>
    <t>SURPSTN ATG</t>
  </si>
  <si>
    <t>SURPSTN ARG MOB</t>
  </si>
  <si>
    <t>SURPSTN ARG</t>
  </si>
  <si>
    <t>SURPSTN ARM MOB</t>
  </si>
  <si>
    <t>SURPSTN ARM</t>
  </si>
  <si>
    <t>SURPSTN ABW MOB</t>
  </si>
  <si>
    <t>SURPSTN ABW</t>
  </si>
  <si>
    <t>SURPSTN AUS MOB</t>
  </si>
  <si>
    <t>SURPSTN AUS</t>
  </si>
  <si>
    <t>SURPSTN AUT MOB</t>
  </si>
  <si>
    <t>SURPSTN AUT</t>
  </si>
  <si>
    <t>SURPSTN AZE MOB</t>
  </si>
  <si>
    <t>SURPSTN AZE</t>
  </si>
  <si>
    <t>SURPSTN BHS MOB</t>
  </si>
  <si>
    <t>SURPSTN BHS</t>
  </si>
  <si>
    <t>SURPSTN BHR MOB</t>
  </si>
  <si>
    <t>SURPSTN BHR</t>
  </si>
  <si>
    <t>SURPSTN BGD MOB</t>
  </si>
  <si>
    <t>SURPSTN BGD</t>
  </si>
  <si>
    <t>SURPSTN BRB MOB</t>
  </si>
  <si>
    <t>SURPSTN BRB</t>
  </si>
  <si>
    <t>SURPSTN BLR MOB</t>
  </si>
  <si>
    <t>SURPSTN BLR</t>
  </si>
  <si>
    <t>SURPSTN BEL MOB</t>
  </si>
  <si>
    <t>SURPSTN BEL</t>
  </si>
  <si>
    <t>SURPSTN BLZ MOB</t>
  </si>
  <si>
    <t>SURPSTN BLZ</t>
  </si>
  <si>
    <t>SURPSTN BEN MOB</t>
  </si>
  <si>
    <t>SURPSTN BEN</t>
  </si>
  <si>
    <t>SURPSTN BMU MOB</t>
  </si>
  <si>
    <t>SURPSTN BMU</t>
  </si>
  <si>
    <t>SURPSTN BTN MOB</t>
  </si>
  <si>
    <t>SURPSTN BTN</t>
  </si>
  <si>
    <t>SURPSTN BOL MOB</t>
  </si>
  <si>
    <t>SURPSTN BOL</t>
  </si>
  <si>
    <t>SURPSTN BES MOB</t>
  </si>
  <si>
    <t>SURPSTN BES</t>
  </si>
  <si>
    <t>SURPSTN BIH MOB</t>
  </si>
  <si>
    <t>SURPSTN BIH</t>
  </si>
  <si>
    <t>SURPSTN BWA MOB</t>
  </si>
  <si>
    <t>SURPSTN BWA</t>
  </si>
  <si>
    <t>SURPSTN BRA MOB</t>
  </si>
  <si>
    <t>SURPSTN BRA</t>
  </si>
  <si>
    <t>SURPSTN BRN MOB</t>
  </si>
  <si>
    <t>SURPSTN BRN</t>
  </si>
  <si>
    <t>SURPSTN BGR MOB</t>
  </si>
  <si>
    <t>SURPSTN BGR</t>
  </si>
  <si>
    <t>SURPSTN BFA MOB</t>
  </si>
  <si>
    <t>SURPSTN BFA</t>
  </si>
  <si>
    <t>SURPSTN BDI MOB</t>
  </si>
  <si>
    <t>SURPSTN BDI</t>
  </si>
  <si>
    <t>SURPSTN KHM MOB</t>
  </si>
  <si>
    <t>SURPSTN KHM</t>
  </si>
  <si>
    <t>SURPSTN CMR MOB</t>
  </si>
  <si>
    <t>SURPSTN CMR</t>
  </si>
  <si>
    <t>SURPSTN CAN MOB</t>
  </si>
  <si>
    <t>SURPSTN CAN</t>
  </si>
  <si>
    <t>SURPSTN CPV MOB</t>
  </si>
  <si>
    <t>SURPSTN CPV</t>
  </si>
  <si>
    <t>SURPSTN CYM MOB</t>
  </si>
  <si>
    <t>SURPSTN CYM</t>
  </si>
  <si>
    <t>SURPSTN CAF MOB</t>
  </si>
  <si>
    <t>SURPSTN CAF</t>
  </si>
  <si>
    <t>SURPSTN TCD MOB</t>
  </si>
  <si>
    <t>SURPSTN TCD</t>
  </si>
  <si>
    <t>SURPSTN CHL MOB</t>
  </si>
  <si>
    <t>SURPSTN CHL</t>
  </si>
  <si>
    <t>SURPSTN CHN MOB</t>
  </si>
  <si>
    <t>SURPSTN CHN</t>
  </si>
  <si>
    <t>SURPSTN COL MOB</t>
  </si>
  <si>
    <t>SURPSTN COL</t>
  </si>
  <si>
    <t>SURPSTN COM MOB</t>
  </si>
  <si>
    <t>SURPSTN COM</t>
  </si>
  <si>
    <t>SURPSTN COG MOB</t>
  </si>
  <si>
    <t>SURPSTN COG</t>
  </si>
  <si>
    <t>SURPSTN COK MOB</t>
  </si>
  <si>
    <t>SURPSTN COK</t>
  </si>
  <si>
    <t>SURPSTN CRI MOB</t>
  </si>
  <si>
    <t>SURPSTN CRI</t>
  </si>
  <si>
    <t>SURPSTN HRV MOB</t>
  </si>
  <si>
    <t>SURPSTN HRV</t>
  </si>
  <si>
    <t>SURPSTN CUB MOB</t>
  </si>
  <si>
    <t>SURPSTN CUB</t>
  </si>
  <si>
    <t>SURPSTN CUW MOB</t>
  </si>
  <si>
    <t>SURPSTN CUW</t>
  </si>
  <si>
    <t>SURPSTN CYP MOB</t>
  </si>
  <si>
    <t>SURPSTN CYP</t>
  </si>
  <si>
    <t>SURPSTN CZE MOB</t>
  </si>
  <si>
    <t>SURPSTN CZE</t>
  </si>
  <si>
    <t>SURPSTN COD MOB</t>
  </si>
  <si>
    <t>SURPSTN COD</t>
  </si>
  <si>
    <t>SURPSTN DNK MOB</t>
  </si>
  <si>
    <t>SURPSTN DNK</t>
  </si>
  <si>
    <t>SURPSTN IOT MOB</t>
  </si>
  <si>
    <t>SURPSTN IOT</t>
  </si>
  <si>
    <t>SURPSTN DJI MOB</t>
  </si>
  <si>
    <t>SURPSTN DJI</t>
  </si>
  <si>
    <t>SURPSTN DMA MOB</t>
  </si>
  <si>
    <t>SURPSTN DOM MOB</t>
  </si>
  <si>
    <t>SURPSTN DOM</t>
  </si>
  <si>
    <t>SURPSTN DMA</t>
  </si>
  <si>
    <t>SURPSTN TLS MOB</t>
  </si>
  <si>
    <t>SURPSTN TLS</t>
  </si>
  <si>
    <t>SURPSTN ECU MOB</t>
  </si>
  <si>
    <t>SURPSTN ECU</t>
  </si>
  <si>
    <t>SURPSTN EGY MOB</t>
  </si>
  <si>
    <t>SURPSTN EGY</t>
  </si>
  <si>
    <t>SURPSTN SLV MOB</t>
  </si>
  <si>
    <t>SURPSTN SLV</t>
  </si>
  <si>
    <t>SURPSTN GNQ MOB</t>
  </si>
  <si>
    <t>SURPSTN GNQ</t>
  </si>
  <si>
    <t>SURPSTN ERI MOB</t>
  </si>
  <si>
    <t>SURPSTN ERI</t>
  </si>
  <si>
    <t>SURPSTN EST MOB</t>
  </si>
  <si>
    <t>SURPSTN EST</t>
  </si>
  <si>
    <t>SURPSTN ETH MOB</t>
  </si>
  <si>
    <t>SURPSTN ETH</t>
  </si>
  <si>
    <t>SURPSTN FRO MOB</t>
  </si>
  <si>
    <t>SURPSTN FRO</t>
  </si>
  <si>
    <t>SURPSTN FLK MOB</t>
  </si>
  <si>
    <t>SURPSTN FLK</t>
  </si>
  <si>
    <t>SURPSTN FJI MOB</t>
  </si>
  <si>
    <t>SURPSTN FJI</t>
  </si>
  <si>
    <t>SURPSTN FIN MOB</t>
  </si>
  <si>
    <t>SURPSTN FIN</t>
  </si>
  <si>
    <t>SURPSTN FRA MOB</t>
  </si>
  <si>
    <t>SURPSTN FRA</t>
  </si>
  <si>
    <t>SURPSTN GUF MOB</t>
  </si>
  <si>
    <t>SURPSTN GUF</t>
  </si>
  <si>
    <t>SURPSTN PYF MOB</t>
  </si>
  <si>
    <t>SURPSTN PYF</t>
  </si>
  <si>
    <t>SURPSTN GAB MOB</t>
  </si>
  <si>
    <t>SURPSTN GAB</t>
  </si>
  <si>
    <t>SURPSTN GMB MOB</t>
  </si>
  <si>
    <t>SURPSTN GMB</t>
  </si>
  <si>
    <t>SURPSTN GEO MOB</t>
  </si>
  <si>
    <t>SURPSTN GEO</t>
  </si>
  <si>
    <t>SURPSTN DEU MOB</t>
  </si>
  <si>
    <t>SURPSTN DEU</t>
  </si>
  <si>
    <t>SURPSTN GHA MOB</t>
  </si>
  <si>
    <t>SURPSTN GHA</t>
  </si>
  <si>
    <t>SURPSTN GIB MOB</t>
  </si>
  <si>
    <t>SURPSTN GIB</t>
  </si>
  <si>
    <t>SURPSTN GRC MOB</t>
  </si>
  <si>
    <t>SURPSTN GRC</t>
  </si>
  <si>
    <t>SURPSTN GRL MOB</t>
  </si>
  <si>
    <t>SURPSTN GRL</t>
  </si>
  <si>
    <t>SURPSTN GRD MOB</t>
  </si>
  <si>
    <t>SURPSTN GRD</t>
  </si>
  <si>
    <t>SURPSTN GLP MOB</t>
  </si>
  <si>
    <t>SURPSTN GLP</t>
  </si>
  <si>
    <t>SURPSTN GUM MOB</t>
  </si>
  <si>
    <t>SURPSTN GUM</t>
  </si>
  <si>
    <t>SURPSTN GTM MOB</t>
  </si>
  <si>
    <t>SURPSTN GTM</t>
  </si>
  <si>
    <t>SURPSTN GNB MOB</t>
  </si>
  <si>
    <t>SURPSTN GNB</t>
  </si>
  <si>
    <t>SURPSTN GIN MOB</t>
  </si>
  <si>
    <t>SURPSTN GIN</t>
  </si>
  <si>
    <t>SURPSTN GUY MOB</t>
  </si>
  <si>
    <t>SURPSTN GUY</t>
  </si>
  <si>
    <t>SURPSTN HTI MOB</t>
  </si>
  <si>
    <t>SURPSTN HTI</t>
  </si>
  <si>
    <t>SURPSTN HND MOB</t>
  </si>
  <si>
    <t>SURPSTN HND</t>
  </si>
  <si>
    <t>SURPSTN HKG MOB</t>
  </si>
  <si>
    <t>SURPSTN HKG</t>
  </si>
  <si>
    <t>SURPSTN HUN MOB</t>
  </si>
  <si>
    <t>SURPSTN HUN</t>
  </si>
  <si>
    <t>SURPSTN ISL MOB</t>
  </si>
  <si>
    <t>SURPSTN ISL</t>
  </si>
  <si>
    <t>SURPSTN IND MOB</t>
  </si>
  <si>
    <t>SURPSTN IND</t>
  </si>
  <si>
    <t>SURPSTN IDN MOB</t>
  </si>
  <si>
    <t>SURPSTN IDN</t>
  </si>
  <si>
    <t>SURPSTN IRN MOB</t>
  </si>
  <si>
    <t>SURPSTN IRN</t>
  </si>
  <si>
    <t>SURPSTN IRQ MOB</t>
  </si>
  <si>
    <t>SURPSTN IRQ</t>
  </si>
  <si>
    <t>SURPSTN IRL MOB</t>
  </si>
  <si>
    <t>SURPSTN IRL</t>
  </si>
  <si>
    <t>SURPSTN ISR MOB</t>
  </si>
  <si>
    <t>SURPSTN ISR</t>
  </si>
  <si>
    <t>SURPSTN ITA MOB</t>
  </si>
  <si>
    <t>SURPSTN ITA</t>
  </si>
  <si>
    <t>SURPSTN CIV MOB</t>
  </si>
  <si>
    <t>SURPSTN CIV</t>
  </si>
  <si>
    <t>SURPSTN JAM MOB</t>
  </si>
  <si>
    <t>SURPSTN JAM</t>
  </si>
  <si>
    <t>SURPSTN JPN MOB</t>
  </si>
  <si>
    <t>SURPSTN JPN</t>
  </si>
  <si>
    <t>SURPSTN JOR MOB</t>
  </si>
  <si>
    <t>SURPSTN JOR</t>
  </si>
  <si>
    <t>SURPSTN KAZ MOB</t>
  </si>
  <si>
    <t>SURPSTN KAZ</t>
  </si>
  <si>
    <t>SURPSTN KEN MOB</t>
  </si>
  <si>
    <t>SURPSTN KEN</t>
  </si>
  <si>
    <t>SURPSTN KIR MOB</t>
  </si>
  <si>
    <t>SURPSTN KIR</t>
  </si>
  <si>
    <t>SURPSTN KWT MOB</t>
  </si>
  <si>
    <t>SURPSTN KWT</t>
  </si>
  <si>
    <t>SURPSTN KGZ MOB</t>
  </si>
  <si>
    <t>SURPSTN KGZ</t>
  </si>
  <si>
    <t>SURPSTN LAO MOB</t>
  </si>
  <si>
    <t>SURPSTN LAO</t>
  </si>
  <si>
    <t>SURPSTN LVA MOB</t>
  </si>
  <si>
    <t>SURPSTN LVA</t>
  </si>
  <si>
    <t>SURPSTN LBN MOB</t>
  </si>
  <si>
    <t>SURPSTN LBN</t>
  </si>
  <si>
    <t>SURPSTN LSO MOB</t>
  </si>
  <si>
    <t>SURPSTN LSO</t>
  </si>
  <si>
    <t>SURPSTN LBR MOB</t>
  </si>
  <si>
    <t>SURPSTN LBR</t>
  </si>
  <si>
    <t>SURPSTN LBY MOB</t>
  </si>
  <si>
    <t>SURPSTN LBY</t>
  </si>
  <si>
    <t>SURPSTN LIE MOB</t>
  </si>
  <si>
    <t>SURPSTN LIE</t>
  </si>
  <si>
    <t>SURPSTN LTU MOB</t>
  </si>
  <si>
    <t>SURPSTN LTU</t>
  </si>
  <si>
    <t>SURPSTN LUX MOB</t>
  </si>
  <si>
    <t>SURPSTN LUX</t>
  </si>
  <si>
    <t>SURPSTN MAC MOB</t>
  </si>
  <si>
    <t>SURPSTN MAC</t>
  </si>
  <si>
    <t>SURPSTN MKD MOB</t>
  </si>
  <si>
    <t>SURPSTN MKD</t>
  </si>
  <si>
    <t>SURPSTN MDG MOB</t>
  </si>
  <si>
    <t>SURPSTN MDG</t>
  </si>
  <si>
    <t>SURPSTN MWI MOB</t>
  </si>
  <si>
    <t>SURPSTN MWI</t>
  </si>
  <si>
    <t>SURPSTN MYS MOB</t>
  </si>
  <si>
    <t>SURPSTN MYS</t>
  </si>
  <si>
    <t>SURPSTN MDV MOB</t>
  </si>
  <si>
    <t>SURPSTN MDV</t>
  </si>
  <si>
    <t>SURPSTN MLI MOB</t>
  </si>
  <si>
    <t>SURPSTN MLI</t>
  </si>
  <si>
    <t>SURPSTN MLT MOB</t>
  </si>
  <si>
    <t>SURPSTN MLT</t>
  </si>
  <si>
    <t>SURPSTN MHL MOB</t>
  </si>
  <si>
    <t>SURPSTN MHL</t>
  </si>
  <si>
    <t>SURPSTN MTQ MOB</t>
  </si>
  <si>
    <t>SURPSTN MTQ</t>
  </si>
  <si>
    <t>SURPSTN MRT MOB</t>
  </si>
  <si>
    <t>SURPSTN MRT</t>
  </si>
  <si>
    <t>SURPSTN MUS MOB</t>
  </si>
  <si>
    <t>SURPSTN MUS</t>
  </si>
  <si>
    <t>SURPSTN MYT MOB</t>
  </si>
  <si>
    <t>SURPSTN MYT</t>
  </si>
  <si>
    <t>SURPSTN MEX MOB</t>
  </si>
  <si>
    <t>SURPSTN MEX</t>
  </si>
  <si>
    <t>SURPSTN FSM MOB</t>
  </si>
  <si>
    <t>SURPSTN FSM</t>
  </si>
  <si>
    <t>SURPSTN MDA MOB</t>
  </si>
  <si>
    <t>SURPSTN MDA</t>
  </si>
  <si>
    <t>SURPSTN MCO MOB</t>
  </si>
  <si>
    <t>SURPSTN MCO</t>
  </si>
  <si>
    <t>SURPSTN MNG MOB</t>
  </si>
  <si>
    <t>SURPSTN MNG</t>
  </si>
  <si>
    <t>SURPSTN MNE MOB</t>
  </si>
  <si>
    <t>SURPSTN MNE</t>
  </si>
  <si>
    <t>SURPSTN MSR MOB</t>
  </si>
  <si>
    <t>SURPSTN MSR</t>
  </si>
  <si>
    <t>SURPSTN MAR MOB</t>
  </si>
  <si>
    <t>SURPSTN MAR</t>
  </si>
  <si>
    <t>SURPSTN MOZ MOB</t>
  </si>
  <si>
    <t>SURPSTN MOZ</t>
  </si>
  <si>
    <t>SURPSTN MMR MOB</t>
  </si>
  <si>
    <t>SURPSTN MMR</t>
  </si>
  <si>
    <t>SURPSTN NAM MOB</t>
  </si>
  <si>
    <t>SURPSTN NAM</t>
  </si>
  <si>
    <t>SURPSTN NRU MOB</t>
  </si>
  <si>
    <t>SURPSTN NRU</t>
  </si>
  <si>
    <t>SURPSTN NPL MOB</t>
  </si>
  <si>
    <t>SURPSTN NPL</t>
  </si>
  <si>
    <t>SURPSTN NLD MOB</t>
  </si>
  <si>
    <t>SURPSTN NLD</t>
  </si>
  <si>
    <t>SURPSTN NCL MOB</t>
  </si>
  <si>
    <t>SURPSTN NCL</t>
  </si>
  <si>
    <t>SURPSTN NZL MOB</t>
  </si>
  <si>
    <t>SURPSTN NZL</t>
  </si>
  <si>
    <t>SURPSTN NIC MOB</t>
  </si>
  <si>
    <t>SURPSTN NIC</t>
  </si>
  <si>
    <t>SURPSTN NGA MOB</t>
  </si>
  <si>
    <t>SURPSTN NGA</t>
  </si>
  <si>
    <t>SURPSTN NER MOB</t>
  </si>
  <si>
    <t>SURPSTN NER</t>
  </si>
  <si>
    <t>SURPSTN NIU MOB</t>
  </si>
  <si>
    <t>SURPSTN NIU</t>
  </si>
  <si>
    <t>SURPSTN MNP MOB</t>
  </si>
  <si>
    <t>SURPSTN MNP</t>
  </si>
  <si>
    <t>SURPSTN PRK MOB</t>
  </si>
  <si>
    <t>SURPSTN PRK</t>
  </si>
  <si>
    <t>SURPSTN NOR MOB</t>
  </si>
  <si>
    <t>SURPSTN NOR</t>
  </si>
  <si>
    <t>SURPSTN OMN MOB</t>
  </si>
  <si>
    <t>SURPSTN OMN</t>
  </si>
  <si>
    <t>SURPSTN PAK MOB</t>
  </si>
  <si>
    <t>SURPSTN PAK</t>
  </si>
  <si>
    <t>SURPSTN PLW MOB</t>
  </si>
  <si>
    <t>SURPSTN PLW</t>
  </si>
  <si>
    <t>SURPSTN PSE MOB</t>
  </si>
  <si>
    <t>SURPSTN PSE</t>
  </si>
  <si>
    <t>SURPSTN PAN MOB</t>
  </si>
  <si>
    <t>SURPSTN PAN</t>
  </si>
  <si>
    <t>SURPSTN PNG MOB</t>
  </si>
  <si>
    <t>SURPSTN PNG</t>
  </si>
  <si>
    <t>SURPSTN PRY MOB</t>
  </si>
  <si>
    <t>SURPSTN PRY</t>
  </si>
  <si>
    <t>SURPSTN PER MOB</t>
  </si>
  <si>
    <t>SURPSTN PER</t>
  </si>
  <si>
    <t>SURPSTN PHL MOB</t>
  </si>
  <si>
    <t>SURPSTN PHL</t>
  </si>
  <si>
    <t>SURPSTN POL MOB</t>
  </si>
  <si>
    <t>SURPSTN POL</t>
  </si>
  <si>
    <t>SURPSTN PRT MOB</t>
  </si>
  <si>
    <t>SURPSTN PRT</t>
  </si>
  <si>
    <t>SURPSTN PRI MOB</t>
  </si>
  <si>
    <t>SURPSTN PRI</t>
  </si>
  <si>
    <t>SURPSTN QAT MOB</t>
  </si>
  <si>
    <t>SURPSTN QAT</t>
  </si>
  <si>
    <t>SURPSTN REU MOB</t>
  </si>
  <si>
    <t>SURPSTN REU</t>
  </si>
  <si>
    <t>SURPSTN ROU MOB</t>
  </si>
  <si>
    <t>SURPSTN ROU</t>
  </si>
  <si>
    <t>SURPSTN RUS MOB</t>
  </si>
  <si>
    <t>SURPSTN RUS</t>
  </si>
  <si>
    <t>SURPSTN RWA MOB</t>
  </si>
  <si>
    <t>SURPSTN RWA</t>
  </si>
  <si>
    <t>SURPSTN SXM MOB</t>
  </si>
  <si>
    <t>SURPSTN SXM</t>
  </si>
  <si>
    <t>SURPSTN WSM MOB</t>
  </si>
  <si>
    <t>SURPSTN WSM</t>
  </si>
  <si>
    <t>SURPSTN SMR MOB</t>
  </si>
  <si>
    <t>SURPSTN SMR</t>
  </si>
  <si>
    <t>SURPSTN STP MOB</t>
  </si>
  <si>
    <t>SURPSTN STP</t>
  </si>
  <si>
    <t>SURPSTN SAU MOB</t>
  </si>
  <si>
    <t>SURPSTN SAU</t>
  </si>
  <si>
    <t>SURPSTN SEN MOB</t>
  </si>
  <si>
    <t>SURPSTN SEN</t>
  </si>
  <si>
    <t>SURPSTN SRB MOB</t>
  </si>
  <si>
    <t>SURPSTN SRB</t>
  </si>
  <si>
    <t>SURPSTN SYC MOB</t>
  </si>
  <si>
    <t>SURPSTN SYC</t>
  </si>
  <si>
    <t>SURPSTN SLE MOB</t>
  </si>
  <si>
    <t>SURPSTN SLE</t>
  </si>
  <si>
    <t>SURPSTN SGP MOB</t>
  </si>
  <si>
    <t>SURPSTN SGP</t>
  </si>
  <si>
    <t>SURPSTN SVK MOB</t>
  </si>
  <si>
    <t>SURPSTN SVK</t>
  </si>
  <si>
    <t>SURPSTN SVN MOB</t>
  </si>
  <si>
    <t>SURPSTN SVN</t>
  </si>
  <si>
    <t>SURPSTN SLB MOB</t>
  </si>
  <si>
    <t>SURPSTN SLB</t>
  </si>
  <si>
    <t>SURPSTN SOM MOB</t>
  </si>
  <si>
    <t>SURPSTN SOM</t>
  </si>
  <si>
    <t>SURPSTN ZAF MOB</t>
  </si>
  <si>
    <t>SURPSTN ZAF</t>
  </si>
  <si>
    <t>SURPSTN KOR MOB</t>
  </si>
  <si>
    <t>SURPSTN KOR</t>
  </si>
  <si>
    <t>SURPSTN SSD MOB</t>
  </si>
  <si>
    <t>SURPSTN SSD</t>
  </si>
  <si>
    <t>SURPSTN ESP MOB</t>
  </si>
  <si>
    <t>SURPSTN ESP</t>
  </si>
  <si>
    <t>SURPSTN LKA MOB</t>
  </si>
  <si>
    <t>SURPSTN LKA</t>
  </si>
  <si>
    <t>SURPSTN SHN MOB</t>
  </si>
  <si>
    <t>SURPSTN SHN</t>
  </si>
  <si>
    <t>SURPSTN KNA MOB</t>
  </si>
  <si>
    <t>SURPSTN KNA</t>
  </si>
  <si>
    <t>SURPSTN LCA MOB</t>
  </si>
  <si>
    <t>SURPSTN LCA</t>
  </si>
  <si>
    <t>SURPSTN SPM MOB</t>
  </si>
  <si>
    <t>SURPSTN SPM</t>
  </si>
  <si>
    <t>SURPSTN VCT</t>
  </si>
  <si>
    <t>SURPSTN VCT MOB</t>
  </si>
  <si>
    <t>SURPSTN SDN MOB</t>
  </si>
  <si>
    <t>SURPSTN SDN</t>
  </si>
  <si>
    <t>SURPSTN SUR MOB</t>
  </si>
  <si>
    <t>SURPSTN SUR</t>
  </si>
  <si>
    <t>SURPSTN SWZ MOB</t>
  </si>
  <si>
    <t>SURPSTN SWZ</t>
  </si>
  <si>
    <t>SURPSTN SWE MOB</t>
  </si>
  <si>
    <t>SURPSTN SWE</t>
  </si>
  <si>
    <t>SURPSTN CHE MOB</t>
  </si>
  <si>
    <t>SURPSTN CHE</t>
  </si>
  <si>
    <t>SURPSTN SYR MOB</t>
  </si>
  <si>
    <t>SURPSTN SYR</t>
  </si>
  <si>
    <t>SURPSTN TWN MOB</t>
  </si>
  <si>
    <t>SURPSTN TWN</t>
  </si>
  <si>
    <t>SURPSTN TJK MOB</t>
  </si>
  <si>
    <t>SURPSTN TJK</t>
  </si>
  <si>
    <t>SURPSTN TZA MOB</t>
  </si>
  <si>
    <t>SURPSTN TZA</t>
  </si>
  <si>
    <t>SURPSTN THA MOB</t>
  </si>
  <si>
    <t>SURPSTN THA</t>
  </si>
  <si>
    <t>SURPSTN TGO MOB</t>
  </si>
  <si>
    <t>SURPSTN TGO</t>
  </si>
  <si>
    <t>SURPSTN TKL MOB</t>
  </si>
  <si>
    <t>SURPSTN TKL</t>
  </si>
  <si>
    <t>SURPSTN TON MOB</t>
  </si>
  <si>
    <t>SURPSTN TON</t>
  </si>
  <si>
    <t>SURPSTN TTO MOB</t>
  </si>
  <si>
    <t>SURPSTN TTO</t>
  </si>
  <si>
    <t>SURPSTN TUN MOB</t>
  </si>
  <si>
    <t>SURPSTN TUN</t>
  </si>
  <si>
    <t>SURPSTN TUR MOB</t>
  </si>
  <si>
    <t>SURPSTN TUR</t>
  </si>
  <si>
    <t>SURPSTN TKM MOB</t>
  </si>
  <si>
    <t>SURPSTN TKM</t>
  </si>
  <si>
    <t>SURPSTN TCA MOB</t>
  </si>
  <si>
    <t>SURPSTN TCA</t>
  </si>
  <si>
    <t>SURPSTN TUV MOB</t>
  </si>
  <si>
    <t>SURPSTN TUV</t>
  </si>
  <si>
    <t>SURPSTN UGA MOB</t>
  </si>
  <si>
    <t>SURPSTN UGA</t>
  </si>
  <si>
    <t>SURPSTN UKR MOB</t>
  </si>
  <si>
    <t>SURPSTN UKR</t>
  </si>
  <si>
    <t>SURPSTN ARE MOB</t>
  </si>
  <si>
    <t>SURPSTN ARE</t>
  </si>
  <si>
    <t>SURPSTN GBR MOB</t>
  </si>
  <si>
    <t>SURPSTN GBR</t>
  </si>
  <si>
    <t>SURPSTN URY MOB</t>
  </si>
  <si>
    <t>SURPSTN URY</t>
  </si>
  <si>
    <t>SURPSTN USA MOB</t>
  </si>
  <si>
    <t>SURPSTN USA</t>
  </si>
  <si>
    <t>SURPSTN UZB MOB</t>
  </si>
  <si>
    <t>SURPSTN UZB</t>
  </si>
  <si>
    <t>SURPSTN VUT MOB</t>
  </si>
  <si>
    <t>SURPSTN VUT</t>
  </si>
  <si>
    <t>SURPSTN VEN MOB</t>
  </si>
  <si>
    <t>SURPSTN VEN</t>
  </si>
  <si>
    <t>SURPSTN VNM MOB</t>
  </si>
  <si>
    <t>SURPSTN VNM</t>
  </si>
  <si>
    <t>SURPSTN VIR MOB</t>
  </si>
  <si>
    <t>SURPSTN VIR</t>
  </si>
  <si>
    <t>SURPSTN VGB</t>
  </si>
  <si>
    <t>SURPSTN VGB MOB</t>
  </si>
  <si>
    <t>SURPSTN WLF MOB</t>
  </si>
  <si>
    <t>SURPSTN WLF</t>
  </si>
  <si>
    <t>SURPSTN YEM MOB</t>
  </si>
  <si>
    <t>SURPSTN YEM</t>
  </si>
  <si>
    <t>SURPSTN ZMB MOB</t>
  </si>
  <si>
    <t>SURPSTN ZMB</t>
  </si>
  <si>
    <t>SURPSTN ZWE MOB</t>
  </si>
  <si>
    <t>SURPSTN ZWE</t>
  </si>
  <si>
    <t>PBy20 STANDARD PRICE BOOK</t>
  </si>
  <si>
    <t>UnitedArabEmirates</t>
  </si>
  <si>
    <t>PSTN MTQ</t>
  </si>
  <si>
    <t>TF NPL</t>
  </si>
  <si>
    <t>TF NPL MOB</t>
  </si>
  <si>
    <t>MOB</t>
  </si>
  <si>
    <t>Code</t>
  </si>
  <si>
    <t>Code Usage</t>
  </si>
  <si>
    <t>PSTN EGY</t>
  </si>
  <si>
    <t>PSTN EGY MOB</t>
  </si>
  <si>
    <t>PSTN ANT</t>
  </si>
  <si>
    <t>PSTN ANT MOB</t>
  </si>
  <si>
    <t>NetherlandsAntilles</t>
  </si>
  <si>
    <t>TS ARG 810</t>
  </si>
  <si>
    <t>TS ARG 810 MOB</t>
  </si>
  <si>
    <t>TS AUS 13</t>
  </si>
  <si>
    <t>Australia13</t>
  </si>
  <si>
    <t>TS AUS 13 MOB</t>
  </si>
  <si>
    <t>TS AUS 1300</t>
  </si>
  <si>
    <t>Australia1300</t>
  </si>
  <si>
    <t>TS AUS 1300 MOB</t>
  </si>
  <si>
    <t>TS AUT 0720</t>
  </si>
  <si>
    <t>Austria0720</t>
  </si>
  <si>
    <t>TS AUT 0720 MOB</t>
  </si>
  <si>
    <t>TS AUT 810-stufe3</t>
  </si>
  <si>
    <t>Austria810-stufe3</t>
  </si>
  <si>
    <t>TS AUT 810-stufe3 MOB</t>
  </si>
  <si>
    <t>TS AUT 810-stufe5</t>
  </si>
  <si>
    <t>Austria810-stufe5</t>
  </si>
  <si>
    <t>TS AUT 810-stufe5 MOB</t>
  </si>
  <si>
    <t>TS AUT 810-stufe6</t>
  </si>
  <si>
    <t>Austria810-stufe6</t>
  </si>
  <si>
    <t>TS AUT 810-stufe6 MOB</t>
  </si>
  <si>
    <t>TS AUT 820-stufe3</t>
  </si>
  <si>
    <t>Austria820-stufe3</t>
  </si>
  <si>
    <t>TS AUT 820-stufe3 MOB</t>
  </si>
  <si>
    <t>TS AUT 820-stufe4</t>
  </si>
  <si>
    <t>Austria820-stufe4</t>
  </si>
  <si>
    <t>TS AUT 820-stufe4 MOB</t>
  </si>
  <si>
    <t>TS BEL 070</t>
  </si>
  <si>
    <t>Belgium070</t>
  </si>
  <si>
    <t>TS BEL 070 MOB</t>
  </si>
  <si>
    <t>TS BEL 078</t>
  </si>
  <si>
    <t>Belgium078</t>
  </si>
  <si>
    <t>TS BEL 078 MOB</t>
  </si>
  <si>
    <t>TS BGR 070</t>
  </si>
  <si>
    <t>Bulgaria070</t>
  </si>
  <si>
    <t>TS BGR 070 MOB</t>
  </si>
  <si>
    <t>TS CHE 084x</t>
  </si>
  <si>
    <t>Switzerland084x</t>
  </si>
  <si>
    <t>TS CHE 084x MOB</t>
  </si>
  <si>
    <t>TS CHE 090x</t>
  </si>
  <si>
    <t>Switzerland090x</t>
  </si>
  <si>
    <t>TS CHE 090x MOB</t>
  </si>
  <si>
    <t>TS CHN 400</t>
  </si>
  <si>
    <t>China400</t>
  </si>
  <si>
    <t>TS CHN 400 MOB</t>
  </si>
  <si>
    <t>TS CZE 0810</t>
  </si>
  <si>
    <t>CzechRepublic0810</t>
  </si>
  <si>
    <t>TS CZE 0810 MOB</t>
  </si>
  <si>
    <t>TS DEU 01801</t>
  </si>
  <si>
    <t>Germany01801</t>
  </si>
  <si>
    <t>TS DEU 01801 MOB</t>
  </si>
  <si>
    <t>TS DEU 01803</t>
  </si>
  <si>
    <t>Germany01803</t>
  </si>
  <si>
    <t>TS DEU 01803 MOB</t>
  </si>
  <si>
    <t>TS DEU 01805</t>
  </si>
  <si>
    <t>Germany01805</t>
  </si>
  <si>
    <t>TS DEU 01805 MOB</t>
  </si>
  <si>
    <t>TS DEU 01806</t>
  </si>
  <si>
    <t>Germany01806</t>
  </si>
  <si>
    <t>TS DEU 01806 MOB</t>
  </si>
  <si>
    <t>TS DNK 701</t>
  </si>
  <si>
    <t>Denmark701</t>
  </si>
  <si>
    <t>TS DNK 701 MOB</t>
  </si>
  <si>
    <t>TS ESP 901-nivel1</t>
  </si>
  <si>
    <t>Spain901-nivel1</t>
  </si>
  <si>
    <t>TS ESP 901-nivel1 MOB</t>
  </si>
  <si>
    <t>TS ESP 902-nivel1</t>
  </si>
  <si>
    <t>Spain902-nivel1</t>
  </si>
  <si>
    <t>TS ESP 902-nivel1 MOB</t>
  </si>
  <si>
    <t>TS ESP 902-nivel2</t>
  </si>
  <si>
    <t>Spain902-nivel2</t>
  </si>
  <si>
    <t>TS ESP 902-nivel2 MOB</t>
  </si>
  <si>
    <t>TS FIN 0203</t>
  </si>
  <si>
    <t>Finland0203</t>
  </si>
  <si>
    <t>TS FIN 0203 MOB</t>
  </si>
  <si>
    <t>TS GBR 03XX</t>
  </si>
  <si>
    <t>UnitedKingdom03XX</t>
  </si>
  <si>
    <t>TS GBR 03XX MOB</t>
  </si>
  <si>
    <t>TS GBR SC001</t>
  </si>
  <si>
    <t>UnitedKingdomSC001</t>
  </si>
  <si>
    <t>TS GBR SC001 MOB</t>
  </si>
  <si>
    <t>TS GRC 801</t>
  </si>
  <si>
    <t>Greece801</t>
  </si>
  <si>
    <t>TS GRC 801 MOB</t>
  </si>
  <si>
    <t>TS IND 1860</t>
  </si>
  <si>
    <t>India1860</t>
  </si>
  <si>
    <t>TS IND 1860 MOB</t>
  </si>
  <si>
    <t>TS IRL 0818</t>
  </si>
  <si>
    <t>Ireland0818</t>
  </si>
  <si>
    <t>TS IRL 0818 MOB</t>
  </si>
  <si>
    <t>TS IRL 1850</t>
  </si>
  <si>
    <t>Ireland1850</t>
  </si>
  <si>
    <t>TS IRL 1850 MOB</t>
  </si>
  <si>
    <t>TS IRL 1890</t>
  </si>
  <si>
    <t>Ireland1890</t>
  </si>
  <si>
    <t>TS IRL 1890 MOB</t>
  </si>
  <si>
    <t>TS ITA 848</t>
  </si>
  <si>
    <t>Italy848</t>
  </si>
  <si>
    <t>TS ITA 848 MOB</t>
  </si>
  <si>
    <t>TS NLD 0900</t>
  </si>
  <si>
    <t>Netherlands0900</t>
  </si>
  <si>
    <t>TS NLD 0900 MOB</t>
  </si>
  <si>
    <t>TS NOR 0810</t>
  </si>
  <si>
    <t>Norway0810</t>
  </si>
  <si>
    <t>TS NOR 0810 MOB</t>
  </si>
  <si>
    <t>TS NOR 0815</t>
  </si>
  <si>
    <t>Norway0815</t>
  </si>
  <si>
    <t>TS NOR 0815 MOB</t>
  </si>
  <si>
    <t>TS POL 8013</t>
  </si>
  <si>
    <t>Poland8013</t>
  </si>
  <si>
    <t>TS POL 8013 MOB</t>
  </si>
  <si>
    <t>TS POL 8015</t>
  </si>
  <si>
    <t>Poland8015</t>
  </si>
  <si>
    <t>TS POL 8015 MOB</t>
  </si>
  <si>
    <t>TS PRT 707</t>
  </si>
  <si>
    <t>Portugal707</t>
  </si>
  <si>
    <t>TS PRT 707 MOB</t>
  </si>
  <si>
    <t>TS PRT 808</t>
  </si>
  <si>
    <t>Portugal808</t>
  </si>
  <si>
    <t>TS PRT 808 MOB</t>
  </si>
  <si>
    <t>TS SVK 0850</t>
  </si>
  <si>
    <t>Slovakia0850</t>
  </si>
  <si>
    <t>TS SVK 0850 MOB</t>
  </si>
  <si>
    <t>TS SWE 077</t>
  </si>
  <si>
    <t>Sweden077</t>
  </si>
  <si>
    <t>TS SWE 077 MOB</t>
  </si>
  <si>
    <t>TS ZAF 0860</t>
  </si>
  <si>
    <t>SouthAfrica0860</t>
  </si>
  <si>
    <t>TS ZAF 0860 MOB</t>
  </si>
  <si>
    <t>TS ZAF 0861</t>
  </si>
  <si>
    <t>SouthAfrica0861</t>
  </si>
  <si>
    <t>TS ZAF 0861 MOB</t>
  </si>
  <si>
    <t>RS BEL 070</t>
  </si>
  <si>
    <t>RS AUT 810-stufe3</t>
  </si>
  <si>
    <t>RS AUT 810-stufe3 MOB</t>
  </si>
  <si>
    <t>RS AUT 810-stufe5</t>
  </si>
  <si>
    <t>RS AUT 810-stufe5 MOB</t>
  </si>
  <si>
    <t>RS AUT 810-stufe6</t>
  </si>
  <si>
    <t>RS AUT 810-stufe6 MOB</t>
  </si>
  <si>
    <t>RS AUT 820-stufe3</t>
  </si>
  <si>
    <t>RS AUT 820-stufe3 MOB</t>
  </si>
  <si>
    <t>RS AUT 820-stufe4</t>
  </si>
  <si>
    <t>RS AUT 820-stufe4 MOB</t>
  </si>
  <si>
    <t>RS BEL 070 MOB</t>
  </si>
  <si>
    <t>RS CHE 084x</t>
  </si>
  <si>
    <t>RS CHE 084x MOB</t>
  </si>
  <si>
    <t>RS CHE 090x</t>
  </si>
  <si>
    <t>RS CHE 090x MOB</t>
  </si>
  <si>
    <t>RS DEU 01803</t>
  </si>
  <si>
    <t>RS DEU 01803 MOB</t>
  </si>
  <si>
    <t>RS DEU 01805</t>
  </si>
  <si>
    <t>RS DEU 01805 MOB</t>
  </si>
  <si>
    <t>RS DEU 01806</t>
  </si>
  <si>
    <t>RS DEU 01806 MOB</t>
  </si>
  <si>
    <t>RS ESP 902-nivel1</t>
  </si>
  <si>
    <t>RS ESP 902-nivel1 MOB</t>
  </si>
  <si>
    <t>RS ESP 902-nivel2</t>
  </si>
  <si>
    <t>RS ESP 902-nivel2 MOB</t>
  </si>
  <si>
    <t>RS FRA A005</t>
  </si>
  <si>
    <t>FranceA005</t>
  </si>
  <si>
    <t>RS FRA A005 MOB</t>
  </si>
  <si>
    <t>RS FRA A008</t>
  </si>
  <si>
    <t>FranceA008</t>
  </si>
  <si>
    <t>RS FRA A008 MOB</t>
  </si>
  <si>
    <t>RS FRA A009</t>
  </si>
  <si>
    <t>FranceA009</t>
  </si>
  <si>
    <t>RS FRA A009 MOB</t>
  </si>
  <si>
    <t>RS FRA A010</t>
  </si>
  <si>
    <t>FranceA010</t>
  </si>
  <si>
    <t>RS FRA A010 MOB</t>
  </si>
  <si>
    <t>RS FRA A012</t>
  </si>
  <si>
    <t>FranceA012</t>
  </si>
  <si>
    <t>RS FRA A012 MOB</t>
  </si>
  <si>
    <t>RS FRA A015</t>
  </si>
  <si>
    <t>FranceA015</t>
  </si>
  <si>
    <t>RS FRA A015 MOB</t>
  </si>
  <si>
    <t>RS FRA A020</t>
  </si>
  <si>
    <t>FranceA020</t>
  </si>
  <si>
    <t>RS FRA A020 MOB</t>
  </si>
  <si>
    <t>RS FRA A030</t>
  </si>
  <si>
    <t>FranceA030</t>
  </si>
  <si>
    <t>RS FRA A030 MOB</t>
  </si>
  <si>
    <t>RS FRA A040</t>
  </si>
  <si>
    <t>FranceA040</t>
  </si>
  <si>
    <t>RS FRA A040 MOB</t>
  </si>
  <si>
    <t>RS FRA A050</t>
  </si>
  <si>
    <t>FranceA050</t>
  </si>
  <si>
    <t>RS FRA A050 MOB</t>
  </si>
  <si>
    <t>RS FRA A060</t>
  </si>
  <si>
    <t>FranceA060</t>
  </si>
  <si>
    <t>RS FRA A060 MOB</t>
  </si>
  <si>
    <t>RS FRA A065</t>
  </si>
  <si>
    <t>FranceA065</t>
  </si>
  <si>
    <t>RS FRA A065 MOB</t>
  </si>
  <si>
    <t>RS FRA A079</t>
  </si>
  <si>
    <t>FranceA079</t>
  </si>
  <si>
    <t>RS FRA A079 MOB</t>
  </si>
  <si>
    <t>RS FRA A080</t>
  </si>
  <si>
    <t>FranceA080</t>
  </si>
  <si>
    <t>RS FRA A080 MOB</t>
  </si>
  <si>
    <t>RS FRA A090</t>
  </si>
  <si>
    <t>FranceA090</t>
  </si>
  <si>
    <t>RS FRA A090 MOB</t>
  </si>
  <si>
    <t>RS FRA A099</t>
  </si>
  <si>
    <t>FranceA099</t>
  </si>
  <si>
    <t>RS FRA A099 MOB</t>
  </si>
  <si>
    <t>RS FRA A100</t>
  </si>
  <si>
    <t>FranceA100</t>
  </si>
  <si>
    <t>RS FRA A100 MOB</t>
  </si>
  <si>
    <t>RS FRA A150</t>
  </si>
  <si>
    <t>FranceA150</t>
  </si>
  <si>
    <t>RS FRA A150 MOB</t>
  </si>
  <si>
    <t>RS FRA A199</t>
  </si>
  <si>
    <t>FranceA199</t>
  </si>
  <si>
    <t>RS FRA A199 MOB</t>
  </si>
  <si>
    <t>RS FRA A200</t>
  </si>
  <si>
    <t>FranceA200</t>
  </si>
  <si>
    <t>RS FRA A200 MOB</t>
  </si>
  <si>
    <t>RS FRA A250</t>
  </si>
  <si>
    <t>FranceA250</t>
  </si>
  <si>
    <t>RS FRA A250 MOB</t>
  </si>
  <si>
    <t>RS FRA A299</t>
  </si>
  <si>
    <t>FranceA299</t>
  </si>
  <si>
    <t>RS FRA A299 MOB</t>
  </si>
  <si>
    <t>RS FRA A300</t>
  </si>
  <si>
    <t>FranceA300</t>
  </si>
  <si>
    <t>RS FRA A300 MOB</t>
  </si>
  <si>
    <t>RS FRA D005</t>
  </si>
  <si>
    <t>FranceD005</t>
  </si>
  <si>
    <t>RS FRA D005 MOB</t>
  </si>
  <si>
    <t>RS FRA D006</t>
  </si>
  <si>
    <t>FranceD006</t>
  </si>
  <si>
    <t>RS FRA D006 MOB</t>
  </si>
  <si>
    <t>RS FRA D009</t>
  </si>
  <si>
    <t>FranceD009</t>
  </si>
  <si>
    <t>RS FRA D009 MOB</t>
  </si>
  <si>
    <t>RS FRA D010</t>
  </si>
  <si>
    <t>FranceD010</t>
  </si>
  <si>
    <t>RS FRA D010 MOB</t>
  </si>
  <si>
    <t>RS FRA D012</t>
  </si>
  <si>
    <t>FranceD012</t>
  </si>
  <si>
    <t>RS FRA D012 MOB</t>
  </si>
  <si>
    <t>RS FRA D015</t>
  </si>
  <si>
    <t>FranceD015</t>
  </si>
  <si>
    <t>RS FRA D015 MOB</t>
  </si>
  <si>
    <t>RS FRA D018</t>
  </si>
  <si>
    <t>FranceD018</t>
  </si>
  <si>
    <t>RS FRA D018 MOB</t>
  </si>
  <si>
    <t>RS FRA D020</t>
  </si>
  <si>
    <t>FranceD020</t>
  </si>
  <si>
    <t>RS FRA D020 MOB</t>
  </si>
  <si>
    <t>RS FRA D025</t>
  </si>
  <si>
    <t>FranceD025</t>
  </si>
  <si>
    <t>RS FRA D025 MOB</t>
  </si>
  <si>
    <t>RS FRA D030</t>
  </si>
  <si>
    <t>FranceD030</t>
  </si>
  <si>
    <t>RS FRA D030 MOB</t>
  </si>
  <si>
    <t>RS FRA D035</t>
  </si>
  <si>
    <t>FranceD035</t>
  </si>
  <si>
    <t>RS FRA D035 MOB</t>
  </si>
  <si>
    <t>RS FRA D040</t>
  </si>
  <si>
    <t>FranceD040</t>
  </si>
  <si>
    <t>RS FRA D040 MOB</t>
  </si>
  <si>
    <t>RS FRA D045</t>
  </si>
  <si>
    <t>FranceD045</t>
  </si>
  <si>
    <t>RS FRA D045 MOB</t>
  </si>
  <si>
    <t>RS FRA D050</t>
  </si>
  <si>
    <t>FranceD050</t>
  </si>
  <si>
    <t>RS FRA D050 MOB</t>
  </si>
  <si>
    <t>RS FRA D060</t>
  </si>
  <si>
    <t>FranceD060</t>
  </si>
  <si>
    <t>RS FRA D060 MOB</t>
  </si>
  <si>
    <t>RS FRA D070</t>
  </si>
  <si>
    <t>FranceD070</t>
  </si>
  <si>
    <t>RS FRA D070 MOB</t>
  </si>
  <si>
    <t>RS FRA D080</t>
  </si>
  <si>
    <t>FranceD080</t>
  </si>
  <si>
    <t>RS FRA D080 MOB</t>
  </si>
  <si>
    <t>RS GBR 03XX</t>
  </si>
  <si>
    <t>RS GBR 03XX MOB</t>
  </si>
  <si>
    <t>RS GBR SC002</t>
  </si>
  <si>
    <t>UnitedKingdomSC002</t>
  </si>
  <si>
    <t>RS GBR SC002 MOB</t>
  </si>
  <si>
    <t>RS GBR SC003</t>
  </si>
  <si>
    <t>UnitedKingdomSC003</t>
  </si>
  <si>
    <t>RS GBR SC003 MOB</t>
  </si>
  <si>
    <t>RS GBR SC004</t>
  </si>
  <si>
    <t>UnitedKingdomSC004</t>
  </si>
  <si>
    <t>RS GBR SC004 MOB</t>
  </si>
  <si>
    <t>RS GBR SC005</t>
  </si>
  <si>
    <t>UnitedKingdomSC005</t>
  </si>
  <si>
    <t>RS GBR SC005 MOB</t>
  </si>
  <si>
    <t>RS GBR SC006</t>
  </si>
  <si>
    <t>UnitedKingdomSC006</t>
  </si>
  <si>
    <t>RS GBR SC006 MOB</t>
  </si>
  <si>
    <t>RS GBR SC007</t>
  </si>
  <si>
    <t>UnitedKingdomSC007</t>
  </si>
  <si>
    <t>RS GBR SC007 MOB</t>
  </si>
  <si>
    <t>RS GBR SC008</t>
  </si>
  <si>
    <t>UnitedKingdomSC008</t>
  </si>
  <si>
    <t>RS GBR SC008 MOB</t>
  </si>
  <si>
    <t>RS GBR SC009</t>
  </si>
  <si>
    <t>UnitedKingdomSC009</t>
  </si>
  <si>
    <t>RS GBR SC009 MOB</t>
  </si>
  <si>
    <t>RS GBR SC010</t>
  </si>
  <si>
    <t>UnitedKingdomSC010</t>
  </si>
  <si>
    <t>RS GBR SC010 MOB</t>
  </si>
  <si>
    <t>RS GBR SC011</t>
  </si>
  <si>
    <t>UnitedKingdomSC011</t>
  </si>
  <si>
    <t>RS GBR SC011 MOB</t>
  </si>
  <si>
    <t>RS GBR SC012</t>
  </si>
  <si>
    <t>UnitedKingdomSC012</t>
  </si>
  <si>
    <t>RS GBR SC012 MOB</t>
  </si>
  <si>
    <t>RS GBR SC013</t>
  </si>
  <si>
    <t>UnitedKingdomSC013</t>
  </si>
  <si>
    <t>RS GBR SC013 MOB</t>
  </si>
  <si>
    <t>RS GBR SC014</t>
  </si>
  <si>
    <t>UnitedKingdomSC014</t>
  </si>
  <si>
    <t>RS GBR SC014 MOB</t>
  </si>
  <si>
    <t>RS GBR SC015</t>
  </si>
  <si>
    <t>UnitedKingdomSC015</t>
  </si>
  <si>
    <t>RS GBR SC015 MOB</t>
  </si>
  <si>
    <t>RS GBR SC016</t>
  </si>
  <si>
    <t>UnitedKingdomSC016</t>
  </si>
  <si>
    <t>RS GBR SC016 MOB</t>
  </si>
  <si>
    <t>RS GBR SC017</t>
  </si>
  <si>
    <t>UnitedKingdomSC017</t>
  </si>
  <si>
    <t>RS GBR SC017 MOB</t>
  </si>
  <si>
    <t>RS GBR SC018</t>
  </si>
  <si>
    <t>UnitedKingdomSC018</t>
  </si>
  <si>
    <t>RS GBR SC018 MOB</t>
  </si>
  <si>
    <t>RS GBR SC019</t>
  </si>
  <si>
    <t>UnitedKingdomSC019</t>
  </si>
  <si>
    <t>RS GBR SC019 MOB</t>
  </si>
  <si>
    <t>RS GBR SC020</t>
  </si>
  <si>
    <t>UnitedKingdomSC020</t>
  </si>
  <si>
    <t>RS GBR SC020 MOB</t>
  </si>
  <si>
    <t>RS GBR SC021</t>
  </si>
  <si>
    <t>UnitedKingdomSC021</t>
  </si>
  <si>
    <t>RS GBR SC021 MOB</t>
  </si>
  <si>
    <t>RS GBR SC022</t>
  </si>
  <si>
    <t>UnitedKingdomSC022</t>
  </si>
  <si>
    <t>RS GBR SC022 MOB</t>
  </si>
  <si>
    <t>RS GBR SC023</t>
  </si>
  <si>
    <t>UnitedKingdomSC023</t>
  </si>
  <si>
    <t>RS GBR SC023 MOB</t>
  </si>
  <si>
    <t>RS GBR SC024</t>
  </si>
  <si>
    <t>UnitedKingdomSC024</t>
  </si>
  <si>
    <t>RS GBR SC024 MOB</t>
  </si>
  <si>
    <t>RS GBR SC025</t>
  </si>
  <si>
    <t>UnitedKingdomSC025</t>
  </si>
  <si>
    <t>RS GBR SC025 MOB</t>
  </si>
  <si>
    <t>RS GBR SC026</t>
  </si>
  <si>
    <t>UnitedKingdomSC026</t>
  </si>
  <si>
    <t>RS GBR SC026 MOB</t>
  </si>
  <si>
    <t>RS GBR SC027</t>
  </si>
  <si>
    <t>UnitedKingdomSC027</t>
  </si>
  <si>
    <t>RS GBR SC027 MOB</t>
  </si>
  <si>
    <t>RS GBR SC028</t>
  </si>
  <si>
    <t>UnitedKingdomSC028</t>
  </si>
  <si>
    <t>RS GBR SC028 MOB</t>
  </si>
  <si>
    <t>RS GBR SC029</t>
  </si>
  <si>
    <t>UnitedKingdomSC029</t>
  </si>
  <si>
    <t>RS GBR SC029 MOB</t>
  </si>
  <si>
    <t>RS GBR SC030</t>
  </si>
  <si>
    <t>UnitedKingdomSC030</t>
  </si>
  <si>
    <t>RS GBR SC030 MOB</t>
  </si>
  <si>
    <t>RS GBR SC031</t>
  </si>
  <si>
    <t>UnitedKingdomSC031</t>
  </si>
  <si>
    <t>RS GBR SC031 MOB</t>
  </si>
  <si>
    <t>RS GBR SC032</t>
  </si>
  <si>
    <t>UnitedKingdomSC032</t>
  </si>
  <si>
    <t>RS GBR SC032 MOB</t>
  </si>
  <si>
    <t>RS GBR SC033</t>
  </si>
  <si>
    <t>UnitedKingdomSC033</t>
  </si>
  <si>
    <t>RS GBR SC033 MOB</t>
  </si>
  <si>
    <t>RS GBR SC034</t>
  </si>
  <si>
    <t>UnitedKingdomSC034</t>
  </si>
  <si>
    <t>RS GBR SC034 MOB</t>
  </si>
  <si>
    <t>RS GBR SC035</t>
  </si>
  <si>
    <t>UnitedKingdomSC035</t>
  </si>
  <si>
    <t>RS GBR SC035 MOB</t>
  </si>
  <si>
    <t>RS GBR SC036</t>
  </si>
  <si>
    <t>UnitedKingdomSC036</t>
  </si>
  <si>
    <t>RS GBR SC036 MOB</t>
  </si>
  <si>
    <t>RS GBR SC037</t>
  </si>
  <si>
    <t>UnitedKingdomSC037</t>
  </si>
  <si>
    <t>RS GBR SC037 MOB</t>
  </si>
  <si>
    <t>RS GBR SC038</t>
  </si>
  <si>
    <t>UnitedKingdomSC038</t>
  </si>
  <si>
    <t>RS GBR SC038 MOB</t>
  </si>
  <si>
    <t>RS GBR SC039</t>
  </si>
  <si>
    <t>UnitedKingdomSC039</t>
  </si>
  <si>
    <t>RS GBR SC039 MOB</t>
  </si>
  <si>
    <t>RS GBR SC040</t>
  </si>
  <si>
    <t>UnitedKingdomSC040</t>
  </si>
  <si>
    <t>RS GBR SC040 MOB</t>
  </si>
  <si>
    <t>RS GBR SC041</t>
  </si>
  <si>
    <t>UnitedKingdomSC041</t>
  </si>
  <si>
    <t>RS GBR SC041 MOB</t>
  </si>
  <si>
    <t>RS GBR SC042</t>
  </si>
  <si>
    <t>UnitedKingdomSC042</t>
  </si>
  <si>
    <t>RS GBR SC042 MOB</t>
  </si>
  <si>
    <t>RS GBR SC043</t>
  </si>
  <si>
    <t>UnitedKingdomSC043</t>
  </si>
  <si>
    <t>RS GBR SC043 MOB</t>
  </si>
  <si>
    <t>RS GBR SC044</t>
  </si>
  <si>
    <t>UnitedKingdomSC044</t>
  </si>
  <si>
    <t>RS GBR SC044 MOB</t>
  </si>
  <si>
    <t>RS GBR SC045</t>
  </si>
  <si>
    <t>UnitedKingdomSC045</t>
  </si>
  <si>
    <t>RS GBR SC045 MOB</t>
  </si>
  <si>
    <t>RS IRL 0818</t>
  </si>
  <si>
    <t>RS IRL 0818 MOB</t>
  </si>
  <si>
    <t>RS IRL 1890</t>
  </si>
  <si>
    <t>RS IRL 1890 MOB</t>
  </si>
  <si>
    <t>RS NLD 0900</t>
  </si>
  <si>
    <t>RS NLD 0900 MOB</t>
  </si>
  <si>
    <t>RS NOR 0810</t>
  </si>
  <si>
    <t>RS NOR 0810 MOB</t>
  </si>
  <si>
    <t>RS NOR 0815</t>
  </si>
  <si>
    <t>RS NOR 0815 MOB</t>
  </si>
  <si>
    <t>RS PRT 707</t>
  </si>
  <si>
    <t>RS PRT 707 MOB</t>
  </si>
  <si>
    <t>RS PRT 808</t>
  </si>
  <si>
    <t>RS PRT 808 MOB</t>
  </si>
  <si>
    <t/>
  </si>
  <si>
    <t>TSNUM ARG 810</t>
  </si>
  <si>
    <t>TSNUM AUS 13</t>
  </si>
  <si>
    <t>TSNUM AUS 1300</t>
  </si>
  <si>
    <t>TSNUM AUT 0720</t>
  </si>
  <si>
    <t>TSNUM AUT 810-stufe3</t>
  </si>
  <si>
    <t>TSNUM AUT 810-stufe5</t>
  </si>
  <si>
    <t>TSNUM AUT 810-stufe6</t>
  </si>
  <si>
    <t>TSNUM AUT 820-stufe3</t>
  </si>
  <si>
    <t>TSNUM AUT 820-stufe4</t>
  </si>
  <si>
    <t>TSNUM BEL 070</t>
  </si>
  <si>
    <t>TSNUM BEL 078</t>
  </si>
  <si>
    <t>TSNUM BGR 070</t>
  </si>
  <si>
    <t>TSNUM CHN 400</t>
  </si>
  <si>
    <t>TSNUM CZE 0810</t>
  </si>
  <si>
    <t>TSNUM DNK 701</t>
  </si>
  <si>
    <t>TSNUM FIN 0203</t>
  </si>
  <si>
    <t>TSNUM DEU 01801</t>
  </si>
  <si>
    <t>TSNUM DEU 01803</t>
  </si>
  <si>
    <t>TSNUM DEU 01805</t>
  </si>
  <si>
    <t>TSNUM DEU 01806</t>
  </si>
  <si>
    <t>TSNUM GRC 801</t>
  </si>
  <si>
    <t>TSNUM IND 1860</t>
  </si>
  <si>
    <t>TSNUM IRL 0818</t>
  </si>
  <si>
    <t>TSNUM IRL 1850</t>
  </si>
  <si>
    <t>TSNUM IRL 1890</t>
  </si>
  <si>
    <t>TSNUM ITA 848</t>
  </si>
  <si>
    <t>TSNUM NLD 0900</t>
  </si>
  <si>
    <t>TSNUM NOR 0810</t>
  </si>
  <si>
    <t>TSNUM NOR 0815</t>
  </si>
  <si>
    <t>TSNUM POL 8013</t>
  </si>
  <si>
    <t>TSNUM POL 8015</t>
  </si>
  <si>
    <t>TSNUM PRT 707</t>
  </si>
  <si>
    <t>TSNUM PRT 808</t>
  </si>
  <si>
    <t>TSNUM SVK 0850</t>
  </si>
  <si>
    <t>TSNUM ZAF 0860</t>
  </si>
  <si>
    <t>TSNUM ZAF 0861</t>
  </si>
  <si>
    <t>TSNUM ESP 901-nivel1</t>
  </si>
  <si>
    <t>TSNUM ESP 902-nivel1</t>
  </si>
  <si>
    <t>TSNUM ESP 902-nivel2</t>
  </si>
  <si>
    <t>TSNUM SWE 077</t>
  </si>
  <si>
    <t>TSNUM CHE 084x</t>
  </si>
  <si>
    <t>TSNUM CHE 090x</t>
  </si>
  <si>
    <t>TSNUM GBR 03XX</t>
  </si>
  <si>
    <t>TSNUM GBR SC001</t>
  </si>
  <si>
    <t>RSNUM AUT 810-stufe3</t>
  </si>
  <si>
    <t>RSNUM AUT 810-stufe5</t>
  </si>
  <si>
    <t>RSNUM AUT 810-stufe6</t>
  </si>
  <si>
    <t>RSNUM AUT 820-stufe3</t>
  </si>
  <si>
    <t>RSNUM AUT 820-stufe4</t>
  </si>
  <si>
    <t>RSNUM BEL 070</t>
  </si>
  <si>
    <t>RSNUM FRA A005</t>
  </si>
  <si>
    <t>RSNUM FRA A008</t>
  </si>
  <si>
    <t>RSNUM FRA A009</t>
  </si>
  <si>
    <t>RSNUM FRA A010</t>
  </si>
  <si>
    <t>RSNUM FRA A012</t>
  </si>
  <si>
    <t>RSNUM FRA A015</t>
  </si>
  <si>
    <t>RSNUM FRA A020</t>
  </si>
  <si>
    <t>RSNUM FRA A030</t>
  </si>
  <si>
    <t>RSNUM FRA A040</t>
  </si>
  <si>
    <t>RSNUM FRA A050</t>
  </si>
  <si>
    <t>RSNUM FRA A060</t>
  </si>
  <si>
    <t>RSNUM FRA A065</t>
  </si>
  <si>
    <t>RSNUM FRA A079</t>
  </si>
  <si>
    <t>RSNUM FRA A080</t>
  </si>
  <si>
    <t>RSNUM FRA A090</t>
  </si>
  <si>
    <t>RSNUM FRA A099</t>
  </si>
  <si>
    <t>RSNUM FRA A100</t>
  </si>
  <si>
    <t>RSNUM FRA A150</t>
  </si>
  <si>
    <t>RSNUM FRA A199</t>
  </si>
  <si>
    <t>RSNUM FRA A200</t>
  </si>
  <si>
    <t>RSNUM FRA A250</t>
  </si>
  <si>
    <t>RSNUM FRA A299</t>
  </si>
  <si>
    <t>RSNUM FRA A300</t>
  </si>
  <si>
    <t>RSNUM FRA D005</t>
  </si>
  <si>
    <t>RSNUM FRA D006</t>
  </si>
  <si>
    <t>RSNUM FRA D009</t>
  </si>
  <si>
    <t>RSNUM FRA D010</t>
  </si>
  <si>
    <t>RSNUM FRA D012</t>
  </si>
  <si>
    <t>RSNUM FRA D015</t>
  </si>
  <si>
    <t>RSNUM FRA D018</t>
  </si>
  <si>
    <t>RSNUM FRA D020</t>
  </si>
  <si>
    <t>RSNUM FRA D025</t>
  </si>
  <si>
    <t>RSNUM FRA D030</t>
  </si>
  <si>
    <t>RSNUM FRA D035</t>
  </si>
  <si>
    <t>RSNUM FRA D040</t>
  </si>
  <si>
    <t>RSNUM FRA D045</t>
  </si>
  <si>
    <t>RSNUM FRA D050</t>
  </si>
  <si>
    <t>RSNUM FRA D060</t>
  </si>
  <si>
    <t>RSNUM FRA D070</t>
  </si>
  <si>
    <t>RSNUM FRA D080</t>
  </si>
  <si>
    <t>RSNUM DEU 01803</t>
  </si>
  <si>
    <t>RSNUM DEU 01805</t>
  </si>
  <si>
    <t>RSNUM DEU 01806</t>
  </si>
  <si>
    <t>RSNUM IRL 0818</t>
  </si>
  <si>
    <t>RSNUM IRL 1890</t>
  </si>
  <si>
    <t>RSNUM NLD 0900</t>
  </si>
  <si>
    <t>RSNUM NOR 0810</t>
  </si>
  <si>
    <t>RSNUM NOR 0815</t>
  </si>
  <si>
    <t>RSNUM PRT 707</t>
  </si>
  <si>
    <t>RSNUM PRT 808</t>
  </si>
  <si>
    <t>RSNUM ESP 902-nivel1</t>
  </si>
  <si>
    <t>RSNUM ESP 902-nivel2</t>
  </si>
  <si>
    <t>RSNUM CHE 084x</t>
  </si>
  <si>
    <t>RSNUM CHE 090x</t>
  </si>
  <si>
    <t>RSNUM GBR 03XX</t>
  </si>
  <si>
    <t>RSNUM GBR SC002</t>
  </si>
  <si>
    <t>RSNUM GBR SC003</t>
  </si>
  <si>
    <t>RSNUM GBR SC004</t>
  </si>
  <si>
    <t>RSNUM GBR SC005</t>
  </si>
  <si>
    <t>RSNUM GBR SC006</t>
  </si>
  <si>
    <t>RSNUM GBR SC007</t>
  </si>
  <si>
    <t>RSNUM GBR SC008</t>
  </si>
  <si>
    <t>RSNUM GBR SC009</t>
  </si>
  <si>
    <t>RSNUM GBR SC010</t>
  </si>
  <si>
    <t>RSNUM GBR SC011</t>
  </si>
  <si>
    <t>RSNUM GBR SC012</t>
  </si>
  <si>
    <t>RSNUM GBR SC013</t>
  </si>
  <si>
    <t>RSNUM GBR SC014</t>
  </si>
  <si>
    <t>RSNUM GBR SC015</t>
  </si>
  <si>
    <t>RSNUM GBR SC016</t>
  </si>
  <si>
    <t>RSNUM GBR SC017</t>
  </si>
  <si>
    <t>RSNUM GBR SC018</t>
  </si>
  <si>
    <t>RSNUM GBR SC019</t>
  </si>
  <si>
    <t>RSNUM GBR SC020</t>
  </si>
  <si>
    <t>RSNUM GBR SC021</t>
  </si>
  <si>
    <t>RSNUM GBR SC022</t>
  </si>
  <si>
    <t>RSNUM GBR SC023</t>
  </si>
  <si>
    <t>RSNUM GBR SC024</t>
  </si>
  <si>
    <t>RSNUM GBR SC025</t>
  </si>
  <si>
    <t>RSNUM GBR SC026</t>
  </si>
  <si>
    <t>RSNUM GBR SC027</t>
  </si>
  <si>
    <t>RSNUM GBR SC028</t>
  </si>
  <si>
    <t>RSNUM GBR SC029</t>
  </si>
  <si>
    <t>RSNUM GBR SC030</t>
  </si>
  <si>
    <t>RSNUM GBR SC031</t>
  </si>
  <si>
    <t>RSNUM GBR SC032</t>
  </si>
  <si>
    <t>RSNUM GBR SC033</t>
  </si>
  <si>
    <t>RSNUM GBR SC034</t>
  </si>
  <si>
    <t>RSNUM GBR SC035</t>
  </si>
  <si>
    <t>RSNUM GBR SC036</t>
  </si>
  <si>
    <t>RSNUM GBR SC037</t>
  </si>
  <si>
    <t>RSNUM GBR SC038</t>
  </si>
  <si>
    <t>RSNUM GBR SC039</t>
  </si>
  <si>
    <t>RSNUM GBR SC040</t>
  </si>
  <si>
    <t>RSNUM GBR SC041</t>
  </si>
  <si>
    <t>RSNUM GBR SC042</t>
  </si>
  <si>
    <t>RSNUM GBR SC043</t>
  </si>
  <si>
    <t>RSNUM GBR SC044</t>
  </si>
  <si>
    <t>RSNUM GBR SC045</t>
  </si>
  <si>
    <t>SITA Voice Price Book Year 21 - v1.0</t>
  </si>
  <si>
    <t>PSTN ALB MOB</t>
  </si>
  <si>
    <t>PSTN DZA MOB</t>
  </si>
  <si>
    <t>PSTN AGO MOB</t>
  </si>
  <si>
    <t>PSTN ARG MOB</t>
  </si>
  <si>
    <t>PSTN AUS MOB</t>
  </si>
  <si>
    <t>PSTN AUT MOB</t>
  </si>
  <si>
    <t>PSTN BGD MOB</t>
  </si>
  <si>
    <t>PSTN BLR MOB</t>
  </si>
  <si>
    <t>PSTN BEL MOB</t>
  </si>
  <si>
    <t>PSTN BEN MOB</t>
  </si>
  <si>
    <t>PSTN BIH MOB</t>
  </si>
  <si>
    <t>PSTN BRA MOB</t>
  </si>
  <si>
    <t>PSTN BGR MOB</t>
  </si>
  <si>
    <t>PSTN BFA MOB</t>
  </si>
  <si>
    <t>PSTN KHM MOB</t>
  </si>
  <si>
    <t>PSTN CMR MOB</t>
  </si>
  <si>
    <t>PSTN CAN MOB</t>
  </si>
  <si>
    <t>PSTN CYM MOB</t>
  </si>
  <si>
    <t>PSTN CHL MOB</t>
  </si>
  <si>
    <t>PSTN CHN MOB</t>
  </si>
  <si>
    <t>PSTN COL MOB</t>
  </si>
  <si>
    <t>PSTN CRI MOB</t>
  </si>
  <si>
    <t>PSTN HRV MOB</t>
  </si>
  <si>
    <t>PSTN CYP MOB</t>
  </si>
  <si>
    <t>PSTN CZE MOB</t>
  </si>
  <si>
    <t>PSTN DNK MOB</t>
  </si>
  <si>
    <t>PSTN DOM MOB</t>
  </si>
  <si>
    <t>PSTN SLV MOB</t>
  </si>
  <si>
    <t>PSTN EST MOB</t>
  </si>
  <si>
    <t>PSTN FIN MOB</t>
  </si>
  <si>
    <t>PSTN FRA MOB</t>
  </si>
  <si>
    <t>PSTN GUF MOB</t>
  </si>
  <si>
    <t>PSTN GEO MOB</t>
  </si>
  <si>
    <t>PSTN DEU MOB</t>
  </si>
  <si>
    <t>PSTN GHA MOB</t>
  </si>
  <si>
    <t>PSTN GRC MOB</t>
  </si>
  <si>
    <t>PSTN GRD MOB</t>
  </si>
  <si>
    <t>PSTN GLP MOB</t>
  </si>
  <si>
    <t>PSTN GTM MOB</t>
  </si>
  <si>
    <t>PSTN HND MOB</t>
  </si>
  <si>
    <t>PSTN HKG MOB</t>
  </si>
  <si>
    <t>PSTN HUN MOB</t>
  </si>
  <si>
    <t>PSTN ISL MOB</t>
  </si>
  <si>
    <t>PSTN IND MOB</t>
  </si>
  <si>
    <t>PSTN IDN MOB</t>
  </si>
  <si>
    <t>PSTN IRL MOB</t>
  </si>
  <si>
    <t>PSTN ISR MOB</t>
  </si>
  <si>
    <t>PSTN ITA MOB</t>
  </si>
  <si>
    <t>PSTN JAM MOB</t>
  </si>
  <si>
    <t>PSTN JPN MOB</t>
  </si>
  <si>
    <t>PSTN JOR MOB</t>
  </si>
  <si>
    <t>PSTN KAZ MOB</t>
  </si>
  <si>
    <t>PSTN KEN MOB</t>
  </si>
  <si>
    <t>PSTN KWT MOB</t>
  </si>
  <si>
    <t>PSTN KGZ MOB</t>
  </si>
  <si>
    <t>PSTN LVA MOB</t>
  </si>
  <si>
    <t>PSTN LTU MOB</t>
  </si>
  <si>
    <t>PSTN LUX MOB</t>
  </si>
  <si>
    <t>PSTN MAC MOB</t>
  </si>
  <si>
    <t>PSTN MKD MOB</t>
  </si>
  <si>
    <t>PSTN MYS MOB</t>
  </si>
  <si>
    <t>PSTN MLT MOB</t>
  </si>
  <si>
    <t>PSTN MTQ MOB</t>
  </si>
  <si>
    <t>PSTN MUS MOB</t>
  </si>
  <si>
    <t>PSTN MEX MOB</t>
  </si>
  <si>
    <t>PSTN MDA MOB</t>
  </si>
  <si>
    <t>PSTN MNE MOB</t>
  </si>
  <si>
    <t>PSTN MAR MOB</t>
  </si>
  <si>
    <t>PSTN NLD MOB</t>
  </si>
  <si>
    <t>PSTN NZL MOB</t>
  </si>
  <si>
    <t>PSTN NIC MOB</t>
  </si>
  <si>
    <t>PSTN NGA MOB</t>
  </si>
  <si>
    <t>PSTN NOR MOB</t>
  </si>
  <si>
    <t>PSTN PAK MOB</t>
  </si>
  <si>
    <t>PSTN PAN MOB</t>
  </si>
  <si>
    <t>PSTN PER MOB</t>
  </si>
  <si>
    <t>PSTN PHL MOB</t>
  </si>
  <si>
    <t>PSTN POL MOB</t>
  </si>
  <si>
    <t>PSTN PRT MOB</t>
  </si>
  <si>
    <t>PSTN PRI MOB</t>
  </si>
  <si>
    <t>PSTN REU</t>
  </si>
  <si>
    <t>PSTN REU MOB</t>
  </si>
  <si>
    <t>PSTN ROU MOB</t>
  </si>
  <si>
    <t>PSTN RUS MOB</t>
  </si>
  <si>
    <t>PSTN SAU MOB</t>
  </si>
  <si>
    <t>PSTN SRB MOB</t>
  </si>
  <si>
    <t>PSTN SYC MOB</t>
  </si>
  <si>
    <t>PSTN SGP MOB</t>
  </si>
  <si>
    <t>PSTN SVK MOB</t>
  </si>
  <si>
    <t>PSTN SVN MOB</t>
  </si>
  <si>
    <t>PSTN ZAF MOB</t>
  </si>
  <si>
    <t>PSTN KOR MOB</t>
  </si>
  <si>
    <t>PSTN ESP MOB</t>
  </si>
  <si>
    <t>PSTN LKA MOB</t>
  </si>
  <si>
    <t>PSTN SWE MOB</t>
  </si>
  <si>
    <t>PSTN CHE MOB</t>
  </si>
  <si>
    <t>PSTN TWN MOB</t>
  </si>
  <si>
    <t>PSTN TJK MOB</t>
  </si>
  <si>
    <t>PSTN THA MOB</t>
  </si>
  <si>
    <t>PSTN TTO MOB</t>
  </si>
  <si>
    <t>PSTN TUN MOB</t>
  </si>
  <si>
    <t>PSTN UGA MOB</t>
  </si>
  <si>
    <t>PSTN UKR MOB</t>
  </si>
  <si>
    <t>PSTN GBR MOB</t>
  </si>
  <si>
    <t>PSTN ARE</t>
  </si>
  <si>
    <t>PSTN ARE MOB</t>
  </si>
  <si>
    <t>PSTN URY MOB</t>
  </si>
  <si>
    <t>PSTN USA MOB</t>
  </si>
  <si>
    <t>PSTN VEN MOB</t>
  </si>
  <si>
    <t>PSTN ZWE MOB</t>
  </si>
  <si>
    <t>PSTNNUM ALB</t>
  </si>
  <si>
    <t>PSTNNUM DZA</t>
  </si>
  <si>
    <t>PSTNNUM AGO</t>
  </si>
  <si>
    <t>PSTNNUM ARG</t>
  </si>
  <si>
    <t>PSTNNUM AUS</t>
  </si>
  <si>
    <t>PSTNNUM AUT</t>
  </si>
  <si>
    <t>PSTNNUM BGD</t>
  </si>
  <si>
    <t>PSTNNUM BLR</t>
  </si>
  <si>
    <t>PSTNNUM BEL</t>
  </si>
  <si>
    <t>PSTNNUM BEN</t>
  </si>
  <si>
    <t>PSTNNUM BIH</t>
  </si>
  <si>
    <t>PSTNNUM BRA</t>
  </si>
  <si>
    <t>PSTNNUM BGR</t>
  </si>
  <si>
    <t>PSTNNUM BFA</t>
  </si>
  <si>
    <t>PSTNNUM KHM</t>
  </si>
  <si>
    <t>PSTNNUM CMR</t>
  </si>
  <si>
    <t>PSTNNUM CAN</t>
  </si>
  <si>
    <t>PSTNNUM CYM</t>
  </si>
  <si>
    <t>PSTNNUM CHL</t>
  </si>
  <si>
    <t>PSTNNUM CHN</t>
  </si>
  <si>
    <t>PSTNNUM COL</t>
  </si>
  <si>
    <t>PSTNNUM CRI</t>
  </si>
  <si>
    <t>PSTNNUM HRV</t>
  </si>
  <si>
    <t>PSTNNUM CYP</t>
  </si>
  <si>
    <t>PSTNNUM CZE</t>
  </si>
  <si>
    <t>PSTNNUM DNK</t>
  </si>
  <si>
    <t>PSTNNUM DOM</t>
  </si>
  <si>
    <t>PSTNNUM SLV</t>
  </si>
  <si>
    <t>PSTNNUM EST</t>
  </si>
  <si>
    <t>PSTNNUM FIN</t>
  </si>
  <si>
    <t>PSTNNUM FRA</t>
  </si>
  <si>
    <t>PSTNNUM GUF</t>
  </si>
  <si>
    <t>PSTNNUM GEO</t>
  </si>
  <si>
    <t>PSTNNUM DEU</t>
  </si>
  <si>
    <t>PSTNNUM GHA</t>
  </si>
  <si>
    <t>PSTNNUM GRC</t>
  </si>
  <si>
    <t>PSTNNUM GRD</t>
  </si>
  <si>
    <t>PSTNNUM GLP</t>
  </si>
  <si>
    <t>PSTNNUM GTM</t>
  </si>
  <si>
    <t>PSTNNUM HND</t>
  </si>
  <si>
    <t>PSTNNUM HKG</t>
  </si>
  <si>
    <t>PSTNNUM HUN</t>
  </si>
  <si>
    <t>PSTNNUM ISL</t>
  </si>
  <si>
    <t>PSTNNUM IND</t>
  </si>
  <si>
    <t>PSTNNUM IDN</t>
  </si>
  <si>
    <t>PSTNNUM IRL</t>
  </si>
  <si>
    <t>PSTNNUM ISR</t>
  </si>
  <si>
    <t>PSTNNUM ITA</t>
  </si>
  <si>
    <t>PSTNNUM JAM</t>
  </si>
  <si>
    <t>PSTNNUM JPN</t>
  </si>
  <si>
    <t>PSTNNUM JOR</t>
  </si>
  <si>
    <t>PSTNNUM KAZ</t>
  </si>
  <si>
    <t>PSTNNUM KEN</t>
  </si>
  <si>
    <t>PSTNNUM KWT</t>
  </si>
  <si>
    <t>PSTNNUM KGZ</t>
  </si>
  <si>
    <t>PSTNNUM LVA</t>
  </si>
  <si>
    <t>PSTNNUM LTU</t>
  </si>
  <si>
    <t>PSTNNUM LUX</t>
  </si>
  <si>
    <t>PSTNNUM MAC</t>
  </si>
  <si>
    <t>PSTNNUM MKD</t>
  </si>
  <si>
    <t>PSTNNUM MYS</t>
  </si>
  <si>
    <t>PSTNNUM MLT</t>
  </si>
  <si>
    <t>PSTNNUM MTQ</t>
  </si>
  <si>
    <t>PSTNNUM MUS</t>
  </si>
  <si>
    <t>PSTNNUM MEX</t>
  </si>
  <si>
    <t>PSTNNUM MDA</t>
  </si>
  <si>
    <t>PSTNNUM MNE</t>
  </si>
  <si>
    <t>PSTNNUM MAR</t>
  </si>
  <si>
    <t>PSTNNUM NLD</t>
  </si>
  <si>
    <t>PSTNNUM NZL</t>
  </si>
  <si>
    <t>PSTNNUM NIC</t>
  </si>
  <si>
    <t>PSTNNUM NGA</t>
  </si>
  <si>
    <t>PSTNNUM NOR</t>
  </si>
  <si>
    <t>PSTNNUM PAK</t>
  </si>
  <si>
    <t>PSTNNUM PAN</t>
  </si>
  <si>
    <t>PSTNNUM PER</t>
  </si>
  <si>
    <t>PSTNNUM PHL</t>
  </si>
  <si>
    <t>PSTNNUM POL</t>
  </si>
  <si>
    <t>PSTNNUM PRT</t>
  </si>
  <si>
    <t>PSTNNUM PRI</t>
  </si>
  <si>
    <t>PSTNNUM REU</t>
  </si>
  <si>
    <t>PSTNNUM ROU</t>
  </si>
  <si>
    <t>PSTNNUM RUS</t>
  </si>
  <si>
    <t>PSTNNUM SAU</t>
  </si>
  <si>
    <t>PSTNNUM SRB</t>
  </si>
  <si>
    <t>PSTNNUM SYC</t>
  </si>
  <si>
    <t>PSTNNUM SGP</t>
  </si>
  <si>
    <t>PSTNNUM SVK</t>
  </si>
  <si>
    <t>PSTNNUM SVN</t>
  </si>
  <si>
    <t>PSTNNUM ZAF</t>
  </si>
  <si>
    <t>PSTNNUM KOR</t>
  </si>
  <si>
    <t>PSTNNUM ESP</t>
  </si>
  <si>
    <t>PSTNNUM LKA</t>
  </si>
  <si>
    <t>PSTNNUM SWE</t>
  </si>
  <si>
    <t>PSTNNUM CHE</t>
  </si>
  <si>
    <t>PSTNNUM TWN</t>
  </si>
  <si>
    <t>PSTNNUM TJK</t>
  </si>
  <si>
    <t>PSTNNUM THA</t>
  </si>
  <si>
    <t>PSTNNUM TTO</t>
  </si>
  <si>
    <t>PSTNNUM TUN</t>
  </si>
  <si>
    <t>PSTNNUM UGA</t>
  </si>
  <si>
    <t>PSTNNUM UKR</t>
  </si>
  <si>
    <t>PSTNNUM GBR</t>
  </si>
  <si>
    <t>PSTNNUM ARE</t>
  </si>
  <si>
    <t>PSTNNUM URY</t>
  </si>
  <si>
    <t>PSTNNUM USA</t>
  </si>
  <si>
    <t>PSTNNUM VEN</t>
  </si>
  <si>
    <t>PSTNNUM ZWE</t>
  </si>
  <si>
    <t>PSTNNUM EGY</t>
  </si>
  <si>
    <t>PSTNNUM ANT</t>
  </si>
  <si>
    <t>to be confirmed</t>
  </si>
  <si>
    <t>Voice Price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</si>
</sst>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43" formatCode="_-* #,##0.00_-;\-* #,##0.00_-;_-* &quot;-&quot;??_-;_-@_-"/>
    <numFmt numFmtId="164" formatCode="&quot;$&quot;#,##0_);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 * #,##0_ ;_ * \-#,##0_ ;_ * &quot;-&quot;_ ;_ @_ "/>
    <numFmt numFmtId="170" formatCode="_ * #,##0.00_ ;_ * \-#,##0.00_ ;_ * &quot;-&quot;??_ ;_ @_ "/>
    <numFmt numFmtId="171" formatCode="_-* #,##0.00\ _F_-;\-* #,##0.00\ _F_-;_-* &quot;-&quot;??\ _F_-;_-@_-"/>
    <numFmt numFmtId="172" formatCode="0.000"/>
    <numFmt numFmtId="173" formatCode="0.0000"/>
    <numFmt numFmtId="174" formatCode="_-* #,##0\ _S_/_._-;\-* #,##0\ _S_/_._-;_-* &quot;-&quot;\ _S_/_._-;_-@_-"/>
    <numFmt numFmtId="175" formatCode="_-* #,##0.00\ _S_/_._-;\-* #,##0.00\ _S_/_._-;_-* &quot;-&quot;??\ _S_/_._-;_-@_-"/>
    <numFmt numFmtId="176" formatCode="_-* #,##0\ &quot;S/.&quot;_-;\-* #,##0\ &quot;S/.&quot;_-;_-* &quot;-&quot;\ &quot;S/.&quot;_-;_-@_-"/>
    <numFmt numFmtId="177" formatCode="_-* #,##0.00\ &quot;S/.&quot;_-;\-* #,##0.00\ &quot;S/.&quot;_-;_-* &quot;-&quot;??\ &quot;S/.&quot;_-;_-@_-"/>
    <numFmt numFmtId="178" formatCode="0.00_)"/>
    <numFmt numFmtId="179" formatCode="#,##0\ &quot;DM&quot;;[Red]\-#,##0\ &quot;DM&quot;"/>
    <numFmt numFmtId="180" formatCode="#,##0.00\ &quot;DM&quot;;[Red]\-#,##0.00\ &quot;DM&quot;"/>
    <numFmt numFmtId="181" formatCode="#,##0.0000000000"/>
    <numFmt numFmtId="182" formatCode="#,##0.00000000000"/>
    <numFmt numFmtId="183" formatCode="#,##0.000000000000"/>
    <numFmt numFmtId="184" formatCode="#,##0.0000000000000"/>
    <numFmt numFmtId="185" formatCode="#,##0.0000"/>
    <numFmt numFmtId="186" formatCode="_-[$€-2]* #,##0.00_-;\-[$€-2]* #,##0.00_-;_-[$€-2]* &quot;-&quot;??_-"/>
    <numFmt numFmtId="187" formatCode="#,##0\ ;\(#,##0\)"/>
    <numFmt numFmtId="188" formatCode="&quot;$&quot;#,##0\ ;\(&quot;$&quot;#,##0\)"/>
    <numFmt numFmtId="189" formatCode="#,##0.0\x_)_);\(#,##0.0\x\)_);#,##0.0\x_)_);@_%_)"/>
    <numFmt numFmtId="190" formatCode="#,##0.0\%_);\(#,##0.0\%\);#,##0.0\%_);@_%_)"/>
    <numFmt numFmtId="191" formatCode="0_%_);\(0\)_%;0_%_);@_%_)"/>
    <numFmt numFmtId="192" formatCode="_ * #,##0_ ;_ * \(#,##0\)_ ;_ * &quot;-&quot;??_ ;_ @_ "/>
    <numFmt numFmtId="193" formatCode="_(* #,##0.0000_);_(* \(#,##0.0000\);_(* &quot;-&quot;??_);_(@_)"/>
  </numFmts>
  <fonts count="1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¹ÙÅÁÃ¼"/>
      <family val="1"/>
      <charset val="129"/>
    </font>
    <font>
      <sz val="12"/>
      <name val="±¼¸²Ã¼"/>
      <family val="3"/>
      <charset val="129"/>
    </font>
    <font>
      <sz val="12"/>
      <name val="Tms Rmn"/>
    </font>
    <font>
      <b/>
      <sz val="10"/>
      <name val="MS Sans Serif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Comic Sans MS"/>
      <family val="4"/>
    </font>
    <font>
      <sz val="7"/>
      <name val="Small Fonts"/>
      <family val="2"/>
    </font>
    <font>
      <b/>
      <i/>
      <sz val="16"/>
      <name val="Helv"/>
    </font>
    <font>
      <b/>
      <sz val="8"/>
      <color indexed="8"/>
      <name val="Helv"/>
    </font>
    <font>
      <b/>
      <sz val="10"/>
      <name val="Arial"/>
      <family val="2"/>
    </font>
    <font>
      <sz val="10"/>
      <color indexed="8"/>
      <name val="MS Sans Serif"/>
      <family val="2"/>
    </font>
    <font>
      <sz val="14"/>
      <name val="Helvetica 65 Medium"/>
      <family val="2"/>
    </font>
    <font>
      <sz val="12"/>
      <name val="Helvetica 65 Medium"/>
      <family val="2"/>
    </font>
    <font>
      <sz val="10"/>
      <name val="Helvetica 65 Medium"/>
      <family val="2"/>
    </font>
    <font>
      <sz val="8"/>
      <name val="Helvetica 65 Medium"/>
      <family val="2"/>
    </font>
    <font>
      <b/>
      <sz val="8"/>
      <color indexed="9"/>
      <name val="Helvetica 65 Medium"/>
      <family val="2"/>
    </font>
    <font>
      <b/>
      <sz val="8"/>
      <name val="Helvetica 65 Medium"/>
      <family val="2"/>
    </font>
    <font>
      <sz val="8"/>
      <color indexed="8"/>
      <name val="Helvetica 65 Medium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10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8"/>
      <name val="Times New Roman"/>
      <family val="1"/>
    </font>
    <font>
      <b/>
      <i/>
      <sz val="12"/>
      <color indexed="13"/>
      <name val="Arial"/>
      <family val="2"/>
    </font>
    <font>
      <b/>
      <sz val="14"/>
      <color indexed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i/>
      <sz val="12"/>
      <color indexed="12"/>
      <name val="Arial"/>
      <family val="2"/>
    </font>
    <font>
      <i/>
      <sz val="10"/>
      <color indexed="10"/>
      <name val="Arial"/>
      <family val="2"/>
    </font>
    <font>
      <sz val="8"/>
      <name val="Palatino"/>
      <family val="1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sz val="7"/>
      <name val="Times New Roman"/>
      <family val="1"/>
    </font>
    <font>
      <b/>
      <sz val="11"/>
      <name val="Times New Roman"/>
      <family val="1"/>
    </font>
    <font>
      <b/>
      <sz val="12"/>
      <color indexed="8"/>
      <name val="Arial"/>
      <family val="2"/>
    </font>
    <font>
      <b/>
      <i/>
      <sz val="10"/>
      <color indexed="11"/>
      <name val="Arial"/>
      <family val="2"/>
    </font>
    <font>
      <b/>
      <i/>
      <sz val="10"/>
      <color indexed="9"/>
      <name val="Arial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0"/>
      <name val="Calibri"/>
      <family val="2"/>
    </font>
    <font>
      <b/>
      <sz val="12"/>
      <color indexed="52"/>
      <name val="Calibri"/>
      <family val="2"/>
    </font>
    <font>
      <sz val="12"/>
      <color indexed="52"/>
      <name val="Calibri"/>
      <family val="2"/>
    </font>
    <font>
      <sz val="12"/>
      <color indexed="62"/>
      <name val="Calibri"/>
      <family val="2"/>
    </font>
    <font>
      <sz val="12"/>
      <color indexed="20"/>
      <name val="Calibri"/>
      <family val="2"/>
    </font>
    <font>
      <sz val="12"/>
      <color indexed="60"/>
      <name val="Calibri"/>
      <family val="2"/>
    </font>
    <font>
      <sz val="12"/>
      <color indexed="17"/>
      <name val="Calibri"/>
      <family val="2"/>
    </font>
    <font>
      <b/>
      <sz val="12"/>
      <color indexed="63"/>
      <name val="Calibri"/>
      <family val="2"/>
    </font>
    <font>
      <i/>
      <sz val="12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2"/>
      <color indexed="9"/>
      <name val="Calibri"/>
      <family val="2"/>
    </font>
    <font>
      <sz val="8"/>
      <color theme="0"/>
      <name val="Helvetica 65 Medium"/>
      <family val="2"/>
    </font>
    <font>
      <sz val="12"/>
      <color theme="1"/>
      <name val="Calibri"/>
      <family val="2"/>
      <charset val="238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Helvetica 65 Medium"/>
      <family val="2"/>
    </font>
    <font>
      <b/>
      <sz val="18"/>
      <color theme="3"/>
      <name val="Cambria"/>
      <family val="2"/>
      <scheme val="major"/>
    </font>
    <font>
      <sz val="8"/>
      <color theme="1"/>
      <name val="Arial"/>
      <family val="2"/>
    </font>
    <font>
      <sz val="8"/>
      <color theme="1"/>
      <name val="Helvetica 65 Medium"/>
      <family val="2"/>
    </font>
    <font>
      <sz val="8"/>
      <color theme="0"/>
      <name val="Arial"/>
      <family val="2"/>
    </font>
    <font>
      <b/>
      <sz val="8"/>
      <color indexed="55"/>
      <name val="Helvetica 65 Medium"/>
      <family val="2"/>
    </font>
    <font>
      <sz val="8"/>
      <color rgb="FFFF0000"/>
      <name val="Helvetica 65 Medium"/>
      <family val="2"/>
    </font>
    <font>
      <b/>
      <sz val="12"/>
      <name val="Helvetica 65 Medium"/>
      <family val="2"/>
    </font>
    <font>
      <sz val="16"/>
      <color indexed="55"/>
      <name val="Helvetica 65 Medium"/>
      <family val="2"/>
    </font>
    <font>
      <b/>
      <sz val="9"/>
      <color indexed="62"/>
      <name val="Arial"/>
      <family val="2"/>
    </font>
    <font>
      <u/>
      <sz val="7.5"/>
      <color indexed="12"/>
      <name val="Arial"/>
      <family val="2"/>
    </font>
    <font>
      <sz val="10"/>
      <color indexed="62"/>
      <name val="Arial"/>
      <family val="2"/>
    </font>
    <font>
      <b/>
      <sz val="12"/>
      <color indexed="18"/>
      <name val="Arial"/>
      <family val="2"/>
    </font>
    <font>
      <sz val="10"/>
      <color indexed="9"/>
      <name val="Arial"/>
      <family val="2"/>
    </font>
    <font>
      <sz val="10"/>
      <color indexed="18"/>
      <name val="Helvetica 65 Medium"/>
      <family val="2"/>
    </font>
    <font>
      <sz val="9"/>
      <color indexed="18"/>
      <name val="Helvetica 65 Medium"/>
      <family val="2"/>
    </font>
    <font>
      <sz val="9"/>
      <color indexed="18"/>
      <name val="Arial"/>
      <family val="2"/>
    </font>
    <font>
      <u/>
      <sz val="11"/>
      <color rgb="FF0000FF"/>
      <name val="Helvetica 65 Medium"/>
      <family val="2"/>
    </font>
    <font>
      <u/>
      <sz val="11"/>
      <color rgb="FF0000FF"/>
      <name val="Arial"/>
      <family val="2"/>
    </font>
    <font>
      <sz val="12"/>
      <color indexed="12"/>
      <name val="Helvetica 65 Medium"/>
      <family val="2"/>
    </font>
    <font>
      <b/>
      <sz val="12"/>
      <color rgb="FFFFC000"/>
      <name val="Helvetica 65 Medium"/>
      <family val="2"/>
    </font>
    <font>
      <b/>
      <sz val="20"/>
      <color indexed="55"/>
      <name val="Helvetica 35 Thin"/>
      <family val="2"/>
    </font>
    <font>
      <b/>
      <sz val="18"/>
      <color indexed="52"/>
      <name val="Helvetica 35 Thin"/>
      <family val="2"/>
    </font>
    <font>
      <sz val="10"/>
      <name val="Helvetica 45 Light"/>
      <family val="2"/>
    </font>
    <font>
      <b/>
      <sz val="10"/>
      <name val="Helvetica 45 Light"/>
      <family val="2"/>
    </font>
    <font>
      <u/>
      <sz val="8"/>
      <color indexed="12"/>
      <name val="Arial"/>
      <family val="2"/>
    </font>
    <font>
      <sz val="8"/>
      <color indexed="8"/>
      <name val="Arial"/>
      <family val="2"/>
    </font>
    <font>
      <sz val="10"/>
      <color indexed="22"/>
      <name val="Helvetica"/>
      <family val="2"/>
    </font>
    <font>
      <sz val="22"/>
      <color rgb="FF0000FF"/>
      <name val="Helvetica 65 Medium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color indexed="55"/>
      <name val="Helvetica 65 Medium"/>
      <family val="2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30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53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0"/>
    <xf numFmtId="0" fontId="12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12" fillId="0" borderId="0"/>
    <xf numFmtId="0" fontId="7" fillId="0" borderId="0"/>
    <xf numFmtId="9" fontId="8" fillId="0" borderId="0" applyFont="0" applyFill="0" applyBorder="0" applyAlignment="0" applyProtection="0"/>
    <xf numFmtId="0" fontId="62" fillId="2" borderId="0" applyNumberFormat="0" applyBorder="0" applyAlignment="0" applyProtection="0"/>
    <xf numFmtId="0" fontId="62" fillId="3" borderId="0" applyNumberFormat="0" applyBorder="0" applyAlignment="0" applyProtection="0"/>
    <xf numFmtId="0" fontId="62" fillId="4" borderId="0" applyNumberFormat="0" applyBorder="0" applyAlignment="0" applyProtection="0"/>
    <xf numFmtId="0" fontId="62" fillId="5" borderId="0" applyNumberFormat="0" applyBorder="0" applyAlignment="0" applyProtection="0"/>
    <xf numFmtId="0" fontId="62" fillId="6" borderId="0" applyNumberFormat="0" applyBorder="0" applyAlignment="0" applyProtection="0"/>
    <xf numFmtId="0" fontId="62" fillId="7" borderId="0" applyNumberFormat="0" applyBorder="0" applyAlignment="0" applyProtection="0"/>
    <xf numFmtId="0" fontId="62" fillId="8" borderId="0" applyNumberFormat="0" applyBorder="0" applyAlignment="0" applyProtection="0"/>
    <xf numFmtId="0" fontId="62" fillId="9" borderId="0" applyNumberFormat="0" applyBorder="0" applyAlignment="0" applyProtection="0"/>
    <xf numFmtId="0" fontId="62" fillId="10" borderId="0" applyNumberFormat="0" applyBorder="0" applyAlignment="0" applyProtection="0"/>
    <xf numFmtId="0" fontId="62" fillId="5" borderId="0" applyNumberFormat="0" applyBorder="0" applyAlignment="0" applyProtection="0"/>
    <xf numFmtId="0" fontId="62" fillId="8" borderId="0" applyNumberFormat="0" applyBorder="0" applyAlignment="0" applyProtection="0"/>
    <xf numFmtId="0" fontId="62" fillId="11" borderId="0" applyNumberFormat="0" applyBorder="0" applyAlignment="0" applyProtection="0"/>
    <xf numFmtId="0" fontId="63" fillId="12" borderId="0" applyNumberFormat="0" applyBorder="0" applyAlignment="0" applyProtection="0"/>
    <xf numFmtId="0" fontId="63" fillId="9" borderId="0" applyNumberFormat="0" applyBorder="0" applyAlignment="0" applyProtection="0"/>
    <xf numFmtId="0" fontId="63" fillId="10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181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92" fontId="12" fillId="0" borderId="0"/>
    <xf numFmtId="182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87" fontId="36" fillId="17" borderId="0" applyNumberFormat="0" applyFont="0"/>
    <xf numFmtId="0" fontId="10" fillId="0" borderId="0" applyNumberFormat="0" applyFill="0" applyBorder="0" applyAlignment="0" applyProtection="0"/>
    <xf numFmtId="164" fontId="11" fillId="0" borderId="1" applyAlignment="0" applyProtection="0"/>
    <xf numFmtId="0" fontId="37" fillId="0" borderId="2" applyNumberFormat="0" applyFont="0" applyFill="0" applyAlignment="0" applyProtection="0"/>
    <xf numFmtId="0" fontId="37" fillId="0" borderId="3" applyNumberFormat="0" applyFont="0" applyFill="0" applyAlignment="0" applyProtection="0"/>
    <xf numFmtId="0" fontId="9" fillId="0" borderId="0"/>
    <xf numFmtId="0" fontId="65" fillId="18" borderId="4" applyNumberFormat="0" applyAlignment="0" applyProtection="0"/>
    <xf numFmtId="0" fontId="66" fillId="0" borderId="5" applyNumberFormat="0" applyFill="0" applyAlignment="0" applyProtection="0"/>
    <xf numFmtId="0" fontId="13" fillId="0" borderId="7">
      <alignment horizontal="center"/>
    </xf>
    <xf numFmtId="171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7" fillId="20" borderId="8" applyNumberFormat="0" applyFont="0" applyAlignment="0" applyProtection="0"/>
    <xf numFmtId="0" fontId="38" fillId="21" borderId="0">
      <alignment vertical="center"/>
    </xf>
    <xf numFmtId="18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67" fillId="7" borderId="4" applyNumberFormat="0" applyAlignment="0" applyProtection="0"/>
    <xf numFmtId="186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38" fontId="16" fillId="22" borderId="0" applyNumberFormat="0" applyBorder="0" applyAlignment="0" applyProtection="0"/>
    <xf numFmtId="0" fontId="39" fillId="21" borderId="0">
      <alignment horizontal="left" vertical="center"/>
    </xf>
    <xf numFmtId="0" fontId="17" fillId="0" borderId="9" applyNumberFormat="0" applyAlignment="0" applyProtection="0">
      <alignment horizontal="left" vertical="center"/>
    </xf>
    <xf numFmtId="0" fontId="17" fillId="0" borderId="10">
      <alignment horizontal="left" vertical="center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0" fontId="16" fillId="23" borderId="12" applyNumberFormat="0" applyBorder="0" applyAlignment="0" applyProtection="0"/>
    <xf numFmtId="0" fontId="68" fillId="3" borderId="0" applyNumberFormat="0" applyBorder="0" applyAlignment="0" applyProtection="0"/>
    <xf numFmtId="0" fontId="42" fillId="21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43" fillId="0" borderId="0"/>
    <xf numFmtId="174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6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65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89" fontId="44" fillId="0" borderId="0" applyFont="0" applyFill="0" applyBorder="0" applyProtection="0">
      <alignment horizontal="right"/>
    </xf>
    <xf numFmtId="0" fontId="69" fillId="24" borderId="0" applyNumberFormat="0" applyBorder="0" applyAlignment="0" applyProtection="0"/>
    <xf numFmtId="37" fontId="20" fillId="0" borderId="0"/>
    <xf numFmtId="178" fontId="21" fillId="0" borderId="0"/>
    <xf numFmtId="0" fontId="12" fillId="0" borderId="0" applyNumberFormat="0" applyFill="0" applyBorder="0" applyAlignment="0" applyProtection="0"/>
    <xf numFmtId="0" fontId="24" fillId="0" borderId="0"/>
    <xf numFmtId="0" fontId="7" fillId="0" borderId="0" applyNumberFormat="0" applyFill="0" applyBorder="0" applyAlignment="0" applyProtection="0"/>
    <xf numFmtId="0" fontId="14" fillId="0" borderId="0"/>
    <xf numFmtId="0" fontId="45" fillId="16" borderId="0">
      <alignment vertical="center"/>
    </xf>
    <xf numFmtId="40" fontId="46" fillId="25" borderId="0">
      <alignment horizontal="right"/>
    </xf>
    <xf numFmtId="0" fontId="47" fillId="25" borderId="0">
      <alignment horizontal="right"/>
    </xf>
    <xf numFmtId="0" fontId="48" fillId="25" borderId="14"/>
    <xf numFmtId="0" fontId="48" fillId="0" borderId="0" applyBorder="0">
      <alignment horizontal="centerContinuous"/>
    </xf>
    <xf numFmtId="0" fontId="49" fillId="0" borderId="0" applyBorder="0">
      <alignment horizontal="centerContinuous"/>
    </xf>
    <xf numFmtId="0" fontId="50" fillId="0" borderId="0" applyFill="0" applyBorder="0" applyProtection="0">
      <alignment horizontal="left"/>
    </xf>
    <xf numFmtId="0" fontId="51" fillId="0" borderId="0" applyFill="0" applyBorder="0" applyProtection="0">
      <alignment horizontal="left"/>
    </xf>
    <xf numFmtId="10" fontId="7" fillId="0" borderId="0" applyFont="0" applyFill="0" applyBorder="0" applyAlignment="0" applyProtection="0"/>
    <xf numFmtId="190" fontId="52" fillId="0" borderId="0" applyFont="0" applyFill="0" applyBorder="0" applyProtection="0">
      <alignment horizontal="right"/>
    </xf>
    <xf numFmtId="0" fontId="15" fillId="0" borderId="0" applyNumberFormat="0" applyFont="0" applyFill="0" applyBorder="0" applyAlignment="0" applyProtection="0">
      <alignment horizontal="left"/>
    </xf>
    <xf numFmtId="15" fontId="15" fillId="0" borderId="0" applyFont="0" applyFill="0" applyBorder="0" applyAlignment="0" applyProtection="0"/>
    <xf numFmtId="0" fontId="11" fillId="0" borderId="2">
      <alignment horizontal="center"/>
    </xf>
    <xf numFmtId="0" fontId="70" fillId="4" borderId="0" applyNumberFormat="0" applyBorder="0" applyAlignment="0" applyProtection="0"/>
    <xf numFmtId="0" fontId="53" fillId="26" borderId="0" applyNumberFormat="0" applyFont="0" applyBorder="0" applyAlignment="0" applyProtection="0"/>
    <xf numFmtId="0" fontId="71" fillId="18" borderId="13" applyNumberFormat="0" applyAlignment="0" applyProtection="0"/>
    <xf numFmtId="0" fontId="7" fillId="0" borderId="0"/>
    <xf numFmtId="0" fontId="15" fillId="0" borderId="0"/>
    <xf numFmtId="40" fontId="22" fillId="0" borderId="0" applyBorder="0">
      <alignment horizontal="right"/>
    </xf>
    <xf numFmtId="0" fontId="54" fillId="0" borderId="0" applyFill="0" applyBorder="0" applyProtection="0">
      <alignment horizontal="center" vertical="center"/>
    </xf>
    <xf numFmtId="0" fontId="54" fillId="0" borderId="0" applyFill="0" applyBorder="0" applyProtection="0"/>
    <xf numFmtId="0" fontId="23" fillId="0" borderId="0" applyFill="0" applyBorder="0" applyProtection="0">
      <alignment horizontal="left"/>
    </xf>
    <xf numFmtId="0" fontId="55" fillId="0" borderId="0" applyFill="0" applyBorder="0" applyProtection="0">
      <alignment horizontal="left" vertical="top"/>
    </xf>
    <xf numFmtId="37" fontId="16" fillId="0" borderId="0">
      <alignment vertical="top" wrapText="1"/>
    </xf>
    <xf numFmtId="0" fontId="72" fillId="0" borderId="0" applyNumberFormat="0" applyFill="0" applyBorder="0" applyAlignment="0" applyProtection="0"/>
    <xf numFmtId="40" fontId="56" fillId="0" borderId="0"/>
    <xf numFmtId="0" fontId="57" fillId="21" borderId="0">
      <alignment vertical="center"/>
    </xf>
    <xf numFmtId="0" fontId="61" fillId="0" borderId="0" applyNumberFormat="0" applyFill="0" applyBorder="0" applyAlignment="0" applyProtection="0"/>
    <xf numFmtId="0" fontId="73" fillId="0" borderId="15" applyNumberFormat="0" applyFill="0" applyAlignment="0" applyProtection="0"/>
    <xf numFmtId="0" fontId="74" fillId="0" borderId="16" applyNumberFormat="0" applyFill="0" applyAlignment="0" applyProtection="0"/>
    <xf numFmtId="0" fontId="60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7" fillId="0" borderId="17" applyNumberFormat="0" applyFont="0" applyFill="0" applyAlignment="0" applyProtection="0"/>
    <xf numFmtId="0" fontId="34" fillId="16" borderId="0">
      <alignment vertical="center"/>
    </xf>
    <xf numFmtId="0" fontId="58" fillId="16" borderId="0"/>
    <xf numFmtId="0" fontId="59" fillId="16" borderId="0">
      <alignment horizontal="right" vertical="center"/>
    </xf>
    <xf numFmtId="0" fontId="75" fillId="19" borderId="6" applyNumberFormat="0" applyAlignment="0" applyProtection="0"/>
    <xf numFmtId="179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91" fontId="37" fillId="0" borderId="0" applyFont="0" applyFill="0" applyBorder="0" applyProtection="0">
      <alignment horizontal="right"/>
    </xf>
    <xf numFmtId="17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92" fontId="7" fillId="0" borderId="0"/>
    <xf numFmtId="167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8" fontId="7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8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8" fontId="16" fillId="22" borderId="0" applyNumberFormat="0" applyBorder="0" applyAlignment="0" applyProtection="0"/>
    <xf numFmtId="0" fontId="79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0" fontId="16" fillId="23" borderId="12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29" borderId="19" applyNumberFormat="0" applyFont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24" fillId="0" borderId="0" applyNumberFormat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109" fillId="37" borderId="0" applyNumberFormat="0" applyBorder="0" applyAlignment="0" applyProtection="0"/>
    <xf numFmtId="0" fontId="109" fillId="38" borderId="0" applyNumberFormat="0" applyBorder="0" applyAlignment="0" applyProtection="0"/>
    <xf numFmtId="0" fontId="109" fillId="39" borderId="0" applyNumberFormat="0" applyBorder="0" applyAlignment="0" applyProtection="0"/>
    <xf numFmtId="0" fontId="109" fillId="40" borderId="0" applyNumberFormat="0" applyBorder="0" applyAlignment="0" applyProtection="0"/>
    <xf numFmtId="0" fontId="109" fillId="41" borderId="0" applyNumberFormat="0" applyBorder="0" applyAlignment="0" applyProtection="0"/>
    <xf numFmtId="0" fontId="109" fillId="4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4" fontId="11" fillId="0" borderId="26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7" fillId="0" borderId="23">
      <alignment horizontal="lef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9" borderId="19" applyNumberFormat="0" applyFont="0" applyAlignment="0" applyProtection="0"/>
    <xf numFmtId="9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10" fillId="0" borderId="27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7">
    <xf numFmtId="0" fontId="0" fillId="0" borderId="0" xfId="0"/>
    <xf numFmtId="4" fontId="28" fillId="0" borderId="0" xfId="132" applyNumberFormat="1" applyFont="1" applyProtection="1">
      <protection hidden="1"/>
    </xf>
    <xf numFmtId="4" fontId="28" fillId="0" borderId="0" xfId="132" applyNumberFormat="1" applyFont="1" applyAlignment="1" applyProtection="1">
      <alignment vertical="center"/>
      <protection hidden="1"/>
    </xf>
    <xf numFmtId="172" fontId="28" fillId="0" borderId="0" xfId="132" applyNumberFormat="1" applyFont="1" applyAlignment="1" applyProtection="1">
      <alignment horizontal="center"/>
      <protection hidden="1"/>
    </xf>
    <xf numFmtId="172" fontId="30" fillId="0" borderId="0" xfId="132" applyNumberFormat="1" applyFont="1" applyAlignment="1" applyProtection="1">
      <alignment vertical="center" wrapText="1"/>
      <protection hidden="1"/>
    </xf>
    <xf numFmtId="172" fontId="30" fillId="0" borderId="0" xfId="132" applyNumberFormat="1" applyFont="1" applyAlignment="1" applyProtection="1">
      <alignment horizontal="justify"/>
      <protection hidden="1"/>
    </xf>
    <xf numFmtId="172" fontId="28" fillId="0" borderId="0" xfId="132" applyNumberFormat="1" applyFont="1" applyAlignment="1" applyProtection="1">
      <alignment horizontal="center" wrapText="1"/>
      <protection hidden="1"/>
    </xf>
    <xf numFmtId="172" fontId="28" fillId="0" borderId="0" xfId="132" applyNumberFormat="1" applyFont="1" applyAlignment="1" applyProtection="1">
      <alignment horizontal="left" vertical="center"/>
      <protection hidden="1"/>
    </xf>
    <xf numFmtId="4" fontId="28" fillId="0" borderId="0" xfId="132" applyNumberFormat="1" applyFont="1" applyAlignment="1" applyProtection="1">
      <alignment wrapText="1"/>
      <protection hidden="1"/>
    </xf>
    <xf numFmtId="172" fontId="30" fillId="0" borderId="0" xfId="132" applyNumberFormat="1" applyFont="1" applyAlignment="1" applyProtection="1">
      <alignment horizontal="center"/>
      <protection hidden="1"/>
    </xf>
    <xf numFmtId="4" fontId="28" fillId="0" borderId="12" xfId="132" applyNumberFormat="1" applyFont="1" applyBorder="1" applyAlignment="1" applyProtection="1">
      <alignment vertical="center"/>
      <protection hidden="1"/>
    </xf>
    <xf numFmtId="172" fontId="76" fillId="0" borderId="0" xfId="132" applyNumberFormat="1" applyFont="1" applyAlignment="1" applyProtection="1">
      <alignment horizontal="center"/>
      <protection hidden="1"/>
    </xf>
    <xf numFmtId="172" fontId="76" fillId="0" borderId="0" xfId="132" applyNumberFormat="1" applyFont="1" applyAlignment="1" applyProtection="1">
      <alignment horizontal="center" wrapText="1"/>
      <protection hidden="1"/>
    </xf>
    <xf numFmtId="0" fontId="28" fillId="0" borderId="12" xfId="167" applyFont="1" applyFill="1" applyBorder="1" applyAlignment="1" applyProtection="1">
      <alignment horizontal="left" vertical="center" wrapText="1"/>
      <protection hidden="1"/>
    </xf>
    <xf numFmtId="172" fontId="28" fillId="0" borderId="0" xfId="132" applyNumberFormat="1" applyFont="1" applyProtection="1">
      <protection hidden="1"/>
    </xf>
    <xf numFmtId="4" fontId="30" fillId="0" borderId="0" xfId="93" applyNumberFormat="1" applyFont="1" applyFill="1" applyAlignment="1" applyProtection="1">
      <protection hidden="1"/>
    </xf>
    <xf numFmtId="4" fontId="29" fillId="27" borderId="12" xfId="132" applyNumberFormat="1" applyFont="1" applyFill="1" applyBorder="1" applyAlignment="1" applyProtection="1">
      <alignment horizontal="left" vertical="center" wrapText="1"/>
      <protection hidden="1"/>
    </xf>
    <xf numFmtId="173" fontId="28" fillId="0" borderId="0" xfId="132" applyNumberFormat="1" applyFont="1" applyAlignment="1" applyProtection="1">
      <alignment horizontal="center"/>
      <protection hidden="1"/>
    </xf>
    <xf numFmtId="0" fontId="16" fillId="0" borderId="0" xfId="0" applyFont="1"/>
    <xf numFmtId="173" fontId="30" fillId="0" borderId="0" xfId="132" applyNumberFormat="1" applyFont="1" applyAlignment="1" applyProtection="1">
      <alignment horizontal="center"/>
      <protection hidden="1"/>
    </xf>
    <xf numFmtId="172" fontId="30" fillId="0" borderId="0" xfId="132" applyNumberFormat="1" applyFont="1" applyAlignment="1" applyProtection="1">
      <alignment horizontal="left" vertical="center"/>
      <protection hidden="1"/>
    </xf>
    <xf numFmtId="0" fontId="7" fillId="30" borderId="0" xfId="0" applyFont="1" applyFill="1"/>
    <xf numFmtId="4" fontId="28" fillId="0" borderId="0" xfId="93" applyNumberFormat="1" applyFont="1" applyFill="1" applyAlignment="1" applyProtection="1">
      <protection hidden="1"/>
    </xf>
    <xf numFmtId="172" fontId="86" fillId="0" borderId="0" xfId="132" applyNumberFormat="1" applyFont="1" applyProtection="1">
      <protection hidden="1"/>
    </xf>
    <xf numFmtId="0" fontId="85" fillId="0" borderId="0" xfId="163" applyFont="1" applyFill="1" applyAlignment="1" applyProtection="1">
      <alignment horizontal="left"/>
      <protection hidden="1"/>
    </xf>
    <xf numFmtId="4" fontId="76" fillId="0" borderId="0" xfId="132" applyNumberFormat="1" applyFont="1" applyProtection="1">
      <protection hidden="1"/>
    </xf>
    <xf numFmtId="0" fontId="76" fillId="0" borderId="0" xfId="163" applyFont="1"/>
    <xf numFmtId="0" fontId="28" fillId="0" borderId="0" xfId="163" applyFont="1"/>
    <xf numFmtId="172" fontId="76" fillId="0" borderId="0" xfId="132" applyNumberFormat="1" applyFont="1" applyAlignment="1" applyProtection="1">
      <alignment horizontal="left"/>
      <protection hidden="1"/>
    </xf>
    <xf numFmtId="173" fontId="28" fillId="0" borderId="0" xfId="132" applyNumberFormat="1" applyFont="1" applyProtection="1">
      <protection hidden="1"/>
    </xf>
    <xf numFmtId="4" fontId="86" fillId="0" borderId="0" xfId="132" applyNumberFormat="1" applyFont="1" applyProtection="1">
      <protection hidden="1"/>
    </xf>
    <xf numFmtId="2" fontId="28" fillId="0" borderId="0" xfId="132" applyNumberFormat="1" applyFont="1" applyAlignment="1" applyProtection="1">
      <alignment horizontal="center"/>
      <protection hidden="1"/>
    </xf>
    <xf numFmtId="4" fontId="27" fillId="30" borderId="0" xfId="132" applyNumberFormat="1" applyFont="1" applyFill="1" applyProtection="1">
      <protection hidden="1"/>
    </xf>
    <xf numFmtId="4" fontId="29" fillId="30" borderId="0" xfId="132" applyNumberFormat="1" applyFont="1" applyFill="1" applyAlignment="1" applyProtection="1">
      <alignment horizontal="center" vertical="center" wrapText="1"/>
      <protection hidden="1"/>
    </xf>
    <xf numFmtId="0" fontId="28" fillId="30" borderId="12" xfId="0" applyFont="1" applyFill="1" applyBorder="1" applyAlignment="1"/>
    <xf numFmtId="193" fontId="28" fillId="0" borderId="0" xfId="166" applyNumberFormat="1" applyFont="1" applyFill="1" applyAlignment="1" applyProtection="1">
      <alignment horizontal="center"/>
      <protection hidden="1"/>
    </xf>
    <xf numFmtId="0" fontId="0" fillId="30" borderId="0" xfId="0" applyFill="1"/>
    <xf numFmtId="0" fontId="88" fillId="30" borderId="0" xfId="0" applyFont="1" applyFill="1" applyBorder="1" applyProtection="1">
      <protection hidden="1"/>
    </xf>
    <xf numFmtId="0" fontId="89" fillId="30" borderId="0" xfId="0" applyFont="1" applyFill="1"/>
    <xf numFmtId="0" fontId="25" fillId="30" borderId="0" xfId="535" applyFont="1" applyFill="1" applyBorder="1" applyAlignment="1" applyProtection="1"/>
    <xf numFmtId="0" fontId="91" fillId="30" borderId="0" xfId="0" applyFont="1" applyFill="1" applyProtection="1">
      <protection hidden="1"/>
    </xf>
    <xf numFmtId="0" fontId="92" fillId="30" borderId="0" xfId="536" applyFont="1" applyFill="1" applyBorder="1" applyAlignment="1" applyProtection="1">
      <alignment horizontal="right"/>
      <protection hidden="1"/>
    </xf>
    <xf numFmtId="0" fontId="0" fillId="30" borderId="0" xfId="0" applyFill="1" applyProtection="1">
      <protection locked="0" hidden="1"/>
    </xf>
    <xf numFmtId="0" fontId="93" fillId="30" borderId="0" xfId="0" applyFont="1" applyFill="1" applyProtection="1">
      <protection locked="0" hidden="1"/>
    </xf>
    <xf numFmtId="0" fontId="93" fillId="30" borderId="0" xfId="0" applyFont="1" applyFill="1"/>
    <xf numFmtId="0" fontId="27" fillId="30" borderId="0" xfId="0" applyFont="1" applyFill="1"/>
    <xf numFmtId="0" fontId="94" fillId="30" borderId="0" xfId="0" applyFont="1" applyFill="1"/>
    <xf numFmtId="0" fontId="95" fillId="30" borderId="0" xfId="0" applyFont="1" applyFill="1" applyAlignment="1">
      <alignment horizontal="right"/>
    </xf>
    <xf numFmtId="0" fontId="95" fillId="30" borderId="0" xfId="0" applyFont="1" applyFill="1"/>
    <xf numFmtId="0" fontId="96" fillId="30" borderId="0" xfId="0" applyFont="1" applyFill="1"/>
    <xf numFmtId="0" fontId="94" fillId="30" borderId="0" xfId="0" applyFont="1" applyFill="1" applyBorder="1"/>
    <xf numFmtId="0" fontId="27" fillId="30" borderId="0" xfId="0" applyFont="1" applyFill="1" applyBorder="1"/>
    <xf numFmtId="0" fontId="0" fillId="30" borderId="0" xfId="0" applyFill="1" applyBorder="1"/>
    <xf numFmtId="0" fontId="94" fillId="30" borderId="0" xfId="0" applyFont="1" applyFill="1" applyAlignment="1"/>
    <xf numFmtId="0" fontId="87" fillId="30" borderId="0" xfId="535" applyFont="1" applyFill="1" applyBorder="1" applyAlignment="1" applyProtection="1">
      <alignment horizontal="left"/>
    </xf>
    <xf numFmtId="0" fontId="26" fillId="30" borderId="0" xfId="535" applyFont="1" applyFill="1" applyBorder="1" applyAlignment="1" applyProtection="1">
      <alignment horizontal="left"/>
    </xf>
    <xf numFmtId="0" fontId="27" fillId="30" borderId="0" xfId="0" applyFont="1" applyFill="1" applyAlignment="1"/>
    <xf numFmtId="0" fontId="27" fillId="30" borderId="0" xfId="535" applyFont="1" applyFill="1" applyBorder="1" applyAlignment="1" applyProtection="1">
      <alignment horizontal="left"/>
    </xf>
    <xf numFmtId="0" fontId="97" fillId="30" borderId="0" xfId="0" applyFont="1" applyFill="1"/>
    <xf numFmtId="0" fontId="98" fillId="30" borderId="0" xfId="93" applyFont="1" applyFill="1" applyAlignment="1" applyProtection="1">
      <alignment horizontal="left"/>
    </xf>
    <xf numFmtId="0" fontId="25" fillId="30" borderId="0" xfId="535" applyFont="1" applyFill="1" applyBorder="1" applyAlignment="1" applyProtection="1">
      <alignment horizontal="left" indent="1"/>
    </xf>
    <xf numFmtId="0" fontId="97" fillId="30" borderId="0" xfId="535" applyFont="1" applyFill="1" applyBorder="1" applyAlignment="1" applyProtection="1">
      <alignment horizontal="left"/>
    </xf>
    <xf numFmtId="0" fontId="99" fillId="30" borderId="0" xfId="535" applyFont="1" applyFill="1" applyBorder="1" applyAlignment="1" applyProtection="1">
      <alignment horizontal="right"/>
    </xf>
    <xf numFmtId="0" fontId="7" fillId="30" borderId="0" xfId="0" applyFont="1" applyFill="1" applyBorder="1"/>
    <xf numFmtId="0" fontId="27" fillId="30" borderId="0" xfId="0" applyFont="1" applyFill="1" applyBorder="1" applyAlignment="1"/>
    <xf numFmtId="0" fontId="27" fillId="30" borderId="0" xfId="0" applyFont="1" applyFill="1" applyBorder="1" applyAlignment="1">
      <alignment horizontal="left"/>
    </xf>
    <xf numFmtId="0" fontId="100" fillId="30" borderId="0" xfId="535" applyFont="1" applyFill="1" applyBorder="1" applyAlignment="1" applyProtection="1">
      <alignment horizontal="left"/>
    </xf>
    <xf numFmtId="0" fontId="0" fillId="30" borderId="0" xfId="0" applyFill="1" applyBorder="1" applyAlignment="1" applyProtection="1">
      <alignment horizontal="left"/>
    </xf>
    <xf numFmtId="0" fontId="18" fillId="30" borderId="0" xfId="93" applyFill="1" applyAlignment="1" applyProtection="1"/>
    <xf numFmtId="0" fontId="0" fillId="30" borderId="0" xfId="0" applyFill="1" applyAlignment="1"/>
    <xf numFmtId="0" fontId="7" fillId="30" borderId="0" xfId="1" applyFill="1" applyAlignment="1"/>
    <xf numFmtId="2" fontId="28" fillId="0" borderId="0" xfId="132" applyNumberFormat="1" applyFont="1" applyProtection="1">
      <protection hidden="1"/>
    </xf>
    <xf numFmtId="0" fontId="32" fillId="32" borderId="21" xfId="539" applyFont="1" applyFill="1" applyBorder="1" applyAlignment="1">
      <alignment horizontal="center" wrapText="1"/>
    </xf>
    <xf numFmtId="0" fontId="32" fillId="33" borderId="21" xfId="539" applyFont="1" applyFill="1" applyBorder="1" applyAlignment="1">
      <alignment horizontal="center" wrapText="1"/>
    </xf>
    <xf numFmtId="0" fontId="33" fillId="0" borderId="21" xfId="539" applyFont="1" applyFill="1" applyBorder="1"/>
    <xf numFmtId="0" fontId="33" fillId="0" borderId="21" xfId="539" applyFont="1" applyFill="1" applyBorder="1" applyAlignment="1">
      <alignment horizontal="center"/>
    </xf>
    <xf numFmtId="0" fontId="102" fillId="30" borderId="0" xfId="538" applyFont="1" applyFill="1" applyAlignment="1" applyProtection="1">
      <alignment horizontal="left"/>
      <protection hidden="1"/>
    </xf>
    <xf numFmtId="0" fontId="102" fillId="30" borderId="0" xfId="538" applyFont="1" applyFill="1" applyBorder="1" applyAlignment="1" applyProtection="1">
      <alignment horizontal="left"/>
      <protection hidden="1"/>
    </xf>
    <xf numFmtId="4" fontId="103" fillId="30" borderId="0" xfId="132" applyNumberFormat="1" applyFont="1" applyFill="1" applyProtection="1">
      <protection locked="0"/>
    </xf>
    <xf numFmtId="4" fontId="104" fillId="30" borderId="0" xfId="132" applyNumberFormat="1" applyFont="1" applyFill="1" applyAlignment="1" applyProtection="1">
      <alignment horizontal="left"/>
      <protection locked="0"/>
    </xf>
    <xf numFmtId="4" fontId="104" fillId="30" borderId="0" xfId="132" applyNumberFormat="1" applyFont="1" applyFill="1" applyAlignment="1" applyProtection="1">
      <alignment horizontal="center"/>
      <protection locked="0"/>
    </xf>
    <xf numFmtId="4" fontId="103" fillId="30" borderId="0" xfId="132" applyNumberFormat="1" applyFont="1" applyFill="1" applyAlignment="1" applyProtection="1">
      <alignment horizontal="center"/>
      <protection locked="0"/>
    </xf>
    <xf numFmtId="0" fontId="33" fillId="30" borderId="0" xfId="539" applyFont="1" applyFill="1" applyBorder="1"/>
    <xf numFmtId="172" fontId="32" fillId="30" borderId="0" xfId="132" applyNumberFormat="1" applyFont="1" applyFill="1" applyAlignment="1">
      <alignment horizontal="center" vertical="center" wrapText="1"/>
    </xf>
    <xf numFmtId="0" fontId="32" fillId="30" borderId="0" xfId="539" applyFont="1" applyFill="1" applyBorder="1" applyAlignment="1">
      <alignment wrapText="1"/>
    </xf>
    <xf numFmtId="0" fontId="103" fillId="30" borderId="0" xfId="539" applyFont="1" applyFill="1" applyBorder="1"/>
    <xf numFmtId="0" fontId="103" fillId="30" borderId="0" xfId="540" applyFont="1" applyFill="1" applyBorder="1"/>
    <xf numFmtId="0" fontId="7" fillId="30" borderId="0" xfId="540" applyFill="1" applyBorder="1"/>
    <xf numFmtId="0" fontId="32" fillId="30" borderId="0" xfId="539" applyFont="1" applyFill="1" applyBorder="1" applyAlignment="1">
      <alignment horizontal="center" vertical="center"/>
    </xf>
    <xf numFmtId="0" fontId="33" fillId="30" borderId="0" xfId="539" applyFont="1" applyFill="1" applyBorder="1" applyAlignment="1">
      <alignment horizontal="center"/>
    </xf>
    <xf numFmtId="0" fontId="103" fillId="30" borderId="0" xfId="539" applyFont="1" applyFill="1" applyBorder="1" applyAlignment="1">
      <alignment horizontal="center"/>
    </xf>
    <xf numFmtId="0" fontId="103" fillId="30" borderId="0" xfId="540" applyFont="1" applyFill="1" applyBorder="1" applyAlignment="1">
      <alignment horizontal="center"/>
    </xf>
    <xf numFmtId="0" fontId="7" fillId="30" borderId="0" xfId="540" applyFill="1" applyBorder="1" applyAlignment="1">
      <alignment horizontal="center"/>
    </xf>
    <xf numFmtId="173" fontId="31" fillId="30" borderId="12" xfId="0" applyNumberFormat="1" applyFont="1" applyFill="1" applyBorder="1" applyAlignment="1" applyProtection="1">
      <alignment horizontal="left"/>
      <protection hidden="1"/>
    </xf>
    <xf numFmtId="185" fontId="28" fillId="30" borderId="12" xfId="132" applyNumberFormat="1" applyFont="1" applyFill="1" applyBorder="1" applyProtection="1">
      <protection hidden="1"/>
    </xf>
    <xf numFmtId="0" fontId="28" fillId="30" borderId="12" xfId="113" applyFont="1" applyFill="1" applyBorder="1" applyAlignment="1" applyProtection="1">
      <alignment horizontal="left" vertical="center" wrapText="1"/>
      <protection hidden="1"/>
    </xf>
    <xf numFmtId="0" fontId="76" fillId="0" borderId="0" xfId="0" applyFont="1" applyFill="1" applyBorder="1" applyAlignment="1"/>
    <xf numFmtId="0" fontId="28" fillId="30" borderId="12" xfId="167" applyFont="1" applyFill="1" applyBorder="1" applyAlignment="1" applyProtection="1">
      <alignment horizontal="left" vertical="center" wrapText="1"/>
      <protection hidden="1"/>
    </xf>
    <xf numFmtId="172" fontId="28" fillId="30" borderId="12" xfId="167" applyNumberFormat="1" applyFont="1" applyFill="1" applyBorder="1" applyAlignment="1" applyProtection="1">
      <alignment horizontal="left" vertical="center" wrapText="1"/>
      <protection hidden="1"/>
    </xf>
    <xf numFmtId="4" fontId="28" fillId="30" borderId="12" xfId="132" applyNumberFormat="1" applyFont="1" applyFill="1" applyBorder="1" applyAlignment="1" applyProtection="1">
      <alignment vertical="center"/>
      <protection hidden="1"/>
    </xf>
    <xf numFmtId="2" fontId="28" fillId="30" borderId="12" xfId="132" applyNumberFormat="1" applyFont="1" applyFill="1" applyBorder="1" applyAlignment="1" applyProtection="1">
      <alignment horizontal="center"/>
      <protection hidden="1"/>
    </xf>
    <xf numFmtId="2" fontId="30" fillId="0" borderId="0" xfId="132" applyNumberFormat="1" applyFont="1" applyAlignment="1" applyProtection="1">
      <alignment vertical="center" wrapText="1"/>
      <protection hidden="1"/>
    </xf>
    <xf numFmtId="2" fontId="30" fillId="0" borderId="0" xfId="132" applyNumberFormat="1" applyFont="1" applyAlignment="1" applyProtection="1">
      <alignment horizontal="justify"/>
      <protection hidden="1"/>
    </xf>
    <xf numFmtId="4" fontId="30" fillId="0" borderId="0" xfId="132" applyNumberFormat="1" applyFont="1" applyAlignment="1" applyProtection="1">
      <alignment horizontal="left"/>
      <protection hidden="1"/>
    </xf>
    <xf numFmtId="2" fontId="28" fillId="25" borderId="0" xfId="112" applyNumberFormat="1" applyFont="1" applyFill="1" applyProtection="1">
      <protection hidden="1"/>
    </xf>
    <xf numFmtId="2" fontId="29" fillId="30" borderId="0" xfId="132" applyNumberFormat="1" applyFont="1" applyFill="1" applyAlignment="1" applyProtection="1">
      <alignment horizontal="center" vertical="center" wrapText="1"/>
      <protection hidden="1"/>
    </xf>
    <xf numFmtId="173" fontId="28" fillId="0" borderId="12" xfId="132" applyNumberFormat="1" applyFont="1" applyBorder="1" applyAlignment="1" applyProtection="1">
      <alignment horizontal="left"/>
      <protection hidden="1"/>
    </xf>
    <xf numFmtId="4" fontId="29" fillId="27" borderId="22" xfId="132" applyNumberFormat="1" applyFont="1" applyFill="1" applyBorder="1" applyAlignment="1" applyProtection="1">
      <alignment vertical="center" wrapText="1"/>
      <protection hidden="1"/>
    </xf>
    <xf numFmtId="171" fontId="29" fillId="30" borderId="0" xfId="76" applyFont="1" applyFill="1" applyBorder="1" applyAlignment="1" applyProtection="1">
      <alignment horizontal="center" vertical="center" wrapText="1"/>
      <protection hidden="1"/>
    </xf>
    <xf numFmtId="0" fontId="13" fillId="35" borderId="12" xfId="0" applyFont="1" applyFill="1" applyBorder="1" applyAlignment="1">
      <alignment wrapText="1"/>
    </xf>
    <xf numFmtId="0" fontId="82" fillId="0" borderId="0" xfId="0" applyFont="1"/>
    <xf numFmtId="173" fontId="106" fillId="30" borderId="12" xfId="0" applyNumberFormat="1" applyFont="1" applyFill="1" applyBorder="1" applyAlignment="1" applyProtection="1">
      <alignment horizontal="left"/>
      <protection hidden="1"/>
    </xf>
    <xf numFmtId="0" fontId="84" fillId="34" borderId="12" xfId="0" applyFont="1" applyFill="1" applyBorder="1" applyAlignment="1">
      <alignment vertical="center" wrapText="1"/>
    </xf>
    <xf numFmtId="0" fontId="82" fillId="0" borderId="12" xfId="0" applyFont="1" applyFill="1" applyBorder="1"/>
    <xf numFmtId="0" fontId="16" fillId="0" borderId="12" xfId="0" applyFont="1" applyBorder="1"/>
    <xf numFmtId="0" fontId="16" fillId="0" borderId="12" xfId="0" applyFont="1" applyFill="1" applyBorder="1"/>
    <xf numFmtId="0" fontId="82" fillId="28" borderId="12" xfId="0" applyFont="1" applyFill="1" applyBorder="1"/>
    <xf numFmtId="0" fontId="16" fillId="28" borderId="12" xfId="0" applyFont="1" applyFill="1" applyBorder="1"/>
    <xf numFmtId="0" fontId="82" fillId="0" borderId="12" xfId="0" applyFont="1" applyBorder="1"/>
    <xf numFmtId="0" fontId="28" fillId="0" borderId="12" xfId="113" applyFont="1" applyFill="1" applyBorder="1" applyAlignment="1" applyProtection="1">
      <alignment horizontal="left" vertical="center" wrapText="1"/>
      <protection hidden="1"/>
    </xf>
    <xf numFmtId="4" fontId="29" fillId="27" borderId="12" xfId="132" applyNumberFormat="1" applyFont="1" applyFill="1" applyBorder="1" applyAlignment="1" applyProtection="1">
      <alignment horizontal="center" wrapText="1"/>
      <protection hidden="1"/>
    </xf>
    <xf numFmtId="0" fontId="16" fillId="0" borderId="0" xfId="0" pivotButton="1" applyFont="1"/>
    <xf numFmtId="0" fontId="16" fillId="0" borderId="0" xfId="0" applyNumberFormat="1" applyFont="1"/>
    <xf numFmtId="4" fontId="80" fillId="0" borderId="0" xfId="132" applyNumberFormat="1" applyFont="1" applyProtection="1">
      <protection hidden="1"/>
    </xf>
    <xf numFmtId="0" fontId="102" fillId="0" borderId="0" xfId="113" applyFont="1" applyFill="1" applyAlignment="1" applyProtection="1">
      <alignment horizontal="left"/>
      <protection hidden="1"/>
    </xf>
    <xf numFmtId="0" fontId="32" fillId="31" borderId="21" xfId="539" applyFont="1" applyFill="1" applyBorder="1" applyAlignment="1">
      <alignment wrapText="1"/>
    </xf>
    <xf numFmtId="0" fontId="33" fillId="36" borderId="21" xfId="539" applyFont="1" applyFill="1" applyBorder="1"/>
    <xf numFmtId="0" fontId="107" fillId="0" borderId="21" xfId="539" applyFont="1" applyFill="1" applyBorder="1"/>
    <xf numFmtId="0" fontId="103" fillId="0" borderId="0" xfId="539" applyFont="1" applyFill="1" applyBorder="1"/>
    <xf numFmtId="0" fontId="32" fillId="0" borderId="0" xfId="113" applyFont="1"/>
    <xf numFmtId="0" fontId="101" fillId="0" borderId="0" xfId="113" applyFont="1" applyAlignment="1" applyProtection="1">
      <alignment horizontal="left"/>
      <protection hidden="1"/>
    </xf>
    <xf numFmtId="0" fontId="28" fillId="0" borderId="0" xfId="0" applyFont="1"/>
    <xf numFmtId="0" fontId="108" fillId="30" borderId="0" xfId="0" applyFont="1" applyFill="1" applyBorder="1" applyProtection="1">
      <protection hidden="1"/>
    </xf>
    <xf numFmtId="4" fontId="18" fillId="30" borderId="0" xfId="93" applyNumberFormat="1" applyFill="1" applyAlignment="1" applyProtection="1">
      <protection hidden="1"/>
    </xf>
    <xf numFmtId="172" fontId="28" fillId="30" borderId="12" xfId="132" applyNumberFormat="1" applyFont="1" applyFill="1" applyBorder="1" applyProtection="1">
      <protection hidden="1"/>
    </xf>
    <xf numFmtId="173" fontId="28" fillId="0" borderId="12" xfId="132" applyNumberFormat="1" applyFont="1" applyBorder="1" applyAlignment="1" applyProtection="1">
      <alignment horizontal="center"/>
      <protection hidden="1"/>
    </xf>
    <xf numFmtId="172" fontId="28" fillId="0" borderId="12" xfId="132" applyNumberFormat="1" applyFont="1" applyBorder="1" applyProtection="1">
      <protection hidden="1"/>
    </xf>
    <xf numFmtId="172" fontId="28" fillId="30" borderId="12" xfId="132" applyNumberFormat="1" applyFont="1" applyFill="1" applyBorder="1" applyAlignment="1" applyProtection="1">
      <alignment horizontal="center"/>
      <protection hidden="1"/>
    </xf>
    <xf numFmtId="0" fontId="83" fillId="0" borderId="12" xfId="0" applyFont="1" applyFill="1" applyBorder="1" applyAlignment="1"/>
    <xf numFmtId="172" fontId="28" fillId="0" borderId="12" xfId="132" applyNumberFormat="1" applyFont="1" applyBorder="1" applyAlignment="1" applyProtection="1">
      <alignment horizontal="left"/>
      <protection hidden="1"/>
    </xf>
    <xf numFmtId="4" fontId="29" fillId="43" borderId="20" xfId="132" applyNumberFormat="1" applyFont="1" applyFill="1" applyBorder="1" applyAlignment="1" applyProtection="1">
      <alignment horizontal="center" vertical="center" wrapText="1"/>
      <protection hidden="1"/>
    </xf>
    <xf numFmtId="2" fontId="29" fillId="43" borderId="20" xfId="132" applyNumberFormat="1" applyFont="1" applyFill="1" applyBorder="1" applyAlignment="1" applyProtection="1">
      <alignment horizontal="center" vertical="center" wrapText="1"/>
      <protection hidden="1"/>
    </xf>
    <xf numFmtId="4" fontId="29" fillId="43" borderId="12" xfId="132" applyNumberFormat="1" applyFont="1" applyFill="1" applyBorder="1" applyAlignment="1" applyProtection="1">
      <alignment horizontal="center" vertical="center" wrapText="1"/>
      <protection hidden="1"/>
    </xf>
    <xf numFmtId="2" fontId="29" fillId="43" borderId="12" xfId="132" applyNumberFormat="1" applyFont="1" applyFill="1" applyBorder="1" applyAlignment="1" applyProtection="1">
      <alignment horizontal="center" vertical="center" wrapText="1"/>
      <protection hidden="1"/>
    </xf>
    <xf numFmtId="172" fontId="28" fillId="30" borderId="12" xfId="132" applyNumberFormat="1" applyFont="1" applyFill="1" applyBorder="1" applyAlignment="1" applyProtection="1">
      <alignment horizontal="left"/>
      <protection hidden="1"/>
    </xf>
    <xf numFmtId="173" fontId="28" fillId="30" borderId="12" xfId="132" applyNumberFormat="1" applyFont="1" applyFill="1" applyBorder="1" applyAlignment="1" applyProtection="1">
      <alignment horizontal="center"/>
      <protection hidden="1"/>
    </xf>
    <xf numFmtId="173" fontId="28" fillId="30" borderId="12" xfId="132" applyNumberFormat="1" applyFont="1" applyFill="1" applyBorder="1" applyAlignment="1" applyProtection="1">
      <alignment horizontal="left"/>
      <protection hidden="1"/>
    </xf>
    <xf numFmtId="172" fontId="86" fillId="0" borderId="0" xfId="132" applyNumberFormat="1" applyFont="1" applyAlignment="1" applyProtection="1">
      <alignment horizontal="left"/>
      <protection hidden="1"/>
    </xf>
    <xf numFmtId="0" fontId="111" fillId="0" borderId="0" xfId="0" applyNumberFormat="1" applyFont="1"/>
    <xf numFmtId="0" fontId="82" fillId="0" borderId="0" xfId="0" applyNumberFormat="1" applyFont="1"/>
    <xf numFmtId="4" fontId="29" fillId="27" borderId="12" xfId="132" applyNumberFormat="1" applyFont="1" applyFill="1" applyBorder="1" applyAlignment="1" applyProtection="1">
      <alignment horizontal="center" vertical="center" wrapText="1"/>
      <protection hidden="1"/>
    </xf>
    <xf numFmtId="171" fontId="29" fillId="27" borderId="12" xfId="76" applyFont="1" applyFill="1" applyBorder="1" applyAlignment="1" applyProtection="1">
      <alignment horizontal="center" vertical="center" wrapText="1"/>
      <protection hidden="1"/>
    </xf>
    <xf numFmtId="4" fontId="105" fillId="0" borderId="0" xfId="93" applyNumberFormat="1" applyFont="1" applyFill="1" applyAlignment="1" applyProtection="1">
      <protection hidden="1"/>
    </xf>
    <xf numFmtId="0" fontId="112" fillId="0" borderId="0" xfId="163" applyFont="1" applyFill="1" applyAlignment="1" applyProtection="1">
      <alignment horizontal="left"/>
      <protection hidden="1"/>
    </xf>
    <xf numFmtId="4" fontId="80" fillId="0" borderId="0" xfId="132" applyNumberFormat="1" applyFont="1" applyAlignment="1" applyProtection="1">
      <alignment horizontal="center" vertical="center"/>
      <protection hidden="1"/>
    </xf>
    <xf numFmtId="2" fontId="28" fillId="44" borderId="12" xfId="132" applyNumberFormat="1" applyFont="1" applyFill="1" applyBorder="1" applyAlignment="1" applyProtection="1">
      <alignment horizontal="center"/>
      <protection hidden="1"/>
    </xf>
    <xf numFmtId="2" fontId="28" fillId="0" borderId="12" xfId="132" applyNumberFormat="1" applyFont="1" applyBorder="1" applyAlignment="1" applyProtection="1">
      <alignment horizontal="center"/>
      <protection hidden="1"/>
    </xf>
    <xf numFmtId="0" fontId="86" fillId="0" borderId="0" xfId="132" applyFont="1" applyAlignment="1" applyProtection="1">
      <alignment horizontal="center"/>
      <protection hidden="1"/>
    </xf>
    <xf numFmtId="172" fontId="28" fillId="44" borderId="12" xfId="132" applyNumberFormat="1" applyFont="1" applyFill="1" applyBorder="1" applyAlignment="1" applyProtection="1">
      <alignment horizontal="center"/>
      <protection hidden="1"/>
    </xf>
    <xf numFmtId="173" fontId="28" fillId="28" borderId="12" xfId="132" applyNumberFormat="1" applyFont="1" applyFill="1" applyBorder="1" applyAlignment="1" applyProtection="1">
      <alignment horizontal="center"/>
      <protection hidden="1"/>
    </xf>
    <xf numFmtId="0" fontId="97" fillId="30" borderId="0" xfId="535" applyFont="1" applyFill="1" applyBorder="1" applyAlignment="1" applyProtection="1">
      <alignment horizontal="left"/>
    </xf>
    <xf numFmtId="0" fontId="87" fillId="30" borderId="0" xfId="535" applyFont="1" applyFill="1" applyBorder="1" applyAlignment="1" applyProtection="1">
      <alignment horizontal="left"/>
    </xf>
    <xf numFmtId="0" fontId="27" fillId="30" borderId="0" xfId="535" applyFont="1" applyFill="1" applyBorder="1" applyAlignment="1" applyProtection="1">
      <alignment horizontal="left" indent="2"/>
    </xf>
    <xf numFmtId="0" fontId="27" fillId="30" borderId="0" xfId="535" applyFont="1" applyFill="1" applyBorder="1" applyAlignment="1" applyProtection="1">
      <alignment horizontal="left"/>
    </xf>
    <xf numFmtId="0" fontId="25" fillId="30" borderId="0" xfId="535" applyFont="1" applyFill="1" applyBorder="1" applyAlignment="1" applyProtection="1">
      <alignment horizontal="left" indent="1"/>
    </xf>
    <xf numFmtId="0" fontId="98" fillId="30" borderId="0" xfId="93" applyFont="1" applyFill="1" applyBorder="1" applyAlignment="1" applyProtection="1">
      <alignment horizontal="left"/>
    </xf>
    <xf numFmtId="0" fontId="18" fillId="30" borderId="0" xfId="93" applyFill="1" applyBorder="1" applyAlignment="1" applyProtection="1">
      <alignment horizontal="left"/>
    </xf>
    <xf numFmtId="0" fontId="27" fillId="30" borderId="0" xfId="0" applyFont="1" applyFill="1" applyBorder="1" applyAlignment="1">
      <alignment horizontal="left"/>
    </xf>
    <xf numFmtId="4" fontId="29" fillId="43" borderId="28" xfId="132" applyNumberFormat="1" applyFont="1" applyFill="1" applyBorder="1" applyAlignment="1" applyProtection="1">
      <alignment horizontal="center" vertical="center" wrapText="1"/>
      <protection hidden="1"/>
    </xf>
    <xf numFmtId="4" fontId="29" fillId="43" borderId="29" xfId="132" applyNumberFormat="1" applyFont="1" applyFill="1" applyBorder="1" applyAlignment="1" applyProtection="1">
      <alignment horizontal="center" vertical="center" wrapText="1"/>
      <protection hidden="1"/>
    </xf>
    <xf numFmtId="4" fontId="80" fillId="0" borderId="0" xfId="132" applyNumberFormat="1" applyFont="1" applyAlignment="1" applyProtection="1">
      <alignment horizontal="center" vertical="center"/>
      <protection hidden="1"/>
    </xf>
    <xf numFmtId="4" fontId="29" fillId="27" borderId="20" xfId="132" applyNumberFormat="1" applyFont="1" applyFill="1" applyBorder="1" applyAlignment="1" applyProtection="1">
      <alignment horizontal="center" vertical="center" wrapText="1"/>
      <protection hidden="1"/>
    </xf>
    <xf numFmtId="4" fontId="29" fillId="27" borderId="18" xfId="132" applyNumberFormat="1" applyFont="1" applyFill="1" applyBorder="1" applyAlignment="1" applyProtection="1">
      <alignment horizontal="center" vertical="center" wrapText="1"/>
      <protection hidden="1"/>
    </xf>
    <xf numFmtId="0" fontId="32" fillId="32" borderId="21" xfId="539" applyFont="1" applyFill="1" applyBorder="1" applyAlignment="1">
      <alignment horizontal="center" vertical="center"/>
    </xf>
    <xf numFmtId="0" fontId="32" fillId="33" borderId="21" xfId="539" applyFont="1" applyFill="1" applyBorder="1" applyAlignment="1">
      <alignment horizontal="center" vertical="center"/>
    </xf>
    <xf numFmtId="0" fontId="32" fillId="31" borderId="24" xfId="539" applyFont="1" applyFill="1" applyBorder="1" applyAlignment="1">
      <alignment horizontal="center" vertical="center"/>
    </xf>
    <xf numFmtId="0" fontId="32" fillId="31" borderId="25" xfId="539" applyFont="1" applyFill="1" applyBorder="1" applyAlignment="1">
      <alignment horizontal="center" vertical="center"/>
    </xf>
  </cellXfs>
  <cellStyles count="653">
    <cellStyle name="%" xfId="2" xr:uid="{00000000-0005-0000-0000-000000000000}"/>
    <cellStyle name="% 10" xfId="651" xr:uid="{5F66B70C-ECA7-42AD-BBF1-7FA241EE743A}"/>
    <cellStyle name="% 2" xfId="161" xr:uid="{00000000-0005-0000-0000-000001000000}"/>
    <cellStyle name="% 2 2" xfId="354" xr:uid="{00000000-0005-0000-0000-000002000000}"/>
    <cellStyle name="% 3" xfId="169" xr:uid="{00000000-0005-0000-0000-000003000000}"/>
    <cellStyle name="% 3 2" xfId="170" xr:uid="{00000000-0005-0000-0000-000004000000}"/>
    <cellStyle name="% 4" xfId="171" xr:uid="{00000000-0005-0000-0000-000005000000}"/>
    <cellStyle name="% 4 2" xfId="172" xr:uid="{00000000-0005-0000-0000-000006000000}"/>
    <cellStyle name="% 5" xfId="173" xr:uid="{00000000-0005-0000-0000-000007000000}"/>
    <cellStyle name="% 5 2" xfId="174" xr:uid="{00000000-0005-0000-0000-000008000000}"/>
    <cellStyle name="% 6" xfId="175" xr:uid="{00000000-0005-0000-0000-000009000000}"/>
    <cellStyle name="% 6 2" xfId="551" xr:uid="{00000000-0005-0000-0000-00000A000000}"/>
    <cellStyle name="% 6 3" xfId="550" xr:uid="{00000000-0005-0000-0000-00000B000000}"/>
    <cellStyle name="% 7" xfId="552" xr:uid="{00000000-0005-0000-0000-00000C000000}"/>
    <cellStyle name="_~6377805" xfId="3" xr:uid="{00000000-0005-0000-0000-00000D000000}"/>
    <cellStyle name="_1y - SOS SITA v4.0 - 5th February 2007 incl. legacy protocols option" xfId="4" xr:uid="{00000000-0005-0000-0000-00000E000000}"/>
    <cellStyle name="_1y - SOS SITA v4.3 - 29th May 2007" xfId="5" xr:uid="{00000000-0005-0000-0000-00000F000000}"/>
    <cellStyle name="_1y - SOS SITA v5.6 - 30 June 2008" xfId="6" xr:uid="{00000000-0005-0000-0000-000010000000}"/>
    <cellStyle name="_allcountries_domestic" xfId="7" xr:uid="{00000000-0005-0000-0000-000011000000}"/>
    <cellStyle name="_BEW - DBU - ID, IPVPN - 121406" xfId="8" xr:uid="{00000000-0005-0000-0000-000012000000}"/>
    <cellStyle name="_ContactCenterPricing-nonStandard-27082008" xfId="9" xr:uid="{00000000-0005-0000-0000-000013000000}"/>
    <cellStyle name="_costdetailtool_v4.2_20061020" xfId="10" xr:uid="{00000000-0005-0000-0000-000014000000}"/>
    <cellStyle name="_Country Banding Split per Region" xfId="11" xr:uid="{00000000-0005-0000-0000-000015000000}"/>
    <cellStyle name="_Country Bandings" xfId="12" xr:uid="{00000000-0005-0000-0000-000016000000}"/>
    <cellStyle name="_DISTRIBUTOR Price Book - Year 6 - 12-28-06" xfId="13" xr:uid="{00000000-0005-0000-0000-000017000000}"/>
    <cellStyle name="_DISTRIBUTOR Price Book - Year 6 - 12-28-06v2" xfId="14" xr:uid="{00000000-0005-0000-0000-000018000000}"/>
    <cellStyle name="_DISTRIBUTOR Price Book - Year 8 - 08-28-08" xfId="15" xr:uid="{00000000-0005-0000-0000-000019000000}"/>
    <cellStyle name="_Equant IP VPN Margin Tool v8.4 15 February 2006" xfId="16" xr:uid="{00000000-0005-0000-0000-00001A000000}"/>
    <cellStyle name="_Equant IP VPN Margin Tool v8.5 8 March 2006" xfId="17" xr:uid="{00000000-0005-0000-0000-00001B000000}"/>
    <cellStyle name="_Inc Price Book - PBy6 - February 2007 v2" xfId="18" xr:uid="{00000000-0005-0000-0000-00001C000000}"/>
    <cellStyle name="_MCC-e Pricing for SITA v2" xfId="19" xr:uid="{00000000-0005-0000-0000-00001D000000}"/>
    <cellStyle name="_Mgt, PS - PBy7 - 061107" xfId="20" xr:uid="{00000000-0005-0000-0000-00001E000000}"/>
    <cellStyle name="_MPI BAND 1" xfId="21" xr:uid="{00000000-0005-0000-0000-00001F000000}"/>
    <cellStyle name="_MPI Q4-06 change - final" xfId="22" xr:uid="{00000000-0005-0000-0000-000020000000}"/>
    <cellStyle name="_Orange Business Services Voice services availability V6.3 - 24JAN07- FINAL" xfId="23" xr:uid="{00000000-0005-0000-0000-000021000000}"/>
    <cellStyle name="_Orange Business Services Voice services availability V6.4 - 23FEB07- FINAL" xfId="24" xr:uid="{00000000-0005-0000-0000-000022000000}"/>
    <cellStyle name="_PL Air Liquide V6 du 02-12-05" xfId="25" xr:uid="{00000000-0005-0000-0000-000023000000}"/>
    <cellStyle name="_PRICING FCCe SITA FCC proposal_v6 1_20120904_com_for Voice PB" xfId="26" xr:uid="{00000000-0005-0000-0000-000024000000}"/>
    <cellStyle name="_proposal_20060808" xfId="27" xr:uid="{00000000-0005-0000-0000-000025000000}"/>
    <cellStyle name="_SITA Price Book - Year 6 - 09-21-06" xfId="28" xr:uid="{00000000-0005-0000-0000-000026000000}"/>
    <cellStyle name="_Summary" xfId="29" xr:uid="{00000000-0005-0000-0000-000027000000}"/>
    <cellStyle name="_Template_BCconso_V2.0_JMParis" xfId="30" xr:uid="{00000000-0005-0000-0000-000028000000}"/>
    <cellStyle name="_Template_BCconso_V2.0_JMParis_VOICE Pricing Tool SITA - Y12 - V2_20121031" xfId="31" xr:uid="{00000000-0005-0000-0000-000029000000}"/>
    <cellStyle name="_V10C Business Talk Margin Tool v9.3" xfId="32" xr:uid="{00000000-0005-0000-0000-00002A000000}"/>
    <cellStyle name="_V10C Contact Center Access &amp; Network IVR Margin Tool Jul10 v6.9" xfId="33" xr:uid="{00000000-0005-0000-0000-00002B000000}"/>
    <cellStyle name="_Voice PBY11 - tool to share with SITA - 12.07.2011 - v1" xfId="34" xr:uid="{00000000-0005-0000-0000-00002C000000}"/>
    <cellStyle name="_VOICE Pricing Tool SITA - Y10 - 24-Sep-10 - v4.3 for ARAVIS" xfId="35" xr:uid="{00000000-0005-0000-0000-00002D000000}"/>
    <cellStyle name="_VOICE Pricing Tool SITA - Y11 vs Y10- 071111 - v4.7 for SITA" xfId="36" xr:uid="{00000000-0005-0000-0000-00002E000000}"/>
    <cellStyle name="_Voice Workload for PBY11 - 29.06.2011 with Vincent proposal v6" xfId="37" xr:uid="{00000000-0005-0000-0000-00002F000000}"/>
    <cellStyle name="_Voice Workload for PBY11 - 29.06.2011 with Vincent's proposal v4" xfId="38" xr:uid="{00000000-0005-0000-0000-000030000000}"/>
    <cellStyle name="_Voice Workload for PBY11 - 29.06.2011 with Vincent's proposal v5" xfId="39" xr:uid="{00000000-0005-0000-0000-000031000000}"/>
    <cellStyle name="¨_x000c_ LŒB" xfId="40" xr:uid="{00000000-0005-0000-0000-000032000000}"/>
    <cellStyle name="&lt;Default Style&gt;" xfId="41" xr:uid="{00000000-0005-0000-0000-000033000000}"/>
    <cellStyle name="¹éºÐÀ²_±âÅ¸" xfId="42" xr:uid="{00000000-0005-0000-0000-000034000000}"/>
    <cellStyle name="20 % - Accent1" xfId="43" xr:uid="{00000000-0005-0000-0000-000035000000}"/>
    <cellStyle name="20 % - Accent2" xfId="44" xr:uid="{00000000-0005-0000-0000-000036000000}"/>
    <cellStyle name="20 % - Accent3" xfId="45" xr:uid="{00000000-0005-0000-0000-000037000000}"/>
    <cellStyle name="20 % - Accent4" xfId="46" xr:uid="{00000000-0005-0000-0000-000038000000}"/>
    <cellStyle name="20 % - Accent5" xfId="47" xr:uid="{00000000-0005-0000-0000-000039000000}"/>
    <cellStyle name="20 % - Accent6" xfId="48" xr:uid="{00000000-0005-0000-0000-00003A000000}"/>
    <cellStyle name="40 % - Accent1" xfId="49" xr:uid="{00000000-0005-0000-0000-00003B000000}"/>
    <cellStyle name="40 % - Accent2" xfId="50" xr:uid="{00000000-0005-0000-0000-00003C000000}"/>
    <cellStyle name="40 % - Accent3" xfId="51" xr:uid="{00000000-0005-0000-0000-00003D000000}"/>
    <cellStyle name="40 % - Accent4" xfId="52" xr:uid="{00000000-0005-0000-0000-00003E000000}"/>
    <cellStyle name="40 % - Accent5" xfId="53" xr:uid="{00000000-0005-0000-0000-00003F000000}"/>
    <cellStyle name="40 % - Accent6" xfId="54" xr:uid="{00000000-0005-0000-0000-000040000000}"/>
    <cellStyle name="60 % - Accent1" xfId="55" xr:uid="{00000000-0005-0000-0000-000041000000}"/>
    <cellStyle name="60 % - Accent2" xfId="56" xr:uid="{00000000-0005-0000-0000-000042000000}"/>
    <cellStyle name="60 % - Accent3" xfId="57" xr:uid="{00000000-0005-0000-0000-000043000000}"/>
    <cellStyle name="60 % - Accent4" xfId="58" xr:uid="{00000000-0005-0000-0000-000044000000}"/>
    <cellStyle name="60 % - Accent5" xfId="59" xr:uid="{00000000-0005-0000-0000-000045000000}"/>
    <cellStyle name="60 % - Accent6" xfId="60" xr:uid="{00000000-0005-0000-0000-000046000000}"/>
    <cellStyle name="Accent1" xfId="543" builtinId="29" customBuiltin="1"/>
    <cellStyle name="Accent2" xfId="544" builtinId="33" customBuiltin="1"/>
    <cellStyle name="Accent3" xfId="545" builtinId="37" customBuiltin="1"/>
    <cellStyle name="Accent4" xfId="546" builtinId="41" customBuiltin="1"/>
    <cellStyle name="Accent5" xfId="547" builtinId="45" customBuiltin="1"/>
    <cellStyle name="Accent6" xfId="548" builtinId="49" customBuiltin="1"/>
    <cellStyle name="ÅëÈ­ [0]_±âÅ¸" xfId="61" xr:uid="{00000000-0005-0000-0000-00004D000000}"/>
    <cellStyle name="ÅëÈ­_±âÅ¸" xfId="62" xr:uid="{00000000-0005-0000-0000-00004E000000}"/>
    <cellStyle name="AFE" xfId="63" xr:uid="{00000000-0005-0000-0000-00004F000000}"/>
    <cellStyle name="ÄÞ¸¶ [0]_±âÅ¸" xfId="64" xr:uid="{00000000-0005-0000-0000-000050000000}"/>
    <cellStyle name="ÄÞ¸¶_±âÅ¸" xfId="65" xr:uid="{00000000-0005-0000-0000-000051000000}"/>
    <cellStyle name="Avertissement" xfId="66" xr:uid="{00000000-0005-0000-0000-000052000000}"/>
    <cellStyle name="BackGround" xfId="67" xr:uid="{00000000-0005-0000-0000-000053000000}"/>
    <cellStyle name="Body" xfId="68" xr:uid="{00000000-0005-0000-0000-000054000000}"/>
    <cellStyle name="Border" xfId="69" xr:uid="{00000000-0005-0000-0000-000055000000}"/>
    <cellStyle name="Border 2" xfId="553" xr:uid="{00000000-0005-0000-0000-000056000000}"/>
    <cellStyle name="Border Heavy" xfId="70" xr:uid="{00000000-0005-0000-0000-000057000000}"/>
    <cellStyle name="Border Thin" xfId="71" xr:uid="{00000000-0005-0000-0000-000058000000}"/>
    <cellStyle name="Ç¥ÁØ_¿ù°£¿ä¾àº¸°í" xfId="72" xr:uid="{00000000-0005-0000-0000-000059000000}"/>
    <cellStyle name="Calcul" xfId="73" xr:uid="{00000000-0005-0000-0000-00005A000000}"/>
    <cellStyle name="Cellule liée" xfId="74" xr:uid="{00000000-0005-0000-0000-00005B000000}"/>
    <cellStyle name="Column_Title" xfId="75" xr:uid="{00000000-0005-0000-0000-00005C000000}"/>
    <cellStyle name="Comma" xfId="76" builtinId="3"/>
    <cellStyle name="Comma 10" xfId="176" xr:uid="{00000000-0005-0000-0000-00005E000000}"/>
    <cellStyle name="Comma 10 2" xfId="177" xr:uid="{00000000-0005-0000-0000-00005F000000}"/>
    <cellStyle name="Comma 11" xfId="178" xr:uid="{00000000-0005-0000-0000-000060000000}"/>
    <cellStyle name="Comma 11 2" xfId="555" xr:uid="{00000000-0005-0000-0000-000061000000}"/>
    <cellStyle name="Comma 11 3" xfId="554" xr:uid="{00000000-0005-0000-0000-000062000000}"/>
    <cellStyle name="Comma 12" xfId="355" xr:uid="{00000000-0005-0000-0000-000063000000}"/>
    <cellStyle name="Comma 2" xfId="165" xr:uid="{00000000-0005-0000-0000-000064000000}"/>
    <cellStyle name="Comma 2 2" xfId="356" xr:uid="{00000000-0005-0000-0000-000065000000}"/>
    <cellStyle name="Comma 3" xfId="166" xr:uid="{00000000-0005-0000-0000-000066000000}"/>
    <cellStyle name="Comma 3 2" xfId="179" xr:uid="{00000000-0005-0000-0000-000067000000}"/>
    <cellStyle name="Comma 4" xfId="180" xr:uid="{00000000-0005-0000-0000-000068000000}"/>
    <cellStyle name="Comma 5" xfId="181" xr:uid="{00000000-0005-0000-0000-000069000000}"/>
    <cellStyle name="Comma 5 2" xfId="182" xr:uid="{00000000-0005-0000-0000-00006A000000}"/>
    <cellStyle name="Comma 6" xfId="183" xr:uid="{00000000-0005-0000-0000-00006B000000}"/>
    <cellStyle name="Comma 6 2" xfId="184" xr:uid="{00000000-0005-0000-0000-00006C000000}"/>
    <cellStyle name="Comma 7" xfId="185" xr:uid="{00000000-0005-0000-0000-00006D000000}"/>
    <cellStyle name="Comma 7 2" xfId="186" xr:uid="{00000000-0005-0000-0000-00006E000000}"/>
    <cellStyle name="Comma 8" xfId="187" xr:uid="{00000000-0005-0000-0000-00006F000000}"/>
    <cellStyle name="Comma 8 2" xfId="188" xr:uid="{00000000-0005-0000-0000-000070000000}"/>
    <cellStyle name="Comma 9" xfId="189" xr:uid="{00000000-0005-0000-0000-000071000000}"/>
    <cellStyle name="Comma 9 2" xfId="190" xr:uid="{00000000-0005-0000-0000-000072000000}"/>
    <cellStyle name="Comma0" xfId="77" xr:uid="{00000000-0005-0000-0000-000074000000}"/>
    <cellStyle name="Commentaire" xfId="78" xr:uid="{00000000-0005-0000-0000-000075000000}"/>
    <cellStyle name="Comments" xfId="79" xr:uid="{00000000-0005-0000-0000-000076000000}"/>
    <cellStyle name="Currency 2" xfId="162" xr:uid="{00000000-0005-0000-0000-000078000000}"/>
    <cellStyle name="Currency 2 2" xfId="542" xr:uid="{00000000-0005-0000-0000-000079000000}"/>
    <cellStyle name="Currency0" xfId="80" xr:uid="{00000000-0005-0000-0000-00007A000000}"/>
    <cellStyle name="Date" xfId="81" xr:uid="{00000000-0005-0000-0000-00007B000000}"/>
    <cellStyle name="Dezimal [0]_Entgelt1.xls" xfId="82" xr:uid="{00000000-0005-0000-0000-00007C000000}"/>
    <cellStyle name="Dezimal_Entgelt1.xls" xfId="83" xr:uid="{00000000-0005-0000-0000-00007D000000}"/>
    <cellStyle name="Entrée" xfId="84" xr:uid="{00000000-0005-0000-0000-00007E000000}"/>
    <cellStyle name="Euro" xfId="85" xr:uid="{00000000-0005-0000-0000-00007F000000}"/>
    <cellStyle name="Fixed" xfId="86" xr:uid="{00000000-0005-0000-0000-000080000000}"/>
    <cellStyle name="Grey" xfId="87" xr:uid="{00000000-0005-0000-0000-000081000000}"/>
    <cellStyle name="Grey 2" xfId="191" xr:uid="{00000000-0005-0000-0000-000082000000}"/>
    <cellStyle name="Header" xfId="88" xr:uid="{00000000-0005-0000-0000-000083000000}"/>
    <cellStyle name="Header1" xfId="89" xr:uid="{00000000-0005-0000-0000-000084000000}"/>
    <cellStyle name="Header2" xfId="90" xr:uid="{00000000-0005-0000-0000-000085000000}"/>
    <cellStyle name="Header2 2" xfId="556" xr:uid="{00000000-0005-0000-0000-000086000000}"/>
    <cellStyle name="Heading 1" xfId="91" builtinId="16" customBuiltin="1"/>
    <cellStyle name="Heading 2" xfId="92" builtinId="17" customBuiltin="1"/>
    <cellStyle name="Hyperlink" xfId="93" builtinId="8"/>
    <cellStyle name="Hyperlink 2" xfId="192" xr:uid="{00000000-0005-0000-0000-00008A000000}"/>
    <cellStyle name="Hyperlink 3" xfId="193" xr:uid="{00000000-0005-0000-0000-00008B000000}"/>
    <cellStyle name="Hyperlink 4" xfId="194" xr:uid="{00000000-0005-0000-0000-00008C000000}"/>
    <cellStyle name="Hyperlink 5" xfId="195" xr:uid="{00000000-0005-0000-0000-00008D000000}"/>
    <cellStyle name="Hyperlink 6" xfId="196" xr:uid="{00000000-0005-0000-0000-00008E000000}"/>
    <cellStyle name="Hyperlink 7" xfId="357" xr:uid="{00000000-0005-0000-0000-00008F000000}"/>
    <cellStyle name="Hyperlink 8" xfId="358" xr:uid="{00000000-0005-0000-0000-000090000000}"/>
    <cellStyle name="Hyperlink 9" xfId="359" xr:uid="{00000000-0005-0000-0000-000091000000}"/>
    <cellStyle name="Hyperlink_Contact Center Margin Tool - 200512 - v1.0 - Draft" xfId="535" xr:uid="{00000000-0005-0000-0000-000092000000}"/>
    <cellStyle name="Input [yellow]" xfId="94" xr:uid="{00000000-0005-0000-0000-000093000000}"/>
    <cellStyle name="Input [yellow] 2" xfId="197" xr:uid="{00000000-0005-0000-0000-000094000000}"/>
    <cellStyle name="Insatisfaisant" xfId="95" xr:uid="{00000000-0005-0000-0000-000095000000}"/>
    <cellStyle name="Instructions" xfId="96" xr:uid="{00000000-0005-0000-0000-000096000000}"/>
    <cellStyle name="Lien hypertexte_dublin2 main" xfId="97" xr:uid="{00000000-0005-0000-0000-000097000000}"/>
    <cellStyle name="LinkedCell" xfId="98" xr:uid="{00000000-0005-0000-0000-000098000000}"/>
    <cellStyle name="Millares [0]_laroux" xfId="99" xr:uid="{00000000-0005-0000-0000-000099000000}"/>
    <cellStyle name="Millares_laroux" xfId="100" xr:uid="{00000000-0005-0000-0000-00009A000000}"/>
    <cellStyle name="Milliers [0]_Feuil1" xfId="101" xr:uid="{00000000-0005-0000-0000-00009B000000}"/>
    <cellStyle name="Milliers_Feuil1" xfId="102" xr:uid="{00000000-0005-0000-0000-00009C000000}"/>
    <cellStyle name="Moneda [0]_laroux" xfId="103" xr:uid="{00000000-0005-0000-0000-00009D000000}"/>
    <cellStyle name="Moneda_laroux" xfId="104" xr:uid="{00000000-0005-0000-0000-00009E000000}"/>
    <cellStyle name="Monétaire [0]_Feuil1" xfId="105" xr:uid="{00000000-0005-0000-0000-00009F000000}"/>
    <cellStyle name="Monétaire_Feuil1" xfId="106" xr:uid="{00000000-0005-0000-0000-0000A0000000}"/>
    <cellStyle name="Multiple" xfId="107" xr:uid="{00000000-0005-0000-0000-0000A1000000}"/>
    <cellStyle name="Neutre" xfId="108" xr:uid="{00000000-0005-0000-0000-0000A2000000}"/>
    <cellStyle name="no dec" xfId="109" xr:uid="{00000000-0005-0000-0000-0000A3000000}"/>
    <cellStyle name="Normal" xfId="0" builtinId="0"/>
    <cellStyle name="Normal - Style1" xfId="110" xr:uid="{00000000-0005-0000-0000-0000A5000000}"/>
    <cellStyle name="Normal 10" xfId="198" xr:uid="{00000000-0005-0000-0000-0000A6000000}"/>
    <cellStyle name="Normal 10 2" xfId="652" xr:uid="{EB5C601F-AD89-4B57-AFCA-BA78F88E545C}"/>
    <cellStyle name="Normal 100" xfId="360" xr:uid="{00000000-0005-0000-0000-0000A7000000}"/>
    <cellStyle name="Normal 100 2" xfId="557" xr:uid="{00000000-0005-0000-0000-0000A8000000}"/>
    <cellStyle name="Normal 101" xfId="361" xr:uid="{00000000-0005-0000-0000-0000A9000000}"/>
    <cellStyle name="Normal 101 2" xfId="558" xr:uid="{00000000-0005-0000-0000-0000AA000000}"/>
    <cellStyle name="Normal 102" xfId="362" xr:uid="{00000000-0005-0000-0000-0000AB000000}"/>
    <cellStyle name="Normal 102 2" xfId="559" xr:uid="{00000000-0005-0000-0000-0000AC000000}"/>
    <cellStyle name="Normal 103" xfId="363" xr:uid="{00000000-0005-0000-0000-0000AD000000}"/>
    <cellStyle name="Normal 103 2" xfId="560" xr:uid="{00000000-0005-0000-0000-0000AE000000}"/>
    <cellStyle name="Normal 104" xfId="364" xr:uid="{00000000-0005-0000-0000-0000AF000000}"/>
    <cellStyle name="Normal 104 2" xfId="561" xr:uid="{00000000-0005-0000-0000-0000B0000000}"/>
    <cellStyle name="Normal 105" xfId="365" xr:uid="{00000000-0005-0000-0000-0000B1000000}"/>
    <cellStyle name="Normal 105 2" xfId="562" xr:uid="{00000000-0005-0000-0000-0000B2000000}"/>
    <cellStyle name="Normal 106" xfId="366" xr:uid="{00000000-0005-0000-0000-0000B3000000}"/>
    <cellStyle name="Normal 106 2" xfId="563" xr:uid="{00000000-0005-0000-0000-0000B4000000}"/>
    <cellStyle name="Normal 107" xfId="367" xr:uid="{00000000-0005-0000-0000-0000B5000000}"/>
    <cellStyle name="Normal 108" xfId="368" xr:uid="{00000000-0005-0000-0000-0000B6000000}"/>
    <cellStyle name="Normal 109" xfId="369" xr:uid="{00000000-0005-0000-0000-0000B7000000}"/>
    <cellStyle name="Normal 11" xfId="199" xr:uid="{00000000-0005-0000-0000-0000B8000000}"/>
    <cellStyle name="Normal 110" xfId="370" xr:uid="{00000000-0005-0000-0000-0000B9000000}"/>
    <cellStyle name="Normal 111" xfId="371" xr:uid="{00000000-0005-0000-0000-0000BA000000}"/>
    <cellStyle name="Normal 112" xfId="372" xr:uid="{00000000-0005-0000-0000-0000BB000000}"/>
    <cellStyle name="Normal 113" xfId="373" xr:uid="{00000000-0005-0000-0000-0000BC000000}"/>
    <cellStyle name="Normal 114" xfId="374" xr:uid="{00000000-0005-0000-0000-0000BD000000}"/>
    <cellStyle name="Normal 115" xfId="375" xr:uid="{00000000-0005-0000-0000-0000BE000000}"/>
    <cellStyle name="Normal 116" xfId="376" xr:uid="{00000000-0005-0000-0000-0000BF000000}"/>
    <cellStyle name="Normal 117" xfId="377" xr:uid="{00000000-0005-0000-0000-0000C0000000}"/>
    <cellStyle name="Normal 118" xfId="378" xr:uid="{00000000-0005-0000-0000-0000C1000000}"/>
    <cellStyle name="Normal 119" xfId="379" xr:uid="{00000000-0005-0000-0000-0000C2000000}"/>
    <cellStyle name="Normal 12" xfId="200" xr:uid="{00000000-0005-0000-0000-0000C3000000}"/>
    <cellStyle name="Normal 120" xfId="380" xr:uid="{00000000-0005-0000-0000-0000C4000000}"/>
    <cellStyle name="Normal 121" xfId="381" xr:uid="{00000000-0005-0000-0000-0000C5000000}"/>
    <cellStyle name="Normal 122" xfId="382" xr:uid="{00000000-0005-0000-0000-0000C6000000}"/>
    <cellStyle name="Normal 123" xfId="383" xr:uid="{00000000-0005-0000-0000-0000C7000000}"/>
    <cellStyle name="Normal 124" xfId="384" xr:uid="{00000000-0005-0000-0000-0000C8000000}"/>
    <cellStyle name="Normal 125" xfId="385" xr:uid="{00000000-0005-0000-0000-0000C9000000}"/>
    <cellStyle name="Normal 126" xfId="386" xr:uid="{00000000-0005-0000-0000-0000CA000000}"/>
    <cellStyle name="Normal 126 2" xfId="387" xr:uid="{00000000-0005-0000-0000-0000CB000000}"/>
    <cellStyle name="Normal 127" xfId="388" xr:uid="{00000000-0005-0000-0000-0000CC000000}"/>
    <cellStyle name="Normal 128" xfId="389" xr:uid="{00000000-0005-0000-0000-0000CD000000}"/>
    <cellStyle name="Normal 128 2" xfId="390" xr:uid="{00000000-0005-0000-0000-0000CE000000}"/>
    <cellStyle name="Normal 129" xfId="391" xr:uid="{00000000-0005-0000-0000-0000CF000000}"/>
    <cellStyle name="Normal 13" xfId="201" xr:uid="{00000000-0005-0000-0000-0000D0000000}"/>
    <cellStyle name="Normal 130" xfId="392" xr:uid="{00000000-0005-0000-0000-0000D1000000}"/>
    <cellStyle name="Normal 130 2" xfId="393" xr:uid="{00000000-0005-0000-0000-0000D2000000}"/>
    <cellStyle name="Normal 131" xfId="394" xr:uid="{00000000-0005-0000-0000-0000D3000000}"/>
    <cellStyle name="Normal 132" xfId="395" xr:uid="{00000000-0005-0000-0000-0000D4000000}"/>
    <cellStyle name="Normal 132 2" xfId="396" xr:uid="{00000000-0005-0000-0000-0000D5000000}"/>
    <cellStyle name="Normal 133" xfId="397" xr:uid="{00000000-0005-0000-0000-0000D6000000}"/>
    <cellStyle name="Normal 134" xfId="398" xr:uid="{00000000-0005-0000-0000-0000D7000000}"/>
    <cellStyle name="Normal 134 2" xfId="399" xr:uid="{00000000-0005-0000-0000-0000D8000000}"/>
    <cellStyle name="Normal 135" xfId="400" xr:uid="{00000000-0005-0000-0000-0000D9000000}"/>
    <cellStyle name="Normal 136" xfId="401" xr:uid="{00000000-0005-0000-0000-0000DA000000}"/>
    <cellStyle name="Normal 136 2" xfId="402" xr:uid="{00000000-0005-0000-0000-0000DB000000}"/>
    <cellStyle name="Normal 137" xfId="403" xr:uid="{00000000-0005-0000-0000-0000DC000000}"/>
    <cellStyle name="Normal 138" xfId="404" xr:uid="{00000000-0005-0000-0000-0000DD000000}"/>
    <cellStyle name="Normal 138 2" xfId="405" xr:uid="{00000000-0005-0000-0000-0000DE000000}"/>
    <cellStyle name="Normal 139" xfId="406" xr:uid="{00000000-0005-0000-0000-0000DF000000}"/>
    <cellStyle name="Normal 14" xfId="202" xr:uid="{00000000-0005-0000-0000-0000E0000000}"/>
    <cellStyle name="Normal 14 2" xfId="203" xr:uid="{00000000-0005-0000-0000-0000E1000000}"/>
    <cellStyle name="Normal 140" xfId="407" xr:uid="{00000000-0005-0000-0000-0000E2000000}"/>
    <cellStyle name="Normal 140 2" xfId="408" xr:uid="{00000000-0005-0000-0000-0000E3000000}"/>
    <cellStyle name="Normal 141" xfId="409" xr:uid="{00000000-0005-0000-0000-0000E4000000}"/>
    <cellStyle name="Normal 142" xfId="410" xr:uid="{00000000-0005-0000-0000-0000E5000000}"/>
    <cellStyle name="Normal 142 2" xfId="411" xr:uid="{00000000-0005-0000-0000-0000E6000000}"/>
    <cellStyle name="Normal 143" xfId="412" xr:uid="{00000000-0005-0000-0000-0000E7000000}"/>
    <cellStyle name="Normal 144" xfId="413" xr:uid="{00000000-0005-0000-0000-0000E8000000}"/>
    <cellStyle name="Normal 144 2" xfId="414" xr:uid="{00000000-0005-0000-0000-0000E9000000}"/>
    <cellStyle name="Normal 145" xfId="415" xr:uid="{00000000-0005-0000-0000-0000EA000000}"/>
    <cellStyle name="Normal 146" xfId="416" xr:uid="{00000000-0005-0000-0000-0000EB000000}"/>
    <cellStyle name="Normal 147" xfId="417" xr:uid="{00000000-0005-0000-0000-0000EC000000}"/>
    <cellStyle name="Normal 148" xfId="418" xr:uid="{00000000-0005-0000-0000-0000ED000000}"/>
    <cellStyle name="Normal 149" xfId="419" xr:uid="{00000000-0005-0000-0000-0000EE000000}"/>
    <cellStyle name="Normal 15" xfId="204" xr:uid="{00000000-0005-0000-0000-0000EF000000}"/>
    <cellStyle name="Normal 15 2" xfId="205" xr:uid="{00000000-0005-0000-0000-0000F0000000}"/>
    <cellStyle name="Normal 150" xfId="420" xr:uid="{00000000-0005-0000-0000-0000F1000000}"/>
    <cellStyle name="Normal 151" xfId="421" xr:uid="{00000000-0005-0000-0000-0000F2000000}"/>
    <cellStyle name="Normal 152" xfId="422" xr:uid="{00000000-0005-0000-0000-0000F3000000}"/>
    <cellStyle name="Normal 153" xfId="423" xr:uid="{00000000-0005-0000-0000-0000F4000000}"/>
    <cellStyle name="Normal 154" xfId="424" xr:uid="{00000000-0005-0000-0000-0000F5000000}"/>
    <cellStyle name="Normal 155" xfId="425" xr:uid="{00000000-0005-0000-0000-0000F6000000}"/>
    <cellStyle name="Normal 156" xfId="426" xr:uid="{00000000-0005-0000-0000-0000F7000000}"/>
    <cellStyle name="Normal 157" xfId="427" xr:uid="{00000000-0005-0000-0000-0000F8000000}"/>
    <cellStyle name="Normal 158" xfId="428" xr:uid="{00000000-0005-0000-0000-0000F9000000}"/>
    <cellStyle name="Normal 159" xfId="429" xr:uid="{00000000-0005-0000-0000-0000FA000000}"/>
    <cellStyle name="Normal 16" xfId="206" xr:uid="{00000000-0005-0000-0000-0000FB000000}"/>
    <cellStyle name="Normal 16 2" xfId="207" xr:uid="{00000000-0005-0000-0000-0000FC000000}"/>
    <cellStyle name="Normal 160" xfId="430" xr:uid="{00000000-0005-0000-0000-0000FD000000}"/>
    <cellStyle name="Normal 161" xfId="431" xr:uid="{00000000-0005-0000-0000-0000FE000000}"/>
    <cellStyle name="Normal 162" xfId="432" xr:uid="{00000000-0005-0000-0000-0000FF000000}"/>
    <cellStyle name="Normal 163" xfId="433" xr:uid="{00000000-0005-0000-0000-000000010000}"/>
    <cellStyle name="Normal 164" xfId="434" xr:uid="{00000000-0005-0000-0000-000001010000}"/>
    <cellStyle name="Normal 165" xfId="435" xr:uid="{00000000-0005-0000-0000-000002010000}"/>
    <cellStyle name="Normal 166" xfId="436" xr:uid="{00000000-0005-0000-0000-000003010000}"/>
    <cellStyle name="Normal 167" xfId="437" xr:uid="{00000000-0005-0000-0000-000004010000}"/>
    <cellStyle name="Normal 168" xfId="438" xr:uid="{00000000-0005-0000-0000-000005010000}"/>
    <cellStyle name="Normal 169" xfId="439" xr:uid="{00000000-0005-0000-0000-000006010000}"/>
    <cellStyle name="Normal 17" xfId="208" xr:uid="{00000000-0005-0000-0000-000007010000}"/>
    <cellStyle name="Normal 17 2" xfId="564" xr:uid="{00000000-0005-0000-0000-000008010000}"/>
    <cellStyle name="Normal 170" xfId="440" xr:uid="{00000000-0005-0000-0000-000009010000}"/>
    <cellStyle name="Normal 171" xfId="441" xr:uid="{00000000-0005-0000-0000-00000A010000}"/>
    <cellStyle name="Normal 172" xfId="442" xr:uid="{00000000-0005-0000-0000-00000B010000}"/>
    <cellStyle name="Normal 173" xfId="443" xr:uid="{00000000-0005-0000-0000-00000C010000}"/>
    <cellStyle name="Normal 174" xfId="444" xr:uid="{00000000-0005-0000-0000-00000D010000}"/>
    <cellStyle name="Normal 175" xfId="445" xr:uid="{00000000-0005-0000-0000-00000E010000}"/>
    <cellStyle name="Normal 176" xfId="446" xr:uid="{00000000-0005-0000-0000-00000F010000}"/>
    <cellStyle name="Normal 177" xfId="447" xr:uid="{00000000-0005-0000-0000-000010010000}"/>
    <cellStyle name="Normal 178" xfId="448" xr:uid="{00000000-0005-0000-0000-000011010000}"/>
    <cellStyle name="Normal 179" xfId="449" xr:uid="{00000000-0005-0000-0000-000012010000}"/>
    <cellStyle name="Normal 18" xfId="209" xr:uid="{00000000-0005-0000-0000-000013010000}"/>
    <cellStyle name="Normal 18 2" xfId="565" xr:uid="{00000000-0005-0000-0000-000014010000}"/>
    <cellStyle name="Normal 180" xfId="450" xr:uid="{00000000-0005-0000-0000-000015010000}"/>
    <cellStyle name="Normal 181" xfId="451" xr:uid="{00000000-0005-0000-0000-000016010000}"/>
    <cellStyle name="Normal 182" xfId="452" xr:uid="{00000000-0005-0000-0000-000017010000}"/>
    <cellStyle name="Normal 183" xfId="453" xr:uid="{00000000-0005-0000-0000-000018010000}"/>
    <cellStyle name="Normal 184" xfId="454" xr:uid="{00000000-0005-0000-0000-000019010000}"/>
    <cellStyle name="Normal 185" xfId="455" xr:uid="{00000000-0005-0000-0000-00001A010000}"/>
    <cellStyle name="Normal 186" xfId="456" xr:uid="{00000000-0005-0000-0000-00001B010000}"/>
    <cellStyle name="Normal 187" xfId="457" xr:uid="{00000000-0005-0000-0000-00001C010000}"/>
    <cellStyle name="Normal 188" xfId="458" xr:uid="{00000000-0005-0000-0000-00001D010000}"/>
    <cellStyle name="Normal 189" xfId="459" xr:uid="{00000000-0005-0000-0000-00001E010000}"/>
    <cellStyle name="Normal 19" xfId="210" xr:uid="{00000000-0005-0000-0000-00001F010000}"/>
    <cellStyle name="Normal 19 2" xfId="566" xr:uid="{00000000-0005-0000-0000-000020010000}"/>
    <cellStyle name="Normal 190" xfId="460" xr:uid="{00000000-0005-0000-0000-000021010000}"/>
    <cellStyle name="Normal 191" xfId="461" xr:uid="{00000000-0005-0000-0000-000022010000}"/>
    <cellStyle name="Normal 192" xfId="462" xr:uid="{00000000-0005-0000-0000-000023010000}"/>
    <cellStyle name="Normal 193" xfId="463" xr:uid="{00000000-0005-0000-0000-000024010000}"/>
    <cellStyle name="Normal 194" xfId="464" xr:uid="{00000000-0005-0000-0000-000025010000}"/>
    <cellStyle name="Normal 195" xfId="465" xr:uid="{00000000-0005-0000-0000-000026010000}"/>
    <cellStyle name="Normal 196" xfId="466" xr:uid="{00000000-0005-0000-0000-000027010000}"/>
    <cellStyle name="Normal 197" xfId="467" xr:uid="{00000000-0005-0000-0000-000028010000}"/>
    <cellStyle name="Normal 198" xfId="468" xr:uid="{00000000-0005-0000-0000-000029010000}"/>
    <cellStyle name="Normal 199" xfId="469" xr:uid="{00000000-0005-0000-0000-00002A010000}"/>
    <cellStyle name="Normal 2" xfId="111" xr:uid="{00000000-0005-0000-0000-00002B010000}"/>
    <cellStyle name="Normal 2 10" xfId="648" xr:uid="{00000000-0005-0000-0000-00002C010000}"/>
    <cellStyle name="Normal 2 2" xfId="163" xr:uid="{00000000-0005-0000-0000-00002D010000}"/>
    <cellStyle name="Normal 2 2 2" xfId="649" xr:uid="{00000000-0005-0000-0000-00002E010000}"/>
    <cellStyle name="Normal 20" xfId="211" xr:uid="{00000000-0005-0000-0000-00002F010000}"/>
    <cellStyle name="Normal 20 2" xfId="537" xr:uid="{00000000-0005-0000-0000-000030010000}"/>
    <cellStyle name="Normal 20 3" xfId="567" xr:uid="{00000000-0005-0000-0000-000031010000}"/>
    <cellStyle name="Normal 200" xfId="470" xr:uid="{00000000-0005-0000-0000-000032010000}"/>
    <cellStyle name="Normal 201" xfId="471" xr:uid="{00000000-0005-0000-0000-000033010000}"/>
    <cellStyle name="Normal 202" xfId="472" xr:uid="{00000000-0005-0000-0000-000034010000}"/>
    <cellStyle name="Normal 203" xfId="473" xr:uid="{00000000-0005-0000-0000-000035010000}"/>
    <cellStyle name="Normal 204" xfId="474" xr:uid="{00000000-0005-0000-0000-000036010000}"/>
    <cellStyle name="Normal 205" xfId="475" xr:uid="{00000000-0005-0000-0000-000037010000}"/>
    <cellStyle name="Normal 206" xfId="476" xr:uid="{00000000-0005-0000-0000-000038010000}"/>
    <cellStyle name="Normal 207" xfId="477" xr:uid="{00000000-0005-0000-0000-000039010000}"/>
    <cellStyle name="Normal 208" xfId="478" xr:uid="{00000000-0005-0000-0000-00003A010000}"/>
    <cellStyle name="Normal 209" xfId="479" xr:uid="{00000000-0005-0000-0000-00003B010000}"/>
    <cellStyle name="Normal 21" xfId="212" xr:uid="{00000000-0005-0000-0000-00003C010000}"/>
    <cellStyle name="Normal 21 2" xfId="568" xr:uid="{00000000-0005-0000-0000-00003D010000}"/>
    <cellStyle name="Normal 210" xfId="480" xr:uid="{00000000-0005-0000-0000-00003E010000}"/>
    <cellStyle name="Normal 211" xfId="481" xr:uid="{00000000-0005-0000-0000-00003F010000}"/>
    <cellStyle name="Normal 212" xfId="482" xr:uid="{00000000-0005-0000-0000-000040010000}"/>
    <cellStyle name="Normal 213" xfId="483" xr:uid="{00000000-0005-0000-0000-000041010000}"/>
    <cellStyle name="Normal 214" xfId="484" xr:uid="{00000000-0005-0000-0000-000042010000}"/>
    <cellStyle name="Normal 215" xfId="485" xr:uid="{00000000-0005-0000-0000-000043010000}"/>
    <cellStyle name="Normal 216" xfId="486" xr:uid="{00000000-0005-0000-0000-000044010000}"/>
    <cellStyle name="Normal 217" xfId="487" xr:uid="{00000000-0005-0000-0000-000045010000}"/>
    <cellStyle name="Normal 218" xfId="488" xr:uid="{00000000-0005-0000-0000-000046010000}"/>
    <cellStyle name="Normal 219" xfId="489" xr:uid="{00000000-0005-0000-0000-000047010000}"/>
    <cellStyle name="Normal 22" xfId="213" xr:uid="{00000000-0005-0000-0000-000048010000}"/>
    <cellStyle name="Normal 22 2" xfId="569" xr:uid="{00000000-0005-0000-0000-000049010000}"/>
    <cellStyle name="Normal 220" xfId="490" xr:uid="{00000000-0005-0000-0000-00004A010000}"/>
    <cellStyle name="Normal 221" xfId="491" xr:uid="{00000000-0005-0000-0000-00004B010000}"/>
    <cellStyle name="Normal 222" xfId="492" xr:uid="{00000000-0005-0000-0000-00004C010000}"/>
    <cellStyle name="Normal 223" xfId="493" xr:uid="{00000000-0005-0000-0000-00004D010000}"/>
    <cellStyle name="Normal 224" xfId="494" xr:uid="{00000000-0005-0000-0000-00004E010000}"/>
    <cellStyle name="Normal 225" xfId="495" xr:uid="{00000000-0005-0000-0000-00004F010000}"/>
    <cellStyle name="Normal 226" xfId="496" xr:uid="{00000000-0005-0000-0000-000050010000}"/>
    <cellStyle name="Normal 227" xfId="497" xr:uid="{00000000-0005-0000-0000-000051010000}"/>
    <cellStyle name="Normal 228" xfId="498" xr:uid="{00000000-0005-0000-0000-000052010000}"/>
    <cellStyle name="Normal 229" xfId="499" xr:uid="{00000000-0005-0000-0000-000053010000}"/>
    <cellStyle name="Normal 23" xfId="214" xr:uid="{00000000-0005-0000-0000-000054010000}"/>
    <cellStyle name="Normal 23 2" xfId="570" xr:uid="{00000000-0005-0000-0000-000055010000}"/>
    <cellStyle name="Normal 230" xfId="500" xr:uid="{00000000-0005-0000-0000-000056010000}"/>
    <cellStyle name="Normal 231" xfId="501" xr:uid="{00000000-0005-0000-0000-000057010000}"/>
    <cellStyle name="Normal 232" xfId="502" xr:uid="{00000000-0005-0000-0000-000058010000}"/>
    <cellStyle name="Normal 233" xfId="503" xr:uid="{00000000-0005-0000-0000-000059010000}"/>
    <cellStyle name="Normal 234" xfId="504" xr:uid="{00000000-0005-0000-0000-00005A010000}"/>
    <cellStyle name="Normal 235" xfId="505" xr:uid="{00000000-0005-0000-0000-00005B010000}"/>
    <cellStyle name="Normal 236" xfId="549" xr:uid="{00000000-0005-0000-0000-00005C010000}"/>
    <cellStyle name="Normal 24" xfId="215" xr:uid="{00000000-0005-0000-0000-00005D010000}"/>
    <cellStyle name="Normal 24 2" xfId="571" xr:uid="{00000000-0005-0000-0000-00005E010000}"/>
    <cellStyle name="Normal 25" xfId="216" xr:uid="{00000000-0005-0000-0000-00005F010000}"/>
    <cellStyle name="Normal 25 2" xfId="572" xr:uid="{00000000-0005-0000-0000-000060010000}"/>
    <cellStyle name="Normal 26" xfId="217" xr:uid="{00000000-0005-0000-0000-000061010000}"/>
    <cellStyle name="Normal 26 2" xfId="573" xr:uid="{00000000-0005-0000-0000-000062010000}"/>
    <cellStyle name="Normal 27" xfId="218" xr:uid="{00000000-0005-0000-0000-000063010000}"/>
    <cellStyle name="Normal 27 2" xfId="574" xr:uid="{00000000-0005-0000-0000-000064010000}"/>
    <cellStyle name="Normal 28" xfId="219" xr:uid="{00000000-0005-0000-0000-000065010000}"/>
    <cellStyle name="Normal 28 2" xfId="575" xr:uid="{00000000-0005-0000-0000-000066010000}"/>
    <cellStyle name="Normal 29" xfId="220" xr:uid="{00000000-0005-0000-0000-000067010000}"/>
    <cellStyle name="Normal 29 2" xfId="576" xr:uid="{00000000-0005-0000-0000-000068010000}"/>
    <cellStyle name="Normal 3" xfId="158" xr:uid="{00000000-0005-0000-0000-000069010000}"/>
    <cellStyle name="Normal 3 11" xfId="650" xr:uid="{00000000-0005-0000-0000-00006A010000}"/>
    <cellStyle name="Normal 3 2" xfId="577" xr:uid="{00000000-0005-0000-0000-00006B010000}"/>
    <cellStyle name="Normal 30" xfId="221" xr:uid="{00000000-0005-0000-0000-00006C010000}"/>
    <cellStyle name="Normal 31" xfId="222" xr:uid="{00000000-0005-0000-0000-00006D010000}"/>
    <cellStyle name="Normal 32" xfId="223" xr:uid="{00000000-0005-0000-0000-00006E010000}"/>
    <cellStyle name="Normal 32 2" xfId="578" xr:uid="{00000000-0005-0000-0000-00006F010000}"/>
    <cellStyle name="Normal 33" xfId="224" xr:uid="{00000000-0005-0000-0000-000070010000}"/>
    <cellStyle name="Normal 33 2" xfId="579" xr:uid="{00000000-0005-0000-0000-000071010000}"/>
    <cellStyle name="Normal 34" xfId="225" xr:uid="{00000000-0005-0000-0000-000072010000}"/>
    <cellStyle name="Normal 34 2" xfId="580" xr:uid="{00000000-0005-0000-0000-000073010000}"/>
    <cellStyle name="Normal 35" xfId="226" xr:uid="{00000000-0005-0000-0000-000074010000}"/>
    <cellStyle name="Normal 35 2" xfId="581" xr:uid="{00000000-0005-0000-0000-000075010000}"/>
    <cellStyle name="Normal 36" xfId="227" xr:uid="{00000000-0005-0000-0000-000076010000}"/>
    <cellStyle name="Normal 36 2" xfId="582" xr:uid="{00000000-0005-0000-0000-000077010000}"/>
    <cellStyle name="Normal 37" xfId="228" xr:uid="{00000000-0005-0000-0000-000078010000}"/>
    <cellStyle name="Normal 37 2" xfId="583" xr:uid="{00000000-0005-0000-0000-000079010000}"/>
    <cellStyle name="Normal 38" xfId="229" xr:uid="{00000000-0005-0000-0000-00007A010000}"/>
    <cellStyle name="Normal 38 2" xfId="506" xr:uid="{00000000-0005-0000-0000-00007B010000}"/>
    <cellStyle name="Normal 38 3" xfId="584" xr:uid="{00000000-0005-0000-0000-00007C010000}"/>
    <cellStyle name="Normal 39" xfId="230" xr:uid="{00000000-0005-0000-0000-00007D010000}"/>
    <cellStyle name="Normal 39 2" xfId="507" xr:uid="{00000000-0005-0000-0000-00007E010000}"/>
    <cellStyle name="Normal 39 3" xfId="585" xr:uid="{00000000-0005-0000-0000-00007F010000}"/>
    <cellStyle name="Normal 4" xfId="159" xr:uid="{00000000-0005-0000-0000-000080010000}"/>
    <cellStyle name="Normal 4 2" xfId="508" xr:uid="{00000000-0005-0000-0000-000081010000}"/>
    <cellStyle name="Normal 4 3" xfId="541" xr:uid="{00000000-0005-0000-0000-000082010000}"/>
    <cellStyle name="Normal 40" xfId="231" xr:uid="{00000000-0005-0000-0000-000083010000}"/>
    <cellStyle name="Normal 40 2" xfId="586" xr:uid="{00000000-0005-0000-0000-000084010000}"/>
    <cellStyle name="Normal 41" xfId="232" xr:uid="{00000000-0005-0000-0000-000085010000}"/>
    <cellStyle name="Normal 41 2" xfId="587" xr:uid="{00000000-0005-0000-0000-000086010000}"/>
    <cellStyle name="Normal 42" xfId="233" xr:uid="{00000000-0005-0000-0000-000087010000}"/>
    <cellStyle name="Normal 42 2" xfId="509" xr:uid="{00000000-0005-0000-0000-000088010000}"/>
    <cellStyle name="Normal 42 3" xfId="588" xr:uid="{00000000-0005-0000-0000-000089010000}"/>
    <cellStyle name="Normal 43" xfId="234" xr:uid="{00000000-0005-0000-0000-00008A010000}"/>
    <cellStyle name="Normal 43 2" xfId="235" xr:uid="{00000000-0005-0000-0000-00008B010000}"/>
    <cellStyle name="Normal 44" xfId="236" xr:uid="{00000000-0005-0000-0000-00008C010000}"/>
    <cellStyle name="Normal 44 2" xfId="237" xr:uid="{00000000-0005-0000-0000-00008D010000}"/>
    <cellStyle name="Normal 45" xfId="238" xr:uid="{00000000-0005-0000-0000-00008E010000}"/>
    <cellStyle name="Normal 45 2" xfId="510" xr:uid="{00000000-0005-0000-0000-00008F010000}"/>
    <cellStyle name="Normal 45 3" xfId="589" xr:uid="{00000000-0005-0000-0000-000090010000}"/>
    <cellStyle name="Normal 46" xfId="239" xr:uid="{00000000-0005-0000-0000-000091010000}"/>
    <cellStyle name="Normal 46 2" xfId="511" xr:uid="{00000000-0005-0000-0000-000092010000}"/>
    <cellStyle name="Normal 46 3" xfId="590" xr:uid="{00000000-0005-0000-0000-000093010000}"/>
    <cellStyle name="Normal 47" xfId="240" xr:uid="{00000000-0005-0000-0000-000094010000}"/>
    <cellStyle name="Normal 47 2" xfId="591" xr:uid="{00000000-0005-0000-0000-000095010000}"/>
    <cellStyle name="Normal 48" xfId="241" xr:uid="{00000000-0005-0000-0000-000096010000}"/>
    <cellStyle name="Normal 48 2" xfId="242" xr:uid="{00000000-0005-0000-0000-000097010000}"/>
    <cellStyle name="Normal 49" xfId="243" xr:uid="{00000000-0005-0000-0000-000098010000}"/>
    <cellStyle name="Normal 49 2" xfId="592" xr:uid="{00000000-0005-0000-0000-000099010000}"/>
    <cellStyle name="Normal 5" xfId="168" xr:uid="{00000000-0005-0000-0000-00009A010000}"/>
    <cellStyle name="Normal 5 2" xfId="512" xr:uid="{00000000-0005-0000-0000-00009B010000}"/>
    <cellStyle name="Normal 50" xfId="244" xr:uid="{00000000-0005-0000-0000-00009C010000}"/>
    <cellStyle name="Normal 50 2" xfId="245" xr:uid="{00000000-0005-0000-0000-00009D010000}"/>
    <cellStyle name="Normal 51" xfId="246" xr:uid="{00000000-0005-0000-0000-00009E010000}"/>
    <cellStyle name="Normal 51 2" xfId="593" xr:uid="{00000000-0005-0000-0000-00009F010000}"/>
    <cellStyle name="Normal 52" xfId="247" xr:uid="{00000000-0005-0000-0000-0000A0010000}"/>
    <cellStyle name="Normal 52 2" xfId="594" xr:uid="{00000000-0005-0000-0000-0000A1010000}"/>
    <cellStyle name="Normal 53" xfId="248" xr:uid="{00000000-0005-0000-0000-0000A2010000}"/>
    <cellStyle name="Normal 53 2" xfId="249" xr:uid="{00000000-0005-0000-0000-0000A3010000}"/>
    <cellStyle name="Normal 54" xfId="250" xr:uid="{00000000-0005-0000-0000-0000A4010000}"/>
    <cellStyle name="Normal 54 2" xfId="595" xr:uid="{00000000-0005-0000-0000-0000A5010000}"/>
    <cellStyle name="Normal 55" xfId="251" xr:uid="{00000000-0005-0000-0000-0000A6010000}"/>
    <cellStyle name="Normal 55 2" xfId="513" xr:uid="{00000000-0005-0000-0000-0000A7010000}"/>
    <cellStyle name="Normal 55 3" xfId="596" xr:uid="{00000000-0005-0000-0000-0000A8010000}"/>
    <cellStyle name="Normal 56" xfId="252" xr:uid="{00000000-0005-0000-0000-0000A9010000}"/>
    <cellStyle name="Normal 56 2" xfId="597" xr:uid="{00000000-0005-0000-0000-0000AA010000}"/>
    <cellStyle name="Normal 57" xfId="253" xr:uid="{00000000-0005-0000-0000-0000AB010000}"/>
    <cellStyle name="Normal 57 2" xfId="598" xr:uid="{00000000-0005-0000-0000-0000AC010000}"/>
    <cellStyle name="Normal 58" xfId="254" xr:uid="{00000000-0005-0000-0000-0000AD010000}"/>
    <cellStyle name="Normal 58 2" xfId="599" xr:uid="{00000000-0005-0000-0000-0000AE010000}"/>
    <cellStyle name="Normal 59" xfId="255" xr:uid="{00000000-0005-0000-0000-0000AF010000}"/>
    <cellStyle name="Normal 59 2" xfId="600" xr:uid="{00000000-0005-0000-0000-0000B0010000}"/>
    <cellStyle name="Normal 6" xfId="256" xr:uid="{00000000-0005-0000-0000-0000B1010000}"/>
    <cellStyle name="Normal 6 2" xfId="514" xr:uid="{00000000-0005-0000-0000-0000B2010000}"/>
    <cellStyle name="Normal 60" xfId="257" xr:uid="{00000000-0005-0000-0000-0000B3010000}"/>
    <cellStyle name="Normal 60 2" xfId="601" xr:uid="{00000000-0005-0000-0000-0000B4010000}"/>
    <cellStyle name="Normal 61" xfId="258" xr:uid="{00000000-0005-0000-0000-0000B5010000}"/>
    <cellStyle name="Normal 61 2" xfId="602" xr:uid="{00000000-0005-0000-0000-0000B6010000}"/>
    <cellStyle name="Normal 62" xfId="259" xr:uid="{00000000-0005-0000-0000-0000B7010000}"/>
    <cellStyle name="Normal 62 2" xfId="603" xr:uid="{00000000-0005-0000-0000-0000B8010000}"/>
    <cellStyle name="Normal 63" xfId="260" xr:uid="{00000000-0005-0000-0000-0000B9010000}"/>
    <cellStyle name="Normal 63 2" xfId="604" xr:uid="{00000000-0005-0000-0000-0000BA010000}"/>
    <cellStyle name="Normal 64" xfId="261" xr:uid="{00000000-0005-0000-0000-0000BB010000}"/>
    <cellStyle name="Normal 64 2" xfId="605" xr:uid="{00000000-0005-0000-0000-0000BC010000}"/>
    <cellStyle name="Normal 65" xfId="262" xr:uid="{00000000-0005-0000-0000-0000BD010000}"/>
    <cellStyle name="Normal 65 2" xfId="606" xr:uid="{00000000-0005-0000-0000-0000BE010000}"/>
    <cellStyle name="Normal 66" xfId="263" xr:uid="{00000000-0005-0000-0000-0000BF010000}"/>
    <cellStyle name="Normal 66 2" xfId="607" xr:uid="{00000000-0005-0000-0000-0000C0010000}"/>
    <cellStyle name="Normal 67" xfId="264" xr:uid="{00000000-0005-0000-0000-0000C1010000}"/>
    <cellStyle name="Normal 67 2" xfId="608" xr:uid="{00000000-0005-0000-0000-0000C2010000}"/>
    <cellStyle name="Normal 68" xfId="265" xr:uid="{00000000-0005-0000-0000-0000C3010000}"/>
    <cellStyle name="Normal 68 2" xfId="609" xr:uid="{00000000-0005-0000-0000-0000C4010000}"/>
    <cellStyle name="Normal 69" xfId="266" xr:uid="{00000000-0005-0000-0000-0000C5010000}"/>
    <cellStyle name="Normal 69 2" xfId="267" xr:uid="{00000000-0005-0000-0000-0000C6010000}"/>
    <cellStyle name="Normal 7" xfId="268" xr:uid="{00000000-0005-0000-0000-0000C7010000}"/>
    <cellStyle name="Normal 70" xfId="269" xr:uid="{00000000-0005-0000-0000-0000C8010000}"/>
    <cellStyle name="Normal 70 2" xfId="270" xr:uid="{00000000-0005-0000-0000-0000C9010000}"/>
    <cellStyle name="Normal 71" xfId="271" xr:uid="{00000000-0005-0000-0000-0000CA010000}"/>
    <cellStyle name="Normal 71 2" xfId="272" xr:uid="{00000000-0005-0000-0000-0000CB010000}"/>
    <cellStyle name="Normal 72" xfId="273" xr:uid="{00000000-0005-0000-0000-0000CC010000}"/>
    <cellStyle name="Normal 72 2" xfId="610" xr:uid="{00000000-0005-0000-0000-0000CD010000}"/>
    <cellStyle name="Normal 73" xfId="274" xr:uid="{00000000-0005-0000-0000-0000CE010000}"/>
    <cellStyle name="Normal 73 2" xfId="275" xr:uid="{00000000-0005-0000-0000-0000CF010000}"/>
    <cellStyle name="Normal 74" xfId="276" xr:uid="{00000000-0005-0000-0000-0000D0010000}"/>
    <cellStyle name="Normal 74 2" xfId="611" xr:uid="{00000000-0005-0000-0000-0000D1010000}"/>
    <cellStyle name="Normal 75" xfId="277" xr:uid="{00000000-0005-0000-0000-0000D2010000}"/>
    <cellStyle name="Normal 75 2" xfId="612" xr:uid="{00000000-0005-0000-0000-0000D3010000}"/>
    <cellStyle name="Normal 76" xfId="278" xr:uid="{00000000-0005-0000-0000-0000D4010000}"/>
    <cellStyle name="Normal 76 2" xfId="613" xr:uid="{00000000-0005-0000-0000-0000D5010000}"/>
    <cellStyle name="Normal 77" xfId="279" xr:uid="{00000000-0005-0000-0000-0000D6010000}"/>
    <cellStyle name="Normal 77 2" xfId="614" xr:uid="{00000000-0005-0000-0000-0000D7010000}"/>
    <cellStyle name="Normal 78" xfId="280" xr:uid="{00000000-0005-0000-0000-0000D8010000}"/>
    <cellStyle name="Normal 78 2" xfId="615" xr:uid="{00000000-0005-0000-0000-0000D9010000}"/>
    <cellStyle name="Normal 79" xfId="281" xr:uid="{00000000-0005-0000-0000-0000DA010000}"/>
    <cellStyle name="Normal 79 2" xfId="616" xr:uid="{00000000-0005-0000-0000-0000DB010000}"/>
    <cellStyle name="Normal 8" xfId="282" xr:uid="{00000000-0005-0000-0000-0000DC010000}"/>
    <cellStyle name="Normal 80" xfId="283" xr:uid="{00000000-0005-0000-0000-0000DD010000}"/>
    <cellStyle name="Normal 80 2" xfId="284" xr:uid="{00000000-0005-0000-0000-0000DE010000}"/>
    <cellStyle name="Normal 81" xfId="285" xr:uid="{00000000-0005-0000-0000-0000DF010000}"/>
    <cellStyle name="Normal 81 2" xfId="617" xr:uid="{00000000-0005-0000-0000-0000E0010000}"/>
    <cellStyle name="Normal 82" xfId="286" xr:uid="{00000000-0005-0000-0000-0000E1010000}"/>
    <cellStyle name="Normal 82 2" xfId="618" xr:uid="{00000000-0005-0000-0000-0000E2010000}"/>
    <cellStyle name="Normal 83" xfId="287" xr:uid="{00000000-0005-0000-0000-0000E3010000}"/>
    <cellStyle name="Normal 83 2" xfId="619" xr:uid="{00000000-0005-0000-0000-0000E4010000}"/>
    <cellStyle name="Normal 84" xfId="288" xr:uid="{00000000-0005-0000-0000-0000E5010000}"/>
    <cellStyle name="Normal 84 2" xfId="621" xr:uid="{00000000-0005-0000-0000-0000E6010000}"/>
    <cellStyle name="Normal 84 3" xfId="620" xr:uid="{00000000-0005-0000-0000-0000E7010000}"/>
    <cellStyle name="Normal 85" xfId="289" xr:uid="{00000000-0005-0000-0000-0000E8010000}"/>
    <cellStyle name="Normal 85 2" xfId="622" xr:uid="{00000000-0005-0000-0000-0000E9010000}"/>
    <cellStyle name="Normal 86" xfId="290" xr:uid="{00000000-0005-0000-0000-0000EA010000}"/>
    <cellStyle name="Normal 86 2" xfId="623" xr:uid="{00000000-0005-0000-0000-0000EB010000}"/>
    <cellStyle name="Normal 87" xfId="291" xr:uid="{00000000-0005-0000-0000-0000EC010000}"/>
    <cellStyle name="Normal 87 2" xfId="624" xr:uid="{00000000-0005-0000-0000-0000ED010000}"/>
    <cellStyle name="Normal 88" xfId="292" xr:uid="{00000000-0005-0000-0000-0000EE010000}"/>
    <cellStyle name="Normal 88 2" xfId="625" xr:uid="{00000000-0005-0000-0000-0000EF010000}"/>
    <cellStyle name="Normal 89" xfId="293" xr:uid="{00000000-0005-0000-0000-0000F0010000}"/>
    <cellStyle name="Normal 89 2" xfId="626" xr:uid="{00000000-0005-0000-0000-0000F1010000}"/>
    <cellStyle name="Normal 9" xfId="294" xr:uid="{00000000-0005-0000-0000-0000F2010000}"/>
    <cellStyle name="Normal 90" xfId="295" xr:uid="{00000000-0005-0000-0000-0000F3010000}"/>
    <cellStyle name="Normal 90 2" xfId="627" xr:uid="{00000000-0005-0000-0000-0000F4010000}"/>
    <cellStyle name="Normal 91" xfId="296" xr:uid="{00000000-0005-0000-0000-0000F5010000}"/>
    <cellStyle name="Normal 91 2" xfId="628" xr:uid="{00000000-0005-0000-0000-0000F6010000}"/>
    <cellStyle name="Normal 92" xfId="353" xr:uid="{00000000-0005-0000-0000-0000F7010000}"/>
    <cellStyle name="Normal 92 2" xfId="629" xr:uid="{00000000-0005-0000-0000-0000F8010000}"/>
    <cellStyle name="Normal 93" xfId="515" xr:uid="{00000000-0005-0000-0000-0000F9010000}"/>
    <cellStyle name="Normal 93 2" xfId="630" xr:uid="{00000000-0005-0000-0000-0000FA010000}"/>
    <cellStyle name="Normal 94" xfId="516" xr:uid="{00000000-0005-0000-0000-0000FB010000}"/>
    <cellStyle name="Normal 94 2" xfId="631" xr:uid="{00000000-0005-0000-0000-0000FC010000}"/>
    <cellStyle name="Normal 95" xfId="517" xr:uid="{00000000-0005-0000-0000-0000FD010000}"/>
    <cellStyle name="Normal 95 2" xfId="632" xr:uid="{00000000-0005-0000-0000-0000FE010000}"/>
    <cellStyle name="Normal 96" xfId="518" xr:uid="{00000000-0005-0000-0000-0000FF010000}"/>
    <cellStyle name="Normal 96 2" xfId="633" xr:uid="{00000000-0005-0000-0000-000000020000}"/>
    <cellStyle name="Normal 97" xfId="519" xr:uid="{00000000-0005-0000-0000-000001020000}"/>
    <cellStyle name="Normal 97 2" xfId="634" xr:uid="{00000000-0005-0000-0000-000002020000}"/>
    <cellStyle name="Normal 98" xfId="520" xr:uid="{00000000-0005-0000-0000-000003020000}"/>
    <cellStyle name="Normal 98 2" xfId="635" xr:uid="{00000000-0005-0000-0000-000004020000}"/>
    <cellStyle name="Normal 99" xfId="521" xr:uid="{00000000-0005-0000-0000-000005020000}"/>
    <cellStyle name="Normal 99 2" xfId="636" xr:uid="{00000000-0005-0000-0000-000006020000}"/>
    <cellStyle name="Normal_Apr01StdVoiceCostModel" xfId="112" xr:uid="{00000000-0005-0000-0000-000007020000}"/>
    <cellStyle name="Normal_Business Talk Global Margin Tool Jan07 v2.2" xfId="539" xr:uid="{00000000-0005-0000-0000-000009020000}"/>
    <cellStyle name="Normal_Business Talk Global Margin Tool Jan07 v2.2 2" xfId="540" xr:uid="{00000000-0005-0000-0000-00000A020000}"/>
    <cellStyle name="Normal_Sheet5" xfId="536" xr:uid="{00000000-0005-0000-0000-00000D020000}"/>
    <cellStyle name="Normal_V8B Business Talk Margin Tool Aug08 v4.2" xfId="113" xr:uid="{00000000-0005-0000-0000-00000E020000}"/>
    <cellStyle name="Normal_V8B Business Talk Margin Tool Aug08 v4.2 2" xfId="167" xr:uid="{00000000-0005-0000-0000-00000F020000}"/>
    <cellStyle name="Normal_V8B Business Talk Margin Tool Aug08 v4.2 3" xfId="538" xr:uid="{00000000-0005-0000-0000-000010020000}"/>
    <cellStyle name="Normale_Datawan 1Bim06" xfId="114" xr:uid="{00000000-0005-0000-0000-000011020000}"/>
    <cellStyle name="Note 2" xfId="297" xr:uid="{00000000-0005-0000-0000-000012020000}"/>
    <cellStyle name="Note 2 2" xfId="637" xr:uid="{00000000-0005-0000-0000-000013020000}"/>
    <cellStyle name="NotInput" xfId="115" xr:uid="{00000000-0005-0000-0000-000014020000}"/>
    <cellStyle name="Output Amounts" xfId="116" xr:uid="{00000000-0005-0000-0000-000015020000}"/>
    <cellStyle name="Output Column Headings" xfId="117" xr:uid="{00000000-0005-0000-0000-000016020000}"/>
    <cellStyle name="Output Line Items" xfId="118" xr:uid="{00000000-0005-0000-0000-000017020000}"/>
    <cellStyle name="Output Report Heading" xfId="119" xr:uid="{00000000-0005-0000-0000-000018020000}"/>
    <cellStyle name="Output Report Title" xfId="120" xr:uid="{00000000-0005-0000-0000-000019020000}"/>
    <cellStyle name="Page Heading Large" xfId="121" xr:uid="{00000000-0005-0000-0000-00001A020000}"/>
    <cellStyle name="Page Heading Small" xfId="122" xr:uid="{00000000-0005-0000-0000-00001B020000}"/>
    <cellStyle name="Percent [2]" xfId="123" xr:uid="{00000000-0005-0000-0000-00001C020000}"/>
    <cellStyle name="Percent [2] 2" xfId="298" xr:uid="{00000000-0005-0000-0000-00001D020000}"/>
    <cellStyle name="Percent [2] 2 2" xfId="522" xr:uid="{00000000-0005-0000-0000-00001E020000}"/>
    <cellStyle name="Percent [2] 3" xfId="299" xr:uid="{00000000-0005-0000-0000-00001F020000}"/>
    <cellStyle name="Percent [2] 3 2" xfId="300" xr:uid="{00000000-0005-0000-0000-000020020000}"/>
    <cellStyle name="Percent [2] 4" xfId="301" xr:uid="{00000000-0005-0000-0000-000021020000}"/>
    <cellStyle name="Percent [2] 4 2" xfId="302" xr:uid="{00000000-0005-0000-0000-000022020000}"/>
    <cellStyle name="Percent [2] 5" xfId="303" xr:uid="{00000000-0005-0000-0000-000023020000}"/>
    <cellStyle name="Percent [2] 5 2" xfId="304" xr:uid="{00000000-0005-0000-0000-000024020000}"/>
    <cellStyle name="Percent [2] 6" xfId="305" xr:uid="{00000000-0005-0000-0000-000025020000}"/>
    <cellStyle name="Percent [2] 6 2" xfId="640" xr:uid="{00000000-0005-0000-0000-000026020000}"/>
    <cellStyle name="Percent [2] 6 3" xfId="639" xr:uid="{00000000-0005-0000-0000-000027020000}"/>
    <cellStyle name="Percent [2] 7" xfId="641" xr:uid="{00000000-0005-0000-0000-000028020000}"/>
    <cellStyle name="Percent 10" xfId="306" xr:uid="{00000000-0005-0000-0000-000029020000}"/>
    <cellStyle name="Percent 10 2" xfId="523" xr:uid="{00000000-0005-0000-0000-00002A020000}"/>
    <cellStyle name="Percent 11" xfId="307" xr:uid="{00000000-0005-0000-0000-00002B020000}"/>
    <cellStyle name="Percent 11 2" xfId="524" xr:uid="{00000000-0005-0000-0000-00002C020000}"/>
    <cellStyle name="Percent 12" xfId="308" xr:uid="{00000000-0005-0000-0000-00002D020000}"/>
    <cellStyle name="Percent 12 2" xfId="525" xr:uid="{00000000-0005-0000-0000-00002E020000}"/>
    <cellStyle name="Percent 13" xfId="309" xr:uid="{00000000-0005-0000-0000-00002F020000}"/>
    <cellStyle name="Percent 13 2" xfId="310" xr:uid="{00000000-0005-0000-0000-000030020000}"/>
    <cellStyle name="Percent 14" xfId="311" xr:uid="{00000000-0005-0000-0000-000031020000}"/>
    <cellStyle name="Percent 14 2" xfId="312" xr:uid="{00000000-0005-0000-0000-000032020000}"/>
    <cellStyle name="Percent 15" xfId="313" xr:uid="{00000000-0005-0000-0000-000033020000}"/>
    <cellStyle name="Percent 15 2" xfId="314" xr:uid="{00000000-0005-0000-0000-000034020000}"/>
    <cellStyle name="Percent 16" xfId="315" xr:uid="{00000000-0005-0000-0000-000035020000}"/>
    <cellStyle name="Percent 16 2" xfId="526" xr:uid="{00000000-0005-0000-0000-000036020000}"/>
    <cellStyle name="Percent 17" xfId="316" xr:uid="{00000000-0005-0000-0000-000037020000}"/>
    <cellStyle name="Percent 17 2" xfId="527" xr:uid="{00000000-0005-0000-0000-000038020000}"/>
    <cellStyle name="Percent 18" xfId="317" xr:uid="{00000000-0005-0000-0000-000039020000}"/>
    <cellStyle name="Percent 18 2" xfId="318" xr:uid="{00000000-0005-0000-0000-00003A020000}"/>
    <cellStyle name="Percent 19" xfId="319" xr:uid="{00000000-0005-0000-0000-00003B020000}"/>
    <cellStyle name="Percent 19 2" xfId="320" xr:uid="{00000000-0005-0000-0000-00003C020000}"/>
    <cellStyle name="Percent 2" xfId="160" xr:uid="{00000000-0005-0000-0000-00003D020000}"/>
    <cellStyle name="Percent 2 2" xfId="164" xr:uid="{00000000-0005-0000-0000-00003E020000}"/>
    <cellStyle name="Percent 20" xfId="321" xr:uid="{00000000-0005-0000-0000-00003F020000}"/>
    <cellStyle name="Percent 20 2" xfId="322" xr:uid="{00000000-0005-0000-0000-000040020000}"/>
    <cellStyle name="Percent 21" xfId="323" xr:uid="{00000000-0005-0000-0000-000041020000}"/>
    <cellStyle name="Percent 21 2" xfId="324" xr:uid="{00000000-0005-0000-0000-000042020000}"/>
    <cellStyle name="Percent 22" xfId="325" xr:uid="{00000000-0005-0000-0000-000043020000}"/>
    <cellStyle name="Percent 22 2" xfId="326" xr:uid="{00000000-0005-0000-0000-000044020000}"/>
    <cellStyle name="Percent 23" xfId="327" xr:uid="{00000000-0005-0000-0000-000045020000}"/>
    <cellStyle name="Percent 23 2" xfId="328" xr:uid="{00000000-0005-0000-0000-000046020000}"/>
    <cellStyle name="Percent 24" xfId="329" xr:uid="{00000000-0005-0000-0000-000047020000}"/>
    <cellStyle name="Percent 24 2" xfId="330" xr:uid="{00000000-0005-0000-0000-000048020000}"/>
    <cellStyle name="Percent 25" xfId="331" xr:uid="{00000000-0005-0000-0000-000049020000}"/>
    <cellStyle name="Percent 25 2" xfId="332" xr:uid="{00000000-0005-0000-0000-00004A020000}"/>
    <cellStyle name="Percent 26" xfId="333" xr:uid="{00000000-0005-0000-0000-00004B020000}"/>
    <cellStyle name="Percent 26 2" xfId="334" xr:uid="{00000000-0005-0000-0000-00004C020000}"/>
    <cellStyle name="Percent 27" xfId="335" xr:uid="{00000000-0005-0000-0000-00004D020000}"/>
    <cellStyle name="Percent 27 2" xfId="336" xr:uid="{00000000-0005-0000-0000-00004E020000}"/>
    <cellStyle name="Percent 28" xfId="337" xr:uid="{00000000-0005-0000-0000-00004F020000}"/>
    <cellStyle name="Percent 28 2" xfId="643" xr:uid="{00000000-0005-0000-0000-000050020000}"/>
    <cellStyle name="Percent 28 3" xfId="642" xr:uid="{00000000-0005-0000-0000-000051020000}"/>
    <cellStyle name="Percent 29" xfId="528" xr:uid="{00000000-0005-0000-0000-000052020000}"/>
    <cellStyle name="Percent 3" xfId="338" xr:uid="{00000000-0005-0000-0000-000053020000}"/>
    <cellStyle name="Percent 3 2" xfId="529" xr:uid="{00000000-0005-0000-0000-000054020000}"/>
    <cellStyle name="Percent 30" xfId="638" xr:uid="{00000000-0005-0000-0000-000055020000}"/>
    <cellStyle name="Percent 4" xfId="339" xr:uid="{00000000-0005-0000-0000-000056020000}"/>
    <cellStyle name="Percent 4 2" xfId="530" xr:uid="{00000000-0005-0000-0000-000057020000}"/>
    <cellStyle name="Percent 5" xfId="340" xr:uid="{00000000-0005-0000-0000-000058020000}"/>
    <cellStyle name="Percent 5 2" xfId="531" xr:uid="{00000000-0005-0000-0000-000059020000}"/>
    <cellStyle name="Percent 6" xfId="341" xr:uid="{00000000-0005-0000-0000-00005A020000}"/>
    <cellStyle name="Percent 7" xfId="342" xr:uid="{00000000-0005-0000-0000-00005B020000}"/>
    <cellStyle name="Percent 8" xfId="343" xr:uid="{00000000-0005-0000-0000-00005C020000}"/>
    <cellStyle name="Percent 8 2" xfId="532" xr:uid="{00000000-0005-0000-0000-00005D020000}"/>
    <cellStyle name="Percent 9" xfId="344" xr:uid="{00000000-0005-0000-0000-00005E020000}"/>
    <cellStyle name="Percent 9 2" xfId="533" xr:uid="{00000000-0005-0000-0000-00005F020000}"/>
    <cellStyle name="Percent Hard" xfId="124" xr:uid="{00000000-0005-0000-0000-000060020000}"/>
    <cellStyle name="PSChar" xfId="125" xr:uid="{00000000-0005-0000-0000-000061020000}"/>
    <cellStyle name="PSDate" xfId="126" xr:uid="{00000000-0005-0000-0000-000062020000}"/>
    <cellStyle name="PSHeading" xfId="127" xr:uid="{00000000-0005-0000-0000-000063020000}"/>
    <cellStyle name="Satisfaisant" xfId="128" xr:uid="{00000000-0005-0000-0000-000064020000}"/>
    <cellStyle name="Shaded" xfId="129" xr:uid="{00000000-0005-0000-0000-000065020000}"/>
    <cellStyle name="Sortie" xfId="130" xr:uid="{00000000-0005-0000-0000-000066020000}"/>
    <cellStyle name="Standard_Customer Revenue" xfId="131" xr:uid="{00000000-0005-0000-0000-000067020000}"/>
    <cellStyle name="Standard_Entgelt1.xls" xfId="132" xr:uid="{00000000-0005-0000-0000-000068020000}"/>
    <cellStyle name="Style 1" xfId="1" xr:uid="{00000000-0005-0000-0000-000069020000}"/>
    <cellStyle name="Style 1 2" xfId="345" xr:uid="{00000000-0005-0000-0000-00006A020000}"/>
    <cellStyle name="Style 1 3" xfId="346" xr:uid="{00000000-0005-0000-0000-00006B020000}"/>
    <cellStyle name="Style 1 3 2" xfId="347" xr:uid="{00000000-0005-0000-0000-00006C020000}"/>
    <cellStyle name="Style 1 4" xfId="348" xr:uid="{00000000-0005-0000-0000-00006D020000}"/>
    <cellStyle name="Style 1 4 2" xfId="349" xr:uid="{00000000-0005-0000-0000-00006E020000}"/>
    <cellStyle name="Style 1 5" xfId="350" xr:uid="{00000000-0005-0000-0000-00006F020000}"/>
    <cellStyle name="Style 1 5 2" xfId="351" xr:uid="{00000000-0005-0000-0000-000070020000}"/>
    <cellStyle name="Style 1 6" xfId="352" xr:uid="{00000000-0005-0000-0000-000071020000}"/>
    <cellStyle name="Style 1 6 2" xfId="645" xr:uid="{00000000-0005-0000-0000-000072020000}"/>
    <cellStyle name="Style 1 6 3" xfId="644" xr:uid="{00000000-0005-0000-0000-000073020000}"/>
    <cellStyle name="Style 1 7" xfId="646" xr:uid="{00000000-0005-0000-0000-000074020000}"/>
    <cellStyle name="Subtotal" xfId="133" xr:uid="{00000000-0005-0000-0000-000075020000}"/>
    <cellStyle name="Table Col Head" xfId="134" xr:uid="{00000000-0005-0000-0000-000076020000}"/>
    <cellStyle name="Table Sub Head" xfId="135" xr:uid="{00000000-0005-0000-0000-000077020000}"/>
    <cellStyle name="Table Title" xfId="136" xr:uid="{00000000-0005-0000-0000-000078020000}"/>
    <cellStyle name="Table Units" xfId="137" xr:uid="{00000000-0005-0000-0000-000079020000}"/>
    <cellStyle name="Text" xfId="138" xr:uid="{00000000-0005-0000-0000-00007A020000}"/>
    <cellStyle name="Texte explicatif" xfId="139" xr:uid="{00000000-0005-0000-0000-00007B020000}"/>
    <cellStyle name="Times New Roman" xfId="140" xr:uid="{00000000-0005-0000-0000-00007C020000}"/>
    <cellStyle name="Title 2" xfId="534" xr:uid="{00000000-0005-0000-0000-00007D020000}"/>
    <cellStyle name="Titles" xfId="141" xr:uid="{00000000-0005-0000-0000-00007E020000}"/>
    <cellStyle name="Titre" xfId="142" xr:uid="{00000000-0005-0000-0000-00007F020000}"/>
    <cellStyle name="Titre 1" xfId="143" xr:uid="{00000000-0005-0000-0000-000080020000}"/>
    <cellStyle name="Titre 2" xfId="144" xr:uid="{00000000-0005-0000-0000-000081020000}"/>
    <cellStyle name="Titre 3" xfId="145" xr:uid="{00000000-0005-0000-0000-000082020000}"/>
    <cellStyle name="Titre 4" xfId="146" xr:uid="{00000000-0005-0000-0000-000083020000}"/>
    <cellStyle name="Total" xfId="147" builtinId="25" customBuiltin="1"/>
    <cellStyle name="Total 2" xfId="647" xr:uid="{00000000-0005-0000-0000-000085020000}"/>
    <cellStyle name="Total Column" xfId="148" xr:uid="{00000000-0005-0000-0000-000086020000}"/>
    <cellStyle name="TotalRow" xfId="149" xr:uid="{00000000-0005-0000-0000-000087020000}"/>
    <cellStyle name="Totals" xfId="150" xr:uid="{00000000-0005-0000-0000-000088020000}"/>
    <cellStyle name="Vérification" xfId="151" xr:uid="{00000000-0005-0000-0000-000089020000}"/>
    <cellStyle name="Währung [0]_Entgelt1.xls" xfId="152" xr:uid="{00000000-0005-0000-0000-00008A020000}"/>
    <cellStyle name="Währung_Entgelt1.xls" xfId="153" xr:uid="{00000000-0005-0000-0000-00008B020000}"/>
    <cellStyle name="Year" xfId="154" xr:uid="{00000000-0005-0000-0000-00008C020000}"/>
    <cellStyle name="桁区切り [0.00]_PLDT" xfId="155" xr:uid="{00000000-0005-0000-0000-00008D020000}"/>
    <cellStyle name="桁区切り_PLDT" xfId="156" xr:uid="{00000000-0005-0000-0000-00008E020000}"/>
    <cellStyle name="通貨_PLDT" xfId="157" xr:uid="{00000000-0005-0000-0000-00008F020000}"/>
  </cellStyles>
  <dxfs count="3">
    <dxf>
      <font>
        <sz val="8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colors>
    <mruColors>
      <color rgb="FF00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285750</xdr:rowOff>
    </xdr:from>
    <xdr:to>
      <xdr:col>2</xdr:col>
      <xdr:colOff>733425</xdr:colOff>
      <xdr:row>4</xdr:row>
      <xdr:rowOff>4233</xdr:rowOff>
    </xdr:to>
    <xdr:pic>
      <xdr:nvPicPr>
        <xdr:cNvPr id="3" name="Picture 12" descr="UPL9283_logo_OBS_gauch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0"/>
          <a:ext cx="1866900" cy="880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38100</xdr:colOff>
      <xdr:row>6</xdr:row>
      <xdr:rowOff>219075</xdr:rowOff>
    </xdr:from>
    <xdr:to>
      <xdr:col>24</xdr:col>
      <xdr:colOff>266700</xdr:colOff>
      <xdr:row>6</xdr:row>
      <xdr:rowOff>219075</xdr:rowOff>
    </xdr:to>
    <xdr:sp macro="" textlink="">
      <xdr:nvSpPr>
        <xdr:cNvPr id="4" name="Line 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476500" y="1743075"/>
          <a:ext cx="8905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107155</xdr:colOff>
      <xdr:row>2</xdr:row>
      <xdr:rowOff>142875</xdr:rowOff>
    </xdr:from>
    <xdr:to>
      <xdr:col>2</xdr:col>
      <xdr:colOff>717206</xdr:colOff>
      <xdr:row>2</xdr:row>
      <xdr:rowOff>646339</xdr:rowOff>
    </xdr:to>
    <xdr:pic>
      <xdr:nvPicPr>
        <xdr:cNvPr id="2" name="Picture 2" descr="UPL9283_logo_OBS_gauch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5" y="500063"/>
          <a:ext cx="1705426" cy="503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NLS4\USER\AN\0998est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p.itn.ftgroup/Users/kzdw0305/AppData/Local/Temp/Temp1_V12C%20Business%20Talk%20Margin%20tool%20Sept12_v.10.3.xls.zip/V12C%20Business%20Talk%20Margin%20tool%20Sept12_v.10.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p.itn.ftgroup/Users/HDRT4400/AppData/Local/Microsoft/Windows/Temporary%20Internet%20Files/Content.Outlook/ZQDN0U1N/Copy%20of%20V16B_Contact_Center_Access_and_Network_IVR_Pricing_Tool_Mar_v14.6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p.itn.ftgroup/Users/HDRT4400/AppData/Local/Microsoft/Windows/Temporary%20Internet%20Files/Content.Outlook/ZQDN0U1N/Voice/Copy%20of%20V16A_Business_Talk_Pricing_tool_Feb16_v.14.7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8.95.135\dept\Users\SVJN8039\AppData\Local\Microsoft\Windows\Temporary%20Internet%20Files\Content.Outlook\D19DCNJ1\working%20SITA%20Voice%20PB\V17A%20Business%20Talk%20Margin%20tool%20Apr_v.14.8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p.itn.ftgroup/Users/kzdw0305/Documents/Pricing%20tools/CCA/V12B%20Contact%20Center%20Access%20and%20Network%20IVR%20Margin%20Tool%20Apr12%20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~1\KZDW0305\LOCALS~1\Temp\7zOF.tmp\Voice%20Template%20For%20Update%200.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8.95.135\dept\Users\SVJN8039\AppData\Local\Microsoft\Windows\Temporary%20Internet%20Files\Content.Outlook\D19DCNJ1\@VOICE%20working%20file%20PBy17-%20%20May%202017%20v1.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8.95.135\dept\SMEM\SITABU\BO\SITA%20pricing\Pricebook%202019\Voice%20Services\CCA%20JAn-Mar19%20BR%20working%20OBS%20only%20v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98estb"/>
      <sheetName val="#REF"/>
      <sheetName val="GOGAIN"/>
      <sheetName val="TB-Customer"/>
      <sheetName val="TB-Projects"/>
      <sheetName val="TB-Products"/>
      <sheetName val="TB-Maintenance"/>
      <sheetName val="TB-Oleane"/>
      <sheetName val="BUD CODE LKUP"/>
      <sheetName val="Sheet3"/>
      <sheetName val="_REF"/>
      <sheetName val="Data Entry"/>
      <sheetName val="Lists"/>
      <sheetName val="Actual"/>
      <sheetName val="ValueNet"/>
      <sheetName val="Payline"/>
      <sheetName val="reference"/>
      <sheetName val="Settings"/>
      <sheetName val="NEU_C1 - Costs by Org"/>
      <sheetName val="Billed Revenue JUNE YTD"/>
      <sheetName val="4. Referential"/>
      <sheetName val="TECH"/>
      <sheetName val="Ref. General"/>
      <sheetName val="___Pipeline__All_Opportunities_"/>
      <sheetName val="6007V"/>
      <sheetName val="Tax code Mapping"/>
      <sheetName val="BUD_CODE_LKUP"/>
      <sheetName val="Data_Entry"/>
      <sheetName val="NEU_C1_-_Costs_by_Org"/>
      <sheetName val="Billed_Revenue_JUNE_YTD"/>
      <sheetName val="4__Referential"/>
      <sheetName val="Ref__General"/>
      <sheetName val="Tax_code_Mapping"/>
      <sheetName val="BUD_CODE_LKUP1"/>
      <sheetName val="Data_Entry1"/>
      <sheetName val="NEU_C1_-_Costs_by_Org1"/>
      <sheetName val="Billed_Revenue_JUNE_YTD1"/>
      <sheetName val="4__Referential1"/>
      <sheetName val="Ref__General1"/>
      <sheetName val="Tax_code_Mapping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uide - FAQs"/>
      <sheetName val="guide - quick start"/>
      <sheetName val="guide - billing upload"/>
      <sheetName val="pbook - usage pricing"/>
      <sheetName val="pbook - site installation"/>
      <sheetName val="pbook - Mobile Access"/>
      <sheetName val="pbook - DID numbers"/>
      <sheetName val="pbook - VAS"/>
      <sheetName val="pbook - USA read me"/>
      <sheetName val="pbook - USA sites"/>
      <sheetName val="quote - main"/>
      <sheetName val="quote - sites"/>
      <sheetName val="quote - site installation"/>
      <sheetName val="quote - access lines"/>
      <sheetName val="quote - DID number ranges"/>
      <sheetName val="quote - mobile access"/>
      <sheetName val="quote - usage pricing"/>
      <sheetName val="Hidden for Traffic Creation"/>
      <sheetName val="quote - traffic creation"/>
      <sheetName val="quote - usage price creation"/>
      <sheetName val="quote - pricing summary"/>
      <sheetName val="quote - data table sites"/>
      <sheetName val="quote - data table pricing"/>
      <sheetName val="quote - tariff sheet"/>
      <sheetName val="quote - export summary"/>
      <sheetName val="quote - import sheet"/>
      <sheetName val="quote - pricing template"/>
      <sheetName val="info - charging periods"/>
      <sheetName val="tools - route information"/>
      <sheetName val="tools - regions &amp; call types"/>
      <sheetName val="tools - intl. dial plan"/>
      <sheetName val="tools - intl. ISDN dial plan"/>
      <sheetName val="tools - domestic dial plan"/>
      <sheetName val="tools - USA domestic dial plan"/>
      <sheetName val="data - Portal PB tariff"/>
      <sheetName val="data - Portal PB other"/>
      <sheetName val="data - non-Portal prices"/>
      <sheetName val="data - PB avail"/>
      <sheetName val="data - tool maintenance"/>
      <sheetName val="data - main"/>
      <sheetName val="info - forex"/>
      <sheetName val="change control"/>
    </sheetNames>
    <sheetDataSet>
      <sheetData sheetId="0" refreshError="1">
        <row r="4">
          <cell r="H4" t="str">
            <v>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eneral Guideline"/>
      <sheetName val="Guideline"/>
      <sheetName val="pbook - CCA usage pricing"/>
      <sheetName val="pbook - number"/>
      <sheetName val="pbook - site installation"/>
      <sheetName val="pbook - NIVR call usage"/>
      <sheetName val="pbook - NIVR Applications"/>
      <sheetName val="pbook - USA read me"/>
      <sheetName val="pbook – USA sites"/>
      <sheetName val="quote - main"/>
      <sheetName val="quote - sites"/>
      <sheetName val="quote - CCA usage pricing"/>
      <sheetName val="quote - NIVR usage pricing"/>
      <sheetName val="quote - NIVR app Cust Managed"/>
      <sheetName val="quote - NIVR app Orange Managed"/>
      <sheetName val="quote - pricing summary"/>
      <sheetName val="quote - data NIVR app"/>
      <sheetName val="quote - data table sites"/>
      <sheetName val="quote - data table pricing"/>
      <sheetName val="quote - tariff sheet"/>
      <sheetName val="quote - french tariff sheet"/>
      <sheetName val="quote - export summary"/>
      <sheetName val="quote - import sheet"/>
      <sheetName val="quote - pricing template"/>
      <sheetName val="info - charging periods"/>
      <sheetName val="tools - route information"/>
      <sheetName val="tools - regions &amp; call types"/>
      <sheetName val="data - number availability"/>
      <sheetName val="data - Portal PB tariff"/>
      <sheetName val="data - Portal PB other"/>
      <sheetName val="data - non-Portal prices"/>
      <sheetName val="data - PB avail"/>
      <sheetName val="data - NIVR app"/>
      <sheetName val="data - NIVR usage"/>
      <sheetName val="data - availability comments"/>
      <sheetName val="data - tool maintenance"/>
      <sheetName val="data - main"/>
      <sheetName val="info - forex"/>
      <sheetName val="change control"/>
      <sheetName val="data - Tariff Charge Type"/>
      <sheetName val="data - Aravis charge types"/>
      <sheetName val="data - TBT-CUBS charge types"/>
      <sheetName val="Copy of V16B_Contact_Center_Acc"/>
    </sheetNames>
    <sheetDataSet>
      <sheetData sheetId="0">
        <row r="1">
          <cell r="O1" t="str">
            <v>Pricing</v>
          </cell>
        </row>
        <row r="4">
          <cell r="O4">
            <v>1.0900000000000001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M11">
            <v>1</v>
          </cell>
        </row>
      </sheetData>
      <sheetData sheetId="11"/>
      <sheetData sheetId="12">
        <row r="4">
          <cell r="BQ4">
            <v>0</v>
          </cell>
        </row>
        <row r="5">
          <cell r="BQ5">
            <v>0</v>
          </cell>
        </row>
        <row r="6">
          <cell r="BQ6">
            <v>0</v>
          </cell>
        </row>
        <row r="7">
          <cell r="BQ7">
            <v>0</v>
          </cell>
        </row>
        <row r="8">
          <cell r="BQ8">
            <v>0</v>
          </cell>
        </row>
        <row r="9">
          <cell r="BQ9">
            <v>0</v>
          </cell>
        </row>
        <row r="10">
          <cell r="BQ10">
            <v>0</v>
          </cell>
        </row>
      </sheetData>
      <sheetData sheetId="13">
        <row r="17">
          <cell r="C17" t="str">
            <v>list</v>
          </cell>
        </row>
      </sheetData>
      <sheetData sheetId="14">
        <row r="8">
          <cell r="BC8">
            <v>2000</v>
          </cell>
          <cell r="BD8">
            <v>500</v>
          </cell>
          <cell r="BE8">
            <v>1800</v>
          </cell>
          <cell r="BF8">
            <v>400</v>
          </cell>
          <cell r="BG8">
            <v>1700</v>
          </cell>
          <cell r="BH8">
            <v>350</v>
          </cell>
          <cell r="BI8">
            <v>1600</v>
          </cell>
          <cell r="BJ8">
            <v>300</v>
          </cell>
        </row>
        <row r="9">
          <cell r="BC9">
            <v>2500</v>
          </cell>
          <cell r="BD9">
            <v>600</v>
          </cell>
          <cell r="BE9">
            <v>2250</v>
          </cell>
          <cell r="BF9">
            <v>500</v>
          </cell>
          <cell r="BG9">
            <v>2125</v>
          </cell>
          <cell r="BH9">
            <v>450</v>
          </cell>
          <cell r="BI9">
            <v>2000</v>
          </cell>
          <cell r="BJ9">
            <v>400</v>
          </cell>
        </row>
        <row r="10">
          <cell r="BC10">
            <v>2000</v>
          </cell>
          <cell r="BD10">
            <v>300</v>
          </cell>
          <cell r="BE10">
            <v>1800</v>
          </cell>
          <cell r="BF10">
            <v>270</v>
          </cell>
          <cell r="BG10">
            <v>1700</v>
          </cell>
          <cell r="BH10">
            <v>250</v>
          </cell>
          <cell r="BI10">
            <v>1600</v>
          </cell>
          <cell r="BJ10">
            <v>200</v>
          </cell>
        </row>
        <row r="13">
          <cell r="AW13">
            <v>0</v>
          </cell>
          <cell r="AY13">
            <v>0</v>
          </cell>
          <cell r="AZ13">
            <v>0</v>
          </cell>
        </row>
        <row r="18">
          <cell r="C18" t="str">
            <v>list</v>
          </cell>
        </row>
      </sheetData>
      <sheetData sheetId="15">
        <row r="8">
          <cell r="BK8">
            <v>1500</v>
          </cell>
          <cell r="BL8">
            <v>150</v>
          </cell>
          <cell r="BM8">
            <v>1350</v>
          </cell>
          <cell r="BN8">
            <v>135</v>
          </cell>
          <cell r="BO8">
            <v>1275</v>
          </cell>
          <cell r="BP8">
            <v>128</v>
          </cell>
          <cell r="BQ8">
            <v>1200</v>
          </cell>
          <cell r="BR8">
            <v>120</v>
          </cell>
        </row>
        <row r="9">
          <cell r="BK9">
            <v>2000</v>
          </cell>
          <cell r="BL9">
            <v>400</v>
          </cell>
          <cell r="BM9">
            <v>1800</v>
          </cell>
          <cell r="BN9">
            <v>300</v>
          </cell>
          <cell r="BO9">
            <v>1700</v>
          </cell>
          <cell r="BP9">
            <v>250</v>
          </cell>
          <cell r="BQ9">
            <v>1600</v>
          </cell>
          <cell r="BR9">
            <v>200</v>
          </cell>
        </row>
        <row r="10">
          <cell r="BK10">
            <v>2500</v>
          </cell>
          <cell r="BL10">
            <v>500</v>
          </cell>
          <cell r="BM10">
            <v>2250</v>
          </cell>
          <cell r="BN10">
            <v>400</v>
          </cell>
          <cell r="BO10">
            <v>2125</v>
          </cell>
          <cell r="BP10">
            <v>350</v>
          </cell>
          <cell r="BQ10">
            <v>2000</v>
          </cell>
          <cell r="BR10">
            <v>300</v>
          </cell>
        </row>
        <row r="11">
          <cell r="BK11">
            <v>3500</v>
          </cell>
          <cell r="BL11">
            <v>500</v>
          </cell>
          <cell r="BM11">
            <v>3150</v>
          </cell>
          <cell r="BN11">
            <v>400</v>
          </cell>
          <cell r="BO11">
            <v>2975</v>
          </cell>
          <cell r="BP11">
            <v>350</v>
          </cell>
          <cell r="BQ11">
            <v>2800</v>
          </cell>
          <cell r="BR11">
            <v>300</v>
          </cell>
        </row>
        <row r="13">
          <cell r="BF13">
            <v>0</v>
          </cell>
          <cell r="BH13">
            <v>0</v>
          </cell>
        </row>
        <row r="17">
          <cell r="BF17">
            <v>0</v>
          </cell>
          <cell r="BH17">
            <v>0</v>
          </cell>
        </row>
        <row r="18">
          <cell r="C18" t="str">
            <v>list</v>
          </cell>
        </row>
      </sheetData>
      <sheetData sheetId="16">
        <row r="12">
          <cell r="C12" t="str">
            <v>12 months</v>
          </cell>
        </row>
      </sheetData>
      <sheetData sheetId="17"/>
      <sheetData sheetId="18"/>
      <sheetData sheetId="19">
        <row r="4">
          <cell r="A4" t="str">
            <v>Unique ID</v>
          </cell>
        </row>
      </sheetData>
      <sheetData sheetId="20"/>
      <sheetData sheetId="21"/>
      <sheetData sheetId="22"/>
      <sheetData sheetId="23">
        <row r="1">
          <cell r="A1" t="str">
            <v>Unique ID</v>
          </cell>
        </row>
      </sheetData>
      <sheetData sheetId="24"/>
      <sheetData sheetId="25"/>
      <sheetData sheetId="26"/>
      <sheetData sheetId="27"/>
      <sheetData sheetId="28"/>
      <sheetData sheetId="29">
        <row r="1051">
          <cell r="A1051" t="str">
            <v>PSTNNUM DZA</v>
          </cell>
        </row>
      </sheetData>
      <sheetData sheetId="30"/>
      <sheetData sheetId="31"/>
      <sheetData sheetId="32">
        <row r="5">
          <cell r="E5" t="str">
            <v>Afghanistan</v>
          </cell>
        </row>
      </sheetData>
      <sheetData sheetId="33"/>
      <sheetData sheetId="34"/>
      <sheetData sheetId="35"/>
      <sheetData sheetId="36"/>
      <sheetData sheetId="37">
        <row r="4">
          <cell r="AC4">
            <v>1</v>
          </cell>
          <cell r="AD4" t="str">
            <v>not required</v>
          </cell>
          <cell r="AE4" t="str">
            <v>list</v>
          </cell>
        </row>
        <row r="5">
          <cell r="AC5">
            <v>2</v>
          </cell>
          <cell r="AD5" t="str">
            <v>sales</v>
          </cell>
          <cell r="AE5" t="str">
            <v>sales discretionary</v>
          </cell>
        </row>
        <row r="6">
          <cell r="AC6">
            <v>3</v>
          </cell>
          <cell r="AD6" t="str">
            <v>country manager</v>
          </cell>
          <cell r="AE6" t="str">
            <v>country manager</v>
          </cell>
        </row>
        <row r="7">
          <cell r="AC7">
            <v>4</v>
          </cell>
          <cell r="AD7" t="str">
            <v>regional manager</v>
          </cell>
          <cell r="AE7" t="str">
            <v>regional manager</v>
          </cell>
        </row>
        <row r="8">
          <cell r="AC8">
            <v>5</v>
          </cell>
          <cell r="AD8" t="str">
            <v>DAC approver</v>
          </cell>
          <cell r="AE8" t="str">
            <v>customised</v>
          </cell>
        </row>
      </sheetData>
      <sheetData sheetId="38">
        <row r="9">
          <cell r="J9">
            <v>1</v>
          </cell>
        </row>
        <row r="27">
          <cell r="D27">
            <v>1.0900000000000001</v>
          </cell>
        </row>
      </sheetData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uide - FAQs"/>
      <sheetName val="guide - quick start"/>
      <sheetName val="pbook - usage pricing"/>
      <sheetName val="pbook - site installation"/>
      <sheetName val="pbook - DID numbers"/>
      <sheetName val="pbook - VAS"/>
      <sheetName val="pbook - USA read me"/>
      <sheetName val="pbook - USA sites"/>
      <sheetName val="quote - main"/>
      <sheetName val="quote - sites"/>
      <sheetName val="quote - site BT services"/>
      <sheetName val="quote - pricing summary"/>
      <sheetName val="quote - usage pricing"/>
      <sheetName val="quote - data table sites"/>
      <sheetName val="quote - data table pricing"/>
      <sheetName val="quote - tariff sheet"/>
      <sheetName val="quote - export summary"/>
      <sheetName val="quote - import sheet"/>
      <sheetName val="quote - pricing template"/>
      <sheetName val="info - charging periods"/>
      <sheetName val="tools - route information"/>
      <sheetName val="tools - regions &amp; call types"/>
      <sheetName val="tools - domestic dial plan"/>
      <sheetName val="tools - intl. dial plan"/>
      <sheetName val="tools - intl. ISDN dial plan"/>
      <sheetName val="tools - USA domestic dial plan"/>
      <sheetName val="data - Portal PB tariff"/>
      <sheetName val="data - Portal PB other"/>
      <sheetName val="data - non-Portal prices"/>
      <sheetName val="data - PB avail"/>
      <sheetName val="data - PB Free Move"/>
      <sheetName val="data - tool maintenance"/>
      <sheetName val="data - main"/>
      <sheetName val="info - forex"/>
      <sheetName val="change control"/>
    </sheetNames>
    <sheetDataSet>
      <sheetData sheetId="0" refreshError="1">
        <row r="2">
          <cell r="F2" t="str">
            <v>v14.74</v>
          </cell>
        </row>
        <row r="3">
          <cell r="F3" t="str">
            <v>V16A</v>
          </cell>
        </row>
        <row r="4">
          <cell r="H4" t="str">
            <v>EUR</v>
          </cell>
        </row>
      </sheetData>
      <sheetData sheetId="1" refreshError="1"/>
      <sheetData sheetId="2" refreshError="1"/>
      <sheetData sheetId="3" refreshError="1">
        <row r="9">
          <cell r="S9" t="str">
            <v>ON ON</v>
          </cell>
          <cell r="T9" t="str">
            <v>ON</v>
          </cell>
          <cell r="U9" t="str">
            <v>ON</v>
          </cell>
          <cell r="X9">
            <v>8.5000000000000006E-3</v>
          </cell>
          <cell r="Y9">
            <v>0</v>
          </cell>
          <cell r="Z9">
            <v>7.7000000000000002E-3</v>
          </cell>
          <cell r="AA9">
            <v>0</v>
          </cell>
          <cell r="AB9">
            <v>6.7999999999999996E-3</v>
          </cell>
          <cell r="AC9">
            <v>0</v>
          </cell>
          <cell r="AD9">
            <v>6.0000000000000001E-3</v>
          </cell>
          <cell r="AE9">
            <v>0</v>
          </cell>
          <cell r="AG9" t="str">
            <v/>
          </cell>
          <cell r="AH9" t="str">
            <v/>
          </cell>
          <cell r="AJ9">
            <v>8.5000000000000006E-3</v>
          </cell>
          <cell r="AK9">
            <v>0</v>
          </cell>
          <cell r="AL9">
            <v>7.7000000000000002E-3</v>
          </cell>
          <cell r="AM9">
            <v>0</v>
          </cell>
          <cell r="AN9">
            <v>6.7999999999999996E-3</v>
          </cell>
          <cell r="AO9">
            <v>0</v>
          </cell>
          <cell r="AP9">
            <v>6.0000000000000001E-3</v>
          </cell>
          <cell r="AQ9">
            <v>0</v>
          </cell>
          <cell r="AS9" t="str">
            <v/>
          </cell>
          <cell r="AT9" t="str">
            <v/>
          </cell>
          <cell r="AV9" t="b">
            <v>1</v>
          </cell>
          <cell r="AW9" t="str">
            <v>minute</v>
          </cell>
        </row>
        <row r="10">
          <cell r="S10" t="str">
            <v>ON ON VOIP</v>
          </cell>
          <cell r="T10" t="str">
            <v>ON</v>
          </cell>
          <cell r="U10" t="str">
            <v>ON</v>
          </cell>
          <cell r="V10" t="str">
            <v>VOIP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G10" t="str">
            <v/>
          </cell>
          <cell r="AH10" t="str">
            <v/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S10" t="str">
            <v/>
          </cell>
          <cell r="AT10" t="str">
            <v/>
          </cell>
          <cell r="AV10" t="b">
            <v>1</v>
          </cell>
          <cell r="AW10" t="str">
            <v>minute</v>
          </cell>
        </row>
        <row r="12">
          <cell r="S12" t="str">
            <v>DOM AUS AUSB1</v>
          </cell>
          <cell r="T12" t="str">
            <v>DOM</v>
          </cell>
          <cell r="U12" t="str">
            <v>AUS</v>
          </cell>
          <cell r="V12" t="str">
            <v>AUSB1</v>
          </cell>
          <cell r="X12">
            <v>2.5000000000000001E-2</v>
          </cell>
          <cell r="Y12">
            <v>0</v>
          </cell>
          <cell r="Z12">
            <v>2.1899999999999999E-2</v>
          </cell>
          <cell r="AA12">
            <v>0</v>
          </cell>
          <cell r="AB12">
            <v>1.8800000000000001E-2</v>
          </cell>
          <cell r="AC12">
            <v>0</v>
          </cell>
          <cell r="AD12">
            <v>1.5599999999999999E-2</v>
          </cell>
          <cell r="AE12">
            <v>0</v>
          </cell>
          <cell r="AG12" t="str">
            <v/>
          </cell>
          <cell r="AH12" t="str">
            <v/>
          </cell>
          <cell r="AJ12">
            <v>2.5000000000000001E-2</v>
          </cell>
          <cell r="AK12">
            <v>0</v>
          </cell>
          <cell r="AL12">
            <v>2.1899999999999999E-2</v>
          </cell>
          <cell r="AM12">
            <v>0</v>
          </cell>
          <cell r="AN12">
            <v>1.8800000000000001E-2</v>
          </cell>
          <cell r="AO12">
            <v>0</v>
          </cell>
          <cell r="AP12">
            <v>1.5599999999999999E-2</v>
          </cell>
          <cell r="AQ12">
            <v>0</v>
          </cell>
          <cell r="AS12" t="str">
            <v/>
          </cell>
          <cell r="AT12" t="str">
            <v/>
          </cell>
          <cell r="AV12" t="b">
            <v>1</v>
          </cell>
          <cell r="AW12" t="str">
            <v>minute</v>
          </cell>
        </row>
        <row r="13">
          <cell r="S13" t="str">
            <v>DOM AUS RESTA</v>
          </cell>
          <cell r="T13" t="str">
            <v>DOM</v>
          </cell>
          <cell r="U13" t="str">
            <v>AUS</v>
          </cell>
          <cell r="V13" t="str">
            <v>RESTA</v>
          </cell>
          <cell r="X13">
            <v>2.7300000000000001E-2</v>
          </cell>
          <cell r="Y13">
            <v>0</v>
          </cell>
          <cell r="Z13">
            <v>2.4500000000000001E-2</v>
          </cell>
          <cell r="AA13">
            <v>0</v>
          </cell>
          <cell r="AB13">
            <v>2.3199999999999998E-2</v>
          </cell>
          <cell r="AC13">
            <v>0</v>
          </cell>
          <cell r="AD13">
            <v>2.18E-2</v>
          </cell>
          <cell r="AE13">
            <v>0</v>
          </cell>
          <cell r="AG13" t="str">
            <v/>
          </cell>
          <cell r="AH13" t="str">
            <v/>
          </cell>
          <cell r="AJ13">
            <v>2.7300000000000001E-2</v>
          </cell>
          <cell r="AK13">
            <v>0</v>
          </cell>
          <cell r="AL13">
            <v>2.4500000000000001E-2</v>
          </cell>
          <cell r="AM13">
            <v>0</v>
          </cell>
          <cell r="AN13">
            <v>2.3199999999999998E-2</v>
          </cell>
          <cell r="AO13">
            <v>0</v>
          </cell>
          <cell r="AP13">
            <v>2.18E-2</v>
          </cell>
          <cell r="AQ13">
            <v>0</v>
          </cell>
          <cell r="AS13" t="str">
            <v/>
          </cell>
          <cell r="AT13" t="str">
            <v/>
          </cell>
          <cell r="AV13" t="b">
            <v>1</v>
          </cell>
          <cell r="AW13" t="str">
            <v>minute</v>
          </cell>
        </row>
        <row r="14">
          <cell r="S14" t="str">
            <v>DOM AUS AUSMO</v>
          </cell>
          <cell r="T14" t="str">
            <v>DOM</v>
          </cell>
          <cell r="U14" t="str">
            <v>AUS</v>
          </cell>
          <cell r="V14" t="str">
            <v>AUSMO</v>
          </cell>
          <cell r="X14">
            <v>9.0499999999999997E-2</v>
          </cell>
          <cell r="Y14">
            <v>0</v>
          </cell>
          <cell r="Z14">
            <v>8.14E-2</v>
          </cell>
          <cell r="AA14">
            <v>0</v>
          </cell>
          <cell r="AB14">
            <v>7.6899999999999996E-2</v>
          </cell>
          <cell r="AC14">
            <v>0</v>
          </cell>
          <cell r="AD14">
            <v>7.2400000000000006E-2</v>
          </cell>
          <cell r="AE14">
            <v>0</v>
          </cell>
          <cell r="AG14" t="str">
            <v/>
          </cell>
          <cell r="AH14" t="str">
            <v/>
          </cell>
          <cell r="AJ14">
            <v>9.0499999999999997E-2</v>
          </cell>
          <cell r="AK14">
            <v>0</v>
          </cell>
          <cell r="AL14">
            <v>8.14E-2</v>
          </cell>
          <cell r="AM14">
            <v>0</v>
          </cell>
          <cell r="AN14">
            <v>7.6899999999999996E-2</v>
          </cell>
          <cell r="AO14">
            <v>0</v>
          </cell>
          <cell r="AP14">
            <v>7.2400000000000006E-2</v>
          </cell>
          <cell r="AQ14">
            <v>0</v>
          </cell>
          <cell r="AS14" t="str">
            <v/>
          </cell>
          <cell r="AT14" t="str">
            <v/>
          </cell>
          <cell r="AV14" t="b">
            <v>1</v>
          </cell>
          <cell r="AW14" t="str">
            <v>minute</v>
          </cell>
        </row>
        <row r="15">
          <cell r="S15" t="str">
            <v>DOM AUS AUSCS</v>
          </cell>
          <cell r="T15" t="str">
            <v>DOM</v>
          </cell>
          <cell r="U15" t="str">
            <v>AUS</v>
          </cell>
          <cell r="V15" t="str">
            <v>AUSCS</v>
          </cell>
          <cell r="X15">
            <v>0</v>
          </cell>
          <cell r="Y15">
            <v>0.50970000000000004</v>
          </cell>
          <cell r="Z15">
            <v>0</v>
          </cell>
          <cell r="AA15">
            <v>0.42580000000000001</v>
          </cell>
          <cell r="AB15">
            <v>0</v>
          </cell>
          <cell r="AC15">
            <v>0.3548</v>
          </cell>
          <cell r="AD15">
            <v>0</v>
          </cell>
          <cell r="AE15">
            <v>0.29680000000000001</v>
          </cell>
          <cell r="AG15" t="str">
            <v/>
          </cell>
          <cell r="AH15" t="str">
            <v/>
          </cell>
          <cell r="AJ15">
            <v>0</v>
          </cell>
          <cell r="AK15">
            <v>0.50970000000000004</v>
          </cell>
          <cell r="AL15">
            <v>0</v>
          </cell>
          <cell r="AM15">
            <v>0.42580000000000001</v>
          </cell>
          <cell r="AN15">
            <v>0</v>
          </cell>
          <cell r="AO15">
            <v>0.3548</v>
          </cell>
          <cell r="AP15">
            <v>0</v>
          </cell>
          <cell r="AQ15">
            <v>0.29680000000000001</v>
          </cell>
          <cell r="AS15" t="str">
            <v/>
          </cell>
          <cell r="AT15" t="str">
            <v/>
          </cell>
          <cell r="AV15" t="b">
            <v>0</v>
          </cell>
          <cell r="AW15" t="str">
            <v>call</v>
          </cell>
        </row>
        <row r="16">
          <cell r="S16" t="str">
            <v>DOM AUS AUSD1</v>
          </cell>
          <cell r="T16" t="str">
            <v>DOM</v>
          </cell>
          <cell r="U16" t="str">
            <v>AUS</v>
          </cell>
          <cell r="V16" t="str">
            <v>AUSD1</v>
          </cell>
          <cell r="X16">
            <v>0</v>
          </cell>
          <cell r="Y16">
            <v>0.7</v>
          </cell>
          <cell r="Z16">
            <v>0</v>
          </cell>
          <cell r="AA16">
            <v>0.6</v>
          </cell>
          <cell r="AB16">
            <v>0</v>
          </cell>
          <cell r="AC16">
            <v>0.5</v>
          </cell>
          <cell r="AD16">
            <v>0</v>
          </cell>
          <cell r="AE16">
            <v>0.4</v>
          </cell>
          <cell r="AG16" t="str">
            <v/>
          </cell>
          <cell r="AH16" t="str">
            <v/>
          </cell>
          <cell r="AJ16">
            <v>0</v>
          </cell>
          <cell r="AK16">
            <v>0.7</v>
          </cell>
          <cell r="AL16">
            <v>0</v>
          </cell>
          <cell r="AM16">
            <v>0.6</v>
          </cell>
          <cell r="AN16">
            <v>0</v>
          </cell>
          <cell r="AO16">
            <v>0.5</v>
          </cell>
          <cell r="AP16">
            <v>0</v>
          </cell>
          <cell r="AQ16">
            <v>0.4</v>
          </cell>
          <cell r="AS16" t="str">
            <v/>
          </cell>
          <cell r="AT16" t="str">
            <v/>
          </cell>
          <cell r="AV16" t="b">
            <v>0</v>
          </cell>
          <cell r="AW16" t="str">
            <v>call</v>
          </cell>
        </row>
        <row r="17">
          <cell r="S17" t="str">
            <v>DOM AUS AUSD2</v>
          </cell>
          <cell r="T17" t="str">
            <v>DOM</v>
          </cell>
          <cell r="U17" t="str">
            <v>AUS</v>
          </cell>
          <cell r="V17" t="str">
            <v>AUSD2</v>
          </cell>
          <cell r="X17">
            <v>0.09</v>
          </cell>
          <cell r="Y17">
            <v>1.17</v>
          </cell>
          <cell r="Z17">
            <v>0.08</v>
          </cell>
          <cell r="AA17">
            <v>1.17</v>
          </cell>
          <cell r="AB17">
            <v>7.0000000000000007E-2</v>
          </cell>
          <cell r="AC17">
            <v>1.17</v>
          </cell>
          <cell r="AD17">
            <v>0.05</v>
          </cell>
          <cell r="AE17">
            <v>1.17</v>
          </cell>
          <cell r="AG17" t="str">
            <v/>
          </cell>
          <cell r="AH17" t="str">
            <v/>
          </cell>
          <cell r="AJ17">
            <v>0.09</v>
          </cell>
          <cell r="AK17">
            <v>1.17</v>
          </cell>
          <cell r="AL17">
            <v>0.08</v>
          </cell>
          <cell r="AM17">
            <v>1.17</v>
          </cell>
          <cell r="AN17">
            <v>7.0000000000000007E-2</v>
          </cell>
          <cell r="AO17">
            <v>1.17</v>
          </cell>
          <cell r="AP17">
            <v>0.05</v>
          </cell>
          <cell r="AQ17">
            <v>1.17</v>
          </cell>
          <cell r="AS17" t="str">
            <v/>
          </cell>
          <cell r="AT17" t="str">
            <v/>
          </cell>
          <cell r="AV17" t="b">
            <v>0</v>
          </cell>
          <cell r="AW17" t="str">
            <v>minute &amp; call</v>
          </cell>
        </row>
        <row r="18">
          <cell r="S18" t="str">
            <v>DOM AUS AUSEM</v>
          </cell>
          <cell r="T18" t="str">
            <v>DOM</v>
          </cell>
          <cell r="U18" t="str">
            <v>AUS</v>
          </cell>
          <cell r="V18" t="str">
            <v>AUSEM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G18" t="str">
            <v/>
          </cell>
          <cell r="AH18" t="str">
            <v/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S18" t="str">
            <v/>
          </cell>
          <cell r="AT18" t="str">
            <v/>
          </cell>
          <cell r="AV18" t="b">
            <v>0</v>
          </cell>
          <cell r="AW18" t="str">
            <v>minute</v>
          </cell>
        </row>
        <row r="19">
          <cell r="S19" t="str">
            <v>DOM AUS T1300</v>
          </cell>
          <cell r="T19" t="str">
            <v>DOM</v>
          </cell>
          <cell r="U19" t="str">
            <v>AUS</v>
          </cell>
          <cell r="V19" t="str">
            <v>T1300</v>
          </cell>
          <cell r="X19">
            <v>0</v>
          </cell>
          <cell r="Y19">
            <v>0.27339999999999998</v>
          </cell>
          <cell r="Z19">
            <v>0</v>
          </cell>
          <cell r="AA19">
            <v>0.2576</v>
          </cell>
          <cell r="AB19">
            <v>0</v>
          </cell>
          <cell r="AC19">
            <v>0.2422</v>
          </cell>
          <cell r="AD19">
            <v>0</v>
          </cell>
          <cell r="AE19">
            <v>0.2344</v>
          </cell>
          <cell r="AG19" t="str">
            <v/>
          </cell>
          <cell r="AH19" t="str">
            <v/>
          </cell>
          <cell r="AJ19">
            <v>0</v>
          </cell>
          <cell r="AK19">
            <v>0.27339999999999998</v>
          </cell>
          <cell r="AL19">
            <v>0</v>
          </cell>
          <cell r="AM19">
            <v>0.2576</v>
          </cell>
          <cell r="AN19">
            <v>0</v>
          </cell>
          <cell r="AO19">
            <v>0.2422</v>
          </cell>
          <cell r="AP19">
            <v>0</v>
          </cell>
          <cell r="AQ19">
            <v>0.2344</v>
          </cell>
          <cell r="AS19" t="str">
            <v/>
          </cell>
          <cell r="AT19" t="str">
            <v/>
          </cell>
          <cell r="AV19" t="b">
            <v>1</v>
          </cell>
          <cell r="AW19" t="str">
            <v>call</v>
          </cell>
        </row>
        <row r="20">
          <cell r="S20" t="str">
            <v>DOM AUS AUSOR</v>
          </cell>
          <cell r="T20" t="str">
            <v>DOM</v>
          </cell>
          <cell r="U20" t="str">
            <v>AUS</v>
          </cell>
          <cell r="V20" t="str">
            <v>AUSOR</v>
          </cell>
          <cell r="X20">
            <v>0</v>
          </cell>
          <cell r="Y20">
            <v>0.33550000000000002</v>
          </cell>
          <cell r="Z20">
            <v>6.4500000000000002E-2</v>
          </cell>
          <cell r="AA20">
            <v>0.9677</v>
          </cell>
          <cell r="AB20">
            <v>5.4199999999999998E-2</v>
          </cell>
          <cell r="AC20">
            <v>0.9677</v>
          </cell>
          <cell r="AD20">
            <v>4.5199999999999997E-2</v>
          </cell>
          <cell r="AE20">
            <v>0.9677</v>
          </cell>
          <cell r="AG20" t="str">
            <v/>
          </cell>
          <cell r="AH20" t="str">
            <v/>
          </cell>
          <cell r="AJ20">
            <v>0</v>
          </cell>
          <cell r="AK20">
            <v>0.33550000000000002</v>
          </cell>
          <cell r="AL20">
            <v>6.4500000000000002E-2</v>
          </cell>
          <cell r="AM20">
            <v>0.9677</v>
          </cell>
          <cell r="AN20">
            <v>5.4199999999999998E-2</v>
          </cell>
          <cell r="AO20">
            <v>0.9677</v>
          </cell>
          <cell r="AP20">
            <v>4.5199999999999997E-2</v>
          </cell>
          <cell r="AQ20">
            <v>0.9677</v>
          </cell>
          <cell r="AS20" t="str">
            <v/>
          </cell>
          <cell r="AT20" t="str">
            <v/>
          </cell>
          <cell r="AV20" t="b">
            <v>0</v>
          </cell>
          <cell r="AW20" t="str">
            <v>call</v>
          </cell>
        </row>
        <row r="21">
          <cell r="S21" t="str">
            <v>DOM AUS AUSPS</v>
          </cell>
          <cell r="T21" t="str">
            <v>DOM</v>
          </cell>
          <cell r="U21" t="str">
            <v>AUS</v>
          </cell>
          <cell r="V21" t="str">
            <v>AUSPS</v>
          </cell>
          <cell r="X21">
            <v>9.3799999999999994E-2</v>
          </cell>
          <cell r="Y21">
            <v>0.35160000000000002</v>
          </cell>
          <cell r="Z21">
            <v>7.8100000000000003E-2</v>
          </cell>
          <cell r="AA21">
            <v>0.28910000000000002</v>
          </cell>
          <cell r="AB21">
            <v>6.5600000000000006E-2</v>
          </cell>
          <cell r="AC21">
            <v>0.2422</v>
          </cell>
          <cell r="AD21">
            <v>5.4699999999999999E-2</v>
          </cell>
          <cell r="AE21">
            <v>0.2031</v>
          </cell>
          <cell r="AG21" t="str">
            <v/>
          </cell>
          <cell r="AH21" t="str">
            <v/>
          </cell>
          <cell r="AJ21">
            <v>9.3799999999999994E-2</v>
          </cell>
          <cell r="AK21">
            <v>0.35160000000000002</v>
          </cell>
          <cell r="AL21">
            <v>7.8100000000000003E-2</v>
          </cell>
          <cell r="AM21">
            <v>0.28910000000000002</v>
          </cell>
          <cell r="AN21">
            <v>6.5600000000000006E-2</v>
          </cell>
          <cell r="AO21">
            <v>0.2422</v>
          </cell>
          <cell r="AP21">
            <v>5.4699999999999999E-2</v>
          </cell>
          <cell r="AQ21">
            <v>0.2031</v>
          </cell>
          <cell r="AS21" t="str">
            <v/>
          </cell>
          <cell r="AT21" t="str">
            <v/>
          </cell>
          <cell r="AV21" t="b">
            <v>0</v>
          </cell>
          <cell r="AW21" t="str">
            <v>minute &amp; call</v>
          </cell>
        </row>
        <row r="22">
          <cell r="S22" t="str">
            <v>DOM AUS AUSC1</v>
          </cell>
          <cell r="T22" t="str">
            <v>DOM</v>
          </cell>
          <cell r="U22" t="str">
            <v>AUS</v>
          </cell>
          <cell r="V22" t="str">
            <v>AUSC1</v>
          </cell>
          <cell r="X22">
            <v>0</v>
          </cell>
          <cell r="Y22">
            <v>0.57809999999999995</v>
          </cell>
          <cell r="Z22">
            <v>0</v>
          </cell>
          <cell r="AA22">
            <v>0.52339999999999998</v>
          </cell>
          <cell r="AB22">
            <v>0</v>
          </cell>
          <cell r="AC22">
            <v>0.47660000000000002</v>
          </cell>
          <cell r="AD22">
            <v>0</v>
          </cell>
          <cell r="AE22">
            <v>0.42970000000000003</v>
          </cell>
          <cell r="AG22" t="str">
            <v/>
          </cell>
          <cell r="AH22" t="str">
            <v/>
          </cell>
          <cell r="AJ22">
            <v>0</v>
          </cell>
          <cell r="AK22">
            <v>0.57809999999999995</v>
          </cell>
          <cell r="AL22">
            <v>0</v>
          </cell>
          <cell r="AM22">
            <v>0.52339999999999998</v>
          </cell>
          <cell r="AN22">
            <v>0</v>
          </cell>
          <cell r="AO22">
            <v>0.47660000000000002</v>
          </cell>
          <cell r="AP22">
            <v>0</v>
          </cell>
          <cell r="AQ22">
            <v>0.42970000000000003</v>
          </cell>
          <cell r="AS22" t="str">
            <v/>
          </cell>
          <cell r="AT22" t="str">
            <v/>
          </cell>
          <cell r="AV22" t="b">
            <v>0</v>
          </cell>
          <cell r="AW22" t="str">
            <v>call</v>
          </cell>
        </row>
        <row r="23">
          <cell r="S23" t="str">
            <v>DOM AUS AUSC2</v>
          </cell>
          <cell r="T23" t="str">
            <v>DOM</v>
          </cell>
          <cell r="U23" t="str">
            <v>AUS</v>
          </cell>
          <cell r="V23" t="str">
            <v>AUSC2</v>
          </cell>
          <cell r="X23">
            <v>0</v>
          </cell>
          <cell r="Y23">
            <v>2.8593999999999999</v>
          </cell>
          <cell r="Z23">
            <v>0</v>
          </cell>
          <cell r="AA23">
            <v>2.6015000000000001</v>
          </cell>
          <cell r="AB23">
            <v>0</v>
          </cell>
          <cell r="AC23">
            <v>2.3672</v>
          </cell>
          <cell r="AD23">
            <v>0</v>
          </cell>
          <cell r="AE23">
            <v>2.1484000000000001</v>
          </cell>
          <cell r="AG23" t="str">
            <v/>
          </cell>
          <cell r="AH23" t="str">
            <v/>
          </cell>
          <cell r="AJ23">
            <v>0</v>
          </cell>
          <cell r="AK23">
            <v>2.8593999999999999</v>
          </cell>
          <cell r="AL23">
            <v>0</v>
          </cell>
          <cell r="AM23">
            <v>2.6015000000000001</v>
          </cell>
          <cell r="AN23">
            <v>0</v>
          </cell>
          <cell r="AO23">
            <v>2.3672</v>
          </cell>
          <cell r="AP23">
            <v>0</v>
          </cell>
          <cell r="AQ23">
            <v>2.1484000000000001</v>
          </cell>
          <cell r="AS23" t="str">
            <v/>
          </cell>
          <cell r="AT23" t="str">
            <v/>
          </cell>
          <cell r="AV23" t="b">
            <v>0</v>
          </cell>
          <cell r="AW23" t="str">
            <v>call</v>
          </cell>
        </row>
        <row r="24">
          <cell r="S24" t="str">
            <v>DOM AUS AUSC3</v>
          </cell>
          <cell r="T24" t="str">
            <v>DOM</v>
          </cell>
          <cell r="U24" t="str">
            <v>AUS</v>
          </cell>
          <cell r="V24" t="str">
            <v>AUSC3</v>
          </cell>
          <cell r="X24">
            <v>0</v>
          </cell>
          <cell r="Y24">
            <v>12.5</v>
          </cell>
          <cell r="Z24">
            <v>0</v>
          </cell>
          <cell r="AA24">
            <v>10.9375</v>
          </cell>
          <cell r="AB24">
            <v>0</v>
          </cell>
          <cell r="AC24">
            <v>10.1563</v>
          </cell>
          <cell r="AD24">
            <v>0</v>
          </cell>
          <cell r="AE24">
            <v>9.375</v>
          </cell>
          <cell r="AG24" t="str">
            <v/>
          </cell>
          <cell r="AH24" t="str">
            <v/>
          </cell>
          <cell r="AJ24">
            <v>0</v>
          </cell>
          <cell r="AK24">
            <v>12.5</v>
          </cell>
          <cell r="AL24">
            <v>0</v>
          </cell>
          <cell r="AM24">
            <v>10.9375</v>
          </cell>
          <cell r="AN24">
            <v>0</v>
          </cell>
          <cell r="AO24">
            <v>10.1563</v>
          </cell>
          <cell r="AP24">
            <v>0</v>
          </cell>
          <cell r="AQ24">
            <v>9.375</v>
          </cell>
          <cell r="AS24" t="str">
            <v/>
          </cell>
          <cell r="AT24" t="str">
            <v/>
          </cell>
          <cell r="AV24" t="b">
            <v>0</v>
          </cell>
          <cell r="AW24" t="str">
            <v>call</v>
          </cell>
        </row>
        <row r="25">
          <cell r="S25" t="str">
            <v>DOM AUS AUSC4</v>
          </cell>
          <cell r="T25" t="str">
            <v>DOM</v>
          </cell>
          <cell r="U25" t="str">
            <v>AUS</v>
          </cell>
          <cell r="V25" t="str">
            <v>AUSC4</v>
          </cell>
          <cell r="X25">
            <v>0</v>
          </cell>
          <cell r="Y25">
            <v>25.781300000000002</v>
          </cell>
          <cell r="Z25">
            <v>0</v>
          </cell>
          <cell r="AA25">
            <v>23.4375</v>
          </cell>
          <cell r="AB25">
            <v>0</v>
          </cell>
          <cell r="AC25">
            <v>21.875</v>
          </cell>
          <cell r="AD25">
            <v>0</v>
          </cell>
          <cell r="AE25">
            <v>19.531300000000002</v>
          </cell>
          <cell r="AG25" t="str">
            <v/>
          </cell>
          <cell r="AH25" t="str">
            <v/>
          </cell>
          <cell r="AJ25">
            <v>0</v>
          </cell>
          <cell r="AK25">
            <v>25.781300000000002</v>
          </cell>
          <cell r="AL25">
            <v>0</v>
          </cell>
          <cell r="AM25">
            <v>23.4375</v>
          </cell>
          <cell r="AN25">
            <v>0</v>
          </cell>
          <cell r="AO25">
            <v>21.875</v>
          </cell>
          <cell r="AP25">
            <v>0</v>
          </cell>
          <cell r="AQ25">
            <v>19.531300000000002</v>
          </cell>
          <cell r="AS25" t="str">
            <v/>
          </cell>
          <cell r="AT25" t="str">
            <v/>
          </cell>
          <cell r="AV25" t="b">
            <v>0</v>
          </cell>
          <cell r="AW25" t="str">
            <v>call</v>
          </cell>
        </row>
        <row r="26">
          <cell r="S26" t="str">
            <v>DOM AUS AUSC5</v>
          </cell>
          <cell r="T26" t="str">
            <v>DOM</v>
          </cell>
          <cell r="U26" t="str">
            <v>AUS</v>
          </cell>
          <cell r="V26" t="str">
            <v>AUSC5</v>
          </cell>
          <cell r="X26">
            <v>0</v>
          </cell>
          <cell r="Y26">
            <v>39.0625</v>
          </cell>
          <cell r="Z26">
            <v>0</v>
          </cell>
          <cell r="AA26">
            <v>35.9375</v>
          </cell>
          <cell r="AB26">
            <v>0</v>
          </cell>
          <cell r="AC26">
            <v>32.8125</v>
          </cell>
          <cell r="AD26">
            <v>0</v>
          </cell>
          <cell r="AE26">
            <v>30.468800000000002</v>
          </cell>
          <cell r="AG26" t="str">
            <v/>
          </cell>
          <cell r="AH26" t="str">
            <v/>
          </cell>
          <cell r="AJ26">
            <v>0</v>
          </cell>
          <cell r="AK26">
            <v>39.0625</v>
          </cell>
          <cell r="AL26">
            <v>0</v>
          </cell>
          <cell r="AM26">
            <v>35.9375</v>
          </cell>
          <cell r="AN26">
            <v>0</v>
          </cell>
          <cell r="AO26">
            <v>32.8125</v>
          </cell>
          <cell r="AP26">
            <v>0</v>
          </cell>
          <cell r="AQ26">
            <v>30.468800000000002</v>
          </cell>
          <cell r="AS26" t="str">
            <v/>
          </cell>
          <cell r="AT26" t="str">
            <v/>
          </cell>
          <cell r="AV26" t="b">
            <v>0</v>
          </cell>
          <cell r="AW26" t="str">
            <v>call</v>
          </cell>
        </row>
        <row r="27">
          <cell r="S27" t="str">
            <v>DOM AUS AUCM1</v>
          </cell>
          <cell r="T27" t="str">
            <v>DOM</v>
          </cell>
          <cell r="U27" t="str">
            <v>AUS</v>
          </cell>
          <cell r="V27" t="str">
            <v>AUCM1</v>
          </cell>
          <cell r="X27">
            <v>0.57809999999999995</v>
          </cell>
          <cell r="Y27">
            <v>0.1797</v>
          </cell>
          <cell r="Z27">
            <v>0.52339999999999998</v>
          </cell>
          <cell r="AA27">
            <v>0.1641</v>
          </cell>
          <cell r="AB27">
            <v>0.47660000000000002</v>
          </cell>
          <cell r="AC27">
            <v>0.1484</v>
          </cell>
          <cell r="AD27">
            <v>0.42970000000000003</v>
          </cell>
          <cell r="AE27">
            <v>0.1328</v>
          </cell>
          <cell r="AG27" t="str">
            <v/>
          </cell>
          <cell r="AH27" t="str">
            <v/>
          </cell>
          <cell r="AJ27">
            <v>0.57809999999999995</v>
          </cell>
          <cell r="AK27">
            <v>0.1797</v>
          </cell>
          <cell r="AL27">
            <v>0.52339999999999998</v>
          </cell>
          <cell r="AM27">
            <v>0.1641</v>
          </cell>
          <cell r="AN27">
            <v>0.47660000000000002</v>
          </cell>
          <cell r="AO27">
            <v>0.1484</v>
          </cell>
          <cell r="AP27">
            <v>0.42970000000000003</v>
          </cell>
          <cell r="AQ27">
            <v>0.1328</v>
          </cell>
          <cell r="AS27" t="str">
            <v/>
          </cell>
          <cell r="AT27" t="str">
            <v/>
          </cell>
          <cell r="AV27" t="b">
            <v>0</v>
          </cell>
          <cell r="AW27" t="str">
            <v>minute &amp; call</v>
          </cell>
        </row>
        <row r="28">
          <cell r="S28" t="str">
            <v>DOM AUS AUCM2</v>
          </cell>
          <cell r="T28" t="str">
            <v>DOM</v>
          </cell>
          <cell r="U28" t="str">
            <v>AUS</v>
          </cell>
          <cell r="V28" t="str">
            <v>AUCM2</v>
          </cell>
          <cell r="X28">
            <v>0.85940000000000005</v>
          </cell>
          <cell r="Y28">
            <v>0.1797</v>
          </cell>
          <cell r="Z28">
            <v>0.78129999999999999</v>
          </cell>
          <cell r="AA28">
            <v>0.1641</v>
          </cell>
          <cell r="AB28">
            <v>0.71089999999999998</v>
          </cell>
          <cell r="AC28">
            <v>0.1484</v>
          </cell>
          <cell r="AD28">
            <v>0.64839999999999998</v>
          </cell>
          <cell r="AE28">
            <v>0.1328</v>
          </cell>
          <cell r="AG28" t="str">
            <v/>
          </cell>
          <cell r="AH28" t="str">
            <v/>
          </cell>
          <cell r="AJ28">
            <v>0.85940000000000005</v>
          </cell>
          <cell r="AK28">
            <v>0.1797</v>
          </cell>
          <cell r="AL28">
            <v>0.78129999999999999</v>
          </cell>
          <cell r="AM28">
            <v>0.1641</v>
          </cell>
          <cell r="AN28">
            <v>0.71089999999999998</v>
          </cell>
          <cell r="AO28">
            <v>0.1484</v>
          </cell>
          <cell r="AP28">
            <v>0.64839999999999998</v>
          </cell>
          <cell r="AQ28">
            <v>0.1328</v>
          </cell>
          <cell r="AS28" t="str">
            <v/>
          </cell>
          <cell r="AT28" t="str">
            <v/>
          </cell>
          <cell r="AV28" t="b">
            <v>0</v>
          </cell>
          <cell r="AW28" t="str">
            <v>minute &amp; call</v>
          </cell>
        </row>
        <row r="29">
          <cell r="S29" t="str">
            <v>DOM AUS AUCM3</v>
          </cell>
          <cell r="T29" t="str">
            <v>DOM</v>
          </cell>
          <cell r="U29" t="str">
            <v>AUS</v>
          </cell>
          <cell r="V29" t="str">
            <v>AUCM3</v>
          </cell>
          <cell r="X29">
            <v>1.3125</v>
          </cell>
          <cell r="Y29">
            <v>0.1797</v>
          </cell>
          <cell r="Z29">
            <v>1.1953</v>
          </cell>
          <cell r="AA29">
            <v>0.1641</v>
          </cell>
          <cell r="AB29">
            <v>1.0859000000000001</v>
          </cell>
          <cell r="AC29">
            <v>0.1484</v>
          </cell>
          <cell r="AD29">
            <v>0.98440000000000005</v>
          </cell>
          <cell r="AE29">
            <v>0.1328</v>
          </cell>
          <cell r="AG29" t="str">
            <v/>
          </cell>
          <cell r="AH29" t="str">
            <v/>
          </cell>
          <cell r="AJ29">
            <v>1.3125</v>
          </cell>
          <cell r="AK29">
            <v>0.1797</v>
          </cell>
          <cell r="AL29">
            <v>1.1953</v>
          </cell>
          <cell r="AM29">
            <v>0.1641</v>
          </cell>
          <cell r="AN29">
            <v>1.0859000000000001</v>
          </cell>
          <cell r="AO29">
            <v>0.1484</v>
          </cell>
          <cell r="AP29">
            <v>0.98440000000000005</v>
          </cell>
          <cell r="AQ29">
            <v>0.1328</v>
          </cell>
          <cell r="AS29" t="str">
            <v/>
          </cell>
          <cell r="AT29" t="str">
            <v/>
          </cell>
          <cell r="AV29" t="b">
            <v>0</v>
          </cell>
          <cell r="AW29" t="str">
            <v>minute &amp; call</v>
          </cell>
        </row>
        <row r="30">
          <cell r="S30" t="str">
            <v>DOM AUS AUCM4</v>
          </cell>
          <cell r="T30" t="str">
            <v>DOM</v>
          </cell>
          <cell r="U30" t="str">
            <v>AUS</v>
          </cell>
          <cell r="V30" t="str">
            <v>AUCM4</v>
          </cell>
          <cell r="X30">
            <v>2.2422</v>
          </cell>
          <cell r="Y30">
            <v>0.1797</v>
          </cell>
          <cell r="Z30">
            <v>2.0390999999999999</v>
          </cell>
          <cell r="AA30">
            <v>0.1641</v>
          </cell>
          <cell r="AB30">
            <v>1.8515999999999999</v>
          </cell>
          <cell r="AC30">
            <v>0.1484</v>
          </cell>
          <cell r="AD30">
            <v>1.6797</v>
          </cell>
          <cell r="AE30">
            <v>0.1328</v>
          </cell>
          <cell r="AG30" t="str">
            <v/>
          </cell>
          <cell r="AH30" t="str">
            <v/>
          </cell>
          <cell r="AJ30">
            <v>2.2422</v>
          </cell>
          <cell r="AK30">
            <v>0.1797</v>
          </cell>
          <cell r="AL30">
            <v>2.0390999999999999</v>
          </cell>
          <cell r="AM30">
            <v>0.1641</v>
          </cell>
          <cell r="AN30">
            <v>1.8515999999999999</v>
          </cell>
          <cell r="AO30">
            <v>0.1484</v>
          </cell>
          <cell r="AP30">
            <v>1.6797</v>
          </cell>
          <cell r="AQ30">
            <v>0.1328</v>
          </cell>
          <cell r="AS30" t="str">
            <v/>
          </cell>
          <cell r="AT30" t="str">
            <v/>
          </cell>
          <cell r="AV30" t="b">
            <v>0</v>
          </cell>
          <cell r="AW30" t="str">
            <v>minute &amp; call</v>
          </cell>
        </row>
        <row r="31">
          <cell r="S31" t="str">
            <v>DOM AUS AUCM5</v>
          </cell>
          <cell r="T31" t="str">
            <v>DOM</v>
          </cell>
          <cell r="U31" t="str">
            <v>AUS</v>
          </cell>
          <cell r="V31" t="str">
            <v>AUCM5</v>
          </cell>
          <cell r="X31">
            <v>4.5312999999999999</v>
          </cell>
          <cell r="Y31">
            <v>0.1797</v>
          </cell>
          <cell r="Z31">
            <v>4.1172000000000004</v>
          </cell>
          <cell r="AA31">
            <v>0.1641</v>
          </cell>
          <cell r="AB31">
            <v>3.7422</v>
          </cell>
          <cell r="AC31">
            <v>0.1484</v>
          </cell>
          <cell r="AD31">
            <v>3.3984000000000001</v>
          </cell>
          <cell r="AE31">
            <v>0.1328</v>
          </cell>
          <cell r="AG31" t="str">
            <v/>
          </cell>
          <cell r="AH31" t="str">
            <v/>
          </cell>
          <cell r="AJ31">
            <v>4.5312999999999999</v>
          </cell>
          <cell r="AK31">
            <v>0.1797</v>
          </cell>
          <cell r="AL31">
            <v>4.1172000000000004</v>
          </cell>
          <cell r="AM31">
            <v>0.1641</v>
          </cell>
          <cell r="AN31">
            <v>3.7422</v>
          </cell>
          <cell r="AO31">
            <v>0.1484</v>
          </cell>
          <cell r="AP31">
            <v>3.3984000000000001</v>
          </cell>
          <cell r="AQ31">
            <v>0.1328</v>
          </cell>
          <cell r="AS31" t="str">
            <v/>
          </cell>
          <cell r="AT31" t="str">
            <v/>
          </cell>
          <cell r="AV31" t="b">
            <v>0</v>
          </cell>
          <cell r="AW31" t="str">
            <v>minute &amp; call</v>
          </cell>
        </row>
        <row r="32">
          <cell r="S32" t="str">
            <v>DOM AUS AUCM6</v>
          </cell>
          <cell r="T32" t="str">
            <v>DOM</v>
          </cell>
          <cell r="U32" t="str">
            <v>AUS</v>
          </cell>
          <cell r="V32" t="str">
            <v>AUCM6</v>
          </cell>
          <cell r="X32">
            <v>0.80469999999999997</v>
          </cell>
          <cell r="Y32">
            <v>0.28910000000000002</v>
          </cell>
          <cell r="Z32">
            <v>0.73440000000000005</v>
          </cell>
          <cell r="AA32">
            <v>0.2656</v>
          </cell>
          <cell r="AB32">
            <v>0.66410000000000002</v>
          </cell>
          <cell r="AC32">
            <v>0.2422</v>
          </cell>
          <cell r="AD32">
            <v>0.60160000000000002</v>
          </cell>
          <cell r="AE32">
            <v>0.21879999999999999</v>
          </cell>
          <cell r="AG32" t="str">
            <v/>
          </cell>
          <cell r="AH32" t="str">
            <v/>
          </cell>
          <cell r="AJ32">
            <v>0.80469999999999997</v>
          </cell>
          <cell r="AK32">
            <v>0.28910000000000002</v>
          </cell>
          <cell r="AL32">
            <v>0.73440000000000005</v>
          </cell>
          <cell r="AM32">
            <v>0.2656</v>
          </cell>
          <cell r="AN32">
            <v>0.66410000000000002</v>
          </cell>
          <cell r="AO32">
            <v>0.2422</v>
          </cell>
          <cell r="AP32">
            <v>0.60160000000000002</v>
          </cell>
          <cell r="AQ32">
            <v>0.21879999999999999</v>
          </cell>
          <cell r="AS32" t="str">
            <v/>
          </cell>
          <cell r="AT32" t="str">
            <v/>
          </cell>
          <cell r="AV32" t="b">
            <v>0</v>
          </cell>
          <cell r="AW32" t="str">
            <v>minute &amp; call</v>
          </cell>
        </row>
        <row r="33">
          <cell r="S33" t="str">
            <v>DOM AUS AUCM7</v>
          </cell>
          <cell r="T33" t="str">
            <v>DOM</v>
          </cell>
          <cell r="U33" t="str">
            <v>AUS</v>
          </cell>
          <cell r="V33" t="str">
            <v>AUCM7</v>
          </cell>
          <cell r="X33">
            <v>1.4375</v>
          </cell>
          <cell r="Y33">
            <v>1.4375</v>
          </cell>
          <cell r="Z33">
            <v>1.3047</v>
          </cell>
          <cell r="AA33">
            <v>1.3047</v>
          </cell>
          <cell r="AB33">
            <v>1.1875</v>
          </cell>
          <cell r="AC33">
            <v>1.1875</v>
          </cell>
          <cell r="AD33">
            <v>1.0781000000000001</v>
          </cell>
          <cell r="AE33">
            <v>1.0781000000000001</v>
          </cell>
          <cell r="AG33" t="str">
            <v/>
          </cell>
          <cell r="AH33" t="str">
            <v/>
          </cell>
          <cell r="AJ33">
            <v>1.4375</v>
          </cell>
          <cell r="AK33">
            <v>1.4375</v>
          </cell>
          <cell r="AL33">
            <v>1.3047</v>
          </cell>
          <cell r="AM33">
            <v>1.3047</v>
          </cell>
          <cell r="AN33">
            <v>1.1875</v>
          </cell>
          <cell r="AO33">
            <v>1.1875</v>
          </cell>
          <cell r="AP33">
            <v>1.0781000000000001</v>
          </cell>
          <cell r="AQ33">
            <v>1.0781000000000001</v>
          </cell>
          <cell r="AS33" t="str">
            <v/>
          </cell>
          <cell r="AT33" t="str">
            <v/>
          </cell>
          <cell r="AV33" t="b">
            <v>0</v>
          </cell>
          <cell r="AW33" t="str">
            <v>minute &amp; call</v>
          </cell>
        </row>
        <row r="34">
          <cell r="S34" t="str">
            <v>DOM AUS AUSM1</v>
          </cell>
          <cell r="T34" t="str">
            <v>DOM</v>
          </cell>
          <cell r="U34" t="str">
            <v>AUS</v>
          </cell>
          <cell r="V34" t="str">
            <v>AUSM1</v>
          </cell>
          <cell r="X34">
            <v>1.375</v>
          </cell>
          <cell r="Y34">
            <v>0</v>
          </cell>
          <cell r="Z34">
            <v>1.25</v>
          </cell>
          <cell r="AA34">
            <v>0</v>
          </cell>
          <cell r="AB34">
            <v>1.1328</v>
          </cell>
          <cell r="AC34">
            <v>0</v>
          </cell>
          <cell r="AD34">
            <v>1.0313000000000001</v>
          </cell>
          <cell r="AE34">
            <v>0</v>
          </cell>
          <cell r="AG34" t="str">
            <v/>
          </cell>
          <cell r="AH34" t="str">
            <v/>
          </cell>
          <cell r="AJ34">
            <v>1.375</v>
          </cell>
          <cell r="AK34">
            <v>0</v>
          </cell>
          <cell r="AL34">
            <v>1.25</v>
          </cell>
          <cell r="AM34">
            <v>0</v>
          </cell>
          <cell r="AN34">
            <v>1.1328</v>
          </cell>
          <cell r="AO34">
            <v>0</v>
          </cell>
          <cell r="AP34">
            <v>1.0313000000000001</v>
          </cell>
          <cell r="AQ34">
            <v>0</v>
          </cell>
          <cell r="AS34" t="str">
            <v/>
          </cell>
          <cell r="AT34" t="str">
            <v/>
          </cell>
          <cell r="AV34" t="b">
            <v>0</v>
          </cell>
          <cell r="AW34" t="str">
            <v>minute</v>
          </cell>
        </row>
        <row r="35">
          <cell r="S35" t="str">
            <v>DOM AUS AUSM2</v>
          </cell>
          <cell r="T35" t="str">
            <v>DOM</v>
          </cell>
          <cell r="U35" t="str">
            <v>AUS</v>
          </cell>
          <cell r="V35" t="str">
            <v>AUSM2</v>
          </cell>
          <cell r="X35">
            <v>5.0781000000000001</v>
          </cell>
          <cell r="Y35">
            <v>0</v>
          </cell>
          <cell r="Z35">
            <v>4.6875</v>
          </cell>
          <cell r="AA35">
            <v>0</v>
          </cell>
          <cell r="AB35">
            <v>4.2187999999999999</v>
          </cell>
          <cell r="AC35">
            <v>0</v>
          </cell>
          <cell r="AD35">
            <v>3.9062999999999999</v>
          </cell>
          <cell r="AE35">
            <v>0</v>
          </cell>
          <cell r="AG35" t="str">
            <v/>
          </cell>
          <cell r="AH35" t="str">
            <v/>
          </cell>
          <cell r="AJ35">
            <v>5.0781000000000001</v>
          </cell>
          <cell r="AK35">
            <v>0</v>
          </cell>
          <cell r="AL35">
            <v>4.6875</v>
          </cell>
          <cell r="AM35">
            <v>0</v>
          </cell>
          <cell r="AN35">
            <v>4.2187999999999999</v>
          </cell>
          <cell r="AO35">
            <v>0</v>
          </cell>
          <cell r="AP35">
            <v>3.9062999999999999</v>
          </cell>
          <cell r="AQ35">
            <v>0</v>
          </cell>
          <cell r="AS35" t="str">
            <v/>
          </cell>
          <cell r="AT35" t="str">
            <v/>
          </cell>
          <cell r="AV35" t="b">
            <v>0</v>
          </cell>
          <cell r="AW35" t="str">
            <v>minute</v>
          </cell>
        </row>
        <row r="36">
          <cell r="S36" t="str">
            <v>DOM AUS AUSM3</v>
          </cell>
          <cell r="T36" t="str">
            <v>DOM</v>
          </cell>
          <cell r="U36" t="str">
            <v>AUS</v>
          </cell>
          <cell r="V36" t="str">
            <v>AUSM3</v>
          </cell>
          <cell r="X36">
            <v>12.5</v>
          </cell>
          <cell r="Y36">
            <v>0</v>
          </cell>
          <cell r="Z36">
            <v>10.9375</v>
          </cell>
          <cell r="AA36">
            <v>0</v>
          </cell>
          <cell r="AB36">
            <v>10.1563</v>
          </cell>
          <cell r="AC36">
            <v>0</v>
          </cell>
          <cell r="AD36">
            <v>9.375</v>
          </cell>
          <cell r="AE36">
            <v>0</v>
          </cell>
          <cell r="AG36" t="str">
            <v/>
          </cell>
          <cell r="AH36" t="str">
            <v/>
          </cell>
          <cell r="AJ36">
            <v>12.5</v>
          </cell>
          <cell r="AK36">
            <v>0</v>
          </cell>
          <cell r="AL36">
            <v>10.9375</v>
          </cell>
          <cell r="AM36">
            <v>0</v>
          </cell>
          <cell r="AN36">
            <v>10.1563</v>
          </cell>
          <cell r="AO36">
            <v>0</v>
          </cell>
          <cell r="AP36">
            <v>9.375</v>
          </cell>
          <cell r="AQ36">
            <v>0</v>
          </cell>
          <cell r="AS36" t="str">
            <v/>
          </cell>
          <cell r="AT36" t="str">
            <v/>
          </cell>
          <cell r="AV36" t="b">
            <v>0</v>
          </cell>
          <cell r="AW36" t="str">
            <v>minute</v>
          </cell>
        </row>
        <row r="37">
          <cell r="S37" t="str">
            <v>DOM AUS AUSOP</v>
          </cell>
          <cell r="T37" t="str">
            <v>DOM</v>
          </cell>
          <cell r="U37" t="str">
            <v>AUS</v>
          </cell>
          <cell r="V37" t="str">
            <v>AUSOP</v>
          </cell>
          <cell r="X37">
            <v>2.3437999999999999</v>
          </cell>
          <cell r="Y37">
            <v>0.35160000000000002</v>
          </cell>
          <cell r="Z37">
            <v>2.1875</v>
          </cell>
          <cell r="AA37">
            <v>0.2969</v>
          </cell>
          <cell r="AB37">
            <v>1.8359000000000001</v>
          </cell>
          <cell r="AC37">
            <v>0.2422</v>
          </cell>
          <cell r="AD37">
            <v>1.6797</v>
          </cell>
          <cell r="AE37">
            <v>0.2031</v>
          </cell>
          <cell r="AG37" t="str">
            <v/>
          </cell>
          <cell r="AH37" t="str">
            <v/>
          </cell>
          <cell r="AJ37">
            <v>2.3437999999999999</v>
          </cell>
          <cell r="AK37">
            <v>0.35160000000000002</v>
          </cell>
          <cell r="AL37">
            <v>2.1875</v>
          </cell>
          <cell r="AM37">
            <v>0.2969</v>
          </cell>
          <cell r="AN37">
            <v>1.8359000000000001</v>
          </cell>
          <cell r="AO37">
            <v>0.2422</v>
          </cell>
          <cell r="AP37">
            <v>1.6797</v>
          </cell>
          <cell r="AQ37">
            <v>0.2031</v>
          </cell>
          <cell r="AS37" t="str">
            <v/>
          </cell>
          <cell r="AT37" t="str">
            <v/>
          </cell>
          <cell r="AV37" t="b">
            <v>0</v>
          </cell>
          <cell r="AW37" t="str">
            <v>minute &amp; call</v>
          </cell>
        </row>
        <row r="38">
          <cell r="S38" t="str">
            <v>DOM AUS AUST1</v>
          </cell>
          <cell r="T38" t="str">
            <v>DOM</v>
          </cell>
          <cell r="U38" t="str">
            <v>AUS</v>
          </cell>
          <cell r="V38" t="str">
            <v>AUST1</v>
          </cell>
          <cell r="X38">
            <v>0.42970000000000003</v>
          </cell>
          <cell r="Y38">
            <v>0.35160000000000002</v>
          </cell>
          <cell r="Z38">
            <v>0.3594</v>
          </cell>
          <cell r="AA38">
            <v>0.2969</v>
          </cell>
          <cell r="AB38">
            <v>0.2969</v>
          </cell>
          <cell r="AC38">
            <v>0.2422</v>
          </cell>
          <cell r="AD38">
            <v>0.25</v>
          </cell>
          <cell r="AE38">
            <v>0.2031</v>
          </cell>
          <cell r="AG38" t="str">
            <v/>
          </cell>
          <cell r="AH38" t="str">
            <v/>
          </cell>
          <cell r="AJ38">
            <v>0.42970000000000003</v>
          </cell>
          <cell r="AK38">
            <v>0.35160000000000002</v>
          </cell>
          <cell r="AL38">
            <v>0.3594</v>
          </cell>
          <cell r="AM38">
            <v>0.2969</v>
          </cell>
          <cell r="AN38">
            <v>0.2969</v>
          </cell>
          <cell r="AO38">
            <v>0.2422</v>
          </cell>
          <cell r="AP38">
            <v>0.25</v>
          </cell>
          <cell r="AQ38">
            <v>0.2031</v>
          </cell>
          <cell r="AS38" t="str">
            <v/>
          </cell>
          <cell r="AT38" t="str">
            <v/>
          </cell>
          <cell r="AV38" t="b">
            <v>0</v>
          </cell>
          <cell r="AW38" t="str">
            <v>minute &amp; call</v>
          </cell>
        </row>
        <row r="39">
          <cell r="S39" t="str">
            <v>DOM AUS AUST2</v>
          </cell>
          <cell r="T39" t="str">
            <v>DOM</v>
          </cell>
          <cell r="U39" t="str">
            <v>AUS</v>
          </cell>
          <cell r="V39" t="str">
            <v>AUST2</v>
          </cell>
          <cell r="X39">
            <v>1.0625</v>
          </cell>
          <cell r="Y39">
            <v>0.63280000000000003</v>
          </cell>
          <cell r="Z39">
            <v>0.88280000000000003</v>
          </cell>
          <cell r="AA39">
            <v>0.52339999999999998</v>
          </cell>
          <cell r="AB39">
            <v>0.73440000000000005</v>
          </cell>
          <cell r="AC39">
            <v>0.4375</v>
          </cell>
          <cell r="AD39">
            <v>0.61719999999999997</v>
          </cell>
          <cell r="AE39">
            <v>0.36720000000000003</v>
          </cell>
          <cell r="AG39" t="str">
            <v/>
          </cell>
          <cell r="AH39" t="str">
            <v/>
          </cell>
          <cell r="AJ39">
            <v>1.0625</v>
          </cell>
          <cell r="AK39">
            <v>0.63280000000000003</v>
          </cell>
          <cell r="AL39">
            <v>0.88280000000000003</v>
          </cell>
          <cell r="AM39">
            <v>0.52339999999999998</v>
          </cell>
          <cell r="AN39">
            <v>0.73440000000000005</v>
          </cell>
          <cell r="AO39">
            <v>0.4375</v>
          </cell>
          <cell r="AP39">
            <v>0.61719999999999997</v>
          </cell>
          <cell r="AQ39">
            <v>0.36720000000000003</v>
          </cell>
          <cell r="AS39" t="str">
            <v/>
          </cell>
          <cell r="AT39" t="str">
            <v/>
          </cell>
          <cell r="AV39" t="b">
            <v>0</v>
          </cell>
          <cell r="AW39" t="str">
            <v>minute &amp; call</v>
          </cell>
        </row>
        <row r="40">
          <cell r="S40" t="str">
            <v>DOM AUS AUSFR</v>
          </cell>
          <cell r="T40" t="str">
            <v>DOM</v>
          </cell>
          <cell r="U40" t="str">
            <v>AUS</v>
          </cell>
          <cell r="V40" t="str">
            <v>AUSFR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G40" t="str">
            <v/>
          </cell>
          <cell r="AH40" t="str">
            <v/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S40" t="str">
            <v/>
          </cell>
          <cell r="AT40" t="str">
            <v/>
          </cell>
          <cell r="AV40" t="b">
            <v>0</v>
          </cell>
          <cell r="AW40" t="str">
            <v>minute</v>
          </cell>
        </row>
        <row r="41">
          <cell r="S41" t="str">
            <v>DOM AUT ZAUT0</v>
          </cell>
          <cell r="T41" t="str">
            <v>DOM</v>
          </cell>
          <cell r="U41" t="str">
            <v>AUT</v>
          </cell>
          <cell r="V41" t="str">
            <v>ZAUT0</v>
          </cell>
          <cell r="X41">
            <v>2.1299999999999999E-2</v>
          </cell>
          <cell r="Y41">
            <v>0</v>
          </cell>
          <cell r="Z41">
            <v>1.9900000000000001E-2</v>
          </cell>
          <cell r="AA41">
            <v>0</v>
          </cell>
          <cell r="AB41">
            <v>1.8599999999999998E-2</v>
          </cell>
          <cell r="AC41">
            <v>0</v>
          </cell>
          <cell r="AD41">
            <v>1.7399999999999999E-2</v>
          </cell>
          <cell r="AE41">
            <v>0</v>
          </cell>
          <cell r="AG41" t="str">
            <v/>
          </cell>
          <cell r="AH41" t="str">
            <v/>
          </cell>
          <cell r="AJ41">
            <v>2.1299999999999999E-2</v>
          </cell>
          <cell r="AK41">
            <v>0</v>
          </cell>
          <cell r="AL41">
            <v>1.9900000000000001E-2</v>
          </cell>
          <cell r="AM41">
            <v>0</v>
          </cell>
          <cell r="AN41">
            <v>1.8599999999999998E-2</v>
          </cell>
          <cell r="AO41">
            <v>0</v>
          </cell>
          <cell r="AP41">
            <v>1.7399999999999999E-2</v>
          </cell>
          <cell r="AQ41">
            <v>0</v>
          </cell>
          <cell r="AS41" t="str">
            <v/>
          </cell>
          <cell r="AT41" t="str">
            <v/>
          </cell>
          <cell r="AV41" t="b">
            <v>1</v>
          </cell>
          <cell r="AW41" t="str">
            <v>minute</v>
          </cell>
        </row>
        <row r="42">
          <cell r="S42" t="str">
            <v>DOM AUT AUNAS</v>
          </cell>
          <cell r="T42" t="str">
            <v>DOM</v>
          </cell>
          <cell r="U42" t="str">
            <v>AUT</v>
          </cell>
          <cell r="V42" t="str">
            <v>AUNAS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G42" t="str">
            <v/>
          </cell>
          <cell r="AH42" t="str">
            <v/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S42" t="str">
            <v/>
          </cell>
          <cell r="AT42" t="str">
            <v/>
          </cell>
          <cell r="AV42" t="b">
            <v>0</v>
          </cell>
          <cell r="AW42" t="str">
            <v>minute</v>
          </cell>
        </row>
        <row r="43">
          <cell r="S43" t="str">
            <v>DOM AUT AUNCS</v>
          </cell>
          <cell r="T43" t="str">
            <v>DOM</v>
          </cell>
          <cell r="U43" t="str">
            <v>AUT</v>
          </cell>
          <cell r="V43" t="str">
            <v>AUNCS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G43" t="str">
            <v/>
          </cell>
          <cell r="AH43" t="str">
            <v/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S43" t="str">
            <v/>
          </cell>
          <cell r="AT43" t="str">
            <v/>
          </cell>
          <cell r="AV43" t="b">
            <v>0</v>
          </cell>
          <cell r="AW43" t="str">
            <v>minute</v>
          </cell>
        </row>
        <row r="44">
          <cell r="S44" t="str">
            <v>DOM AUT AUNS</v>
          </cell>
          <cell r="T44" t="str">
            <v>DOM</v>
          </cell>
          <cell r="U44" t="str">
            <v>AUT</v>
          </cell>
          <cell r="V44" t="str">
            <v>AUNS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G44" t="str">
            <v/>
          </cell>
          <cell r="AH44" t="str">
            <v/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S44" t="str">
            <v/>
          </cell>
          <cell r="AT44" t="str">
            <v/>
          </cell>
          <cell r="AV44" t="b">
            <v>0</v>
          </cell>
          <cell r="AW44" t="str">
            <v>minute</v>
          </cell>
        </row>
        <row r="45">
          <cell r="S45" t="str">
            <v>DOM AUT AUMKM</v>
          </cell>
          <cell r="T45" t="str">
            <v>DOM</v>
          </cell>
          <cell r="U45" t="str">
            <v>AUT</v>
          </cell>
          <cell r="V45" t="str">
            <v>AUMKM</v>
          </cell>
          <cell r="X45">
            <v>3.56E-2</v>
          </cell>
          <cell r="Y45">
            <v>0</v>
          </cell>
          <cell r="Z45">
            <v>3.3300000000000003E-2</v>
          </cell>
          <cell r="AA45">
            <v>0</v>
          </cell>
          <cell r="AB45">
            <v>3.1099999999999999E-2</v>
          </cell>
          <cell r="AC45">
            <v>0</v>
          </cell>
          <cell r="AD45">
            <v>2.9100000000000001E-2</v>
          </cell>
          <cell r="AE45">
            <v>0</v>
          </cell>
          <cell r="AG45" t="str">
            <v/>
          </cell>
          <cell r="AH45" t="str">
            <v/>
          </cell>
          <cell r="AJ45">
            <v>3.56E-2</v>
          </cell>
          <cell r="AK45">
            <v>0</v>
          </cell>
          <cell r="AL45">
            <v>3.3300000000000003E-2</v>
          </cell>
          <cell r="AM45">
            <v>0</v>
          </cell>
          <cell r="AN45">
            <v>3.1099999999999999E-2</v>
          </cell>
          <cell r="AO45">
            <v>0</v>
          </cell>
          <cell r="AP45">
            <v>2.9100000000000001E-2</v>
          </cell>
          <cell r="AQ45">
            <v>0</v>
          </cell>
          <cell r="AS45" t="str">
            <v/>
          </cell>
          <cell r="AT45" t="str">
            <v/>
          </cell>
          <cell r="AV45" t="b">
            <v>1</v>
          </cell>
          <cell r="AW45" t="str">
            <v>minute</v>
          </cell>
        </row>
        <row r="46">
          <cell r="S46" t="str">
            <v>DOM AUT AUM1</v>
          </cell>
          <cell r="T46" t="str">
            <v>DOM</v>
          </cell>
          <cell r="U46" t="str">
            <v>AUT</v>
          </cell>
          <cell r="V46" t="str">
            <v>AUM1</v>
          </cell>
          <cell r="X46">
            <v>3.56E-2</v>
          </cell>
          <cell r="Y46">
            <v>0</v>
          </cell>
          <cell r="Z46">
            <v>3.3300000000000003E-2</v>
          </cell>
          <cell r="AA46">
            <v>0</v>
          </cell>
          <cell r="AB46">
            <v>3.1099999999999999E-2</v>
          </cell>
          <cell r="AC46">
            <v>0</v>
          </cell>
          <cell r="AD46">
            <v>2.9100000000000001E-2</v>
          </cell>
          <cell r="AE46">
            <v>0</v>
          </cell>
          <cell r="AG46" t="str">
            <v/>
          </cell>
          <cell r="AH46" t="str">
            <v/>
          </cell>
          <cell r="AJ46">
            <v>3.56E-2</v>
          </cell>
          <cell r="AK46">
            <v>0</v>
          </cell>
          <cell r="AL46">
            <v>3.3300000000000003E-2</v>
          </cell>
          <cell r="AM46">
            <v>0</v>
          </cell>
          <cell r="AN46">
            <v>3.1099999999999999E-2</v>
          </cell>
          <cell r="AO46">
            <v>0</v>
          </cell>
          <cell r="AP46">
            <v>2.9100000000000001E-2</v>
          </cell>
          <cell r="AQ46">
            <v>0</v>
          </cell>
          <cell r="AS46" t="str">
            <v/>
          </cell>
          <cell r="AT46" t="str">
            <v/>
          </cell>
          <cell r="AV46" t="b">
            <v>1</v>
          </cell>
          <cell r="AW46" t="str">
            <v>minute</v>
          </cell>
        </row>
        <row r="47">
          <cell r="S47" t="str">
            <v>DOM AUT ZAUT3</v>
          </cell>
          <cell r="T47" t="str">
            <v>DOM</v>
          </cell>
          <cell r="U47" t="str">
            <v>AUT</v>
          </cell>
          <cell r="V47" t="str">
            <v>ZAUT3</v>
          </cell>
          <cell r="X47">
            <v>3.56E-2</v>
          </cell>
          <cell r="Y47">
            <v>0</v>
          </cell>
          <cell r="Z47">
            <v>3.3300000000000003E-2</v>
          </cell>
          <cell r="AA47">
            <v>0</v>
          </cell>
          <cell r="AB47">
            <v>3.1099999999999999E-2</v>
          </cell>
          <cell r="AC47">
            <v>0</v>
          </cell>
          <cell r="AD47">
            <v>2.9100000000000001E-2</v>
          </cell>
          <cell r="AE47">
            <v>0</v>
          </cell>
          <cell r="AG47" t="str">
            <v/>
          </cell>
          <cell r="AH47" t="str">
            <v/>
          </cell>
          <cell r="AJ47">
            <v>3.56E-2</v>
          </cell>
          <cell r="AK47">
            <v>0</v>
          </cell>
          <cell r="AL47">
            <v>3.3300000000000003E-2</v>
          </cell>
          <cell r="AM47">
            <v>0</v>
          </cell>
          <cell r="AN47">
            <v>3.1099999999999999E-2</v>
          </cell>
          <cell r="AO47">
            <v>0</v>
          </cell>
          <cell r="AP47">
            <v>2.9100000000000001E-2</v>
          </cell>
          <cell r="AQ47">
            <v>0</v>
          </cell>
          <cell r="AS47" t="str">
            <v/>
          </cell>
          <cell r="AT47" t="str">
            <v/>
          </cell>
          <cell r="AV47" t="b">
            <v>1</v>
          </cell>
          <cell r="AW47" t="str">
            <v>minute</v>
          </cell>
        </row>
        <row r="48">
          <cell r="S48" t="str">
            <v>DOM AUT AUMTG</v>
          </cell>
          <cell r="T48" t="str">
            <v>DOM</v>
          </cell>
          <cell r="U48" t="str">
            <v>AUT</v>
          </cell>
          <cell r="V48" t="str">
            <v>AUMTG</v>
          </cell>
          <cell r="X48">
            <v>3.56E-2</v>
          </cell>
          <cell r="Y48">
            <v>0</v>
          </cell>
          <cell r="Z48">
            <v>3.3300000000000003E-2</v>
          </cell>
          <cell r="AA48">
            <v>0</v>
          </cell>
          <cell r="AB48">
            <v>3.1099999999999999E-2</v>
          </cell>
          <cell r="AC48">
            <v>0</v>
          </cell>
          <cell r="AD48">
            <v>2.9100000000000001E-2</v>
          </cell>
          <cell r="AE48">
            <v>0</v>
          </cell>
          <cell r="AG48" t="str">
            <v/>
          </cell>
          <cell r="AH48" t="str">
            <v/>
          </cell>
          <cell r="AJ48">
            <v>3.56E-2</v>
          </cell>
          <cell r="AK48">
            <v>0</v>
          </cell>
          <cell r="AL48">
            <v>3.3300000000000003E-2</v>
          </cell>
          <cell r="AM48">
            <v>0</v>
          </cell>
          <cell r="AN48">
            <v>3.1099999999999999E-2</v>
          </cell>
          <cell r="AO48">
            <v>0</v>
          </cell>
          <cell r="AP48">
            <v>2.9100000000000001E-2</v>
          </cell>
          <cell r="AQ48">
            <v>0</v>
          </cell>
          <cell r="AS48" t="str">
            <v/>
          </cell>
          <cell r="AT48" t="str">
            <v/>
          </cell>
          <cell r="AV48" t="b">
            <v>1</v>
          </cell>
          <cell r="AW48" t="str">
            <v>minute</v>
          </cell>
        </row>
        <row r="49">
          <cell r="S49" t="str">
            <v>DOM AUT ATMT</v>
          </cell>
          <cell r="T49" t="str">
            <v>DOM</v>
          </cell>
          <cell r="U49" t="str">
            <v>AUT</v>
          </cell>
          <cell r="V49" t="str">
            <v>ATMT</v>
          </cell>
          <cell r="X49">
            <v>3.56E-2</v>
          </cell>
          <cell r="Y49">
            <v>0</v>
          </cell>
          <cell r="Z49">
            <v>3.3300000000000003E-2</v>
          </cell>
          <cell r="AA49">
            <v>0</v>
          </cell>
          <cell r="AB49">
            <v>3.1099999999999999E-2</v>
          </cell>
          <cell r="AC49">
            <v>0</v>
          </cell>
          <cell r="AD49">
            <v>2.9100000000000001E-2</v>
          </cell>
          <cell r="AE49">
            <v>0</v>
          </cell>
          <cell r="AG49" t="str">
            <v/>
          </cell>
          <cell r="AH49" t="str">
            <v/>
          </cell>
          <cell r="AJ49">
            <v>3.56E-2</v>
          </cell>
          <cell r="AK49">
            <v>0</v>
          </cell>
          <cell r="AL49">
            <v>3.3300000000000003E-2</v>
          </cell>
          <cell r="AM49">
            <v>0</v>
          </cell>
          <cell r="AN49">
            <v>3.1099999999999999E-2</v>
          </cell>
          <cell r="AO49">
            <v>0</v>
          </cell>
          <cell r="AP49">
            <v>2.9100000000000001E-2</v>
          </cell>
          <cell r="AQ49">
            <v>0</v>
          </cell>
          <cell r="AS49" t="str">
            <v/>
          </cell>
          <cell r="AT49" t="str">
            <v/>
          </cell>
          <cell r="AV49" t="b">
            <v>1</v>
          </cell>
          <cell r="AW49" t="str">
            <v>minute</v>
          </cell>
        </row>
        <row r="50">
          <cell r="S50" t="str">
            <v>DOM AUT AUCS</v>
          </cell>
          <cell r="T50" t="str">
            <v>DOM</v>
          </cell>
          <cell r="U50" t="str">
            <v>AUT</v>
          </cell>
          <cell r="V50" t="str">
            <v>AUCS</v>
          </cell>
          <cell r="X50">
            <v>3.15E-2</v>
          </cell>
          <cell r="Y50">
            <v>0</v>
          </cell>
          <cell r="Z50">
            <v>2.8799999999999999E-2</v>
          </cell>
          <cell r="AA50">
            <v>0</v>
          </cell>
          <cell r="AB50">
            <v>2.6200000000000001E-2</v>
          </cell>
          <cell r="AC50">
            <v>0</v>
          </cell>
          <cell r="AD50">
            <v>2.3599999999999999E-2</v>
          </cell>
          <cell r="AE50">
            <v>0</v>
          </cell>
          <cell r="AG50" t="str">
            <v/>
          </cell>
          <cell r="AH50" t="str">
            <v/>
          </cell>
          <cell r="AJ50">
            <v>3.15E-2</v>
          </cell>
          <cell r="AK50">
            <v>0</v>
          </cell>
          <cell r="AL50">
            <v>2.8799999999999999E-2</v>
          </cell>
          <cell r="AM50">
            <v>0</v>
          </cell>
          <cell r="AN50">
            <v>2.6200000000000001E-2</v>
          </cell>
          <cell r="AO50">
            <v>0</v>
          </cell>
          <cell r="AP50">
            <v>2.3599999999999999E-2</v>
          </cell>
          <cell r="AQ50">
            <v>0</v>
          </cell>
          <cell r="AS50" t="str">
            <v/>
          </cell>
          <cell r="AT50" t="str">
            <v/>
          </cell>
          <cell r="AV50" t="b">
            <v>0</v>
          </cell>
          <cell r="AW50" t="str">
            <v>minute</v>
          </cell>
        </row>
        <row r="51">
          <cell r="S51" t="str">
            <v>DOM AUT AUDIR</v>
          </cell>
          <cell r="T51" t="str">
            <v>DOM</v>
          </cell>
          <cell r="U51" t="str">
            <v>AUT</v>
          </cell>
          <cell r="V51" t="str">
            <v>AUDIR</v>
          </cell>
          <cell r="X51">
            <v>1.55</v>
          </cell>
          <cell r="Y51">
            <v>0</v>
          </cell>
          <cell r="Z51">
            <v>1.55</v>
          </cell>
          <cell r="AA51">
            <v>0</v>
          </cell>
          <cell r="AB51">
            <v>1.55</v>
          </cell>
          <cell r="AC51">
            <v>0</v>
          </cell>
          <cell r="AD51">
            <v>1.55</v>
          </cell>
          <cell r="AE51">
            <v>0</v>
          </cell>
          <cell r="AG51" t="str">
            <v/>
          </cell>
          <cell r="AH51" t="str">
            <v/>
          </cell>
          <cell r="AJ51">
            <v>1.55</v>
          </cell>
          <cell r="AK51">
            <v>0</v>
          </cell>
          <cell r="AL51">
            <v>1.55</v>
          </cell>
          <cell r="AM51">
            <v>0</v>
          </cell>
          <cell r="AN51">
            <v>1.55</v>
          </cell>
          <cell r="AO51">
            <v>0</v>
          </cell>
          <cell r="AP51">
            <v>1.55</v>
          </cell>
          <cell r="AQ51">
            <v>0</v>
          </cell>
          <cell r="AS51" t="str">
            <v/>
          </cell>
          <cell r="AT51" t="str">
            <v/>
          </cell>
          <cell r="AV51" t="b">
            <v>0</v>
          </cell>
          <cell r="AW51" t="str">
            <v>minute</v>
          </cell>
        </row>
        <row r="52">
          <cell r="S52" t="str">
            <v>DOM AUT ATDR1</v>
          </cell>
          <cell r="T52" t="str">
            <v>DOM</v>
          </cell>
          <cell r="U52" t="str">
            <v>AUT</v>
          </cell>
          <cell r="V52" t="str">
            <v>ATDR1</v>
          </cell>
          <cell r="X52">
            <v>0.1469</v>
          </cell>
          <cell r="Y52">
            <v>0</v>
          </cell>
          <cell r="Z52">
            <v>0.113</v>
          </cell>
          <cell r="AA52">
            <v>0</v>
          </cell>
          <cell r="AB52">
            <v>8.6900000000000005E-2</v>
          </cell>
          <cell r="AC52">
            <v>0</v>
          </cell>
          <cell r="AD52">
            <v>6.6900000000000001E-2</v>
          </cell>
          <cell r="AE52">
            <v>0</v>
          </cell>
          <cell r="AG52" t="str">
            <v/>
          </cell>
          <cell r="AH52" t="str">
            <v/>
          </cell>
          <cell r="AJ52">
            <v>0.1469</v>
          </cell>
          <cell r="AK52">
            <v>0</v>
          </cell>
          <cell r="AL52">
            <v>0.113</v>
          </cell>
          <cell r="AM52">
            <v>0</v>
          </cell>
          <cell r="AN52">
            <v>8.6900000000000005E-2</v>
          </cell>
          <cell r="AO52">
            <v>0</v>
          </cell>
          <cell r="AP52">
            <v>6.6900000000000001E-2</v>
          </cell>
          <cell r="AQ52">
            <v>0</v>
          </cell>
          <cell r="AS52" t="str">
            <v/>
          </cell>
          <cell r="AT52" t="str">
            <v/>
          </cell>
          <cell r="AV52" t="b">
            <v>0</v>
          </cell>
          <cell r="AW52" t="str">
            <v>minute</v>
          </cell>
        </row>
        <row r="53">
          <cell r="S53" t="str">
            <v>DOM AUT ATDR2</v>
          </cell>
          <cell r="T53" t="str">
            <v>DOM</v>
          </cell>
          <cell r="U53" t="str">
            <v>AUT</v>
          </cell>
          <cell r="V53" t="str">
            <v>ATDR2</v>
          </cell>
          <cell r="X53">
            <v>1.4498</v>
          </cell>
          <cell r="Y53">
            <v>0</v>
          </cell>
          <cell r="Z53">
            <v>1.1153</v>
          </cell>
          <cell r="AA53">
            <v>0</v>
          </cell>
          <cell r="AB53">
            <v>0.8579</v>
          </cell>
          <cell r="AC53">
            <v>0</v>
          </cell>
          <cell r="AD53">
            <v>0.65990000000000004</v>
          </cell>
          <cell r="AE53">
            <v>0</v>
          </cell>
          <cell r="AG53" t="str">
            <v/>
          </cell>
          <cell r="AH53" t="str">
            <v/>
          </cell>
          <cell r="AJ53">
            <v>1.4498</v>
          </cell>
          <cell r="AK53">
            <v>0</v>
          </cell>
          <cell r="AL53">
            <v>1.1153</v>
          </cell>
          <cell r="AM53">
            <v>0</v>
          </cell>
          <cell r="AN53">
            <v>0.8579</v>
          </cell>
          <cell r="AO53">
            <v>0</v>
          </cell>
          <cell r="AP53">
            <v>0.65990000000000004</v>
          </cell>
          <cell r="AQ53">
            <v>0</v>
          </cell>
          <cell r="AS53" t="str">
            <v/>
          </cell>
          <cell r="AT53" t="str">
            <v/>
          </cell>
          <cell r="AV53" t="b">
            <v>0</v>
          </cell>
          <cell r="AW53" t="str">
            <v>minute</v>
          </cell>
        </row>
        <row r="54">
          <cell r="S54" t="str">
            <v>DOM AUT ATDR3</v>
          </cell>
          <cell r="T54" t="str">
            <v>DOM</v>
          </cell>
          <cell r="U54" t="str">
            <v>AUT</v>
          </cell>
          <cell r="V54" t="str">
            <v>ATDR3</v>
          </cell>
          <cell r="X54">
            <v>1.8702000000000001</v>
          </cell>
          <cell r="Y54">
            <v>0</v>
          </cell>
          <cell r="Z54">
            <v>1.4386000000000001</v>
          </cell>
          <cell r="AA54">
            <v>0</v>
          </cell>
          <cell r="AB54">
            <v>1.1066</v>
          </cell>
          <cell r="AC54">
            <v>0</v>
          </cell>
          <cell r="AD54">
            <v>0.85119999999999996</v>
          </cell>
          <cell r="AE54">
            <v>0</v>
          </cell>
          <cell r="AG54" t="str">
            <v/>
          </cell>
          <cell r="AH54" t="str">
            <v/>
          </cell>
          <cell r="AJ54">
            <v>1.8702000000000001</v>
          </cell>
          <cell r="AK54">
            <v>0</v>
          </cell>
          <cell r="AL54">
            <v>1.4386000000000001</v>
          </cell>
          <cell r="AM54">
            <v>0</v>
          </cell>
          <cell r="AN54">
            <v>1.1066</v>
          </cell>
          <cell r="AO54">
            <v>0</v>
          </cell>
          <cell r="AP54">
            <v>0.85119999999999996</v>
          </cell>
          <cell r="AQ54">
            <v>0</v>
          </cell>
          <cell r="AS54" t="str">
            <v/>
          </cell>
          <cell r="AT54" t="str">
            <v/>
          </cell>
          <cell r="AV54" t="b">
            <v>0</v>
          </cell>
          <cell r="AW54" t="str">
            <v>minute</v>
          </cell>
        </row>
        <row r="55">
          <cell r="S55" t="str">
            <v>DOM AUT ATDR4</v>
          </cell>
          <cell r="T55" t="str">
            <v>DOM</v>
          </cell>
          <cell r="U55" t="str">
            <v>AUT</v>
          </cell>
          <cell r="V55" t="str">
            <v>ATDR4</v>
          </cell>
          <cell r="X55">
            <v>2.3186</v>
          </cell>
          <cell r="Y55">
            <v>0</v>
          </cell>
          <cell r="Z55">
            <v>1.7835000000000001</v>
          </cell>
          <cell r="AA55">
            <v>0</v>
          </cell>
          <cell r="AB55">
            <v>1.3714999999999999</v>
          </cell>
          <cell r="AC55">
            <v>0</v>
          </cell>
          <cell r="AD55">
            <v>1.0548999999999999</v>
          </cell>
          <cell r="AE55">
            <v>0</v>
          </cell>
          <cell r="AG55" t="str">
            <v/>
          </cell>
          <cell r="AH55" t="str">
            <v/>
          </cell>
          <cell r="AJ55">
            <v>2.3186</v>
          </cell>
          <cell r="AK55">
            <v>0</v>
          </cell>
          <cell r="AL55">
            <v>1.7835000000000001</v>
          </cell>
          <cell r="AM55">
            <v>0</v>
          </cell>
          <cell r="AN55">
            <v>1.3714999999999999</v>
          </cell>
          <cell r="AO55">
            <v>0</v>
          </cell>
          <cell r="AP55">
            <v>1.0548999999999999</v>
          </cell>
          <cell r="AQ55">
            <v>0</v>
          </cell>
          <cell r="AS55" t="str">
            <v/>
          </cell>
          <cell r="AT55" t="str">
            <v/>
          </cell>
          <cell r="AV55" t="b">
            <v>0</v>
          </cell>
          <cell r="AW55" t="str">
            <v>minute</v>
          </cell>
        </row>
        <row r="56">
          <cell r="S56" t="str">
            <v>DOM AUT ATDR5</v>
          </cell>
          <cell r="T56" t="str">
            <v>DOM</v>
          </cell>
          <cell r="U56" t="str">
            <v>AUT</v>
          </cell>
          <cell r="V56" t="str">
            <v>ATDR5</v>
          </cell>
          <cell r="X56">
            <v>2.8976999999999999</v>
          </cell>
          <cell r="Y56">
            <v>0</v>
          </cell>
          <cell r="Z56">
            <v>2.2290000000000001</v>
          </cell>
          <cell r="AA56">
            <v>0</v>
          </cell>
          <cell r="AB56">
            <v>1.7141999999999999</v>
          </cell>
          <cell r="AC56">
            <v>0</v>
          </cell>
          <cell r="AD56">
            <v>1.3188</v>
          </cell>
          <cell r="AE56">
            <v>0</v>
          </cell>
          <cell r="AG56" t="str">
            <v/>
          </cell>
          <cell r="AH56" t="str">
            <v/>
          </cell>
          <cell r="AJ56">
            <v>2.8976999999999999</v>
          </cell>
          <cell r="AK56">
            <v>0</v>
          </cell>
          <cell r="AL56">
            <v>2.2290000000000001</v>
          </cell>
          <cell r="AM56">
            <v>0</v>
          </cell>
          <cell r="AN56">
            <v>1.7141999999999999</v>
          </cell>
          <cell r="AO56">
            <v>0</v>
          </cell>
          <cell r="AP56">
            <v>1.3188</v>
          </cell>
          <cell r="AQ56">
            <v>0</v>
          </cell>
          <cell r="AS56" t="str">
            <v/>
          </cell>
          <cell r="AT56" t="str">
            <v/>
          </cell>
          <cell r="AV56" t="b">
            <v>0</v>
          </cell>
          <cell r="AW56" t="str">
            <v>minute</v>
          </cell>
        </row>
        <row r="57">
          <cell r="S57" t="str">
            <v>DOM AUT ATDR6</v>
          </cell>
          <cell r="T57" t="str">
            <v>DOM</v>
          </cell>
          <cell r="U57" t="str">
            <v>AUT</v>
          </cell>
          <cell r="V57" t="str">
            <v>ATDR6</v>
          </cell>
          <cell r="X57">
            <v>3.3319000000000001</v>
          </cell>
          <cell r="Y57">
            <v>0</v>
          </cell>
          <cell r="Z57">
            <v>2.5630000000000002</v>
          </cell>
          <cell r="AA57">
            <v>0</v>
          </cell>
          <cell r="AB57">
            <v>1.9716</v>
          </cell>
          <cell r="AC57">
            <v>0</v>
          </cell>
          <cell r="AD57">
            <v>1.5163</v>
          </cell>
          <cell r="AE57">
            <v>0</v>
          </cell>
          <cell r="AG57" t="str">
            <v/>
          </cell>
          <cell r="AH57" t="str">
            <v/>
          </cell>
          <cell r="AJ57">
            <v>3.3319000000000001</v>
          </cell>
          <cell r="AK57">
            <v>0</v>
          </cell>
          <cell r="AL57">
            <v>2.5630000000000002</v>
          </cell>
          <cell r="AM57">
            <v>0</v>
          </cell>
          <cell r="AN57">
            <v>1.9716</v>
          </cell>
          <cell r="AO57">
            <v>0</v>
          </cell>
          <cell r="AP57">
            <v>1.5163</v>
          </cell>
          <cell r="AQ57">
            <v>0</v>
          </cell>
          <cell r="AS57" t="str">
            <v/>
          </cell>
          <cell r="AT57" t="str">
            <v/>
          </cell>
          <cell r="AV57" t="b">
            <v>0</v>
          </cell>
          <cell r="AW57" t="str">
            <v>minute</v>
          </cell>
        </row>
        <row r="58">
          <cell r="S58" t="str">
            <v>DOM AUT ATDR7</v>
          </cell>
          <cell r="T58" t="str">
            <v>DOM</v>
          </cell>
          <cell r="U58" t="str">
            <v>AUT</v>
          </cell>
          <cell r="V58" t="str">
            <v>ATDR7</v>
          </cell>
          <cell r="X58">
            <v>3.8613</v>
          </cell>
          <cell r="Y58">
            <v>0</v>
          </cell>
          <cell r="Z58">
            <v>2.9702000000000002</v>
          </cell>
          <cell r="AA58">
            <v>0</v>
          </cell>
          <cell r="AB58">
            <v>2.2848000000000002</v>
          </cell>
          <cell r="AC58">
            <v>0</v>
          </cell>
          <cell r="AD58">
            <v>1.7575000000000001</v>
          </cell>
          <cell r="AE58">
            <v>0</v>
          </cell>
          <cell r="AG58" t="str">
            <v/>
          </cell>
          <cell r="AH58" t="str">
            <v/>
          </cell>
          <cell r="AJ58">
            <v>3.8613</v>
          </cell>
          <cell r="AK58">
            <v>0</v>
          </cell>
          <cell r="AL58">
            <v>2.9702000000000002</v>
          </cell>
          <cell r="AM58">
            <v>0</v>
          </cell>
          <cell r="AN58">
            <v>2.2848000000000002</v>
          </cell>
          <cell r="AO58">
            <v>0</v>
          </cell>
          <cell r="AP58">
            <v>1.7575000000000001</v>
          </cell>
          <cell r="AQ58">
            <v>0</v>
          </cell>
          <cell r="AS58" t="str">
            <v/>
          </cell>
          <cell r="AT58" t="str">
            <v/>
          </cell>
          <cell r="AV58" t="b">
            <v>0</v>
          </cell>
          <cell r="AW58" t="str">
            <v>minute</v>
          </cell>
        </row>
        <row r="59">
          <cell r="S59" t="str">
            <v>DOM AUT ATDR8</v>
          </cell>
          <cell r="T59" t="str">
            <v>DOM</v>
          </cell>
          <cell r="U59" t="str">
            <v>AUT</v>
          </cell>
          <cell r="V59" t="str">
            <v>ATDR8</v>
          </cell>
          <cell r="X59">
            <v>4.6349</v>
          </cell>
          <cell r="Y59">
            <v>0</v>
          </cell>
          <cell r="Z59">
            <v>3.5653000000000001</v>
          </cell>
          <cell r="AA59">
            <v>0</v>
          </cell>
          <cell r="AB59">
            <v>2.7425000000000002</v>
          </cell>
          <cell r="AC59">
            <v>0</v>
          </cell>
          <cell r="AD59">
            <v>2.1097000000000001</v>
          </cell>
          <cell r="AE59">
            <v>0</v>
          </cell>
          <cell r="AG59" t="str">
            <v/>
          </cell>
          <cell r="AH59" t="str">
            <v/>
          </cell>
          <cell r="AJ59">
            <v>4.6349</v>
          </cell>
          <cell r="AK59">
            <v>0</v>
          </cell>
          <cell r="AL59">
            <v>3.5653000000000001</v>
          </cell>
          <cell r="AM59">
            <v>0</v>
          </cell>
          <cell r="AN59">
            <v>2.7425000000000002</v>
          </cell>
          <cell r="AO59">
            <v>0</v>
          </cell>
          <cell r="AP59">
            <v>2.1097000000000001</v>
          </cell>
          <cell r="AQ59">
            <v>0</v>
          </cell>
          <cell r="AS59" t="str">
            <v/>
          </cell>
          <cell r="AT59" t="str">
            <v/>
          </cell>
          <cell r="AV59" t="b">
            <v>0</v>
          </cell>
          <cell r="AW59" t="str">
            <v>minute</v>
          </cell>
        </row>
        <row r="60">
          <cell r="S60" t="str">
            <v>DOM AUT ATDR9</v>
          </cell>
          <cell r="T60" t="str">
            <v>DOM</v>
          </cell>
          <cell r="U60" t="str">
            <v>AUT</v>
          </cell>
          <cell r="V60" t="str">
            <v>ATDR9</v>
          </cell>
          <cell r="X60">
            <v>7.7858000000000001</v>
          </cell>
          <cell r="Y60">
            <v>0</v>
          </cell>
          <cell r="Z60">
            <v>5.9889000000000001</v>
          </cell>
          <cell r="AA60">
            <v>0</v>
          </cell>
          <cell r="AB60">
            <v>4.6069000000000004</v>
          </cell>
          <cell r="AC60">
            <v>0</v>
          </cell>
          <cell r="AD60">
            <v>3.5438000000000001</v>
          </cell>
          <cell r="AE60">
            <v>0</v>
          </cell>
          <cell r="AG60" t="str">
            <v/>
          </cell>
          <cell r="AH60" t="str">
            <v/>
          </cell>
          <cell r="AJ60">
            <v>7.7858000000000001</v>
          </cell>
          <cell r="AK60">
            <v>0</v>
          </cell>
          <cell r="AL60">
            <v>5.9889000000000001</v>
          </cell>
          <cell r="AM60">
            <v>0</v>
          </cell>
          <cell r="AN60">
            <v>4.6069000000000004</v>
          </cell>
          <cell r="AO60">
            <v>0</v>
          </cell>
          <cell r="AP60">
            <v>3.5438000000000001</v>
          </cell>
          <cell r="AQ60">
            <v>0</v>
          </cell>
          <cell r="AS60" t="str">
            <v/>
          </cell>
          <cell r="AT60" t="str">
            <v/>
          </cell>
          <cell r="AV60" t="b">
            <v>0</v>
          </cell>
          <cell r="AW60" t="str">
            <v>minute</v>
          </cell>
        </row>
        <row r="61">
          <cell r="S61" t="str">
            <v>DOM AUT AUSOS</v>
          </cell>
          <cell r="T61" t="str">
            <v>DOM</v>
          </cell>
          <cell r="U61" t="str">
            <v>AUT</v>
          </cell>
          <cell r="V61" t="str">
            <v>AUSOS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 t="str">
            <v/>
          </cell>
          <cell r="AH61" t="str">
            <v/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S61" t="str">
            <v/>
          </cell>
          <cell r="AT61" t="str">
            <v/>
          </cell>
          <cell r="AV61" t="b">
            <v>0</v>
          </cell>
          <cell r="AW61" t="str">
            <v>minute</v>
          </cell>
        </row>
        <row r="62">
          <cell r="S62" t="str">
            <v>DOM AUT AUEUS</v>
          </cell>
          <cell r="T62" t="str">
            <v>DOM</v>
          </cell>
          <cell r="U62" t="str">
            <v>AUT</v>
          </cell>
          <cell r="V62" t="str">
            <v>AUEUS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G62" t="str">
            <v/>
          </cell>
          <cell r="AH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S62" t="str">
            <v/>
          </cell>
          <cell r="AT62" t="str">
            <v/>
          </cell>
          <cell r="AV62" t="b">
            <v>0</v>
          </cell>
          <cell r="AW62" t="str">
            <v>minute</v>
          </cell>
        </row>
        <row r="63">
          <cell r="S63" t="str">
            <v>DOM AUT AUMR</v>
          </cell>
          <cell r="T63" t="str">
            <v>DOM</v>
          </cell>
          <cell r="U63" t="str">
            <v>AUT</v>
          </cell>
          <cell r="V63" t="str">
            <v>AUMR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 t="str">
            <v/>
          </cell>
          <cell r="AH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S63" t="str">
            <v/>
          </cell>
          <cell r="AT63" t="str">
            <v/>
          </cell>
          <cell r="AV63" t="b">
            <v>0</v>
          </cell>
          <cell r="AW63" t="str">
            <v>minute</v>
          </cell>
        </row>
        <row r="64">
          <cell r="S64" t="str">
            <v>DOM AUT AUPR</v>
          </cell>
          <cell r="T64" t="str">
            <v>DOM</v>
          </cell>
          <cell r="U64" t="str">
            <v>AUT</v>
          </cell>
          <cell r="V64" t="str">
            <v>AUPR</v>
          </cell>
          <cell r="X64">
            <v>4.9099999999999998E-2</v>
          </cell>
          <cell r="Y64">
            <v>0</v>
          </cell>
          <cell r="Z64">
            <v>4.4999999999999998E-2</v>
          </cell>
          <cell r="AA64">
            <v>0</v>
          </cell>
          <cell r="AB64">
            <v>4.0899999999999999E-2</v>
          </cell>
          <cell r="AC64">
            <v>0</v>
          </cell>
          <cell r="AD64">
            <v>3.6799999999999999E-2</v>
          </cell>
          <cell r="AE64">
            <v>0</v>
          </cell>
          <cell r="AG64" t="str">
            <v/>
          </cell>
          <cell r="AH64" t="str">
            <v/>
          </cell>
          <cell r="AJ64">
            <v>4.9099999999999998E-2</v>
          </cell>
          <cell r="AK64">
            <v>0</v>
          </cell>
          <cell r="AL64">
            <v>4.4999999999999998E-2</v>
          </cell>
          <cell r="AM64">
            <v>0</v>
          </cell>
          <cell r="AN64">
            <v>4.0899999999999999E-2</v>
          </cell>
          <cell r="AO64">
            <v>0</v>
          </cell>
          <cell r="AP64">
            <v>3.6799999999999999E-2</v>
          </cell>
          <cell r="AQ64">
            <v>0</v>
          </cell>
          <cell r="AS64" t="str">
            <v/>
          </cell>
          <cell r="AT64" t="str">
            <v/>
          </cell>
          <cell r="AV64" t="b">
            <v>0</v>
          </cell>
          <cell r="AW64" t="str">
            <v>minute</v>
          </cell>
        </row>
        <row r="65">
          <cell r="S65" t="str">
            <v>DOM AUT AUPSN</v>
          </cell>
          <cell r="T65" t="str">
            <v>DOM</v>
          </cell>
          <cell r="U65" t="str">
            <v>AUT</v>
          </cell>
          <cell r="V65" t="str">
            <v>AUPSN</v>
          </cell>
          <cell r="X65">
            <v>1.7000000000000001E-2</v>
          </cell>
          <cell r="Y65">
            <v>0</v>
          </cell>
          <cell r="Z65">
            <v>1.7000000000000001E-2</v>
          </cell>
          <cell r="AA65">
            <v>0</v>
          </cell>
          <cell r="AB65">
            <v>1.7000000000000001E-2</v>
          </cell>
          <cell r="AC65">
            <v>0</v>
          </cell>
          <cell r="AD65">
            <v>1.7000000000000001E-2</v>
          </cell>
          <cell r="AE65">
            <v>0</v>
          </cell>
          <cell r="AG65" t="str">
            <v/>
          </cell>
          <cell r="AH65" t="str">
            <v/>
          </cell>
          <cell r="AJ65">
            <v>1.7000000000000001E-2</v>
          </cell>
          <cell r="AK65">
            <v>0</v>
          </cell>
          <cell r="AL65">
            <v>1.7000000000000001E-2</v>
          </cell>
          <cell r="AM65">
            <v>0</v>
          </cell>
          <cell r="AN65">
            <v>1.7000000000000001E-2</v>
          </cell>
          <cell r="AO65">
            <v>0</v>
          </cell>
          <cell r="AP65">
            <v>1.7000000000000001E-2</v>
          </cell>
          <cell r="AQ65">
            <v>0</v>
          </cell>
          <cell r="AS65" t="str">
            <v/>
          </cell>
          <cell r="AT65" t="str">
            <v/>
          </cell>
          <cell r="AV65" t="b">
            <v>0</v>
          </cell>
          <cell r="AW65" t="str">
            <v>minute</v>
          </cell>
        </row>
        <row r="66">
          <cell r="S66" t="str">
            <v>DOM AUT AU001</v>
          </cell>
          <cell r="T66" t="str">
            <v>DOM</v>
          </cell>
          <cell r="U66" t="str">
            <v>AUT</v>
          </cell>
          <cell r="V66" t="str">
            <v>AU001</v>
          </cell>
          <cell r="X66">
            <v>0.15140000000000001</v>
          </cell>
          <cell r="Y66">
            <v>0</v>
          </cell>
          <cell r="Z66">
            <v>0.15140000000000001</v>
          </cell>
          <cell r="AA66">
            <v>0</v>
          </cell>
          <cell r="AB66">
            <v>0.15140000000000001</v>
          </cell>
          <cell r="AC66">
            <v>0</v>
          </cell>
          <cell r="AD66">
            <v>0.15140000000000001</v>
          </cell>
          <cell r="AE66">
            <v>0</v>
          </cell>
          <cell r="AG66" t="str">
            <v/>
          </cell>
          <cell r="AH66" t="str">
            <v/>
          </cell>
          <cell r="AJ66">
            <v>0.15140000000000001</v>
          </cell>
          <cell r="AK66">
            <v>0</v>
          </cell>
          <cell r="AL66">
            <v>0.15140000000000001</v>
          </cell>
          <cell r="AM66">
            <v>0</v>
          </cell>
          <cell r="AN66">
            <v>0.15140000000000001</v>
          </cell>
          <cell r="AO66">
            <v>0</v>
          </cell>
          <cell r="AP66">
            <v>0.15140000000000001</v>
          </cell>
          <cell r="AQ66">
            <v>0</v>
          </cell>
          <cell r="AS66" t="str">
            <v/>
          </cell>
          <cell r="AT66" t="str">
            <v/>
          </cell>
          <cell r="AV66" t="b">
            <v>0</v>
          </cell>
          <cell r="AW66" t="str">
            <v>minute</v>
          </cell>
        </row>
        <row r="67">
          <cell r="S67" t="str">
            <v>DOM AUT AU00A</v>
          </cell>
          <cell r="T67" t="str">
            <v>DOM</v>
          </cell>
          <cell r="U67" t="str">
            <v>AUT</v>
          </cell>
          <cell r="V67" t="str">
            <v>AU00A</v>
          </cell>
          <cell r="X67">
            <v>0.60560000000000003</v>
          </cell>
          <cell r="Y67">
            <v>0</v>
          </cell>
          <cell r="Z67">
            <v>0.60560000000000003</v>
          </cell>
          <cell r="AA67">
            <v>0</v>
          </cell>
          <cell r="AB67">
            <v>0.60560000000000003</v>
          </cell>
          <cell r="AC67">
            <v>0</v>
          </cell>
          <cell r="AD67">
            <v>0.60560000000000003</v>
          </cell>
          <cell r="AE67">
            <v>0</v>
          </cell>
          <cell r="AG67" t="str">
            <v/>
          </cell>
          <cell r="AH67" t="str">
            <v/>
          </cell>
          <cell r="AJ67">
            <v>0.60560000000000003</v>
          </cell>
          <cell r="AK67">
            <v>0</v>
          </cell>
          <cell r="AL67">
            <v>0.60560000000000003</v>
          </cell>
          <cell r="AM67">
            <v>0</v>
          </cell>
          <cell r="AN67">
            <v>0.60560000000000003</v>
          </cell>
          <cell r="AO67">
            <v>0</v>
          </cell>
          <cell r="AP67">
            <v>0.60560000000000003</v>
          </cell>
          <cell r="AQ67">
            <v>0</v>
          </cell>
          <cell r="AS67" t="str">
            <v/>
          </cell>
          <cell r="AT67" t="str">
            <v/>
          </cell>
          <cell r="AV67" t="b">
            <v>0</v>
          </cell>
          <cell r="AW67" t="str">
            <v>minute</v>
          </cell>
        </row>
        <row r="68">
          <cell r="S68" t="str">
            <v>DOM AUT AU00B</v>
          </cell>
          <cell r="T68" t="str">
            <v>DOM</v>
          </cell>
          <cell r="U68" t="str">
            <v>AUT</v>
          </cell>
          <cell r="V68" t="str">
            <v>AU00B</v>
          </cell>
          <cell r="X68">
            <v>0.67589999999999995</v>
          </cell>
          <cell r="Y68">
            <v>0</v>
          </cell>
          <cell r="Z68">
            <v>0.67589999999999995</v>
          </cell>
          <cell r="AA68">
            <v>0</v>
          </cell>
          <cell r="AB68">
            <v>0.67589999999999995</v>
          </cell>
          <cell r="AC68">
            <v>0</v>
          </cell>
          <cell r="AD68">
            <v>0.67589999999999995</v>
          </cell>
          <cell r="AE68">
            <v>0</v>
          </cell>
          <cell r="AG68" t="str">
            <v/>
          </cell>
          <cell r="AH68" t="str">
            <v/>
          </cell>
          <cell r="AJ68">
            <v>0.67589999999999995</v>
          </cell>
          <cell r="AK68">
            <v>0</v>
          </cell>
          <cell r="AL68">
            <v>0.67589999999999995</v>
          </cell>
          <cell r="AM68">
            <v>0</v>
          </cell>
          <cell r="AN68">
            <v>0.67589999999999995</v>
          </cell>
          <cell r="AO68">
            <v>0</v>
          </cell>
          <cell r="AP68">
            <v>0.67589999999999995</v>
          </cell>
          <cell r="AQ68">
            <v>0</v>
          </cell>
          <cell r="AS68" t="str">
            <v/>
          </cell>
          <cell r="AT68" t="str">
            <v/>
          </cell>
          <cell r="AV68" t="b">
            <v>0</v>
          </cell>
          <cell r="AW68" t="str">
            <v>minute</v>
          </cell>
        </row>
        <row r="69">
          <cell r="S69" t="str">
            <v>DOM AUT AU00C</v>
          </cell>
          <cell r="T69" t="str">
            <v>DOM</v>
          </cell>
          <cell r="U69" t="str">
            <v>AUT</v>
          </cell>
          <cell r="V69" t="str">
            <v>AU00C</v>
          </cell>
          <cell r="X69">
            <v>0.72670000000000001</v>
          </cell>
          <cell r="Y69">
            <v>0</v>
          </cell>
          <cell r="Z69">
            <v>0.72670000000000001</v>
          </cell>
          <cell r="AA69">
            <v>0</v>
          </cell>
          <cell r="AB69">
            <v>0.72670000000000001</v>
          </cell>
          <cell r="AC69">
            <v>0</v>
          </cell>
          <cell r="AD69">
            <v>0.72670000000000001</v>
          </cell>
          <cell r="AE69">
            <v>0</v>
          </cell>
          <cell r="AG69" t="str">
            <v/>
          </cell>
          <cell r="AH69" t="str">
            <v/>
          </cell>
          <cell r="AJ69">
            <v>0.72670000000000001</v>
          </cell>
          <cell r="AK69">
            <v>0</v>
          </cell>
          <cell r="AL69">
            <v>0.72670000000000001</v>
          </cell>
          <cell r="AM69">
            <v>0</v>
          </cell>
          <cell r="AN69">
            <v>0.72670000000000001</v>
          </cell>
          <cell r="AO69">
            <v>0</v>
          </cell>
          <cell r="AP69">
            <v>0.72670000000000001</v>
          </cell>
          <cell r="AQ69">
            <v>0</v>
          </cell>
          <cell r="AS69" t="str">
            <v/>
          </cell>
          <cell r="AT69" t="str">
            <v/>
          </cell>
          <cell r="AV69" t="b">
            <v>0</v>
          </cell>
          <cell r="AW69" t="str">
            <v>minute</v>
          </cell>
        </row>
        <row r="70">
          <cell r="S70" t="str">
            <v>DOM AUT AU00D</v>
          </cell>
          <cell r="T70" t="str">
            <v>DOM</v>
          </cell>
          <cell r="U70" t="str">
            <v>AUT</v>
          </cell>
          <cell r="V70" t="str">
            <v>AU00D</v>
          </cell>
          <cell r="X70">
            <v>0.90110000000000001</v>
          </cell>
          <cell r="Y70">
            <v>0</v>
          </cell>
          <cell r="Z70">
            <v>0.90110000000000001</v>
          </cell>
          <cell r="AA70">
            <v>0</v>
          </cell>
          <cell r="AB70">
            <v>0.90110000000000001</v>
          </cell>
          <cell r="AC70">
            <v>0</v>
          </cell>
          <cell r="AD70">
            <v>0.90110000000000001</v>
          </cell>
          <cell r="AE70">
            <v>0</v>
          </cell>
          <cell r="AG70" t="str">
            <v/>
          </cell>
          <cell r="AH70" t="str">
            <v/>
          </cell>
          <cell r="AJ70">
            <v>0.90110000000000001</v>
          </cell>
          <cell r="AK70">
            <v>0</v>
          </cell>
          <cell r="AL70">
            <v>0.90110000000000001</v>
          </cell>
          <cell r="AM70">
            <v>0</v>
          </cell>
          <cell r="AN70">
            <v>0.90110000000000001</v>
          </cell>
          <cell r="AO70">
            <v>0</v>
          </cell>
          <cell r="AP70">
            <v>0.90110000000000001</v>
          </cell>
          <cell r="AQ70">
            <v>0</v>
          </cell>
          <cell r="AS70" t="str">
            <v/>
          </cell>
          <cell r="AT70" t="str">
            <v/>
          </cell>
          <cell r="AV70" t="b">
            <v>0</v>
          </cell>
          <cell r="AW70" t="str">
            <v>minute</v>
          </cell>
        </row>
        <row r="71">
          <cell r="S71" t="str">
            <v>DOM AUT AU00E</v>
          </cell>
          <cell r="T71" t="str">
            <v>DOM</v>
          </cell>
          <cell r="U71" t="str">
            <v>AUT</v>
          </cell>
          <cell r="V71" t="str">
            <v>AU00E</v>
          </cell>
          <cell r="X71">
            <v>1.1264000000000001</v>
          </cell>
          <cell r="Y71">
            <v>0</v>
          </cell>
          <cell r="Z71">
            <v>1.1264000000000001</v>
          </cell>
          <cell r="AA71">
            <v>0</v>
          </cell>
          <cell r="AB71">
            <v>1.1264000000000001</v>
          </cell>
          <cell r="AC71">
            <v>0</v>
          </cell>
          <cell r="AD71">
            <v>1.1264000000000001</v>
          </cell>
          <cell r="AE71">
            <v>0</v>
          </cell>
          <cell r="AG71" t="str">
            <v/>
          </cell>
          <cell r="AH71" t="str">
            <v/>
          </cell>
          <cell r="AJ71">
            <v>1.1264000000000001</v>
          </cell>
          <cell r="AK71">
            <v>0</v>
          </cell>
          <cell r="AL71">
            <v>1.1264000000000001</v>
          </cell>
          <cell r="AM71">
            <v>0</v>
          </cell>
          <cell r="AN71">
            <v>1.1264000000000001</v>
          </cell>
          <cell r="AO71">
            <v>0</v>
          </cell>
          <cell r="AP71">
            <v>1.1264000000000001</v>
          </cell>
          <cell r="AQ71">
            <v>0</v>
          </cell>
          <cell r="AS71" t="str">
            <v/>
          </cell>
          <cell r="AT71" t="str">
            <v/>
          </cell>
          <cell r="AV71" t="b">
            <v>0</v>
          </cell>
          <cell r="AW71" t="str">
            <v>minute</v>
          </cell>
        </row>
        <row r="72">
          <cell r="S72" t="str">
            <v>DOM AUT AU00F</v>
          </cell>
          <cell r="T72" t="str">
            <v>DOM</v>
          </cell>
          <cell r="U72" t="str">
            <v>AUT</v>
          </cell>
          <cell r="V72" t="str">
            <v>AU00F</v>
          </cell>
          <cell r="X72">
            <v>1.2954000000000001</v>
          </cell>
          <cell r="Y72">
            <v>0</v>
          </cell>
          <cell r="Z72">
            <v>1.2954000000000001</v>
          </cell>
          <cell r="AA72">
            <v>0</v>
          </cell>
          <cell r="AB72">
            <v>1.2954000000000001</v>
          </cell>
          <cell r="AC72">
            <v>0</v>
          </cell>
          <cell r="AD72">
            <v>1.2954000000000001</v>
          </cell>
          <cell r="AE72">
            <v>0</v>
          </cell>
          <cell r="AG72" t="str">
            <v/>
          </cell>
          <cell r="AH72" t="str">
            <v/>
          </cell>
          <cell r="AJ72">
            <v>1.2954000000000001</v>
          </cell>
          <cell r="AK72">
            <v>0</v>
          </cell>
          <cell r="AL72">
            <v>1.2954000000000001</v>
          </cell>
          <cell r="AM72">
            <v>0</v>
          </cell>
          <cell r="AN72">
            <v>1.2954000000000001</v>
          </cell>
          <cell r="AO72">
            <v>0</v>
          </cell>
          <cell r="AP72">
            <v>1.2954000000000001</v>
          </cell>
          <cell r="AQ72">
            <v>0</v>
          </cell>
          <cell r="AS72" t="str">
            <v/>
          </cell>
          <cell r="AT72" t="str">
            <v/>
          </cell>
          <cell r="AV72" t="b">
            <v>0</v>
          </cell>
          <cell r="AW72" t="str">
            <v>minute</v>
          </cell>
        </row>
        <row r="73">
          <cell r="S73" t="str">
            <v>DOM AUT AU00G</v>
          </cell>
          <cell r="T73" t="str">
            <v>DOM</v>
          </cell>
          <cell r="U73" t="str">
            <v>AUT</v>
          </cell>
          <cell r="V73" t="str">
            <v>AU00G</v>
          </cell>
          <cell r="X73">
            <v>1.5013000000000001</v>
          </cell>
          <cell r="Y73">
            <v>0</v>
          </cell>
          <cell r="Z73">
            <v>1.5013000000000001</v>
          </cell>
          <cell r="AA73">
            <v>0</v>
          </cell>
          <cell r="AB73">
            <v>1.5013000000000001</v>
          </cell>
          <cell r="AC73">
            <v>0</v>
          </cell>
          <cell r="AD73">
            <v>1.5013000000000001</v>
          </cell>
          <cell r="AE73">
            <v>0</v>
          </cell>
          <cell r="AG73" t="str">
            <v/>
          </cell>
          <cell r="AH73" t="str">
            <v/>
          </cell>
          <cell r="AJ73">
            <v>1.5013000000000001</v>
          </cell>
          <cell r="AK73">
            <v>0</v>
          </cell>
          <cell r="AL73">
            <v>1.5013000000000001</v>
          </cell>
          <cell r="AM73">
            <v>0</v>
          </cell>
          <cell r="AN73">
            <v>1.5013000000000001</v>
          </cell>
          <cell r="AO73">
            <v>0</v>
          </cell>
          <cell r="AP73">
            <v>1.5013000000000001</v>
          </cell>
          <cell r="AQ73">
            <v>0</v>
          </cell>
          <cell r="AS73" t="str">
            <v/>
          </cell>
          <cell r="AT73" t="str">
            <v/>
          </cell>
          <cell r="AV73" t="b">
            <v>0</v>
          </cell>
          <cell r="AW73" t="str">
            <v>minute</v>
          </cell>
        </row>
        <row r="74">
          <cell r="S74" t="str">
            <v>DOM AUT AU00H</v>
          </cell>
          <cell r="T74" t="str">
            <v>DOM</v>
          </cell>
          <cell r="U74" t="str">
            <v>AUT</v>
          </cell>
          <cell r="V74" t="str">
            <v>AU00H</v>
          </cell>
          <cell r="X74">
            <v>1.8023</v>
          </cell>
          <cell r="Y74">
            <v>0</v>
          </cell>
          <cell r="Z74">
            <v>1.8023</v>
          </cell>
          <cell r="AA74">
            <v>0</v>
          </cell>
          <cell r="AB74">
            <v>1.8023</v>
          </cell>
          <cell r="AC74">
            <v>0</v>
          </cell>
          <cell r="AD74">
            <v>1.8023</v>
          </cell>
          <cell r="AE74">
            <v>0</v>
          </cell>
          <cell r="AG74" t="str">
            <v/>
          </cell>
          <cell r="AH74" t="str">
            <v/>
          </cell>
          <cell r="AJ74">
            <v>1.8023</v>
          </cell>
          <cell r="AK74">
            <v>0</v>
          </cell>
          <cell r="AL74">
            <v>1.8023</v>
          </cell>
          <cell r="AM74">
            <v>0</v>
          </cell>
          <cell r="AN74">
            <v>1.8023</v>
          </cell>
          <cell r="AO74">
            <v>0</v>
          </cell>
          <cell r="AP74">
            <v>1.8023</v>
          </cell>
          <cell r="AQ74">
            <v>0</v>
          </cell>
          <cell r="AS74" t="str">
            <v/>
          </cell>
          <cell r="AT74" t="str">
            <v/>
          </cell>
          <cell r="AV74" t="b">
            <v>0</v>
          </cell>
          <cell r="AW74" t="str">
            <v>minute</v>
          </cell>
        </row>
        <row r="75">
          <cell r="S75" t="str">
            <v>DOM AUT AU00I</v>
          </cell>
          <cell r="T75" t="str">
            <v>DOM</v>
          </cell>
          <cell r="U75" t="str">
            <v>AUT</v>
          </cell>
          <cell r="V75" t="str">
            <v>AU00I</v>
          </cell>
          <cell r="X75">
            <v>3.028</v>
          </cell>
          <cell r="Y75">
            <v>0</v>
          </cell>
          <cell r="Z75">
            <v>3.028</v>
          </cell>
          <cell r="AA75">
            <v>0</v>
          </cell>
          <cell r="AB75">
            <v>3.028</v>
          </cell>
          <cell r="AC75">
            <v>0</v>
          </cell>
          <cell r="AD75">
            <v>3.028</v>
          </cell>
          <cell r="AE75">
            <v>0</v>
          </cell>
          <cell r="AG75" t="str">
            <v/>
          </cell>
          <cell r="AH75" t="str">
            <v/>
          </cell>
          <cell r="AJ75">
            <v>3.028</v>
          </cell>
          <cell r="AK75">
            <v>0</v>
          </cell>
          <cell r="AL75">
            <v>3.028</v>
          </cell>
          <cell r="AM75">
            <v>0</v>
          </cell>
          <cell r="AN75">
            <v>3.028</v>
          </cell>
          <cell r="AO75">
            <v>0</v>
          </cell>
          <cell r="AP75">
            <v>3.028</v>
          </cell>
          <cell r="AQ75">
            <v>0</v>
          </cell>
          <cell r="AS75" t="str">
            <v/>
          </cell>
          <cell r="AT75" t="str">
            <v/>
          </cell>
          <cell r="AV75" t="b">
            <v>0</v>
          </cell>
          <cell r="AW75" t="str">
            <v>minute</v>
          </cell>
        </row>
        <row r="76">
          <cell r="S76" t="str">
            <v>DOM AUT AU002</v>
          </cell>
          <cell r="T76" t="str">
            <v>DOM</v>
          </cell>
          <cell r="U76" t="str">
            <v>AUT</v>
          </cell>
          <cell r="V76" t="str">
            <v>AU002</v>
          </cell>
          <cell r="X76">
            <v>0.1817</v>
          </cell>
          <cell r="Y76">
            <v>0</v>
          </cell>
          <cell r="Z76">
            <v>0.1817</v>
          </cell>
          <cell r="AA76">
            <v>0</v>
          </cell>
          <cell r="AB76">
            <v>0.1817</v>
          </cell>
          <cell r="AC76">
            <v>0</v>
          </cell>
          <cell r="AD76">
            <v>0.1817</v>
          </cell>
          <cell r="AE76">
            <v>0</v>
          </cell>
          <cell r="AG76" t="str">
            <v/>
          </cell>
          <cell r="AH76" t="str">
            <v/>
          </cell>
          <cell r="AJ76">
            <v>0.1817</v>
          </cell>
          <cell r="AK76">
            <v>0</v>
          </cell>
          <cell r="AL76">
            <v>0.1817</v>
          </cell>
          <cell r="AM76">
            <v>0</v>
          </cell>
          <cell r="AN76">
            <v>0.1817</v>
          </cell>
          <cell r="AO76">
            <v>0</v>
          </cell>
          <cell r="AP76">
            <v>0.1817</v>
          </cell>
          <cell r="AQ76">
            <v>0</v>
          </cell>
          <cell r="AS76" t="str">
            <v/>
          </cell>
          <cell r="AT76" t="str">
            <v/>
          </cell>
          <cell r="AV76" t="b">
            <v>0</v>
          </cell>
          <cell r="AW76" t="str">
            <v>minute</v>
          </cell>
        </row>
        <row r="77">
          <cell r="S77" t="str">
            <v>DOM AUT AU003</v>
          </cell>
          <cell r="T77" t="str">
            <v>DOM</v>
          </cell>
          <cell r="U77" t="str">
            <v>AUT</v>
          </cell>
          <cell r="V77" t="str">
            <v>AU003</v>
          </cell>
          <cell r="X77">
            <v>0.2253</v>
          </cell>
          <cell r="Y77">
            <v>0</v>
          </cell>
          <cell r="Z77">
            <v>0.2253</v>
          </cell>
          <cell r="AA77">
            <v>0</v>
          </cell>
          <cell r="AB77">
            <v>0.2253</v>
          </cell>
          <cell r="AC77">
            <v>0</v>
          </cell>
          <cell r="AD77">
            <v>0.2253</v>
          </cell>
          <cell r="AE77">
            <v>0</v>
          </cell>
          <cell r="AG77" t="str">
            <v/>
          </cell>
          <cell r="AH77" t="str">
            <v/>
          </cell>
          <cell r="AJ77">
            <v>0.2253</v>
          </cell>
          <cell r="AK77">
            <v>0</v>
          </cell>
          <cell r="AL77">
            <v>0.2253</v>
          </cell>
          <cell r="AM77">
            <v>0</v>
          </cell>
          <cell r="AN77">
            <v>0.2253</v>
          </cell>
          <cell r="AO77">
            <v>0</v>
          </cell>
          <cell r="AP77">
            <v>0.2253</v>
          </cell>
          <cell r="AQ77">
            <v>0</v>
          </cell>
          <cell r="AS77" t="str">
            <v/>
          </cell>
          <cell r="AT77" t="str">
            <v/>
          </cell>
          <cell r="AV77" t="b">
            <v>0</v>
          </cell>
          <cell r="AW77" t="str">
            <v>minute</v>
          </cell>
        </row>
        <row r="78">
          <cell r="S78" t="str">
            <v>DOM AUT AU004</v>
          </cell>
          <cell r="T78" t="str">
            <v>DOM</v>
          </cell>
          <cell r="U78" t="str">
            <v>AUT</v>
          </cell>
          <cell r="V78" t="str">
            <v>AU004</v>
          </cell>
          <cell r="X78">
            <v>0.27010000000000001</v>
          </cell>
          <cell r="Y78">
            <v>0</v>
          </cell>
          <cell r="Z78">
            <v>0.27010000000000001</v>
          </cell>
          <cell r="AA78">
            <v>0</v>
          </cell>
          <cell r="AB78">
            <v>0.27010000000000001</v>
          </cell>
          <cell r="AC78">
            <v>0</v>
          </cell>
          <cell r="AD78">
            <v>0.27010000000000001</v>
          </cell>
          <cell r="AE78">
            <v>0</v>
          </cell>
          <cell r="AG78" t="str">
            <v/>
          </cell>
          <cell r="AH78" t="str">
            <v/>
          </cell>
          <cell r="AJ78">
            <v>0.27010000000000001</v>
          </cell>
          <cell r="AK78">
            <v>0</v>
          </cell>
          <cell r="AL78">
            <v>0.27010000000000001</v>
          </cell>
          <cell r="AM78">
            <v>0</v>
          </cell>
          <cell r="AN78">
            <v>0.27010000000000001</v>
          </cell>
          <cell r="AO78">
            <v>0</v>
          </cell>
          <cell r="AP78">
            <v>0.27010000000000001</v>
          </cell>
          <cell r="AQ78">
            <v>0</v>
          </cell>
          <cell r="AS78" t="str">
            <v/>
          </cell>
          <cell r="AT78" t="str">
            <v/>
          </cell>
          <cell r="AV78" t="b">
            <v>0</v>
          </cell>
          <cell r="AW78" t="str">
            <v>minute</v>
          </cell>
        </row>
        <row r="79">
          <cell r="S79" t="str">
            <v>DOM AUT AU005</v>
          </cell>
          <cell r="T79" t="str">
            <v>DOM</v>
          </cell>
          <cell r="U79" t="str">
            <v>AUT</v>
          </cell>
          <cell r="V79" t="str">
            <v>AU005</v>
          </cell>
          <cell r="X79">
            <v>0.32100000000000001</v>
          </cell>
          <cell r="Y79">
            <v>0</v>
          </cell>
          <cell r="Z79">
            <v>0.32100000000000001</v>
          </cell>
          <cell r="AA79">
            <v>0</v>
          </cell>
          <cell r="AB79">
            <v>0.32100000000000001</v>
          </cell>
          <cell r="AC79">
            <v>0</v>
          </cell>
          <cell r="AD79">
            <v>0.32100000000000001</v>
          </cell>
          <cell r="AE79">
            <v>0</v>
          </cell>
          <cell r="AG79" t="str">
            <v/>
          </cell>
          <cell r="AH79" t="str">
            <v/>
          </cell>
          <cell r="AJ79">
            <v>0.32100000000000001</v>
          </cell>
          <cell r="AK79">
            <v>0</v>
          </cell>
          <cell r="AL79">
            <v>0.32100000000000001</v>
          </cell>
          <cell r="AM79">
            <v>0</v>
          </cell>
          <cell r="AN79">
            <v>0.32100000000000001</v>
          </cell>
          <cell r="AO79">
            <v>0</v>
          </cell>
          <cell r="AP79">
            <v>0.32100000000000001</v>
          </cell>
          <cell r="AQ79">
            <v>0</v>
          </cell>
          <cell r="AS79" t="str">
            <v/>
          </cell>
          <cell r="AT79" t="str">
            <v/>
          </cell>
          <cell r="AV79" t="b">
            <v>0</v>
          </cell>
          <cell r="AW79" t="str">
            <v>minute</v>
          </cell>
        </row>
        <row r="80">
          <cell r="S80" t="str">
            <v>DOM AUT AU006</v>
          </cell>
          <cell r="T80" t="str">
            <v>DOM</v>
          </cell>
          <cell r="U80" t="str">
            <v>AUT</v>
          </cell>
          <cell r="V80" t="str">
            <v>AU006</v>
          </cell>
          <cell r="X80">
            <v>0.37490000000000001</v>
          </cell>
          <cell r="Y80">
            <v>0</v>
          </cell>
          <cell r="Z80">
            <v>0.37490000000000001</v>
          </cell>
          <cell r="AA80">
            <v>0</v>
          </cell>
          <cell r="AB80">
            <v>0.37490000000000001</v>
          </cell>
          <cell r="AC80">
            <v>0</v>
          </cell>
          <cell r="AD80">
            <v>0.37490000000000001</v>
          </cell>
          <cell r="AE80">
            <v>0</v>
          </cell>
          <cell r="AG80" t="str">
            <v/>
          </cell>
          <cell r="AH80" t="str">
            <v/>
          </cell>
          <cell r="AJ80">
            <v>0.37490000000000001</v>
          </cell>
          <cell r="AK80">
            <v>0</v>
          </cell>
          <cell r="AL80">
            <v>0.37490000000000001</v>
          </cell>
          <cell r="AM80">
            <v>0</v>
          </cell>
          <cell r="AN80">
            <v>0.37490000000000001</v>
          </cell>
          <cell r="AO80">
            <v>0</v>
          </cell>
          <cell r="AP80">
            <v>0.37490000000000001</v>
          </cell>
          <cell r="AQ80">
            <v>0</v>
          </cell>
          <cell r="AS80" t="str">
            <v/>
          </cell>
          <cell r="AT80" t="str">
            <v/>
          </cell>
          <cell r="AV80" t="b">
            <v>0</v>
          </cell>
          <cell r="AW80" t="str">
            <v>minute</v>
          </cell>
        </row>
        <row r="81">
          <cell r="S81" t="str">
            <v>DOM AUT AU007</v>
          </cell>
          <cell r="T81" t="str">
            <v>DOM</v>
          </cell>
          <cell r="U81" t="str">
            <v>AUT</v>
          </cell>
          <cell r="V81" t="str">
            <v>AU007</v>
          </cell>
          <cell r="X81">
            <v>0.43909999999999999</v>
          </cell>
          <cell r="Y81">
            <v>0</v>
          </cell>
          <cell r="Z81">
            <v>0.43909999999999999</v>
          </cell>
          <cell r="AA81">
            <v>0</v>
          </cell>
          <cell r="AB81">
            <v>0.43909999999999999</v>
          </cell>
          <cell r="AC81">
            <v>0</v>
          </cell>
          <cell r="AD81">
            <v>0.43909999999999999</v>
          </cell>
          <cell r="AE81">
            <v>0</v>
          </cell>
          <cell r="AG81" t="str">
            <v/>
          </cell>
          <cell r="AH81" t="str">
            <v/>
          </cell>
          <cell r="AJ81">
            <v>0.43909999999999999</v>
          </cell>
          <cell r="AK81">
            <v>0</v>
          </cell>
          <cell r="AL81">
            <v>0.43909999999999999</v>
          </cell>
          <cell r="AM81">
            <v>0</v>
          </cell>
          <cell r="AN81">
            <v>0.43909999999999999</v>
          </cell>
          <cell r="AO81">
            <v>0</v>
          </cell>
          <cell r="AP81">
            <v>0.43909999999999999</v>
          </cell>
          <cell r="AQ81">
            <v>0</v>
          </cell>
          <cell r="AS81" t="str">
            <v/>
          </cell>
          <cell r="AT81" t="str">
            <v/>
          </cell>
          <cell r="AV81" t="b">
            <v>0</v>
          </cell>
          <cell r="AW81" t="str">
            <v>minute</v>
          </cell>
        </row>
        <row r="82">
          <cell r="S82" t="str">
            <v>DOM AUT AU008</v>
          </cell>
          <cell r="T82" t="str">
            <v>DOM</v>
          </cell>
          <cell r="U82" t="str">
            <v>AUT</v>
          </cell>
          <cell r="V82" t="str">
            <v>AU008</v>
          </cell>
          <cell r="X82">
            <v>0.50690000000000002</v>
          </cell>
          <cell r="Y82">
            <v>0</v>
          </cell>
          <cell r="Z82">
            <v>0.50690000000000002</v>
          </cell>
          <cell r="AA82">
            <v>0</v>
          </cell>
          <cell r="AB82">
            <v>0.50690000000000002</v>
          </cell>
          <cell r="AC82">
            <v>0</v>
          </cell>
          <cell r="AD82">
            <v>0.50690000000000002</v>
          </cell>
          <cell r="AE82">
            <v>0</v>
          </cell>
          <cell r="AG82" t="str">
            <v/>
          </cell>
          <cell r="AH82" t="str">
            <v/>
          </cell>
          <cell r="AJ82">
            <v>0.50690000000000002</v>
          </cell>
          <cell r="AK82">
            <v>0</v>
          </cell>
          <cell r="AL82">
            <v>0.50690000000000002</v>
          </cell>
          <cell r="AM82">
            <v>0</v>
          </cell>
          <cell r="AN82">
            <v>0.50690000000000002</v>
          </cell>
          <cell r="AO82">
            <v>0</v>
          </cell>
          <cell r="AP82">
            <v>0.50690000000000002</v>
          </cell>
          <cell r="AQ82">
            <v>0</v>
          </cell>
          <cell r="AS82" t="str">
            <v/>
          </cell>
          <cell r="AT82" t="str">
            <v/>
          </cell>
          <cell r="AV82" t="b">
            <v>0</v>
          </cell>
          <cell r="AW82" t="str">
            <v>minute</v>
          </cell>
        </row>
        <row r="83">
          <cell r="S83" t="str">
            <v>DOM AUT AU009</v>
          </cell>
          <cell r="T83" t="str">
            <v>DOM</v>
          </cell>
          <cell r="U83" t="str">
            <v>AUT</v>
          </cell>
          <cell r="V83" t="str">
            <v>AU009</v>
          </cell>
          <cell r="X83">
            <v>0.56320000000000003</v>
          </cell>
          <cell r="Y83">
            <v>0</v>
          </cell>
          <cell r="Z83">
            <v>0.56320000000000003</v>
          </cell>
          <cell r="AA83">
            <v>0</v>
          </cell>
          <cell r="AB83">
            <v>0.56320000000000003</v>
          </cell>
          <cell r="AC83">
            <v>0</v>
          </cell>
          <cell r="AD83">
            <v>0.56320000000000003</v>
          </cell>
          <cell r="AE83">
            <v>0</v>
          </cell>
          <cell r="AG83" t="str">
            <v/>
          </cell>
          <cell r="AH83" t="str">
            <v/>
          </cell>
          <cell r="AJ83">
            <v>0.56320000000000003</v>
          </cell>
          <cell r="AK83">
            <v>0</v>
          </cell>
          <cell r="AL83">
            <v>0.56320000000000003</v>
          </cell>
          <cell r="AM83">
            <v>0</v>
          </cell>
          <cell r="AN83">
            <v>0.56320000000000003</v>
          </cell>
          <cell r="AO83">
            <v>0</v>
          </cell>
          <cell r="AP83">
            <v>0.56320000000000003</v>
          </cell>
          <cell r="AQ83">
            <v>0</v>
          </cell>
          <cell r="AS83" t="str">
            <v/>
          </cell>
          <cell r="AT83" t="str">
            <v/>
          </cell>
          <cell r="AV83" t="b">
            <v>0</v>
          </cell>
          <cell r="AW83" t="str">
            <v>minute</v>
          </cell>
        </row>
        <row r="84">
          <cell r="S84" t="str">
            <v>DOM AUT AU011</v>
          </cell>
          <cell r="T84" t="str">
            <v>DOM</v>
          </cell>
          <cell r="U84" t="str">
            <v>AUT</v>
          </cell>
          <cell r="V84" t="str">
            <v>AU011</v>
          </cell>
          <cell r="X84">
            <v>0</v>
          </cell>
          <cell r="Y84">
            <v>8.3299999999999999E-2</v>
          </cell>
          <cell r="Z84">
            <v>0</v>
          </cell>
          <cell r="AA84">
            <v>8.3299999999999999E-2</v>
          </cell>
          <cell r="AB84">
            <v>0</v>
          </cell>
          <cell r="AC84">
            <v>8.3299999999999999E-2</v>
          </cell>
          <cell r="AD84">
            <v>0</v>
          </cell>
          <cell r="AE84">
            <v>8.3299999999999999E-2</v>
          </cell>
          <cell r="AG84" t="str">
            <v/>
          </cell>
          <cell r="AH84" t="str">
            <v/>
          </cell>
          <cell r="AJ84">
            <v>0</v>
          </cell>
          <cell r="AK84">
            <v>8.3299999999999999E-2</v>
          </cell>
          <cell r="AL84">
            <v>0</v>
          </cell>
          <cell r="AM84">
            <v>8.3299999999999999E-2</v>
          </cell>
          <cell r="AN84">
            <v>0</v>
          </cell>
          <cell r="AO84">
            <v>8.3299999999999999E-2</v>
          </cell>
          <cell r="AP84">
            <v>0</v>
          </cell>
          <cell r="AQ84">
            <v>8.3299999999999999E-2</v>
          </cell>
          <cell r="AS84" t="str">
            <v/>
          </cell>
          <cell r="AT84" t="str">
            <v/>
          </cell>
          <cell r="AV84" t="b">
            <v>0</v>
          </cell>
          <cell r="AW84" t="str">
            <v>call</v>
          </cell>
        </row>
        <row r="85">
          <cell r="S85" t="str">
            <v>DOM AUT AU012</v>
          </cell>
          <cell r="T85" t="str">
            <v>DOM</v>
          </cell>
          <cell r="U85" t="str">
            <v>AUT</v>
          </cell>
          <cell r="V85" t="str">
            <v>AU012</v>
          </cell>
          <cell r="X85">
            <v>0</v>
          </cell>
          <cell r="Y85">
            <v>0.16669999999999999</v>
          </cell>
          <cell r="Z85">
            <v>0</v>
          </cell>
          <cell r="AA85">
            <v>0.16669999999999999</v>
          </cell>
          <cell r="AB85">
            <v>0</v>
          </cell>
          <cell r="AC85">
            <v>0.16669999999999999</v>
          </cell>
          <cell r="AD85">
            <v>0</v>
          </cell>
          <cell r="AE85">
            <v>0.16669999999999999</v>
          </cell>
          <cell r="AG85" t="str">
            <v/>
          </cell>
          <cell r="AH85" t="str">
            <v/>
          </cell>
          <cell r="AJ85">
            <v>0</v>
          </cell>
          <cell r="AK85">
            <v>0.16669999999999999</v>
          </cell>
          <cell r="AL85">
            <v>0</v>
          </cell>
          <cell r="AM85">
            <v>0.16669999999999999</v>
          </cell>
          <cell r="AN85">
            <v>0</v>
          </cell>
          <cell r="AO85">
            <v>0.16669999999999999</v>
          </cell>
          <cell r="AP85">
            <v>0</v>
          </cell>
          <cell r="AQ85">
            <v>0.16669999999999999</v>
          </cell>
          <cell r="AS85" t="str">
            <v/>
          </cell>
          <cell r="AT85" t="str">
            <v/>
          </cell>
          <cell r="AV85" t="b">
            <v>0</v>
          </cell>
          <cell r="AW85" t="str">
            <v>call</v>
          </cell>
        </row>
        <row r="86">
          <cell r="S86" t="str">
            <v>DOM AUT AU013</v>
          </cell>
          <cell r="T86" t="str">
            <v>DOM</v>
          </cell>
          <cell r="U86" t="str">
            <v>AUT</v>
          </cell>
          <cell r="V86" t="str">
            <v>AU013</v>
          </cell>
          <cell r="X86">
            <v>0</v>
          </cell>
          <cell r="Y86">
            <v>0.25</v>
          </cell>
          <cell r="Z86">
            <v>0</v>
          </cell>
          <cell r="AA86">
            <v>0.25</v>
          </cell>
          <cell r="AB86">
            <v>0</v>
          </cell>
          <cell r="AC86">
            <v>0.25</v>
          </cell>
          <cell r="AD86">
            <v>0</v>
          </cell>
          <cell r="AE86">
            <v>0.25</v>
          </cell>
          <cell r="AG86" t="str">
            <v/>
          </cell>
          <cell r="AH86" t="str">
            <v/>
          </cell>
          <cell r="AJ86">
            <v>0</v>
          </cell>
          <cell r="AK86">
            <v>0.25</v>
          </cell>
          <cell r="AL86">
            <v>0</v>
          </cell>
          <cell r="AM86">
            <v>0.25</v>
          </cell>
          <cell r="AN86">
            <v>0</v>
          </cell>
          <cell r="AO86">
            <v>0.25</v>
          </cell>
          <cell r="AP86">
            <v>0</v>
          </cell>
          <cell r="AQ86">
            <v>0.25</v>
          </cell>
          <cell r="AS86" t="str">
            <v/>
          </cell>
          <cell r="AT86" t="str">
            <v/>
          </cell>
          <cell r="AV86" t="b">
            <v>0</v>
          </cell>
          <cell r="AW86" t="str">
            <v>call</v>
          </cell>
        </row>
        <row r="87">
          <cell r="S87" t="str">
            <v>DOM AUT AU014</v>
          </cell>
          <cell r="T87" t="str">
            <v>DOM</v>
          </cell>
          <cell r="U87" t="str">
            <v>AUT</v>
          </cell>
          <cell r="V87" t="str">
            <v>AU014</v>
          </cell>
          <cell r="X87">
            <v>0</v>
          </cell>
          <cell r="Y87">
            <v>0.33329999999999999</v>
          </cell>
          <cell r="Z87">
            <v>0</v>
          </cell>
          <cell r="AA87">
            <v>0.33329999999999999</v>
          </cell>
          <cell r="AB87">
            <v>0</v>
          </cell>
          <cell r="AC87">
            <v>0.33329999999999999</v>
          </cell>
          <cell r="AD87">
            <v>0</v>
          </cell>
          <cell r="AE87">
            <v>0.33329999999999999</v>
          </cell>
          <cell r="AG87" t="str">
            <v/>
          </cell>
          <cell r="AH87" t="str">
            <v/>
          </cell>
          <cell r="AJ87">
            <v>0</v>
          </cell>
          <cell r="AK87">
            <v>0.33329999999999999</v>
          </cell>
          <cell r="AL87">
            <v>0</v>
          </cell>
          <cell r="AM87">
            <v>0.33329999999999999</v>
          </cell>
          <cell r="AN87">
            <v>0</v>
          </cell>
          <cell r="AO87">
            <v>0.33329999999999999</v>
          </cell>
          <cell r="AP87">
            <v>0</v>
          </cell>
          <cell r="AQ87">
            <v>0.33329999999999999</v>
          </cell>
          <cell r="AS87" t="str">
            <v/>
          </cell>
          <cell r="AT87" t="str">
            <v/>
          </cell>
          <cell r="AV87" t="b">
            <v>0</v>
          </cell>
          <cell r="AW87" t="str">
            <v>call</v>
          </cell>
        </row>
        <row r="88">
          <cell r="S88" t="str">
            <v>DOM AUT AU015</v>
          </cell>
          <cell r="T88" t="str">
            <v>DOM</v>
          </cell>
          <cell r="U88" t="str">
            <v>AUT</v>
          </cell>
          <cell r="V88" t="str">
            <v>AU015</v>
          </cell>
          <cell r="X88">
            <v>0</v>
          </cell>
          <cell r="Y88">
            <v>0.41670000000000001</v>
          </cell>
          <cell r="Z88">
            <v>0</v>
          </cell>
          <cell r="AA88">
            <v>0.41670000000000001</v>
          </cell>
          <cell r="AB88">
            <v>0</v>
          </cell>
          <cell r="AC88">
            <v>0.41670000000000001</v>
          </cell>
          <cell r="AD88">
            <v>0</v>
          </cell>
          <cell r="AE88">
            <v>0.41670000000000001</v>
          </cell>
          <cell r="AG88" t="str">
            <v/>
          </cell>
          <cell r="AH88" t="str">
            <v/>
          </cell>
          <cell r="AJ88">
            <v>0</v>
          </cell>
          <cell r="AK88">
            <v>0.41670000000000001</v>
          </cell>
          <cell r="AL88">
            <v>0</v>
          </cell>
          <cell r="AM88">
            <v>0.41670000000000001</v>
          </cell>
          <cell r="AN88">
            <v>0</v>
          </cell>
          <cell r="AO88">
            <v>0.41670000000000001</v>
          </cell>
          <cell r="AP88">
            <v>0</v>
          </cell>
          <cell r="AQ88">
            <v>0.41670000000000001</v>
          </cell>
          <cell r="AS88" t="str">
            <v/>
          </cell>
          <cell r="AT88" t="str">
            <v/>
          </cell>
          <cell r="AV88" t="b">
            <v>0</v>
          </cell>
          <cell r="AW88" t="str">
            <v>call</v>
          </cell>
        </row>
        <row r="89">
          <cell r="S89" t="str">
            <v>DOM AUT AU016</v>
          </cell>
          <cell r="T89" t="str">
            <v>DOM</v>
          </cell>
          <cell r="U89" t="str">
            <v>AUT</v>
          </cell>
          <cell r="V89" t="str">
            <v>AU016</v>
          </cell>
          <cell r="X89">
            <v>0</v>
          </cell>
          <cell r="Y89">
            <v>0.5</v>
          </cell>
          <cell r="Z89">
            <v>0</v>
          </cell>
          <cell r="AA89">
            <v>0.5</v>
          </cell>
          <cell r="AB89">
            <v>0</v>
          </cell>
          <cell r="AC89">
            <v>0.5</v>
          </cell>
          <cell r="AD89">
            <v>0</v>
          </cell>
          <cell r="AE89">
            <v>0.5</v>
          </cell>
          <cell r="AG89" t="str">
            <v/>
          </cell>
          <cell r="AH89" t="str">
            <v/>
          </cell>
          <cell r="AJ89">
            <v>0</v>
          </cell>
          <cell r="AK89">
            <v>0.5</v>
          </cell>
          <cell r="AL89">
            <v>0</v>
          </cell>
          <cell r="AM89">
            <v>0.5</v>
          </cell>
          <cell r="AN89">
            <v>0</v>
          </cell>
          <cell r="AO89">
            <v>0.5</v>
          </cell>
          <cell r="AP89">
            <v>0</v>
          </cell>
          <cell r="AQ89">
            <v>0.5</v>
          </cell>
          <cell r="AS89" t="str">
            <v/>
          </cell>
          <cell r="AT89" t="str">
            <v/>
          </cell>
          <cell r="AV89" t="b">
            <v>0</v>
          </cell>
          <cell r="AW89" t="str">
            <v>call</v>
          </cell>
        </row>
        <row r="90">
          <cell r="S90" t="str">
            <v>DOM AUT AU017</v>
          </cell>
          <cell r="T90" t="str">
            <v>DOM</v>
          </cell>
          <cell r="U90" t="str">
            <v>AUT</v>
          </cell>
          <cell r="V90" t="str">
            <v>AU017</v>
          </cell>
          <cell r="X90">
            <v>0</v>
          </cell>
          <cell r="Y90">
            <v>0.58330000000000004</v>
          </cell>
          <cell r="Z90">
            <v>0</v>
          </cell>
          <cell r="AA90">
            <v>0.58330000000000004</v>
          </cell>
          <cell r="AB90">
            <v>0</v>
          </cell>
          <cell r="AC90">
            <v>0.58330000000000004</v>
          </cell>
          <cell r="AD90">
            <v>0</v>
          </cell>
          <cell r="AE90">
            <v>0.58330000000000004</v>
          </cell>
          <cell r="AG90" t="str">
            <v/>
          </cell>
          <cell r="AH90" t="str">
            <v/>
          </cell>
          <cell r="AJ90">
            <v>0</v>
          </cell>
          <cell r="AK90">
            <v>0.58330000000000004</v>
          </cell>
          <cell r="AL90">
            <v>0</v>
          </cell>
          <cell r="AM90">
            <v>0.58330000000000004</v>
          </cell>
          <cell r="AN90">
            <v>0</v>
          </cell>
          <cell r="AO90">
            <v>0.58330000000000004</v>
          </cell>
          <cell r="AP90">
            <v>0</v>
          </cell>
          <cell r="AQ90">
            <v>0.58330000000000004</v>
          </cell>
          <cell r="AS90" t="str">
            <v/>
          </cell>
          <cell r="AT90" t="str">
            <v/>
          </cell>
          <cell r="AV90" t="b">
            <v>0</v>
          </cell>
          <cell r="AW90" t="str">
            <v>call</v>
          </cell>
        </row>
        <row r="91">
          <cell r="S91" t="str">
            <v>DOM AUT AU018</v>
          </cell>
          <cell r="T91" t="str">
            <v>DOM</v>
          </cell>
          <cell r="U91" t="str">
            <v>AUT</v>
          </cell>
          <cell r="V91" t="str">
            <v>AU018</v>
          </cell>
          <cell r="X91">
            <v>0</v>
          </cell>
          <cell r="Y91">
            <v>0.66669999999999996</v>
          </cell>
          <cell r="Z91">
            <v>0</v>
          </cell>
          <cell r="AA91">
            <v>0.66669999999999996</v>
          </cell>
          <cell r="AB91">
            <v>0</v>
          </cell>
          <cell r="AC91">
            <v>0.66669999999999996</v>
          </cell>
          <cell r="AD91">
            <v>0</v>
          </cell>
          <cell r="AE91">
            <v>0.66669999999999996</v>
          </cell>
          <cell r="AG91" t="str">
            <v/>
          </cell>
          <cell r="AH91" t="str">
            <v/>
          </cell>
          <cell r="AJ91">
            <v>0</v>
          </cell>
          <cell r="AK91">
            <v>0.66669999999999996</v>
          </cell>
          <cell r="AL91">
            <v>0</v>
          </cell>
          <cell r="AM91">
            <v>0.66669999999999996</v>
          </cell>
          <cell r="AN91">
            <v>0</v>
          </cell>
          <cell r="AO91">
            <v>0.66669999999999996</v>
          </cell>
          <cell r="AP91">
            <v>0</v>
          </cell>
          <cell r="AQ91">
            <v>0.66669999999999996</v>
          </cell>
          <cell r="AS91" t="str">
            <v/>
          </cell>
          <cell r="AT91" t="str">
            <v/>
          </cell>
          <cell r="AV91" t="b">
            <v>0</v>
          </cell>
          <cell r="AW91" t="str">
            <v>call</v>
          </cell>
        </row>
        <row r="92">
          <cell r="S92" t="str">
            <v>DOM AUT AU019</v>
          </cell>
          <cell r="T92" t="str">
            <v>DOM</v>
          </cell>
          <cell r="U92" t="str">
            <v>AUT</v>
          </cell>
          <cell r="V92" t="str">
            <v>AU019</v>
          </cell>
          <cell r="X92">
            <v>0</v>
          </cell>
          <cell r="Y92">
            <v>0.75</v>
          </cell>
          <cell r="Z92">
            <v>0</v>
          </cell>
          <cell r="AA92">
            <v>0.75</v>
          </cell>
          <cell r="AB92">
            <v>0</v>
          </cell>
          <cell r="AC92">
            <v>0.75</v>
          </cell>
          <cell r="AD92">
            <v>0</v>
          </cell>
          <cell r="AE92">
            <v>0.75</v>
          </cell>
          <cell r="AG92" t="str">
            <v/>
          </cell>
          <cell r="AH92" t="str">
            <v/>
          </cell>
          <cell r="AJ92">
            <v>0</v>
          </cell>
          <cell r="AK92">
            <v>0.75</v>
          </cell>
          <cell r="AL92">
            <v>0</v>
          </cell>
          <cell r="AM92">
            <v>0.75</v>
          </cell>
          <cell r="AN92">
            <v>0</v>
          </cell>
          <cell r="AO92">
            <v>0.75</v>
          </cell>
          <cell r="AP92">
            <v>0</v>
          </cell>
          <cell r="AQ92">
            <v>0.75</v>
          </cell>
          <cell r="AS92" t="str">
            <v/>
          </cell>
          <cell r="AT92" t="str">
            <v/>
          </cell>
          <cell r="AV92" t="b">
            <v>0</v>
          </cell>
          <cell r="AW92" t="str">
            <v>call</v>
          </cell>
        </row>
        <row r="93">
          <cell r="S93" t="str">
            <v>DOM AUT AU01A</v>
          </cell>
          <cell r="T93" t="str">
            <v>DOM</v>
          </cell>
          <cell r="U93" t="str">
            <v>AUT</v>
          </cell>
          <cell r="V93" t="str">
            <v>AU01A</v>
          </cell>
          <cell r="X93">
            <v>0</v>
          </cell>
          <cell r="Y93">
            <v>0.83330000000000004</v>
          </cell>
          <cell r="Z93">
            <v>0</v>
          </cell>
          <cell r="AA93">
            <v>0.83330000000000004</v>
          </cell>
          <cell r="AB93">
            <v>0</v>
          </cell>
          <cell r="AC93">
            <v>0.83330000000000004</v>
          </cell>
          <cell r="AD93">
            <v>0</v>
          </cell>
          <cell r="AE93">
            <v>0.83330000000000004</v>
          </cell>
          <cell r="AG93" t="str">
            <v/>
          </cell>
          <cell r="AH93" t="str">
            <v/>
          </cell>
          <cell r="AJ93">
            <v>0</v>
          </cell>
          <cell r="AK93">
            <v>0.83330000000000004</v>
          </cell>
          <cell r="AL93">
            <v>0</v>
          </cell>
          <cell r="AM93">
            <v>0.83330000000000004</v>
          </cell>
          <cell r="AN93">
            <v>0</v>
          </cell>
          <cell r="AO93">
            <v>0.83330000000000004</v>
          </cell>
          <cell r="AP93">
            <v>0</v>
          </cell>
          <cell r="AQ93">
            <v>0.83330000000000004</v>
          </cell>
          <cell r="AS93" t="str">
            <v/>
          </cell>
          <cell r="AT93" t="str">
            <v/>
          </cell>
          <cell r="AV93" t="b">
            <v>0</v>
          </cell>
          <cell r="AW93" t="str">
            <v>call</v>
          </cell>
        </row>
        <row r="94">
          <cell r="S94" t="str">
            <v>DOM AUT AU01B</v>
          </cell>
          <cell r="T94" t="str">
            <v>DOM</v>
          </cell>
          <cell r="U94" t="str">
            <v>AUT</v>
          </cell>
          <cell r="V94" t="str">
            <v>AU01B</v>
          </cell>
          <cell r="X94">
            <v>0</v>
          </cell>
          <cell r="Y94">
            <v>1.6667000000000001</v>
          </cell>
          <cell r="Z94">
            <v>0</v>
          </cell>
          <cell r="AA94">
            <v>1.6667000000000001</v>
          </cell>
          <cell r="AB94">
            <v>0</v>
          </cell>
          <cell r="AC94">
            <v>1.6667000000000001</v>
          </cell>
          <cell r="AD94">
            <v>0</v>
          </cell>
          <cell r="AE94">
            <v>1.6667000000000001</v>
          </cell>
          <cell r="AG94" t="str">
            <v/>
          </cell>
          <cell r="AH94" t="str">
            <v/>
          </cell>
          <cell r="AJ94">
            <v>0</v>
          </cell>
          <cell r="AK94">
            <v>1.6667000000000001</v>
          </cell>
          <cell r="AL94">
            <v>0</v>
          </cell>
          <cell r="AM94">
            <v>1.6667000000000001</v>
          </cell>
          <cell r="AN94">
            <v>0</v>
          </cell>
          <cell r="AO94">
            <v>1.6667000000000001</v>
          </cell>
          <cell r="AP94">
            <v>0</v>
          </cell>
          <cell r="AQ94">
            <v>1.6667000000000001</v>
          </cell>
          <cell r="AS94" t="str">
            <v/>
          </cell>
          <cell r="AT94" t="str">
            <v/>
          </cell>
          <cell r="AV94" t="b">
            <v>0</v>
          </cell>
          <cell r="AW94" t="str">
            <v>call</v>
          </cell>
        </row>
        <row r="95">
          <cell r="S95" t="str">
            <v>DOM AUT AU01C</v>
          </cell>
          <cell r="T95" t="str">
            <v>DOM</v>
          </cell>
          <cell r="U95" t="str">
            <v>AUT</v>
          </cell>
          <cell r="V95" t="str">
            <v>AU01C</v>
          </cell>
          <cell r="X95">
            <v>0</v>
          </cell>
          <cell r="Y95">
            <v>2.5</v>
          </cell>
          <cell r="Z95">
            <v>0</v>
          </cell>
          <cell r="AA95">
            <v>2.5</v>
          </cell>
          <cell r="AB95">
            <v>0</v>
          </cell>
          <cell r="AC95">
            <v>2.5</v>
          </cell>
          <cell r="AD95">
            <v>0</v>
          </cell>
          <cell r="AE95">
            <v>2.5</v>
          </cell>
          <cell r="AG95" t="str">
            <v/>
          </cell>
          <cell r="AH95" t="str">
            <v/>
          </cell>
          <cell r="AJ95">
            <v>0</v>
          </cell>
          <cell r="AK95">
            <v>2.5</v>
          </cell>
          <cell r="AL95">
            <v>0</v>
          </cell>
          <cell r="AM95">
            <v>2.5</v>
          </cell>
          <cell r="AN95">
            <v>0</v>
          </cell>
          <cell r="AO95">
            <v>2.5</v>
          </cell>
          <cell r="AP95">
            <v>0</v>
          </cell>
          <cell r="AQ95">
            <v>2.5</v>
          </cell>
          <cell r="AS95" t="str">
            <v/>
          </cell>
          <cell r="AT95" t="str">
            <v/>
          </cell>
          <cell r="AV95" t="b">
            <v>0</v>
          </cell>
          <cell r="AW95" t="str">
            <v>call</v>
          </cell>
        </row>
        <row r="96">
          <cell r="S96" t="str">
            <v>DOM AUT AU01D</v>
          </cell>
          <cell r="T96" t="str">
            <v>DOM</v>
          </cell>
          <cell r="U96" t="str">
            <v>AUT</v>
          </cell>
          <cell r="V96" t="str">
            <v>AU01D</v>
          </cell>
          <cell r="X96">
            <v>0</v>
          </cell>
          <cell r="Y96">
            <v>3.3332000000000002</v>
          </cell>
          <cell r="Z96">
            <v>0</v>
          </cell>
          <cell r="AA96">
            <v>3.3332000000000002</v>
          </cell>
          <cell r="AB96">
            <v>0</v>
          </cell>
          <cell r="AC96">
            <v>3.3332000000000002</v>
          </cell>
          <cell r="AD96">
            <v>0</v>
          </cell>
          <cell r="AE96">
            <v>3.3332000000000002</v>
          </cell>
          <cell r="AG96" t="str">
            <v/>
          </cell>
          <cell r="AH96" t="str">
            <v/>
          </cell>
          <cell r="AJ96">
            <v>0</v>
          </cell>
          <cell r="AK96">
            <v>3.3332000000000002</v>
          </cell>
          <cell r="AL96">
            <v>0</v>
          </cell>
          <cell r="AM96">
            <v>3.3332000000000002</v>
          </cell>
          <cell r="AN96">
            <v>0</v>
          </cell>
          <cell r="AO96">
            <v>3.3332000000000002</v>
          </cell>
          <cell r="AP96">
            <v>0</v>
          </cell>
          <cell r="AQ96">
            <v>3.3332000000000002</v>
          </cell>
          <cell r="AS96" t="str">
            <v/>
          </cell>
          <cell r="AT96" t="str">
            <v/>
          </cell>
          <cell r="AV96" t="b">
            <v>0</v>
          </cell>
          <cell r="AW96" t="str">
            <v>call</v>
          </cell>
        </row>
        <row r="97">
          <cell r="S97" t="str">
            <v>DOM AUT AU01E</v>
          </cell>
          <cell r="T97" t="str">
            <v>DOM</v>
          </cell>
          <cell r="U97" t="str">
            <v>AUT</v>
          </cell>
          <cell r="V97" t="str">
            <v>AU01E</v>
          </cell>
          <cell r="X97">
            <v>0</v>
          </cell>
          <cell r="Y97">
            <v>4.1665000000000001</v>
          </cell>
          <cell r="Z97">
            <v>0</v>
          </cell>
          <cell r="AA97">
            <v>4.1665000000000001</v>
          </cell>
          <cell r="AB97">
            <v>0</v>
          </cell>
          <cell r="AC97">
            <v>4.1665000000000001</v>
          </cell>
          <cell r="AD97">
            <v>0</v>
          </cell>
          <cell r="AE97">
            <v>4.1665000000000001</v>
          </cell>
          <cell r="AG97" t="str">
            <v/>
          </cell>
          <cell r="AH97" t="str">
            <v/>
          </cell>
          <cell r="AJ97">
            <v>0</v>
          </cell>
          <cell r="AK97">
            <v>4.1665000000000001</v>
          </cell>
          <cell r="AL97">
            <v>0</v>
          </cell>
          <cell r="AM97">
            <v>4.1665000000000001</v>
          </cell>
          <cell r="AN97">
            <v>0</v>
          </cell>
          <cell r="AO97">
            <v>4.1665000000000001</v>
          </cell>
          <cell r="AP97">
            <v>0</v>
          </cell>
          <cell r="AQ97">
            <v>4.1665000000000001</v>
          </cell>
          <cell r="AS97" t="str">
            <v/>
          </cell>
          <cell r="AT97" t="str">
            <v/>
          </cell>
          <cell r="AV97" t="b">
            <v>0</v>
          </cell>
          <cell r="AW97" t="str">
            <v>call</v>
          </cell>
        </row>
        <row r="98">
          <cell r="S98" t="str">
            <v>DOM AUT AU01F</v>
          </cell>
          <cell r="T98" t="str">
            <v>DOM</v>
          </cell>
          <cell r="U98" t="str">
            <v>AUT</v>
          </cell>
          <cell r="V98" t="str">
            <v>AU01F</v>
          </cell>
          <cell r="X98">
            <v>0</v>
          </cell>
          <cell r="Y98">
            <v>5</v>
          </cell>
          <cell r="Z98">
            <v>0</v>
          </cell>
          <cell r="AA98">
            <v>5</v>
          </cell>
          <cell r="AB98">
            <v>0</v>
          </cell>
          <cell r="AC98">
            <v>5</v>
          </cell>
          <cell r="AD98">
            <v>0</v>
          </cell>
          <cell r="AE98">
            <v>5</v>
          </cell>
          <cell r="AG98" t="str">
            <v/>
          </cell>
          <cell r="AH98" t="str">
            <v/>
          </cell>
          <cell r="AJ98">
            <v>0</v>
          </cell>
          <cell r="AK98">
            <v>5</v>
          </cell>
          <cell r="AL98">
            <v>0</v>
          </cell>
          <cell r="AM98">
            <v>5</v>
          </cell>
          <cell r="AN98">
            <v>0</v>
          </cell>
          <cell r="AO98">
            <v>5</v>
          </cell>
          <cell r="AP98">
            <v>0</v>
          </cell>
          <cell r="AQ98">
            <v>5</v>
          </cell>
          <cell r="AS98" t="str">
            <v/>
          </cell>
          <cell r="AT98" t="str">
            <v/>
          </cell>
          <cell r="AV98" t="b">
            <v>0</v>
          </cell>
          <cell r="AW98" t="str">
            <v>call</v>
          </cell>
        </row>
        <row r="99">
          <cell r="S99" t="str">
            <v>DOM AUT AU01G</v>
          </cell>
          <cell r="T99" t="str">
            <v>DOM</v>
          </cell>
          <cell r="U99" t="str">
            <v>AUT</v>
          </cell>
          <cell r="V99" t="str">
            <v>AU01G</v>
          </cell>
          <cell r="X99">
            <v>0</v>
          </cell>
          <cell r="Y99">
            <v>5.8333000000000004</v>
          </cell>
          <cell r="Z99">
            <v>0</v>
          </cell>
          <cell r="AA99">
            <v>5.8333000000000004</v>
          </cell>
          <cell r="AB99">
            <v>0</v>
          </cell>
          <cell r="AC99">
            <v>5.8333000000000004</v>
          </cell>
          <cell r="AD99">
            <v>0</v>
          </cell>
          <cell r="AE99">
            <v>5.8333000000000004</v>
          </cell>
          <cell r="AG99" t="str">
            <v/>
          </cell>
          <cell r="AH99" t="str">
            <v/>
          </cell>
          <cell r="AJ99">
            <v>0</v>
          </cell>
          <cell r="AK99">
            <v>5.8333000000000004</v>
          </cell>
          <cell r="AL99">
            <v>0</v>
          </cell>
          <cell r="AM99">
            <v>5.8333000000000004</v>
          </cell>
          <cell r="AN99">
            <v>0</v>
          </cell>
          <cell r="AO99">
            <v>5.8333000000000004</v>
          </cell>
          <cell r="AP99">
            <v>0</v>
          </cell>
          <cell r="AQ99">
            <v>5.8333000000000004</v>
          </cell>
          <cell r="AS99" t="str">
            <v/>
          </cell>
          <cell r="AT99" t="str">
            <v/>
          </cell>
          <cell r="AV99" t="b">
            <v>0</v>
          </cell>
          <cell r="AW99" t="str">
            <v>call</v>
          </cell>
        </row>
        <row r="100">
          <cell r="S100" t="str">
            <v>DOM AUT AU01H</v>
          </cell>
          <cell r="T100" t="str">
            <v>DOM</v>
          </cell>
          <cell r="U100" t="str">
            <v>AUT</v>
          </cell>
          <cell r="V100" t="str">
            <v>AU01H</v>
          </cell>
          <cell r="X100">
            <v>0</v>
          </cell>
          <cell r="Y100">
            <v>6.6665000000000001</v>
          </cell>
          <cell r="Z100">
            <v>0</v>
          </cell>
          <cell r="AA100">
            <v>6.6665000000000001</v>
          </cell>
          <cell r="AB100">
            <v>0</v>
          </cell>
          <cell r="AC100">
            <v>6.6665000000000001</v>
          </cell>
          <cell r="AD100">
            <v>0</v>
          </cell>
          <cell r="AE100">
            <v>6.6665000000000001</v>
          </cell>
          <cell r="AG100" t="str">
            <v/>
          </cell>
          <cell r="AH100" t="str">
            <v/>
          </cell>
          <cell r="AJ100">
            <v>0</v>
          </cell>
          <cell r="AK100">
            <v>6.6665000000000001</v>
          </cell>
          <cell r="AL100">
            <v>0</v>
          </cell>
          <cell r="AM100">
            <v>6.6665000000000001</v>
          </cell>
          <cell r="AN100">
            <v>0</v>
          </cell>
          <cell r="AO100">
            <v>6.6665000000000001</v>
          </cell>
          <cell r="AP100">
            <v>0</v>
          </cell>
          <cell r="AQ100">
            <v>6.6665000000000001</v>
          </cell>
          <cell r="AS100" t="str">
            <v/>
          </cell>
          <cell r="AT100" t="str">
            <v/>
          </cell>
          <cell r="AV100" t="b">
            <v>0</v>
          </cell>
          <cell r="AW100" t="str">
            <v>call</v>
          </cell>
        </row>
        <row r="101">
          <cell r="S101" t="str">
            <v>DOM AUT AU01I</v>
          </cell>
          <cell r="T101" t="str">
            <v>DOM</v>
          </cell>
          <cell r="U101" t="str">
            <v>AUT</v>
          </cell>
          <cell r="V101" t="str">
            <v>AU01I</v>
          </cell>
          <cell r="X101">
            <v>0</v>
          </cell>
          <cell r="Y101">
            <v>7.5</v>
          </cell>
          <cell r="Z101">
            <v>0</v>
          </cell>
          <cell r="AA101">
            <v>7.5</v>
          </cell>
          <cell r="AB101">
            <v>0</v>
          </cell>
          <cell r="AC101">
            <v>7.5</v>
          </cell>
          <cell r="AD101">
            <v>0</v>
          </cell>
          <cell r="AE101">
            <v>7.5</v>
          </cell>
          <cell r="AG101" t="str">
            <v/>
          </cell>
          <cell r="AH101" t="str">
            <v/>
          </cell>
          <cell r="AJ101">
            <v>0</v>
          </cell>
          <cell r="AK101">
            <v>7.5</v>
          </cell>
          <cell r="AL101">
            <v>0</v>
          </cell>
          <cell r="AM101">
            <v>7.5</v>
          </cell>
          <cell r="AN101">
            <v>0</v>
          </cell>
          <cell r="AO101">
            <v>7.5</v>
          </cell>
          <cell r="AP101">
            <v>0</v>
          </cell>
          <cell r="AQ101">
            <v>7.5</v>
          </cell>
          <cell r="AS101" t="str">
            <v/>
          </cell>
          <cell r="AT101" t="str">
            <v/>
          </cell>
          <cell r="AV101" t="b">
            <v>0</v>
          </cell>
          <cell r="AW101" t="str">
            <v>call</v>
          </cell>
        </row>
        <row r="102">
          <cell r="S102" t="str">
            <v>DOM AUT AU101</v>
          </cell>
          <cell r="T102" t="str">
            <v>DOM</v>
          </cell>
          <cell r="U102" t="str">
            <v>AUT</v>
          </cell>
          <cell r="V102" t="str">
            <v>AU101</v>
          </cell>
          <cell r="X102">
            <v>1.8200000000000001E-2</v>
          </cell>
          <cell r="Y102">
            <v>0</v>
          </cell>
          <cell r="Z102">
            <v>1.8200000000000001E-2</v>
          </cell>
          <cell r="AA102">
            <v>0</v>
          </cell>
          <cell r="AB102">
            <v>1.8200000000000001E-2</v>
          </cell>
          <cell r="AC102">
            <v>0</v>
          </cell>
          <cell r="AD102">
            <v>1.8200000000000001E-2</v>
          </cell>
          <cell r="AE102">
            <v>0</v>
          </cell>
          <cell r="AG102" t="str">
            <v/>
          </cell>
          <cell r="AH102" t="str">
            <v/>
          </cell>
          <cell r="AJ102">
            <v>1.8200000000000001E-2</v>
          </cell>
          <cell r="AK102">
            <v>0</v>
          </cell>
          <cell r="AL102">
            <v>1.8200000000000001E-2</v>
          </cell>
          <cell r="AM102">
            <v>0</v>
          </cell>
          <cell r="AN102">
            <v>1.8200000000000001E-2</v>
          </cell>
          <cell r="AO102">
            <v>0</v>
          </cell>
          <cell r="AP102">
            <v>1.8200000000000001E-2</v>
          </cell>
          <cell r="AQ102">
            <v>0</v>
          </cell>
          <cell r="AS102" t="str">
            <v/>
          </cell>
          <cell r="AT102" t="str">
            <v/>
          </cell>
          <cell r="AV102" t="b">
            <v>0</v>
          </cell>
          <cell r="AW102" t="str">
            <v>minute</v>
          </cell>
        </row>
        <row r="103">
          <cell r="S103" t="str">
            <v>DOM AUT AU102</v>
          </cell>
          <cell r="T103" t="str">
            <v>DOM</v>
          </cell>
          <cell r="U103" t="str">
            <v>AUT</v>
          </cell>
          <cell r="V103" t="str">
            <v>AU102</v>
          </cell>
          <cell r="X103">
            <v>3.6299999999999999E-2</v>
          </cell>
          <cell r="Y103">
            <v>0</v>
          </cell>
          <cell r="Z103">
            <v>3.6299999999999999E-2</v>
          </cell>
          <cell r="AA103">
            <v>0</v>
          </cell>
          <cell r="AB103">
            <v>3.6299999999999999E-2</v>
          </cell>
          <cell r="AC103">
            <v>0</v>
          </cell>
          <cell r="AD103">
            <v>3.6299999999999999E-2</v>
          </cell>
          <cell r="AE103">
            <v>0</v>
          </cell>
          <cell r="AG103" t="str">
            <v/>
          </cell>
          <cell r="AH103" t="str">
            <v/>
          </cell>
          <cell r="AJ103">
            <v>3.6299999999999999E-2</v>
          </cell>
          <cell r="AK103">
            <v>0</v>
          </cell>
          <cell r="AL103">
            <v>3.6299999999999999E-2</v>
          </cell>
          <cell r="AM103">
            <v>0</v>
          </cell>
          <cell r="AN103">
            <v>3.6299999999999999E-2</v>
          </cell>
          <cell r="AO103">
            <v>0</v>
          </cell>
          <cell r="AP103">
            <v>3.6299999999999999E-2</v>
          </cell>
          <cell r="AQ103">
            <v>0</v>
          </cell>
          <cell r="AS103" t="str">
            <v/>
          </cell>
          <cell r="AT103" t="str">
            <v/>
          </cell>
          <cell r="AV103" t="b">
            <v>0</v>
          </cell>
          <cell r="AW103" t="str">
            <v>minute</v>
          </cell>
        </row>
        <row r="104">
          <cell r="S104" t="str">
            <v>DOM AUT AU103</v>
          </cell>
          <cell r="T104" t="str">
            <v>DOM</v>
          </cell>
          <cell r="U104" t="str">
            <v>AUT</v>
          </cell>
          <cell r="V104" t="str">
            <v>AU103</v>
          </cell>
          <cell r="X104">
            <v>5.6300000000000003E-2</v>
          </cell>
          <cell r="Y104">
            <v>0</v>
          </cell>
          <cell r="Z104">
            <v>5.6300000000000003E-2</v>
          </cell>
          <cell r="AA104">
            <v>0</v>
          </cell>
          <cell r="AB104">
            <v>5.6300000000000003E-2</v>
          </cell>
          <cell r="AC104">
            <v>0</v>
          </cell>
          <cell r="AD104">
            <v>5.6300000000000003E-2</v>
          </cell>
          <cell r="AE104">
            <v>0</v>
          </cell>
          <cell r="AG104" t="str">
            <v/>
          </cell>
          <cell r="AH104" t="str">
            <v/>
          </cell>
          <cell r="AJ104">
            <v>5.6300000000000003E-2</v>
          </cell>
          <cell r="AK104">
            <v>0</v>
          </cell>
          <cell r="AL104">
            <v>5.6300000000000003E-2</v>
          </cell>
          <cell r="AM104">
            <v>0</v>
          </cell>
          <cell r="AN104">
            <v>5.6300000000000003E-2</v>
          </cell>
          <cell r="AO104">
            <v>0</v>
          </cell>
          <cell r="AP104">
            <v>5.6300000000000003E-2</v>
          </cell>
          <cell r="AQ104">
            <v>0</v>
          </cell>
          <cell r="AS104" t="str">
            <v/>
          </cell>
          <cell r="AT104" t="str">
            <v/>
          </cell>
          <cell r="AV104" t="b">
            <v>0</v>
          </cell>
          <cell r="AW104" t="str">
            <v>minute</v>
          </cell>
        </row>
        <row r="105">
          <cell r="S105" t="str">
            <v>DOM AUT AU104</v>
          </cell>
          <cell r="T105" t="str">
            <v>DOM</v>
          </cell>
          <cell r="U105" t="str">
            <v>AUT</v>
          </cell>
          <cell r="V105" t="str">
            <v>AU104</v>
          </cell>
          <cell r="X105">
            <v>6.0600000000000001E-2</v>
          </cell>
          <cell r="Y105">
            <v>0</v>
          </cell>
          <cell r="Z105">
            <v>6.0600000000000001E-2</v>
          </cell>
          <cell r="AA105">
            <v>0</v>
          </cell>
          <cell r="AB105">
            <v>6.0600000000000001E-2</v>
          </cell>
          <cell r="AC105">
            <v>0</v>
          </cell>
          <cell r="AD105">
            <v>6.0600000000000001E-2</v>
          </cell>
          <cell r="AE105">
            <v>0</v>
          </cell>
          <cell r="AG105" t="str">
            <v/>
          </cell>
          <cell r="AH105" t="str">
            <v/>
          </cell>
          <cell r="AJ105">
            <v>6.0600000000000001E-2</v>
          </cell>
          <cell r="AK105">
            <v>0</v>
          </cell>
          <cell r="AL105">
            <v>6.0600000000000001E-2</v>
          </cell>
          <cell r="AM105">
            <v>0</v>
          </cell>
          <cell r="AN105">
            <v>6.0600000000000001E-2</v>
          </cell>
          <cell r="AO105">
            <v>0</v>
          </cell>
          <cell r="AP105">
            <v>6.0600000000000001E-2</v>
          </cell>
          <cell r="AQ105">
            <v>0</v>
          </cell>
          <cell r="AS105" t="str">
            <v/>
          </cell>
          <cell r="AT105" t="str">
            <v/>
          </cell>
          <cell r="AV105" t="b">
            <v>0</v>
          </cell>
          <cell r="AW105" t="str">
            <v>minute</v>
          </cell>
        </row>
        <row r="106">
          <cell r="S106" t="str">
            <v>DOM AUT AU105</v>
          </cell>
          <cell r="T106" t="str">
            <v>DOM</v>
          </cell>
          <cell r="U106" t="str">
            <v>AUT</v>
          </cell>
          <cell r="V106" t="str">
            <v>AU105</v>
          </cell>
          <cell r="X106">
            <v>8.3299999999999999E-2</v>
          </cell>
          <cell r="Y106">
            <v>0</v>
          </cell>
          <cell r="Z106">
            <v>8.3299999999999999E-2</v>
          </cell>
          <cell r="AA106">
            <v>0</v>
          </cell>
          <cell r="AB106">
            <v>8.3299999999999999E-2</v>
          </cell>
          <cell r="AC106">
            <v>0</v>
          </cell>
          <cell r="AD106">
            <v>8.3299999999999999E-2</v>
          </cell>
          <cell r="AE106">
            <v>0</v>
          </cell>
          <cell r="AG106" t="str">
            <v/>
          </cell>
          <cell r="AH106" t="str">
            <v/>
          </cell>
          <cell r="AJ106">
            <v>8.3299999999999999E-2</v>
          </cell>
          <cell r="AK106">
            <v>0</v>
          </cell>
          <cell r="AL106">
            <v>8.3299999999999999E-2</v>
          </cell>
          <cell r="AM106">
            <v>0</v>
          </cell>
          <cell r="AN106">
            <v>8.3299999999999999E-2</v>
          </cell>
          <cell r="AO106">
            <v>0</v>
          </cell>
          <cell r="AP106">
            <v>8.3299999999999999E-2</v>
          </cell>
          <cell r="AQ106">
            <v>0</v>
          </cell>
          <cell r="AS106" t="str">
            <v/>
          </cell>
          <cell r="AT106" t="str">
            <v/>
          </cell>
          <cell r="AV106" t="b">
            <v>0</v>
          </cell>
          <cell r="AW106" t="str">
            <v>minute</v>
          </cell>
        </row>
        <row r="107">
          <cell r="S107" t="str">
            <v>DOM AUT AU201</v>
          </cell>
          <cell r="T107" t="str">
            <v>DOM</v>
          </cell>
          <cell r="U107" t="str">
            <v>AUT</v>
          </cell>
          <cell r="V107" t="str">
            <v>AU201</v>
          </cell>
          <cell r="X107">
            <v>7.8700000000000006E-2</v>
          </cell>
          <cell r="Y107">
            <v>0</v>
          </cell>
          <cell r="Z107">
            <v>7.8700000000000006E-2</v>
          </cell>
          <cell r="AA107">
            <v>0</v>
          </cell>
          <cell r="AB107">
            <v>7.8700000000000006E-2</v>
          </cell>
          <cell r="AC107">
            <v>0</v>
          </cell>
          <cell r="AD107">
            <v>7.8700000000000006E-2</v>
          </cell>
          <cell r="AE107">
            <v>0</v>
          </cell>
          <cell r="AG107" t="str">
            <v/>
          </cell>
          <cell r="AH107" t="str">
            <v/>
          </cell>
          <cell r="AJ107">
            <v>7.8700000000000006E-2</v>
          </cell>
          <cell r="AK107">
            <v>0</v>
          </cell>
          <cell r="AL107">
            <v>7.8700000000000006E-2</v>
          </cell>
          <cell r="AM107">
            <v>0</v>
          </cell>
          <cell r="AN107">
            <v>7.8700000000000006E-2</v>
          </cell>
          <cell r="AO107">
            <v>0</v>
          </cell>
          <cell r="AP107">
            <v>7.8700000000000006E-2</v>
          </cell>
          <cell r="AQ107">
            <v>0</v>
          </cell>
          <cell r="AS107" t="str">
            <v/>
          </cell>
          <cell r="AT107" t="str">
            <v/>
          </cell>
          <cell r="AV107" t="b">
            <v>0</v>
          </cell>
          <cell r="AW107" t="str">
            <v>minute</v>
          </cell>
        </row>
        <row r="108">
          <cell r="S108" t="str">
            <v>DOM AUT AU202</v>
          </cell>
          <cell r="T108" t="str">
            <v>DOM</v>
          </cell>
          <cell r="U108" t="str">
            <v>AUT</v>
          </cell>
          <cell r="V108" t="str">
            <v>AU202</v>
          </cell>
          <cell r="X108">
            <v>9.69E-2</v>
          </cell>
          <cell r="Y108">
            <v>0</v>
          </cell>
          <cell r="Z108">
            <v>9.69E-2</v>
          </cell>
          <cell r="AA108">
            <v>0</v>
          </cell>
          <cell r="AB108">
            <v>9.69E-2</v>
          </cell>
          <cell r="AC108">
            <v>0</v>
          </cell>
          <cell r="AD108">
            <v>9.69E-2</v>
          </cell>
          <cell r="AE108">
            <v>0</v>
          </cell>
          <cell r="AG108" t="str">
            <v/>
          </cell>
          <cell r="AH108" t="str">
            <v/>
          </cell>
          <cell r="AJ108">
            <v>9.69E-2</v>
          </cell>
          <cell r="AK108">
            <v>0</v>
          </cell>
          <cell r="AL108">
            <v>9.69E-2</v>
          </cell>
          <cell r="AM108">
            <v>0</v>
          </cell>
          <cell r="AN108">
            <v>9.69E-2</v>
          </cell>
          <cell r="AO108">
            <v>0</v>
          </cell>
          <cell r="AP108">
            <v>9.69E-2</v>
          </cell>
          <cell r="AQ108">
            <v>0</v>
          </cell>
          <cell r="AS108" t="str">
            <v/>
          </cell>
          <cell r="AT108" t="str">
            <v/>
          </cell>
          <cell r="AV108" t="b">
            <v>0</v>
          </cell>
          <cell r="AW108" t="str">
            <v>minute</v>
          </cell>
        </row>
        <row r="109">
          <cell r="S109" t="str">
            <v>DOM AUT AU203</v>
          </cell>
          <cell r="T109" t="str">
            <v>DOM</v>
          </cell>
          <cell r="U109" t="str">
            <v>AUT</v>
          </cell>
          <cell r="V109" t="str">
            <v>AU203</v>
          </cell>
          <cell r="X109">
            <v>0.1211</v>
          </cell>
          <cell r="Y109">
            <v>0</v>
          </cell>
          <cell r="Z109">
            <v>0.1211</v>
          </cell>
          <cell r="AA109">
            <v>0</v>
          </cell>
          <cell r="AB109">
            <v>0.1211</v>
          </cell>
          <cell r="AC109">
            <v>0</v>
          </cell>
          <cell r="AD109">
            <v>0.1211</v>
          </cell>
          <cell r="AE109">
            <v>0</v>
          </cell>
          <cell r="AG109" t="str">
            <v/>
          </cell>
          <cell r="AH109" t="str">
            <v/>
          </cell>
          <cell r="AJ109">
            <v>0.1211</v>
          </cell>
          <cell r="AK109">
            <v>0</v>
          </cell>
          <cell r="AL109">
            <v>0.1211</v>
          </cell>
          <cell r="AM109">
            <v>0</v>
          </cell>
          <cell r="AN109">
            <v>0.1211</v>
          </cell>
          <cell r="AO109">
            <v>0</v>
          </cell>
          <cell r="AP109">
            <v>0.1211</v>
          </cell>
          <cell r="AQ109">
            <v>0</v>
          </cell>
          <cell r="AS109" t="str">
            <v/>
          </cell>
          <cell r="AT109" t="str">
            <v/>
          </cell>
          <cell r="AV109" t="b">
            <v>0</v>
          </cell>
          <cell r="AW109" t="str">
            <v>minute</v>
          </cell>
        </row>
        <row r="110">
          <cell r="S110" t="str">
            <v>DOM AUT AU204</v>
          </cell>
          <cell r="T110" t="str">
            <v>DOM</v>
          </cell>
          <cell r="U110" t="str">
            <v>AUT</v>
          </cell>
          <cell r="V110" t="str">
            <v>AU204</v>
          </cell>
          <cell r="X110">
            <v>0.16669999999999999</v>
          </cell>
          <cell r="Y110">
            <v>0</v>
          </cell>
          <cell r="Z110">
            <v>0.16669999999999999</v>
          </cell>
          <cell r="AA110">
            <v>0</v>
          </cell>
          <cell r="AB110">
            <v>0.16669999999999999</v>
          </cell>
          <cell r="AC110">
            <v>0</v>
          </cell>
          <cell r="AD110">
            <v>0.16669999999999999</v>
          </cell>
          <cell r="AE110">
            <v>0</v>
          </cell>
          <cell r="AG110" t="str">
            <v/>
          </cell>
          <cell r="AH110" t="str">
            <v/>
          </cell>
          <cell r="AJ110">
            <v>0.16669999999999999</v>
          </cell>
          <cell r="AK110">
            <v>0</v>
          </cell>
          <cell r="AL110">
            <v>0.16669999999999999</v>
          </cell>
          <cell r="AM110">
            <v>0</v>
          </cell>
          <cell r="AN110">
            <v>0.16669999999999999</v>
          </cell>
          <cell r="AO110">
            <v>0</v>
          </cell>
          <cell r="AP110">
            <v>0.16669999999999999</v>
          </cell>
          <cell r="AQ110">
            <v>0</v>
          </cell>
          <cell r="AS110" t="str">
            <v/>
          </cell>
          <cell r="AT110" t="str">
            <v/>
          </cell>
          <cell r="AV110" t="b">
            <v>0</v>
          </cell>
          <cell r="AW110" t="str">
            <v>minute</v>
          </cell>
        </row>
        <row r="111">
          <cell r="S111" t="str">
            <v>DOM AUT AU211</v>
          </cell>
          <cell r="T111" t="str">
            <v>DOM</v>
          </cell>
          <cell r="U111" t="str">
            <v>AUT</v>
          </cell>
          <cell r="V111" t="str">
            <v>AU211</v>
          </cell>
          <cell r="X111">
            <v>0</v>
          </cell>
          <cell r="Y111">
            <v>8.3299999999999999E-2</v>
          </cell>
          <cell r="Z111">
            <v>0</v>
          </cell>
          <cell r="AA111">
            <v>8.3299999999999999E-2</v>
          </cell>
          <cell r="AB111">
            <v>0</v>
          </cell>
          <cell r="AC111">
            <v>8.3299999999999999E-2</v>
          </cell>
          <cell r="AD111">
            <v>0</v>
          </cell>
          <cell r="AE111">
            <v>8.3299999999999999E-2</v>
          </cell>
          <cell r="AG111" t="str">
            <v/>
          </cell>
          <cell r="AH111" t="str">
            <v/>
          </cell>
          <cell r="AJ111">
            <v>0</v>
          </cell>
          <cell r="AK111">
            <v>8.3299999999999999E-2</v>
          </cell>
          <cell r="AL111">
            <v>0</v>
          </cell>
          <cell r="AM111">
            <v>8.3299999999999999E-2</v>
          </cell>
          <cell r="AN111">
            <v>0</v>
          </cell>
          <cell r="AO111">
            <v>8.3299999999999999E-2</v>
          </cell>
          <cell r="AP111">
            <v>0</v>
          </cell>
          <cell r="AQ111">
            <v>8.3299999999999999E-2</v>
          </cell>
          <cell r="AS111" t="str">
            <v/>
          </cell>
          <cell r="AT111" t="str">
            <v/>
          </cell>
          <cell r="AV111" t="b">
            <v>0</v>
          </cell>
          <cell r="AW111" t="str">
            <v>call</v>
          </cell>
        </row>
        <row r="112">
          <cell r="S112" t="str">
            <v>DOM AUT AU212</v>
          </cell>
          <cell r="T112" t="str">
            <v>DOM</v>
          </cell>
          <cell r="U112" t="str">
            <v>AUT</v>
          </cell>
          <cell r="V112" t="str">
            <v>AU212</v>
          </cell>
          <cell r="X112">
            <v>0</v>
          </cell>
          <cell r="Y112">
            <v>0.16669999999999999</v>
          </cell>
          <cell r="Z112">
            <v>0</v>
          </cell>
          <cell r="AA112">
            <v>0.16669999999999999</v>
          </cell>
          <cell r="AB112">
            <v>0</v>
          </cell>
          <cell r="AC112">
            <v>0.16669999999999999</v>
          </cell>
          <cell r="AD112">
            <v>0</v>
          </cell>
          <cell r="AE112">
            <v>0.16669999999999999</v>
          </cell>
          <cell r="AG112" t="str">
            <v/>
          </cell>
          <cell r="AH112" t="str">
            <v/>
          </cell>
          <cell r="AJ112">
            <v>0</v>
          </cell>
          <cell r="AK112">
            <v>0.16669999999999999</v>
          </cell>
          <cell r="AL112">
            <v>0</v>
          </cell>
          <cell r="AM112">
            <v>0.16669999999999999</v>
          </cell>
          <cell r="AN112">
            <v>0</v>
          </cell>
          <cell r="AO112">
            <v>0.16669999999999999</v>
          </cell>
          <cell r="AP112">
            <v>0</v>
          </cell>
          <cell r="AQ112">
            <v>0.16669999999999999</v>
          </cell>
          <cell r="AS112" t="str">
            <v/>
          </cell>
          <cell r="AT112" t="str">
            <v/>
          </cell>
          <cell r="AV112" t="b">
            <v>0</v>
          </cell>
          <cell r="AW112" t="str">
            <v>call</v>
          </cell>
        </row>
        <row r="113">
          <cell r="S113" t="str">
            <v>DOM AUT AUFRE</v>
          </cell>
          <cell r="T113" t="str">
            <v>DOM</v>
          </cell>
          <cell r="U113" t="str">
            <v>AUT</v>
          </cell>
          <cell r="V113" t="str">
            <v>AUFRE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G113" t="str">
            <v/>
          </cell>
          <cell r="AH113" t="str">
            <v/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S113" t="str">
            <v/>
          </cell>
          <cell r="AT113" t="str">
            <v/>
          </cell>
          <cell r="AV113" t="b">
            <v>0</v>
          </cell>
          <cell r="AW113" t="str">
            <v>minute</v>
          </cell>
        </row>
        <row r="114">
          <cell r="S114" t="str">
            <v>DOM AUT AUWC</v>
          </cell>
          <cell r="T114" t="str">
            <v>DOM</v>
          </cell>
          <cell r="U114" t="str">
            <v>AUT</v>
          </cell>
          <cell r="V114" t="str">
            <v>AUWC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G114" t="str">
            <v/>
          </cell>
          <cell r="AH114" t="str">
            <v/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S114" t="str">
            <v/>
          </cell>
          <cell r="AT114" t="str">
            <v/>
          </cell>
          <cell r="AV114" t="b">
            <v>0</v>
          </cell>
          <cell r="AW114" t="str">
            <v>minute</v>
          </cell>
        </row>
        <row r="115">
          <cell r="S115" t="str">
            <v>DOM BHR FIX</v>
          </cell>
          <cell r="T115" t="str">
            <v>DOM</v>
          </cell>
          <cell r="U115" t="str">
            <v>BHR</v>
          </cell>
          <cell r="V115" t="str">
            <v>FIX</v>
          </cell>
          <cell r="X115">
            <v>8.7300000000000003E-2</v>
          </cell>
          <cell r="Y115">
            <v>0</v>
          </cell>
          <cell r="Z115">
            <v>7.8600000000000003E-2</v>
          </cell>
          <cell r="AA115">
            <v>0</v>
          </cell>
          <cell r="AB115">
            <v>7.4200000000000002E-2</v>
          </cell>
          <cell r="AC115">
            <v>0</v>
          </cell>
          <cell r="AD115">
            <v>6.9900000000000004E-2</v>
          </cell>
          <cell r="AE115">
            <v>0</v>
          </cell>
          <cell r="AG115" t="str">
            <v/>
          </cell>
          <cell r="AH115" t="str">
            <v/>
          </cell>
          <cell r="AJ115">
            <v>8.7300000000000003E-2</v>
          </cell>
          <cell r="AK115">
            <v>0</v>
          </cell>
          <cell r="AL115">
            <v>7.8600000000000003E-2</v>
          </cell>
          <cell r="AM115">
            <v>0</v>
          </cell>
          <cell r="AN115">
            <v>7.4200000000000002E-2</v>
          </cell>
          <cell r="AO115">
            <v>0</v>
          </cell>
          <cell r="AP115">
            <v>6.9900000000000004E-2</v>
          </cell>
          <cell r="AQ115">
            <v>0</v>
          </cell>
          <cell r="AS115" t="str">
            <v/>
          </cell>
          <cell r="AT115" t="str">
            <v/>
          </cell>
          <cell r="AV115" t="b">
            <v>1</v>
          </cell>
          <cell r="AW115" t="str">
            <v>minute</v>
          </cell>
        </row>
        <row r="116">
          <cell r="S116" t="str">
            <v>DOM BEL BXL</v>
          </cell>
          <cell r="T116" t="str">
            <v>DOM</v>
          </cell>
          <cell r="U116" t="str">
            <v>BEL</v>
          </cell>
          <cell r="V116" t="str">
            <v>BXL</v>
          </cell>
          <cell r="X116">
            <v>2.3800000000000002E-2</v>
          </cell>
          <cell r="Y116">
            <v>0</v>
          </cell>
          <cell r="Z116">
            <v>2.1399999999999999E-2</v>
          </cell>
          <cell r="AA116">
            <v>0</v>
          </cell>
          <cell r="AB116">
            <v>2.0199999999999999E-2</v>
          </cell>
          <cell r="AC116">
            <v>0</v>
          </cell>
          <cell r="AD116">
            <v>1.9E-2</v>
          </cell>
          <cell r="AE116">
            <v>0</v>
          </cell>
          <cell r="AG116" t="str">
            <v/>
          </cell>
          <cell r="AH116" t="str">
            <v/>
          </cell>
          <cell r="AJ116">
            <v>2.3800000000000002E-2</v>
          </cell>
          <cell r="AK116">
            <v>0</v>
          </cell>
          <cell r="AL116">
            <v>2.1399999999999999E-2</v>
          </cell>
          <cell r="AM116">
            <v>0</v>
          </cell>
          <cell r="AN116">
            <v>2.0199999999999999E-2</v>
          </cell>
          <cell r="AO116">
            <v>0</v>
          </cell>
          <cell r="AP116">
            <v>1.9E-2</v>
          </cell>
          <cell r="AQ116">
            <v>0</v>
          </cell>
          <cell r="AS116" t="str">
            <v/>
          </cell>
          <cell r="AT116" t="str">
            <v/>
          </cell>
          <cell r="AV116" t="b">
            <v>1</v>
          </cell>
          <cell r="AW116" t="str">
            <v>minute</v>
          </cell>
        </row>
        <row r="117">
          <cell r="S117" t="str">
            <v>DOM BEL MOBS</v>
          </cell>
          <cell r="T117" t="str">
            <v>DOM</v>
          </cell>
          <cell r="U117" t="str">
            <v>BEL</v>
          </cell>
          <cell r="V117" t="str">
            <v>MOBS</v>
          </cell>
          <cell r="X117">
            <v>2.06E-2</v>
          </cell>
          <cell r="Y117">
            <v>0</v>
          </cell>
          <cell r="Z117">
            <v>2.01E-2</v>
          </cell>
          <cell r="AA117">
            <v>0</v>
          </cell>
          <cell r="AB117">
            <v>1.9599999999999999E-2</v>
          </cell>
          <cell r="AC117">
            <v>0</v>
          </cell>
          <cell r="AD117">
            <v>1.9099999999999999E-2</v>
          </cell>
          <cell r="AE117">
            <v>0</v>
          </cell>
          <cell r="AG117" t="str">
            <v/>
          </cell>
          <cell r="AH117" t="str">
            <v/>
          </cell>
          <cell r="AJ117">
            <v>2.06E-2</v>
          </cell>
          <cell r="AK117">
            <v>0</v>
          </cell>
          <cell r="AL117">
            <v>2.01E-2</v>
          </cell>
          <cell r="AM117">
            <v>0</v>
          </cell>
          <cell r="AN117">
            <v>1.9599999999999999E-2</v>
          </cell>
          <cell r="AO117">
            <v>0</v>
          </cell>
          <cell r="AP117">
            <v>1.9099999999999999E-2</v>
          </cell>
          <cell r="AQ117">
            <v>0</v>
          </cell>
          <cell r="AS117" t="str">
            <v/>
          </cell>
          <cell r="AT117" t="str">
            <v/>
          </cell>
          <cell r="AV117" t="b">
            <v>1</v>
          </cell>
          <cell r="AW117" t="str">
            <v>minute</v>
          </cell>
        </row>
        <row r="118">
          <cell r="S118" t="str">
            <v>DOM BEL MOBM</v>
          </cell>
          <cell r="T118" t="str">
            <v>DOM</v>
          </cell>
          <cell r="U118" t="str">
            <v>BEL</v>
          </cell>
          <cell r="V118" t="str">
            <v>MOBM</v>
          </cell>
          <cell r="X118">
            <v>2.06E-2</v>
          </cell>
          <cell r="Y118">
            <v>0</v>
          </cell>
          <cell r="Z118">
            <v>2.01E-2</v>
          </cell>
          <cell r="AA118">
            <v>0</v>
          </cell>
          <cell r="AB118">
            <v>1.9599999999999999E-2</v>
          </cell>
          <cell r="AC118">
            <v>0</v>
          </cell>
          <cell r="AD118">
            <v>1.9099999999999999E-2</v>
          </cell>
          <cell r="AE118">
            <v>0</v>
          </cell>
          <cell r="AG118" t="str">
            <v/>
          </cell>
          <cell r="AH118" t="str">
            <v/>
          </cell>
          <cell r="AJ118">
            <v>2.06E-2</v>
          </cell>
          <cell r="AK118">
            <v>0</v>
          </cell>
          <cell r="AL118">
            <v>2.01E-2</v>
          </cell>
          <cell r="AM118">
            <v>0</v>
          </cell>
          <cell r="AN118">
            <v>1.9599999999999999E-2</v>
          </cell>
          <cell r="AO118">
            <v>0</v>
          </cell>
          <cell r="AP118">
            <v>1.9099999999999999E-2</v>
          </cell>
          <cell r="AQ118">
            <v>0</v>
          </cell>
          <cell r="AS118" t="str">
            <v/>
          </cell>
          <cell r="AT118" t="str">
            <v/>
          </cell>
          <cell r="AV118" t="b">
            <v>1</v>
          </cell>
          <cell r="AW118" t="str">
            <v>minute</v>
          </cell>
        </row>
        <row r="119">
          <cell r="S119" t="str">
            <v>DOM BEL MOBO</v>
          </cell>
          <cell r="T119" t="str">
            <v>DOM</v>
          </cell>
          <cell r="U119" t="str">
            <v>BEL</v>
          </cell>
          <cell r="V119" t="str">
            <v>MOBO</v>
          </cell>
          <cell r="X119">
            <v>2.06E-2</v>
          </cell>
          <cell r="Y119">
            <v>0</v>
          </cell>
          <cell r="Z119">
            <v>2.01E-2</v>
          </cell>
          <cell r="AA119">
            <v>0</v>
          </cell>
          <cell r="AB119">
            <v>1.9599999999999999E-2</v>
          </cell>
          <cell r="AC119">
            <v>0</v>
          </cell>
          <cell r="AD119">
            <v>1.9099999999999999E-2</v>
          </cell>
          <cell r="AE119">
            <v>0</v>
          </cell>
          <cell r="AG119" t="str">
            <v/>
          </cell>
          <cell r="AH119" t="str">
            <v/>
          </cell>
          <cell r="AJ119">
            <v>2.06E-2</v>
          </cell>
          <cell r="AK119">
            <v>0</v>
          </cell>
          <cell r="AL119">
            <v>2.01E-2</v>
          </cell>
          <cell r="AM119">
            <v>0</v>
          </cell>
          <cell r="AN119">
            <v>1.9599999999999999E-2</v>
          </cell>
          <cell r="AO119">
            <v>0</v>
          </cell>
          <cell r="AP119">
            <v>1.9099999999999999E-2</v>
          </cell>
          <cell r="AQ119">
            <v>0</v>
          </cell>
          <cell r="AS119" t="str">
            <v/>
          </cell>
          <cell r="AT119" t="str">
            <v/>
          </cell>
          <cell r="AV119" t="b">
            <v>1</v>
          </cell>
          <cell r="AW119" t="str">
            <v>minute</v>
          </cell>
        </row>
        <row r="120">
          <cell r="S120" t="str">
            <v>DOM BEL MOPX</v>
          </cell>
          <cell r="T120" t="str">
            <v>DOM</v>
          </cell>
          <cell r="U120" t="str">
            <v>BEL</v>
          </cell>
          <cell r="V120" t="str">
            <v>MOPX</v>
          </cell>
          <cell r="X120">
            <v>2.06E-2</v>
          </cell>
          <cell r="Y120">
            <v>0</v>
          </cell>
          <cell r="Z120">
            <v>2.01E-2</v>
          </cell>
          <cell r="AA120">
            <v>0</v>
          </cell>
          <cell r="AB120">
            <v>1.9599999999999999E-2</v>
          </cell>
          <cell r="AC120">
            <v>0</v>
          </cell>
          <cell r="AD120">
            <v>1.9099999999999999E-2</v>
          </cell>
          <cell r="AE120">
            <v>0</v>
          </cell>
          <cell r="AG120" t="str">
            <v/>
          </cell>
          <cell r="AH120" t="str">
            <v/>
          </cell>
          <cell r="AJ120">
            <v>2.06E-2</v>
          </cell>
          <cell r="AK120">
            <v>0</v>
          </cell>
          <cell r="AL120">
            <v>2.01E-2</v>
          </cell>
          <cell r="AM120">
            <v>0</v>
          </cell>
          <cell r="AN120">
            <v>1.9599999999999999E-2</v>
          </cell>
          <cell r="AO120">
            <v>0</v>
          </cell>
          <cell r="AP120">
            <v>1.9099999999999999E-2</v>
          </cell>
          <cell r="AQ120">
            <v>0</v>
          </cell>
          <cell r="AS120" t="str">
            <v/>
          </cell>
          <cell r="AT120" t="str">
            <v/>
          </cell>
          <cell r="AV120" t="b">
            <v>1</v>
          </cell>
          <cell r="AW120" t="str">
            <v>minute</v>
          </cell>
        </row>
        <row r="121">
          <cell r="S121" t="str">
            <v>DOM BEL BGASH</v>
          </cell>
          <cell r="T121" t="str">
            <v>DOM</v>
          </cell>
          <cell r="U121" t="str">
            <v>BEL</v>
          </cell>
          <cell r="V121" t="str">
            <v>BGASH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G121" t="str">
            <v/>
          </cell>
          <cell r="AH121" t="str">
            <v/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S121" t="str">
            <v/>
          </cell>
          <cell r="AT121" t="str">
            <v/>
          </cell>
          <cell r="AV121" t="b">
            <v>0</v>
          </cell>
          <cell r="AW121" t="str">
            <v>minute</v>
          </cell>
        </row>
        <row r="122">
          <cell r="S122" t="str">
            <v>DOM BEL EAS3</v>
          </cell>
          <cell r="T122" t="str">
            <v>DOM</v>
          </cell>
          <cell r="U122" t="str">
            <v>BEL</v>
          </cell>
          <cell r="V122" t="str">
            <v>EAS3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2.5499999999999998E-2</v>
          </cell>
          <cell r="AG122" t="str">
            <v/>
          </cell>
          <cell r="AH122" t="str">
            <v/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2.5499999999999998E-2</v>
          </cell>
          <cell r="AS122" t="str">
            <v/>
          </cell>
          <cell r="AT122" t="str">
            <v/>
          </cell>
          <cell r="AV122" t="b">
            <v>0</v>
          </cell>
          <cell r="AW122" t="str">
            <v>call</v>
          </cell>
        </row>
        <row r="123">
          <cell r="S123" t="str">
            <v>DOM BEL EAS4</v>
          </cell>
          <cell r="T123" t="str">
            <v>DOM</v>
          </cell>
          <cell r="U123" t="str">
            <v>BEL</v>
          </cell>
          <cell r="V123" t="str">
            <v>EAS4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G123" t="str">
            <v/>
          </cell>
          <cell r="AH123" t="str">
            <v/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S123" t="str">
            <v/>
          </cell>
          <cell r="AT123" t="str">
            <v/>
          </cell>
          <cell r="AV123" t="b">
            <v>0</v>
          </cell>
          <cell r="AW123" t="str">
            <v>call</v>
          </cell>
        </row>
        <row r="124">
          <cell r="S124" t="str">
            <v>DOM BEL EDD</v>
          </cell>
          <cell r="T124" t="str">
            <v>DOM</v>
          </cell>
          <cell r="U124" t="str">
            <v>BEL</v>
          </cell>
          <cell r="V124" t="str">
            <v>EDD</v>
          </cell>
          <cell r="X124">
            <v>0.2606</v>
          </cell>
          <cell r="Y124">
            <v>2.4586000000000001</v>
          </cell>
          <cell r="Z124">
            <v>0.2606</v>
          </cell>
          <cell r="AA124">
            <v>2.4586000000000001</v>
          </cell>
          <cell r="AB124">
            <v>0.2606</v>
          </cell>
          <cell r="AC124">
            <v>2.4586000000000001</v>
          </cell>
          <cell r="AD124">
            <v>0.2606</v>
          </cell>
          <cell r="AE124">
            <v>2.4586000000000001</v>
          </cell>
          <cell r="AG124" t="str">
            <v/>
          </cell>
          <cell r="AH124" t="str">
            <v/>
          </cell>
          <cell r="AJ124">
            <v>0.2606</v>
          </cell>
          <cell r="AK124">
            <v>2.4586000000000001</v>
          </cell>
          <cell r="AL124">
            <v>0.2606</v>
          </cell>
          <cell r="AM124">
            <v>2.4586000000000001</v>
          </cell>
          <cell r="AN124">
            <v>0.2606</v>
          </cell>
          <cell r="AO124">
            <v>2.4586000000000001</v>
          </cell>
          <cell r="AP124">
            <v>0.2606</v>
          </cell>
          <cell r="AQ124">
            <v>2.4586000000000001</v>
          </cell>
          <cell r="AS124" t="str">
            <v/>
          </cell>
          <cell r="AT124" t="str">
            <v/>
          </cell>
          <cell r="AV124" t="b">
            <v>0</v>
          </cell>
          <cell r="AW124" t="str">
            <v>minute &amp; call</v>
          </cell>
        </row>
        <row r="125">
          <cell r="S125" t="str">
            <v>DOM BEL EDE</v>
          </cell>
          <cell r="T125" t="str">
            <v>DOM</v>
          </cell>
          <cell r="U125" t="str">
            <v>BEL</v>
          </cell>
          <cell r="V125" t="str">
            <v>EDE</v>
          </cell>
          <cell r="X125">
            <v>0.2606</v>
          </cell>
          <cell r="Y125">
            <v>2.4586000000000001</v>
          </cell>
          <cell r="Z125">
            <v>0.2606</v>
          </cell>
          <cell r="AA125">
            <v>2.4586000000000001</v>
          </cell>
          <cell r="AB125">
            <v>0.2606</v>
          </cell>
          <cell r="AC125">
            <v>2.4586000000000001</v>
          </cell>
          <cell r="AD125">
            <v>0.2606</v>
          </cell>
          <cell r="AE125">
            <v>2.4586000000000001</v>
          </cell>
          <cell r="AG125" t="str">
            <v/>
          </cell>
          <cell r="AH125" t="str">
            <v/>
          </cell>
          <cell r="AJ125">
            <v>0.2606</v>
          </cell>
          <cell r="AK125">
            <v>2.4586000000000001</v>
          </cell>
          <cell r="AL125">
            <v>0.2606</v>
          </cell>
          <cell r="AM125">
            <v>2.4586000000000001</v>
          </cell>
          <cell r="AN125">
            <v>0.2606</v>
          </cell>
          <cell r="AO125">
            <v>2.4586000000000001</v>
          </cell>
          <cell r="AP125">
            <v>0.2606</v>
          </cell>
          <cell r="AQ125">
            <v>2.4586000000000001</v>
          </cell>
          <cell r="AS125" t="str">
            <v/>
          </cell>
          <cell r="AT125" t="str">
            <v/>
          </cell>
          <cell r="AV125" t="b">
            <v>0</v>
          </cell>
          <cell r="AW125" t="str">
            <v>minute &amp; call</v>
          </cell>
        </row>
        <row r="126">
          <cell r="S126" t="str">
            <v>DOM BEL EDF</v>
          </cell>
          <cell r="T126" t="str">
            <v>DOM</v>
          </cell>
          <cell r="U126" t="str">
            <v>BEL</v>
          </cell>
          <cell r="V126" t="str">
            <v>EDF</v>
          </cell>
          <cell r="X126">
            <v>0.2606</v>
          </cell>
          <cell r="Y126">
            <v>2.4586000000000001</v>
          </cell>
          <cell r="Z126">
            <v>0.2606</v>
          </cell>
          <cell r="AA126">
            <v>2.4586000000000001</v>
          </cell>
          <cell r="AB126">
            <v>0.2606</v>
          </cell>
          <cell r="AC126">
            <v>2.4586000000000001</v>
          </cell>
          <cell r="AD126">
            <v>0.2606</v>
          </cell>
          <cell r="AE126">
            <v>2.4586000000000001</v>
          </cell>
          <cell r="AG126" t="str">
            <v/>
          </cell>
          <cell r="AH126" t="str">
            <v/>
          </cell>
          <cell r="AJ126">
            <v>0.2606</v>
          </cell>
          <cell r="AK126">
            <v>2.4586000000000001</v>
          </cell>
          <cell r="AL126">
            <v>0.2606</v>
          </cell>
          <cell r="AM126">
            <v>2.4586000000000001</v>
          </cell>
          <cell r="AN126">
            <v>0.2606</v>
          </cell>
          <cell r="AO126">
            <v>2.4586000000000001</v>
          </cell>
          <cell r="AP126">
            <v>0.2606</v>
          </cell>
          <cell r="AQ126">
            <v>2.4586000000000001</v>
          </cell>
          <cell r="AS126" t="str">
            <v/>
          </cell>
          <cell r="AT126" t="str">
            <v/>
          </cell>
          <cell r="AV126" t="b">
            <v>0</v>
          </cell>
          <cell r="AW126" t="str">
            <v>minute &amp; call</v>
          </cell>
        </row>
        <row r="127">
          <cell r="S127" t="str">
            <v>DOM BEL EDO</v>
          </cell>
          <cell r="T127" t="str">
            <v>DOM</v>
          </cell>
          <cell r="U127" t="str">
            <v>BEL</v>
          </cell>
          <cell r="V127" t="str">
            <v>EDO</v>
          </cell>
          <cell r="X127">
            <v>0.2606</v>
          </cell>
          <cell r="Y127">
            <v>2.4586000000000001</v>
          </cell>
          <cell r="Z127">
            <v>0.2606</v>
          </cell>
          <cell r="AA127">
            <v>2.4586000000000001</v>
          </cell>
          <cell r="AB127">
            <v>0.2606</v>
          </cell>
          <cell r="AC127">
            <v>2.4586000000000001</v>
          </cell>
          <cell r="AD127">
            <v>0.2606</v>
          </cell>
          <cell r="AE127">
            <v>2.4586000000000001</v>
          </cell>
          <cell r="AG127" t="str">
            <v/>
          </cell>
          <cell r="AH127" t="str">
            <v/>
          </cell>
          <cell r="AJ127">
            <v>0.2606</v>
          </cell>
          <cell r="AK127">
            <v>2.4586000000000001</v>
          </cell>
          <cell r="AL127">
            <v>0.2606</v>
          </cell>
          <cell r="AM127">
            <v>2.4586000000000001</v>
          </cell>
          <cell r="AN127">
            <v>0.2606</v>
          </cell>
          <cell r="AO127">
            <v>2.4586000000000001</v>
          </cell>
          <cell r="AP127">
            <v>0.2606</v>
          </cell>
          <cell r="AQ127">
            <v>2.4586000000000001</v>
          </cell>
          <cell r="AS127" t="str">
            <v/>
          </cell>
          <cell r="AT127" t="str">
            <v/>
          </cell>
          <cell r="AV127" t="b">
            <v>0</v>
          </cell>
          <cell r="AW127" t="str">
            <v>minute &amp; call</v>
          </cell>
        </row>
        <row r="128">
          <cell r="S128" t="str">
            <v>DOM BEL EAS1</v>
          </cell>
          <cell r="T128" t="str">
            <v>DOM</v>
          </cell>
          <cell r="U128" t="str">
            <v>BEL</v>
          </cell>
          <cell r="V128" t="str">
            <v>EAS1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G128" t="str">
            <v/>
          </cell>
          <cell r="AH128" t="str">
            <v/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S128" t="str">
            <v/>
          </cell>
          <cell r="AT128" t="str">
            <v/>
          </cell>
          <cell r="AV128" t="b">
            <v>0</v>
          </cell>
          <cell r="AW128" t="str">
            <v>minute</v>
          </cell>
        </row>
        <row r="129">
          <cell r="S129" t="str">
            <v>DOM BEL EAS2</v>
          </cell>
          <cell r="T129" t="str">
            <v>DOM</v>
          </cell>
          <cell r="U129" t="str">
            <v>BEL</v>
          </cell>
          <cell r="V129" t="str">
            <v>EAS2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G129" t="str">
            <v/>
          </cell>
          <cell r="AH129" t="str">
            <v/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S129" t="str">
            <v/>
          </cell>
          <cell r="AT129" t="str">
            <v/>
          </cell>
          <cell r="AV129" t="b">
            <v>0</v>
          </cell>
          <cell r="AW129" t="str">
            <v>call</v>
          </cell>
        </row>
        <row r="130">
          <cell r="S130" t="str">
            <v>DOM BEL BGHLP</v>
          </cell>
          <cell r="T130" t="str">
            <v>DOM</v>
          </cell>
          <cell r="U130" t="str">
            <v>BEL</v>
          </cell>
          <cell r="V130" t="str">
            <v>BGHLP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G130" t="str">
            <v/>
          </cell>
          <cell r="AH130" t="str">
            <v/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S130" t="str">
            <v/>
          </cell>
          <cell r="AT130" t="str">
            <v/>
          </cell>
          <cell r="AV130" t="b">
            <v>0</v>
          </cell>
          <cell r="AW130" t="str">
            <v>minute</v>
          </cell>
        </row>
        <row r="131">
          <cell r="S131" t="str">
            <v>DOM BEL PSN</v>
          </cell>
          <cell r="T131" t="str">
            <v>DOM</v>
          </cell>
          <cell r="U131" t="str">
            <v>BEL</v>
          </cell>
          <cell r="V131" t="str">
            <v>PSN</v>
          </cell>
          <cell r="X131">
            <v>0.3</v>
          </cell>
          <cell r="Y131">
            <v>0</v>
          </cell>
          <cell r="Z131">
            <v>0.3</v>
          </cell>
          <cell r="AA131">
            <v>0</v>
          </cell>
          <cell r="AB131">
            <v>0.3</v>
          </cell>
          <cell r="AC131">
            <v>0</v>
          </cell>
          <cell r="AD131">
            <v>0.3</v>
          </cell>
          <cell r="AE131">
            <v>0</v>
          </cell>
          <cell r="AG131" t="str">
            <v/>
          </cell>
          <cell r="AH131" t="str">
            <v/>
          </cell>
          <cell r="AJ131">
            <v>0.3</v>
          </cell>
          <cell r="AK131">
            <v>0</v>
          </cell>
          <cell r="AL131">
            <v>0.3</v>
          </cell>
          <cell r="AM131">
            <v>0</v>
          </cell>
          <cell r="AN131">
            <v>0.3</v>
          </cell>
          <cell r="AO131">
            <v>0</v>
          </cell>
          <cell r="AP131">
            <v>0.3</v>
          </cell>
          <cell r="AQ131">
            <v>0</v>
          </cell>
          <cell r="AS131" t="str">
            <v/>
          </cell>
          <cell r="AT131" t="str">
            <v/>
          </cell>
          <cell r="AV131" t="b">
            <v>0</v>
          </cell>
          <cell r="AW131" t="str">
            <v>minute</v>
          </cell>
        </row>
        <row r="132">
          <cell r="S132" t="str">
            <v>DOM BEL PRM1</v>
          </cell>
          <cell r="T132" t="str">
            <v>DOM</v>
          </cell>
          <cell r="U132" t="str">
            <v>BEL</v>
          </cell>
          <cell r="V132" t="str">
            <v>PRM1</v>
          </cell>
          <cell r="X132">
            <v>0.41799999999999998</v>
          </cell>
          <cell r="Y132">
            <v>0</v>
          </cell>
          <cell r="Z132">
            <v>0.41799999999999998</v>
          </cell>
          <cell r="AA132">
            <v>0</v>
          </cell>
          <cell r="AB132">
            <v>0.41799999999999998</v>
          </cell>
          <cell r="AC132">
            <v>0</v>
          </cell>
          <cell r="AD132">
            <v>0.41799999999999998</v>
          </cell>
          <cell r="AE132">
            <v>0</v>
          </cell>
          <cell r="AG132" t="str">
            <v/>
          </cell>
          <cell r="AH132" t="str">
            <v/>
          </cell>
          <cell r="AJ132">
            <v>0.41799999999999998</v>
          </cell>
          <cell r="AK132">
            <v>0</v>
          </cell>
          <cell r="AL132">
            <v>0.41799999999999998</v>
          </cell>
          <cell r="AM132">
            <v>0</v>
          </cell>
          <cell r="AN132">
            <v>0.41799999999999998</v>
          </cell>
          <cell r="AO132">
            <v>0</v>
          </cell>
          <cell r="AP132">
            <v>0.41799999999999998</v>
          </cell>
          <cell r="AQ132">
            <v>0</v>
          </cell>
          <cell r="AS132" t="str">
            <v/>
          </cell>
          <cell r="AT132" t="str">
            <v/>
          </cell>
          <cell r="AV132" t="b">
            <v>0</v>
          </cell>
          <cell r="AW132" t="str">
            <v>minute</v>
          </cell>
        </row>
        <row r="133">
          <cell r="S133" t="str">
            <v>DOM BEL PRM2</v>
          </cell>
          <cell r="T133" t="str">
            <v>DOM</v>
          </cell>
          <cell r="U133" t="str">
            <v>BEL</v>
          </cell>
          <cell r="V133" t="str">
            <v>PRM2</v>
          </cell>
          <cell r="X133">
            <v>0</v>
          </cell>
          <cell r="Y133">
            <v>0.41799999999999998</v>
          </cell>
          <cell r="Z133">
            <v>0</v>
          </cell>
          <cell r="AA133">
            <v>0.41799999999999998</v>
          </cell>
          <cell r="AB133">
            <v>0</v>
          </cell>
          <cell r="AC133">
            <v>0.41799999999999998</v>
          </cell>
          <cell r="AD133">
            <v>0</v>
          </cell>
          <cell r="AE133">
            <v>0.41799999999999998</v>
          </cell>
          <cell r="AG133" t="str">
            <v/>
          </cell>
          <cell r="AH133" t="str">
            <v/>
          </cell>
          <cell r="AJ133">
            <v>0</v>
          </cell>
          <cell r="AK133">
            <v>0.41799999999999998</v>
          </cell>
          <cell r="AL133">
            <v>0</v>
          </cell>
          <cell r="AM133">
            <v>0.41799999999999998</v>
          </cell>
          <cell r="AN133">
            <v>0</v>
          </cell>
          <cell r="AO133">
            <v>0.41799999999999998</v>
          </cell>
          <cell r="AP133">
            <v>0</v>
          </cell>
          <cell r="AQ133">
            <v>0.41799999999999998</v>
          </cell>
          <cell r="AS133" t="str">
            <v/>
          </cell>
          <cell r="AT133" t="str">
            <v/>
          </cell>
          <cell r="AV133" t="b">
            <v>0</v>
          </cell>
          <cell r="AW133" t="str">
            <v>call</v>
          </cell>
        </row>
        <row r="134">
          <cell r="S134" t="str">
            <v>DOM BEL PRM3</v>
          </cell>
          <cell r="T134" t="str">
            <v>DOM</v>
          </cell>
          <cell r="U134" t="str">
            <v>BEL</v>
          </cell>
          <cell r="V134" t="str">
            <v>PRM3</v>
          </cell>
          <cell r="X134">
            <v>0.83609999999999995</v>
          </cell>
          <cell r="Y134">
            <v>0</v>
          </cell>
          <cell r="Z134">
            <v>0.83609999999999995</v>
          </cell>
          <cell r="AA134">
            <v>0</v>
          </cell>
          <cell r="AB134">
            <v>0.83609999999999995</v>
          </cell>
          <cell r="AC134">
            <v>0</v>
          </cell>
          <cell r="AD134">
            <v>0.83609999999999995</v>
          </cell>
          <cell r="AE134">
            <v>0</v>
          </cell>
          <cell r="AG134" t="str">
            <v/>
          </cell>
          <cell r="AH134" t="str">
            <v/>
          </cell>
          <cell r="AJ134">
            <v>0.83609999999999995</v>
          </cell>
          <cell r="AK134">
            <v>0</v>
          </cell>
          <cell r="AL134">
            <v>0.83609999999999995</v>
          </cell>
          <cell r="AM134">
            <v>0</v>
          </cell>
          <cell r="AN134">
            <v>0.83609999999999995</v>
          </cell>
          <cell r="AO134">
            <v>0</v>
          </cell>
          <cell r="AP134">
            <v>0.83609999999999995</v>
          </cell>
          <cell r="AQ134">
            <v>0</v>
          </cell>
          <cell r="AS134" t="str">
            <v/>
          </cell>
          <cell r="AT134" t="str">
            <v/>
          </cell>
          <cell r="AV134" t="b">
            <v>0</v>
          </cell>
          <cell r="AW134" t="str">
            <v>minute</v>
          </cell>
        </row>
        <row r="135">
          <cell r="S135" t="str">
            <v>DOM BEL PRM4</v>
          </cell>
          <cell r="T135" t="str">
            <v>DOM</v>
          </cell>
          <cell r="U135" t="str">
            <v>BEL</v>
          </cell>
          <cell r="V135" t="str">
            <v>PRM4</v>
          </cell>
          <cell r="X135">
            <v>1.2541</v>
          </cell>
          <cell r="Y135">
            <v>0</v>
          </cell>
          <cell r="Z135">
            <v>1.2541</v>
          </cell>
          <cell r="AA135">
            <v>0</v>
          </cell>
          <cell r="AB135">
            <v>1.2541</v>
          </cell>
          <cell r="AC135">
            <v>0</v>
          </cell>
          <cell r="AD135">
            <v>1.2541</v>
          </cell>
          <cell r="AE135">
            <v>0</v>
          </cell>
          <cell r="AG135" t="str">
            <v/>
          </cell>
          <cell r="AH135" t="str">
            <v/>
          </cell>
          <cell r="AJ135">
            <v>1.2541</v>
          </cell>
          <cell r="AK135">
            <v>0</v>
          </cell>
          <cell r="AL135">
            <v>1.2541</v>
          </cell>
          <cell r="AM135">
            <v>0</v>
          </cell>
          <cell r="AN135">
            <v>1.2541</v>
          </cell>
          <cell r="AO135">
            <v>0</v>
          </cell>
          <cell r="AP135">
            <v>1.2541</v>
          </cell>
          <cell r="AQ135">
            <v>0</v>
          </cell>
          <cell r="AS135" t="str">
            <v/>
          </cell>
          <cell r="AT135" t="str">
            <v/>
          </cell>
          <cell r="AV135" t="b">
            <v>0</v>
          </cell>
          <cell r="AW135" t="str">
            <v>minute</v>
          </cell>
        </row>
        <row r="136">
          <cell r="S136" t="str">
            <v>DOM BEL PRM5</v>
          </cell>
          <cell r="T136" t="str">
            <v>DOM</v>
          </cell>
          <cell r="U136" t="str">
            <v>BEL</v>
          </cell>
          <cell r="V136" t="str">
            <v>PRM5</v>
          </cell>
          <cell r="X136">
            <v>1.6718999999999999</v>
          </cell>
          <cell r="Y136">
            <v>0</v>
          </cell>
          <cell r="Z136">
            <v>1.6718999999999999</v>
          </cell>
          <cell r="AA136">
            <v>0</v>
          </cell>
          <cell r="AB136">
            <v>1.6718999999999999</v>
          </cell>
          <cell r="AC136">
            <v>0</v>
          </cell>
          <cell r="AD136">
            <v>1.6718999999999999</v>
          </cell>
          <cell r="AE136">
            <v>0</v>
          </cell>
          <cell r="AG136" t="str">
            <v/>
          </cell>
          <cell r="AH136" t="str">
            <v/>
          </cell>
          <cell r="AJ136">
            <v>1.6718999999999999</v>
          </cell>
          <cell r="AK136">
            <v>0</v>
          </cell>
          <cell r="AL136">
            <v>1.6718999999999999</v>
          </cell>
          <cell r="AM136">
            <v>0</v>
          </cell>
          <cell r="AN136">
            <v>1.6718999999999999</v>
          </cell>
          <cell r="AO136">
            <v>0</v>
          </cell>
          <cell r="AP136">
            <v>1.6718999999999999</v>
          </cell>
          <cell r="AQ136">
            <v>0</v>
          </cell>
          <cell r="AS136" t="str">
            <v/>
          </cell>
          <cell r="AT136" t="str">
            <v/>
          </cell>
          <cell r="AV136" t="b">
            <v>0</v>
          </cell>
          <cell r="AW136" t="str">
            <v>minute</v>
          </cell>
        </row>
        <row r="137">
          <cell r="S137" t="str">
            <v>DOM BEL PRM6</v>
          </cell>
          <cell r="T137" t="str">
            <v>DOM</v>
          </cell>
          <cell r="U137" t="str">
            <v>BEL</v>
          </cell>
          <cell r="V137" t="str">
            <v>PRM6</v>
          </cell>
          <cell r="X137">
            <v>0</v>
          </cell>
          <cell r="Y137">
            <v>1.6718999999999999</v>
          </cell>
          <cell r="Z137">
            <v>0</v>
          </cell>
          <cell r="AA137">
            <v>1.6718999999999999</v>
          </cell>
          <cell r="AB137">
            <v>0</v>
          </cell>
          <cell r="AC137">
            <v>1.6718999999999999</v>
          </cell>
          <cell r="AD137">
            <v>0</v>
          </cell>
          <cell r="AE137">
            <v>1.6718999999999999</v>
          </cell>
          <cell r="AG137" t="str">
            <v/>
          </cell>
          <cell r="AH137" t="str">
            <v/>
          </cell>
          <cell r="AJ137">
            <v>0</v>
          </cell>
          <cell r="AK137">
            <v>1.6718999999999999</v>
          </cell>
          <cell r="AL137">
            <v>0</v>
          </cell>
          <cell r="AM137">
            <v>1.6718999999999999</v>
          </cell>
          <cell r="AN137">
            <v>0</v>
          </cell>
          <cell r="AO137">
            <v>1.6718999999999999</v>
          </cell>
          <cell r="AP137">
            <v>0</v>
          </cell>
          <cell r="AQ137">
            <v>1.6718999999999999</v>
          </cell>
          <cell r="AS137" t="str">
            <v/>
          </cell>
          <cell r="AT137" t="str">
            <v/>
          </cell>
          <cell r="AV137" t="b">
            <v>0</v>
          </cell>
          <cell r="AW137" t="str">
            <v>call</v>
          </cell>
        </row>
        <row r="138">
          <cell r="S138" t="str">
            <v>DOM BEL PRM7</v>
          </cell>
          <cell r="T138" t="str">
            <v>DOM</v>
          </cell>
          <cell r="U138" t="str">
            <v>BEL</v>
          </cell>
          <cell r="V138" t="str">
            <v>PRM7</v>
          </cell>
          <cell r="X138">
            <v>0.83609999999999995</v>
          </cell>
          <cell r="Y138">
            <v>0</v>
          </cell>
          <cell r="Z138">
            <v>0.83609999999999995</v>
          </cell>
          <cell r="AA138">
            <v>0</v>
          </cell>
          <cell r="AB138">
            <v>0.83609999999999995</v>
          </cell>
          <cell r="AC138">
            <v>0</v>
          </cell>
          <cell r="AD138">
            <v>0.83609999999999995</v>
          </cell>
          <cell r="AE138">
            <v>0</v>
          </cell>
          <cell r="AG138" t="str">
            <v/>
          </cell>
          <cell r="AH138" t="str">
            <v/>
          </cell>
          <cell r="AJ138">
            <v>0.83609999999999995</v>
          </cell>
          <cell r="AK138">
            <v>0</v>
          </cell>
          <cell r="AL138">
            <v>0.83609999999999995</v>
          </cell>
          <cell r="AM138">
            <v>0</v>
          </cell>
          <cell r="AN138">
            <v>0.83609999999999995</v>
          </cell>
          <cell r="AO138">
            <v>0</v>
          </cell>
          <cell r="AP138">
            <v>0.83609999999999995</v>
          </cell>
          <cell r="AQ138">
            <v>0</v>
          </cell>
          <cell r="AS138" t="str">
            <v/>
          </cell>
          <cell r="AT138" t="str">
            <v/>
          </cell>
          <cell r="AV138" t="b">
            <v>0</v>
          </cell>
          <cell r="AW138" t="str">
            <v>minute</v>
          </cell>
        </row>
        <row r="139">
          <cell r="S139" t="str">
            <v>DOM BEL PRM8</v>
          </cell>
          <cell r="T139" t="str">
            <v>DOM</v>
          </cell>
          <cell r="U139" t="str">
            <v>BEL</v>
          </cell>
          <cell r="V139" t="str">
            <v>PRM8</v>
          </cell>
          <cell r="X139">
            <v>1.6718999999999999</v>
          </cell>
          <cell r="Y139">
            <v>0</v>
          </cell>
          <cell r="Z139">
            <v>1.6718999999999999</v>
          </cell>
          <cell r="AA139">
            <v>0</v>
          </cell>
          <cell r="AB139">
            <v>1.6718999999999999</v>
          </cell>
          <cell r="AC139">
            <v>0</v>
          </cell>
          <cell r="AD139">
            <v>1.6718999999999999</v>
          </cell>
          <cell r="AE139">
            <v>0</v>
          </cell>
          <cell r="AG139" t="str">
            <v/>
          </cell>
          <cell r="AH139" t="str">
            <v/>
          </cell>
          <cell r="AJ139">
            <v>1.6718999999999999</v>
          </cell>
          <cell r="AK139">
            <v>0</v>
          </cell>
          <cell r="AL139">
            <v>1.6718999999999999</v>
          </cell>
          <cell r="AM139">
            <v>0</v>
          </cell>
          <cell r="AN139">
            <v>1.6718999999999999</v>
          </cell>
          <cell r="AO139">
            <v>0</v>
          </cell>
          <cell r="AP139">
            <v>1.6718999999999999</v>
          </cell>
          <cell r="AQ139">
            <v>0</v>
          </cell>
          <cell r="AS139" t="str">
            <v/>
          </cell>
          <cell r="AT139" t="str">
            <v/>
          </cell>
          <cell r="AV139" t="b">
            <v>0</v>
          </cell>
          <cell r="AW139" t="str">
            <v>minute</v>
          </cell>
        </row>
        <row r="140">
          <cell r="S140" t="str">
            <v>DOM BEL PRM9</v>
          </cell>
          <cell r="T140" t="str">
            <v>DOM</v>
          </cell>
          <cell r="U140" t="str">
            <v>BEL</v>
          </cell>
          <cell r="V140" t="str">
            <v>PRM9</v>
          </cell>
          <cell r="X140">
            <v>0</v>
          </cell>
          <cell r="Y140">
            <v>25.9194</v>
          </cell>
          <cell r="Z140">
            <v>0</v>
          </cell>
          <cell r="AA140">
            <v>25.9194</v>
          </cell>
          <cell r="AB140">
            <v>0</v>
          </cell>
          <cell r="AC140">
            <v>25.9194</v>
          </cell>
          <cell r="AD140">
            <v>0</v>
          </cell>
          <cell r="AE140">
            <v>25.9194</v>
          </cell>
          <cell r="AG140" t="str">
            <v/>
          </cell>
          <cell r="AH140" t="str">
            <v/>
          </cell>
          <cell r="AJ140">
            <v>0</v>
          </cell>
          <cell r="AK140">
            <v>25.9194</v>
          </cell>
          <cell r="AL140">
            <v>0</v>
          </cell>
          <cell r="AM140">
            <v>25.9194</v>
          </cell>
          <cell r="AN140">
            <v>0</v>
          </cell>
          <cell r="AO140">
            <v>25.9194</v>
          </cell>
          <cell r="AP140">
            <v>0</v>
          </cell>
          <cell r="AQ140">
            <v>25.9194</v>
          </cell>
          <cell r="AS140" t="str">
            <v/>
          </cell>
          <cell r="AT140" t="str">
            <v/>
          </cell>
          <cell r="AV140" t="b">
            <v>0</v>
          </cell>
          <cell r="AW140" t="str">
            <v>call</v>
          </cell>
        </row>
        <row r="141">
          <cell r="S141" t="str">
            <v>DOM BEL SCS</v>
          </cell>
          <cell r="T141" t="str">
            <v>DOM</v>
          </cell>
          <cell r="U141" t="str">
            <v>BEL</v>
          </cell>
          <cell r="V141" t="str">
            <v>SCS</v>
          </cell>
          <cell r="X141">
            <v>1.8200000000000001E-2</v>
          </cell>
          <cell r="Y141">
            <v>0</v>
          </cell>
          <cell r="Z141">
            <v>1.7399999999999999E-2</v>
          </cell>
          <cell r="AA141">
            <v>0</v>
          </cell>
          <cell r="AB141">
            <v>1.66E-2</v>
          </cell>
          <cell r="AC141">
            <v>0</v>
          </cell>
          <cell r="AD141">
            <v>1.5800000000000002E-2</v>
          </cell>
          <cell r="AE141">
            <v>0</v>
          </cell>
          <cell r="AG141" t="str">
            <v/>
          </cell>
          <cell r="AH141" t="str">
            <v/>
          </cell>
          <cell r="AJ141">
            <v>1.8200000000000001E-2</v>
          </cell>
          <cell r="AK141">
            <v>0</v>
          </cell>
          <cell r="AL141">
            <v>1.7399999999999999E-2</v>
          </cell>
          <cell r="AM141">
            <v>0</v>
          </cell>
          <cell r="AN141">
            <v>1.66E-2</v>
          </cell>
          <cell r="AO141">
            <v>0</v>
          </cell>
          <cell r="AP141">
            <v>1.5800000000000002E-2</v>
          </cell>
          <cell r="AQ141">
            <v>0</v>
          </cell>
          <cell r="AS141" t="str">
            <v/>
          </cell>
          <cell r="AT141" t="str">
            <v/>
          </cell>
          <cell r="AV141" t="b">
            <v>0</v>
          </cell>
          <cell r="AW141" t="str">
            <v>minute</v>
          </cell>
        </row>
        <row r="142">
          <cell r="S142" t="str">
            <v>DOM BEL DTFN</v>
          </cell>
          <cell r="T142" t="str">
            <v>DOM</v>
          </cell>
          <cell r="U142" t="str">
            <v>BEL</v>
          </cell>
          <cell r="V142" t="str">
            <v>DTFN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G142" t="str">
            <v/>
          </cell>
          <cell r="AH142" t="str">
            <v/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S142" t="str">
            <v/>
          </cell>
          <cell r="AT142" t="str">
            <v/>
          </cell>
          <cell r="AV142" t="b">
            <v>0</v>
          </cell>
          <cell r="AW142" t="str">
            <v>minute</v>
          </cell>
        </row>
        <row r="143">
          <cell r="S143" t="str">
            <v>DOM BRA MOB</v>
          </cell>
          <cell r="T143" t="str">
            <v>DOM</v>
          </cell>
          <cell r="U143" t="str">
            <v>BRA</v>
          </cell>
          <cell r="V143" t="str">
            <v>MOB</v>
          </cell>
          <cell r="X143">
            <v>0.25309999999999999</v>
          </cell>
          <cell r="Y143">
            <v>0</v>
          </cell>
          <cell r="Z143">
            <v>0.22009999999999999</v>
          </cell>
          <cell r="AA143">
            <v>0</v>
          </cell>
          <cell r="AB143">
            <v>0.19139999999999999</v>
          </cell>
          <cell r="AC143">
            <v>0</v>
          </cell>
          <cell r="AD143">
            <v>0.16639999999999999</v>
          </cell>
          <cell r="AE143">
            <v>0</v>
          </cell>
          <cell r="AG143" t="str">
            <v/>
          </cell>
          <cell r="AH143" t="str">
            <v/>
          </cell>
          <cell r="AJ143">
            <v>0.25309999999999999</v>
          </cell>
          <cell r="AK143">
            <v>0</v>
          </cell>
          <cell r="AL143">
            <v>0.22009999999999999</v>
          </cell>
          <cell r="AM143">
            <v>0</v>
          </cell>
          <cell r="AN143">
            <v>0.19139999999999999</v>
          </cell>
          <cell r="AO143">
            <v>0</v>
          </cell>
          <cell r="AP143">
            <v>0.16639999999999999</v>
          </cell>
          <cell r="AQ143">
            <v>0</v>
          </cell>
          <cell r="AS143" t="str">
            <v/>
          </cell>
          <cell r="AT143" t="str">
            <v/>
          </cell>
          <cell r="AV143" t="b">
            <v>1</v>
          </cell>
          <cell r="AW143" t="str">
            <v>minute</v>
          </cell>
        </row>
        <row r="144">
          <cell r="S144" t="str">
            <v>DOM BRA FIX</v>
          </cell>
          <cell r="T144" t="str">
            <v>DOM</v>
          </cell>
          <cell r="U144" t="str">
            <v>BRA</v>
          </cell>
          <cell r="V144" t="str">
            <v>FIX</v>
          </cell>
          <cell r="X144">
            <v>3.3700000000000001E-2</v>
          </cell>
          <cell r="Y144">
            <v>0</v>
          </cell>
          <cell r="Z144">
            <v>2.93E-2</v>
          </cell>
          <cell r="AA144">
            <v>0</v>
          </cell>
          <cell r="AB144">
            <v>2.5499999999999998E-2</v>
          </cell>
          <cell r="AC144">
            <v>0</v>
          </cell>
          <cell r="AD144">
            <v>2.2200000000000001E-2</v>
          </cell>
          <cell r="AE144">
            <v>0</v>
          </cell>
          <cell r="AG144" t="str">
            <v/>
          </cell>
          <cell r="AH144" t="str">
            <v/>
          </cell>
          <cell r="AJ144">
            <v>3.3700000000000001E-2</v>
          </cell>
          <cell r="AK144">
            <v>0</v>
          </cell>
          <cell r="AL144">
            <v>2.93E-2</v>
          </cell>
          <cell r="AM144">
            <v>0</v>
          </cell>
          <cell r="AN144">
            <v>2.5499999999999998E-2</v>
          </cell>
          <cell r="AO144">
            <v>0</v>
          </cell>
          <cell r="AP144">
            <v>2.2200000000000001E-2</v>
          </cell>
          <cell r="AQ144">
            <v>0</v>
          </cell>
          <cell r="AS144" t="str">
            <v/>
          </cell>
          <cell r="AT144" t="str">
            <v/>
          </cell>
          <cell r="AV144" t="b">
            <v>1</v>
          </cell>
          <cell r="AW144" t="str">
            <v>minute</v>
          </cell>
        </row>
        <row r="145">
          <cell r="S145" t="str">
            <v>DOM BGR MOB</v>
          </cell>
          <cell r="T145" t="str">
            <v>DOM</v>
          </cell>
          <cell r="U145" t="str">
            <v>BGR</v>
          </cell>
          <cell r="V145" t="str">
            <v>MOB</v>
          </cell>
          <cell r="X145">
            <v>7.46E-2</v>
          </cell>
          <cell r="Y145">
            <v>0</v>
          </cell>
          <cell r="Z145">
            <v>7.1400000000000005E-2</v>
          </cell>
          <cell r="AA145">
            <v>0</v>
          </cell>
          <cell r="AB145">
            <v>6.83E-2</v>
          </cell>
          <cell r="AC145">
            <v>0</v>
          </cell>
          <cell r="AD145">
            <v>6.54E-2</v>
          </cell>
          <cell r="AE145">
            <v>0</v>
          </cell>
          <cell r="AG145" t="str">
            <v/>
          </cell>
          <cell r="AH145" t="str">
            <v/>
          </cell>
          <cell r="AJ145">
            <v>7.46E-2</v>
          </cell>
          <cell r="AK145">
            <v>0</v>
          </cell>
          <cell r="AL145">
            <v>7.1400000000000005E-2</v>
          </cell>
          <cell r="AM145">
            <v>0</v>
          </cell>
          <cell r="AN145">
            <v>6.83E-2</v>
          </cell>
          <cell r="AO145">
            <v>0</v>
          </cell>
          <cell r="AP145">
            <v>6.54E-2</v>
          </cell>
          <cell r="AQ145">
            <v>0</v>
          </cell>
          <cell r="AS145" t="str">
            <v/>
          </cell>
          <cell r="AT145" t="str">
            <v/>
          </cell>
          <cell r="AV145" t="b">
            <v>1</v>
          </cell>
          <cell r="AW145" t="str">
            <v>minute</v>
          </cell>
        </row>
        <row r="146">
          <cell r="S146" t="str">
            <v>DOM BGR FIX</v>
          </cell>
          <cell r="T146" t="str">
            <v>DOM</v>
          </cell>
          <cell r="U146" t="str">
            <v>BGR</v>
          </cell>
          <cell r="V146" t="str">
            <v>FIX</v>
          </cell>
          <cell r="X146">
            <v>1.66E-2</v>
          </cell>
          <cell r="Y146">
            <v>0</v>
          </cell>
          <cell r="Z146">
            <v>1.5900000000000001E-2</v>
          </cell>
          <cell r="AA146">
            <v>0</v>
          </cell>
          <cell r="AB146">
            <v>1.52E-2</v>
          </cell>
          <cell r="AC146">
            <v>0</v>
          </cell>
          <cell r="AD146">
            <v>1.4500000000000001E-2</v>
          </cell>
          <cell r="AE146">
            <v>0</v>
          </cell>
          <cell r="AG146" t="str">
            <v/>
          </cell>
          <cell r="AH146" t="str">
            <v/>
          </cell>
          <cell r="AJ146">
            <v>1.66E-2</v>
          </cell>
          <cell r="AK146">
            <v>0</v>
          </cell>
          <cell r="AL146">
            <v>1.5900000000000001E-2</v>
          </cell>
          <cell r="AM146">
            <v>0</v>
          </cell>
          <cell r="AN146">
            <v>1.52E-2</v>
          </cell>
          <cell r="AO146">
            <v>0</v>
          </cell>
          <cell r="AP146">
            <v>1.4500000000000001E-2</v>
          </cell>
          <cell r="AQ146">
            <v>0</v>
          </cell>
          <cell r="AS146" t="str">
            <v/>
          </cell>
          <cell r="AT146" t="str">
            <v/>
          </cell>
          <cell r="AV146" t="b">
            <v>1</v>
          </cell>
          <cell r="AW146" t="str">
            <v>minute</v>
          </cell>
        </row>
        <row r="147">
          <cell r="S147" t="str">
            <v>DOM CAN CAOTH</v>
          </cell>
          <cell r="T147" t="str">
            <v>DOM</v>
          </cell>
          <cell r="U147" t="str">
            <v>CAN</v>
          </cell>
          <cell r="V147" t="str">
            <v>CAOTH</v>
          </cell>
          <cell r="X147">
            <v>1.4999999999999999E-2</v>
          </cell>
          <cell r="Y147">
            <v>0</v>
          </cell>
          <cell r="Z147">
            <v>1.44E-2</v>
          </cell>
          <cell r="AA147">
            <v>0</v>
          </cell>
          <cell r="AB147">
            <v>1.38E-2</v>
          </cell>
          <cell r="AC147">
            <v>0</v>
          </cell>
          <cell r="AD147">
            <v>1.32E-2</v>
          </cell>
          <cell r="AE147">
            <v>0</v>
          </cell>
          <cell r="AG147" t="str">
            <v/>
          </cell>
          <cell r="AH147" t="str">
            <v/>
          </cell>
          <cell r="AJ147">
            <v>1.4999999999999999E-2</v>
          </cell>
          <cell r="AK147">
            <v>0</v>
          </cell>
          <cell r="AL147">
            <v>1.44E-2</v>
          </cell>
          <cell r="AM147">
            <v>0</v>
          </cell>
          <cell r="AN147">
            <v>1.38E-2</v>
          </cell>
          <cell r="AO147">
            <v>0</v>
          </cell>
          <cell r="AP147">
            <v>1.32E-2</v>
          </cell>
          <cell r="AQ147">
            <v>0</v>
          </cell>
          <cell r="AS147" t="str">
            <v/>
          </cell>
          <cell r="AT147" t="str">
            <v/>
          </cell>
          <cell r="AV147" t="b">
            <v>1</v>
          </cell>
          <cell r="AW147" t="str">
            <v>minute</v>
          </cell>
        </row>
        <row r="148">
          <cell r="S148" t="str">
            <v>DOM CHL MOB</v>
          </cell>
          <cell r="T148" t="str">
            <v>DOM</v>
          </cell>
          <cell r="U148" t="str">
            <v>CHL</v>
          </cell>
          <cell r="V148" t="str">
            <v>MOB</v>
          </cell>
          <cell r="X148">
            <v>0.23769999999999999</v>
          </cell>
          <cell r="Y148">
            <v>0</v>
          </cell>
          <cell r="Z148">
            <v>0.20669999999999999</v>
          </cell>
          <cell r="AA148">
            <v>0</v>
          </cell>
          <cell r="AB148">
            <v>0.1797</v>
          </cell>
          <cell r="AC148">
            <v>0</v>
          </cell>
          <cell r="AD148">
            <v>0.15629999999999999</v>
          </cell>
          <cell r="AE148">
            <v>0</v>
          </cell>
          <cell r="AG148" t="str">
            <v/>
          </cell>
          <cell r="AH148" t="str">
            <v/>
          </cell>
          <cell r="AJ148">
            <v>0.23769999999999999</v>
          </cell>
          <cell r="AK148">
            <v>0</v>
          </cell>
          <cell r="AL148">
            <v>0.20669999999999999</v>
          </cell>
          <cell r="AM148">
            <v>0</v>
          </cell>
          <cell r="AN148">
            <v>0.1797</v>
          </cell>
          <cell r="AO148">
            <v>0</v>
          </cell>
          <cell r="AP148">
            <v>0.15629999999999999</v>
          </cell>
          <cell r="AQ148">
            <v>0</v>
          </cell>
          <cell r="AS148" t="str">
            <v/>
          </cell>
          <cell r="AT148" t="str">
            <v/>
          </cell>
          <cell r="AV148" t="b">
            <v>1</v>
          </cell>
          <cell r="AW148" t="str">
            <v>minute</v>
          </cell>
        </row>
        <row r="149">
          <cell r="S149" t="str">
            <v>DOM CHL FIX</v>
          </cell>
          <cell r="T149" t="str">
            <v>DOM</v>
          </cell>
          <cell r="U149" t="str">
            <v>CHL</v>
          </cell>
          <cell r="V149" t="str">
            <v>FIX</v>
          </cell>
          <cell r="X149">
            <v>9.35E-2</v>
          </cell>
          <cell r="Y149">
            <v>0</v>
          </cell>
          <cell r="Z149">
            <v>8.4099999999999994E-2</v>
          </cell>
          <cell r="AA149">
            <v>0</v>
          </cell>
          <cell r="AB149">
            <v>7.9399999999999998E-2</v>
          </cell>
          <cell r="AC149">
            <v>0</v>
          </cell>
          <cell r="AD149">
            <v>7.4800000000000005E-2</v>
          </cell>
          <cell r="AE149">
            <v>0</v>
          </cell>
          <cell r="AG149" t="str">
            <v/>
          </cell>
          <cell r="AH149" t="str">
            <v/>
          </cell>
          <cell r="AJ149">
            <v>9.35E-2</v>
          </cell>
          <cell r="AK149">
            <v>0</v>
          </cell>
          <cell r="AL149">
            <v>8.4099999999999994E-2</v>
          </cell>
          <cell r="AM149">
            <v>0</v>
          </cell>
          <cell r="AN149">
            <v>7.9399999999999998E-2</v>
          </cell>
          <cell r="AO149">
            <v>0</v>
          </cell>
          <cell r="AP149">
            <v>7.4800000000000005E-2</v>
          </cell>
          <cell r="AQ149">
            <v>0</v>
          </cell>
          <cell r="AS149" t="str">
            <v/>
          </cell>
          <cell r="AT149" t="str">
            <v/>
          </cell>
          <cell r="AV149" t="b">
            <v>1</v>
          </cell>
          <cell r="AW149" t="str">
            <v>minute</v>
          </cell>
        </row>
        <row r="150">
          <cell r="S150" t="str">
            <v>DOM CRI CRI</v>
          </cell>
          <cell r="T150" t="str">
            <v>DOM</v>
          </cell>
          <cell r="U150" t="str">
            <v>CRI</v>
          </cell>
          <cell r="V150" t="str">
            <v>CRI</v>
          </cell>
          <cell r="X150">
            <v>3.1399999999999997E-2</v>
          </cell>
          <cell r="Y150">
            <v>0</v>
          </cell>
          <cell r="Z150">
            <v>2.7300000000000001E-2</v>
          </cell>
          <cell r="AA150">
            <v>0</v>
          </cell>
          <cell r="AB150">
            <v>2.3699999999999999E-2</v>
          </cell>
          <cell r="AC150">
            <v>0</v>
          </cell>
          <cell r="AD150">
            <v>2.06E-2</v>
          </cell>
          <cell r="AE150">
            <v>0</v>
          </cell>
          <cell r="AG150" t="str">
            <v/>
          </cell>
          <cell r="AH150" t="str">
            <v/>
          </cell>
          <cell r="AJ150">
            <v>3.1399999999999997E-2</v>
          </cell>
          <cell r="AK150">
            <v>0</v>
          </cell>
          <cell r="AL150">
            <v>2.7300000000000001E-2</v>
          </cell>
          <cell r="AM150">
            <v>0</v>
          </cell>
          <cell r="AN150">
            <v>2.3699999999999999E-2</v>
          </cell>
          <cell r="AO150">
            <v>0</v>
          </cell>
          <cell r="AP150">
            <v>2.06E-2</v>
          </cell>
          <cell r="AQ150">
            <v>0</v>
          </cell>
          <cell r="AS150" t="str">
            <v/>
          </cell>
          <cell r="AT150" t="str">
            <v/>
          </cell>
          <cell r="AV150" t="b">
            <v>1</v>
          </cell>
          <cell r="AW150" t="str">
            <v>minute</v>
          </cell>
        </row>
        <row r="151">
          <cell r="S151" t="str">
            <v>DOM CRI CRIMO</v>
          </cell>
          <cell r="T151" t="str">
            <v>DOM</v>
          </cell>
          <cell r="U151" t="str">
            <v>CRI</v>
          </cell>
          <cell r="V151" t="str">
            <v>CRIMO</v>
          </cell>
          <cell r="X151">
            <v>0.1037</v>
          </cell>
          <cell r="Y151">
            <v>0</v>
          </cell>
          <cell r="Z151">
            <v>9.0200000000000002E-2</v>
          </cell>
          <cell r="AA151">
            <v>0</v>
          </cell>
          <cell r="AB151">
            <v>7.8399999999999997E-2</v>
          </cell>
          <cell r="AC151">
            <v>0</v>
          </cell>
          <cell r="AD151">
            <v>6.8199999999999997E-2</v>
          </cell>
          <cell r="AE151">
            <v>0</v>
          </cell>
          <cell r="AG151" t="str">
            <v/>
          </cell>
          <cell r="AH151" t="str">
            <v/>
          </cell>
          <cell r="AJ151">
            <v>0.1037</v>
          </cell>
          <cell r="AK151">
            <v>0</v>
          </cell>
          <cell r="AL151">
            <v>9.0200000000000002E-2</v>
          </cell>
          <cell r="AM151">
            <v>0</v>
          </cell>
          <cell r="AN151">
            <v>7.8399999999999997E-2</v>
          </cell>
          <cell r="AO151">
            <v>0</v>
          </cell>
          <cell r="AP151">
            <v>6.8199999999999997E-2</v>
          </cell>
          <cell r="AQ151">
            <v>0</v>
          </cell>
          <cell r="AS151" t="str">
            <v/>
          </cell>
          <cell r="AT151" t="str">
            <v/>
          </cell>
          <cell r="AV151" t="b">
            <v>1</v>
          </cell>
          <cell r="AW151" t="str">
            <v>minute</v>
          </cell>
        </row>
        <row r="152">
          <cell r="S152" t="str">
            <v>DOM HRV MOB</v>
          </cell>
          <cell r="T152" t="str">
            <v>DOM</v>
          </cell>
          <cell r="U152" t="str">
            <v>HRV</v>
          </cell>
          <cell r="V152" t="str">
            <v>MOB</v>
          </cell>
          <cell r="X152">
            <v>0.14000000000000001</v>
          </cell>
          <cell r="Y152">
            <v>0</v>
          </cell>
          <cell r="Z152">
            <v>0.1217</v>
          </cell>
          <cell r="AA152">
            <v>0</v>
          </cell>
          <cell r="AB152">
            <v>0.10580000000000001</v>
          </cell>
          <cell r="AC152">
            <v>0</v>
          </cell>
          <cell r="AD152">
            <v>9.1999999999999998E-2</v>
          </cell>
          <cell r="AE152">
            <v>0</v>
          </cell>
          <cell r="AG152" t="str">
            <v/>
          </cell>
          <cell r="AH152" t="str">
            <v/>
          </cell>
          <cell r="AJ152">
            <v>0.14000000000000001</v>
          </cell>
          <cell r="AK152">
            <v>0</v>
          </cell>
          <cell r="AL152">
            <v>0.1217</v>
          </cell>
          <cell r="AM152">
            <v>0</v>
          </cell>
          <cell r="AN152">
            <v>0.10580000000000001</v>
          </cell>
          <cell r="AO152">
            <v>0</v>
          </cell>
          <cell r="AP152">
            <v>9.1999999999999998E-2</v>
          </cell>
          <cell r="AQ152">
            <v>0</v>
          </cell>
          <cell r="AS152" t="str">
            <v/>
          </cell>
          <cell r="AT152" t="str">
            <v/>
          </cell>
          <cell r="AV152" t="b">
            <v>1</v>
          </cell>
          <cell r="AW152" t="str">
            <v>minute</v>
          </cell>
        </row>
        <row r="153">
          <cell r="S153" t="str">
            <v>DOM HRV HRMT</v>
          </cell>
          <cell r="T153" t="str">
            <v>DOM</v>
          </cell>
          <cell r="U153" t="str">
            <v>HRV</v>
          </cell>
          <cell r="V153" t="str">
            <v>HRMT</v>
          </cell>
          <cell r="X153">
            <v>0.14000000000000001</v>
          </cell>
          <cell r="Y153">
            <v>0</v>
          </cell>
          <cell r="Z153">
            <v>0.1217</v>
          </cell>
          <cell r="AA153">
            <v>0</v>
          </cell>
          <cell r="AB153">
            <v>0.10580000000000001</v>
          </cell>
          <cell r="AC153">
            <v>0</v>
          </cell>
          <cell r="AD153">
            <v>9.1999999999999998E-2</v>
          </cell>
          <cell r="AE153">
            <v>0</v>
          </cell>
          <cell r="AG153" t="str">
            <v/>
          </cell>
          <cell r="AH153" t="str">
            <v/>
          </cell>
          <cell r="AJ153">
            <v>0.14000000000000001</v>
          </cell>
          <cell r="AK153">
            <v>0</v>
          </cell>
          <cell r="AL153">
            <v>0.1217</v>
          </cell>
          <cell r="AM153">
            <v>0</v>
          </cell>
          <cell r="AN153">
            <v>0.10580000000000001</v>
          </cell>
          <cell r="AO153">
            <v>0</v>
          </cell>
          <cell r="AP153">
            <v>9.1999999999999998E-2</v>
          </cell>
          <cell r="AQ153">
            <v>0</v>
          </cell>
          <cell r="AS153" t="str">
            <v/>
          </cell>
          <cell r="AT153" t="str">
            <v/>
          </cell>
          <cell r="AV153" t="b">
            <v>1</v>
          </cell>
          <cell r="AW153" t="str">
            <v>minute</v>
          </cell>
        </row>
        <row r="154">
          <cell r="S154" t="str">
            <v>DOM HRV FIX</v>
          </cell>
          <cell r="T154" t="str">
            <v>DOM</v>
          </cell>
          <cell r="U154" t="str">
            <v>HRV</v>
          </cell>
          <cell r="V154" t="str">
            <v>FIX</v>
          </cell>
          <cell r="X154">
            <v>1.7600000000000001E-2</v>
          </cell>
          <cell r="Y154">
            <v>0</v>
          </cell>
          <cell r="Z154">
            <v>1.5900000000000001E-2</v>
          </cell>
          <cell r="AA154">
            <v>0</v>
          </cell>
          <cell r="AB154">
            <v>1.4999999999999999E-2</v>
          </cell>
          <cell r="AC154">
            <v>0</v>
          </cell>
          <cell r="AD154">
            <v>1.41E-2</v>
          </cell>
          <cell r="AE154">
            <v>0</v>
          </cell>
          <cell r="AG154" t="str">
            <v/>
          </cell>
          <cell r="AH154" t="str">
            <v/>
          </cell>
          <cell r="AJ154">
            <v>1.7600000000000001E-2</v>
          </cell>
          <cell r="AK154">
            <v>0</v>
          </cell>
          <cell r="AL154">
            <v>1.5900000000000001E-2</v>
          </cell>
          <cell r="AM154">
            <v>0</v>
          </cell>
          <cell r="AN154">
            <v>1.4999999999999999E-2</v>
          </cell>
          <cell r="AO154">
            <v>0</v>
          </cell>
          <cell r="AP154">
            <v>1.41E-2</v>
          </cell>
          <cell r="AQ154">
            <v>0</v>
          </cell>
          <cell r="AS154" t="str">
            <v/>
          </cell>
          <cell r="AT154" t="str">
            <v/>
          </cell>
          <cell r="AV154" t="b">
            <v>1</v>
          </cell>
          <cell r="AW154" t="str">
            <v>minute</v>
          </cell>
        </row>
        <row r="155">
          <cell r="S155" t="str">
            <v>DOM CSK CZMT</v>
          </cell>
          <cell r="T155" t="str">
            <v>DOM</v>
          </cell>
          <cell r="U155" t="str">
            <v>CSK</v>
          </cell>
          <cell r="V155" t="str">
            <v>CZMT</v>
          </cell>
          <cell r="X155">
            <v>1.95E-2</v>
          </cell>
          <cell r="Y155">
            <v>0</v>
          </cell>
          <cell r="Z155">
            <v>1.8700000000000001E-2</v>
          </cell>
          <cell r="AA155">
            <v>0</v>
          </cell>
          <cell r="AB155">
            <v>1.7899999999999999E-2</v>
          </cell>
          <cell r="AC155">
            <v>0</v>
          </cell>
          <cell r="AD155">
            <v>1.7100000000000001E-2</v>
          </cell>
          <cell r="AE155">
            <v>0</v>
          </cell>
          <cell r="AG155" t="str">
            <v/>
          </cell>
          <cell r="AH155" t="str">
            <v/>
          </cell>
          <cell r="AJ155">
            <v>1.95E-2</v>
          </cell>
          <cell r="AK155">
            <v>0</v>
          </cell>
          <cell r="AL155">
            <v>1.8700000000000001E-2</v>
          </cell>
          <cell r="AM155">
            <v>0</v>
          </cell>
          <cell r="AN155">
            <v>1.7899999999999999E-2</v>
          </cell>
          <cell r="AO155">
            <v>0</v>
          </cell>
          <cell r="AP155">
            <v>1.7100000000000001E-2</v>
          </cell>
          <cell r="AQ155">
            <v>0</v>
          </cell>
          <cell r="AS155" t="str">
            <v/>
          </cell>
          <cell r="AT155" t="str">
            <v/>
          </cell>
          <cell r="AV155" t="b">
            <v>1</v>
          </cell>
          <cell r="AW155" t="str">
            <v>minute</v>
          </cell>
        </row>
        <row r="156">
          <cell r="S156" t="str">
            <v>DOM CSK MOBIL</v>
          </cell>
          <cell r="T156" t="str">
            <v>DOM</v>
          </cell>
          <cell r="U156" t="str">
            <v>CSK</v>
          </cell>
          <cell r="V156" t="str">
            <v>MOBIL</v>
          </cell>
          <cell r="X156">
            <v>9.3200000000000005E-2</v>
          </cell>
          <cell r="Y156">
            <v>0</v>
          </cell>
          <cell r="Z156">
            <v>8.3900000000000002E-2</v>
          </cell>
          <cell r="AA156">
            <v>0</v>
          </cell>
          <cell r="AB156">
            <v>7.9200000000000007E-2</v>
          </cell>
          <cell r="AC156">
            <v>0</v>
          </cell>
          <cell r="AD156">
            <v>7.4499999999999997E-2</v>
          </cell>
          <cell r="AE156">
            <v>0</v>
          </cell>
          <cell r="AG156" t="str">
            <v/>
          </cell>
          <cell r="AH156" t="str">
            <v/>
          </cell>
          <cell r="AJ156">
            <v>9.3200000000000005E-2</v>
          </cell>
          <cell r="AK156">
            <v>0</v>
          </cell>
          <cell r="AL156">
            <v>8.3900000000000002E-2</v>
          </cell>
          <cell r="AM156">
            <v>0</v>
          </cell>
          <cell r="AN156">
            <v>7.9200000000000007E-2</v>
          </cell>
          <cell r="AO156">
            <v>0</v>
          </cell>
          <cell r="AP156">
            <v>7.4499999999999997E-2</v>
          </cell>
          <cell r="AQ156">
            <v>0</v>
          </cell>
          <cell r="AS156" t="str">
            <v/>
          </cell>
          <cell r="AT156" t="str">
            <v/>
          </cell>
          <cell r="AV156" t="b">
            <v>1</v>
          </cell>
          <cell r="AW156" t="str">
            <v>minute</v>
          </cell>
        </row>
        <row r="157">
          <cell r="S157" t="str">
            <v>DOM CSK FIX</v>
          </cell>
          <cell r="T157" t="str">
            <v>DOM</v>
          </cell>
          <cell r="U157" t="str">
            <v>CSK</v>
          </cell>
          <cell r="V157" t="str">
            <v>FIX</v>
          </cell>
          <cell r="X157">
            <v>2.1000000000000001E-2</v>
          </cell>
          <cell r="Y157">
            <v>0</v>
          </cell>
          <cell r="Z157">
            <v>2.01E-2</v>
          </cell>
          <cell r="AA157">
            <v>0</v>
          </cell>
          <cell r="AB157">
            <v>1.9199999999999998E-2</v>
          </cell>
          <cell r="AC157">
            <v>0</v>
          </cell>
          <cell r="AD157">
            <v>1.84E-2</v>
          </cell>
          <cell r="AE157">
            <v>0</v>
          </cell>
          <cell r="AG157" t="str">
            <v/>
          </cell>
          <cell r="AH157" t="str">
            <v/>
          </cell>
          <cell r="AJ157">
            <v>2.1000000000000001E-2</v>
          </cell>
          <cell r="AK157">
            <v>0</v>
          </cell>
          <cell r="AL157">
            <v>2.01E-2</v>
          </cell>
          <cell r="AM157">
            <v>0</v>
          </cell>
          <cell r="AN157">
            <v>1.9199999999999998E-2</v>
          </cell>
          <cell r="AO157">
            <v>0</v>
          </cell>
          <cell r="AP157">
            <v>1.84E-2</v>
          </cell>
          <cell r="AQ157">
            <v>0</v>
          </cell>
          <cell r="AS157" t="str">
            <v/>
          </cell>
          <cell r="AT157" t="str">
            <v/>
          </cell>
          <cell r="AV157" t="b">
            <v>1</v>
          </cell>
          <cell r="AW157" t="str">
            <v>minute</v>
          </cell>
        </row>
        <row r="158">
          <cell r="S158" t="str">
            <v>DOM CSK WNM</v>
          </cell>
          <cell r="T158" t="str">
            <v>DOM</v>
          </cell>
          <cell r="U158" t="str">
            <v>CSK</v>
          </cell>
          <cell r="V158" t="str">
            <v>WNM</v>
          </cell>
          <cell r="X158">
            <v>1.5800000000000002E-2</v>
          </cell>
          <cell r="Y158">
            <v>0</v>
          </cell>
          <cell r="Z158">
            <v>1.5800000000000002E-2</v>
          </cell>
          <cell r="AA158">
            <v>0</v>
          </cell>
          <cell r="AB158">
            <v>1.5800000000000002E-2</v>
          </cell>
          <cell r="AC158">
            <v>0</v>
          </cell>
          <cell r="AD158">
            <v>1.5800000000000002E-2</v>
          </cell>
          <cell r="AE158">
            <v>0</v>
          </cell>
          <cell r="AG158" t="str">
            <v/>
          </cell>
          <cell r="AH158" t="str">
            <v/>
          </cell>
          <cell r="AJ158">
            <v>1.5800000000000002E-2</v>
          </cell>
          <cell r="AK158">
            <v>0</v>
          </cell>
          <cell r="AL158">
            <v>1.5800000000000002E-2</v>
          </cell>
          <cell r="AM158">
            <v>0</v>
          </cell>
          <cell r="AN158">
            <v>1.5800000000000002E-2</v>
          </cell>
          <cell r="AO158">
            <v>0</v>
          </cell>
          <cell r="AP158">
            <v>1.5800000000000002E-2</v>
          </cell>
          <cell r="AQ158">
            <v>0</v>
          </cell>
          <cell r="AS158" t="str">
            <v/>
          </cell>
          <cell r="AT158" t="str">
            <v/>
          </cell>
          <cell r="AV158" t="b">
            <v>0</v>
          </cell>
          <cell r="AW158" t="str">
            <v>minute</v>
          </cell>
        </row>
        <row r="159">
          <cell r="S159" t="str">
            <v>DOM DNK AREA1</v>
          </cell>
          <cell r="T159" t="str">
            <v>DOM</v>
          </cell>
          <cell r="U159" t="str">
            <v>DNK</v>
          </cell>
          <cell r="V159" t="str">
            <v>AREA1</v>
          </cell>
          <cell r="X159">
            <v>1.09E-2</v>
          </cell>
          <cell r="Y159">
            <v>0</v>
          </cell>
          <cell r="Z159">
            <v>1.0200000000000001E-2</v>
          </cell>
          <cell r="AA159">
            <v>0</v>
          </cell>
          <cell r="AB159">
            <v>9.4999999999999998E-3</v>
          </cell>
          <cell r="AC159">
            <v>0</v>
          </cell>
          <cell r="AD159">
            <v>8.8999999999999999E-3</v>
          </cell>
          <cell r="AE159">
            <v>0</v>
          </cell>
          <cell r="AG159" t="str">
            <v/>
          </cell>
          <cell r="AH159" t="str">
            <v/>
          </cell>
          <cell r="AJ159">
            <v>1.09E-2</v>
          </cell>
          <cell r="AK159">
            <v>0</v>
          </cell>
          <cell r="AL159">
            <v>1.0200000000000001E-2</v>
          </cell>
          <cell r="AM159">
            <v>0</v>
          </cell>
          <cell r="AN159">
            <v>9.4999999999999998E-3</v>
          </cell>
          <cell r="AO159">
            <v>0</v>
          </cell>
          <cell r="AP159">
            <v>8.8999999999999999E-3</v>
          </cell>
          <cell r="AQ159">
            <v>0</v>
          </cell>
          <cell r="AS159" t="str">
            <v/>
          </cell>
          <cell r="AT159" t="str">
            <v/>
          </cell>
          <cell r="AV159" t="b">
            <v>1</v>
          </cell>
          <cell r="AW159" t="str">
            <v>minute</v>
          </cell>
        </row>
        <row r="160">
          <cell r="S160" t="str">
            <v>DOM DNK AREA3</v>
          </cell>
          <cell r="T160" t="str">
            <v>DOM</v>
          </cell>
          <cell r="U160" t="str">
            <v>DNK</v>
          </cell>
          <cell r="V160" t="str">
            <v>AREA3</v>
          </cell>
          <cell r="X160">
            <v>2.3199999999999998E-2</v>
          </cell>
          <cell r="Y160">
            <v>0</v>
          </cell>
          <cell r="Z160">
            <v>2.1700000000000001E-2</v>
          </cell>
          <cell r="AA160">
            <v>0</v>
          </cell>
          <cell r="AB160">
            <v>2.0299999999999999E-2</v>
          </cell>
          <cell r="AC160">
            <v>0</v>
          </cell>
          <cell r="AD160">
            <v>1.9E-2</v>
          </cell>
          <cell r="AE160">
            <v>0</v>
          </cell>
          <cell r="AG160" t="str">
            <v/>
          </cell>
          <cell r="AH160" t="str">
            <v/>
          </cell>
          <cell r="AJ160">
            <v>2.3199999999999998E-2</v>
          </cell>
          <cell r="AK160">
            <v>0</v>
          </cell>
          <cell r="AL160">
            <v>2.1700000000000001E-2</v>
          </cell>
          <cell r="AM160">
            <v>0</v>
          </cell>
          <cell r="AN160">
            <v>2.0299999999999999E-2</v>
          </cell>
          <cell r="AO160">
            <v>0</v>
          </cell>
          <cell r="AP160">
            <v>1.9E-2</v>
          </cell>
          <cell r="AQ160">
            <v>0</v>
          </cell>
          <cell r="AS160" t="str">
            <v/>
          </cell>
          <cell r="AT160" t="str">
            <v/>
          </cell>
          <cell r="AV160" t="b">
            <v>1</v>
          </cell>
          <cell r="AW160" t="str">
            <v>minute</v>
          </cell>
        </row>
        <row r="161">
          <cell r="S161" t="str">
            <v>DOM DNK DKMTE</v>
          </cell>
          <cell r="T161" t="str">
            <v>DOM</v>
          </cell>
          <cell r="U161" t="str">
            <v>DNK</v>
          </cell>
          <cell r="V161" t="str">
            <v>DKMTE</v>
          </cell>
          <cell r="X161">
            <v>2.3199999999999998E-2</v>
          </cell>
          <cell r="Y161">
            <v>0</v>
          </cell>
          <cell r="Z161">
            <v>2.1700000000000001E-2</v>
          </cell>
          <cell r="AA161">
            <v>0</v>
          </cell>
          <cell r="AB161">
            <v>2.0299999999999999E-2</v>
          </cell>
          <cell r="AC161">
            <v>0</v>
          </cell>
          <cell r="AD161">
            <v>1.9E-2</v>
          </cell>
          <cell r="AE161">
            <v>0</v>
          </cell>
          <cell r="AG161" t="str">
            <v/>
          </cell>
          <cell r="AH161" t="str">
            <v/>
          </cell>
          <cell r="AJ161">
            <v>2.3199999999999998E-2</v>
          </cell>
          <cell r="AK161">
            <v>0</v>
          </cell>
          <cell r="AL161">
            <v>2.1700000000000001E-2</v>
          </cell>
          <cell r="AM161">
            <v>0</v>
          </cell>
          <cell r="AN161">
            <v>2.0299999999999999E-2</v>
          </cell>
          <cell r="AO161">
            <v>0</v>
          </cell>
          <cell r="AP161">
            <v>1.9E-2</v>
          </cell>
          <cell r="AQ161">
            <v>0</v>
          </cell>
          <cell r="AS161" t="str">
            <v/>
          </cell>
          <cell r="AT161" t="str">
            <v/>
          </cell>
          <cell r="AV161" t="b">
            <v>1</v>
          </cell>
          <cell r="AW161" t="str">
            <v>minute</v>
          </cell>
        </row>
        <row r="162">
          <cell r="S162" t="str">
            <v>DOM DNK DKANI</v>
          </cell>
          <cell r="T162" t="str">
            <v>DOM</v>
          </cell>
          <cell r="U162" t="str">
            <v>DNK</v>
          </cell>
          <cell r="V162" t="str">
            <v>DKANI</v>
          </cell>
          <cell r="X162">
            <v>0</v>
          </cell>
          <cell r="Y162">
            <v>0.1074</v>
          </cell>
          <cell r="Z162">
            <v>0</v>
          </cell>
          <cell r="AA162">
            <v>0.1074</v>
          </cell>
          <cell r="AB162">
            <v>0</v>
          </cell>
          <cell r="AC162">
            <v>0.1074</v>
          </cell>
          <cell r="AD162">
            <v>0</v>
          </cell>
          <cell r="AE162">
            <v>0.1074</v>
          </cell>
          <cell r="AG162" t="str">
            <v/>
          </cell>
          <cell r="AH162" t="str">
            <v/>
          </cell>
          <cell r="AJ162">
            <v>0</v>
          </cell>
          <cell r="AK162">
            <v>0.1074</v>
          </cell>
          <cell r="AL162">
            <v>0</v>
          </cell>
          <cell r="AM162">
            <v>0.1074</v>
          </cell>
          <cell r="AN162">
            <v>0</v>
          </cell>
          <cell r="AO162">
            <v>0.1074</v>
          </cell>
          <cell r="AP162">
            <v>0</v>
          </cell>
          <cell r="AQ162">
            <v>0.1074</v>
          </cell>
          <cell r="AS162" t="str">
            <v/>
          </cell>
          <cell r="AT162" t="str">
            <v/>
          </cell>
          <cell r="AV162" t="b">
            <v>0</v>
          </cell>
          <cell r="AW162" t="str">
            <v>minute &amp; call</v>
          </cell>
        </row>
        <row r="163">
          <cell r="S163" t="str">
            <v>DOM DNK DKCNF</v>
          </cell>
          <cell r="T163" t="str">
            <v>DOM</v>
          </cell>
          <cell r="U163" t="str">
            <v>DNK</v>
          </cell>
          <cell r="V163" t="str">
            <v>DKCNF</v>
          </cell>
          <cell r="X163">
            <v>2.1499999999999998E-2</v>
          </cell>
          <cell r="Y163">
            <v>1.72E-2</v>
          </cell>
          <cell r="Z163">
            <v>2.1499999999999998E-2</v>
          </cell>
          <cell r="AA163">
            <v>1.72E-2</v>
          </cell>
          <cell r="AB163">
            <v>2.1499999999999998E-2</v>
          </cell>
          <cell r="AC163">
            <v>1.72E-2</v>
          </cell>
          <cell r="AD163">
            <v>2.1499999999999998E-2</v>
          </cell>
          <cell r="AE163">
            <v>1.72E-2</v>
          </cell>
          <cell r="AG163" t="str">
            <v/>
          </cell>
          <cell r="AH163" t="str">
            <v/>
          </cell>
          <cell r="AJ163">
            <v>2.1499999999999998E-2</v>
          </cell>
          <cell r="AK163">
            <v>1.72E-2</v>
          </cell>
          <cell r="AL163">
            <v>2.1499999999999998E-2</v>
          </cell>
          <cell r="AM163">
            <v>1.72E-2</v>
          </cell>
          <cell r="AN163">
            <v>2.1499999999999998E-2</v>
          </cell>
          <cell r="AO163">
            <v>1.72E-2</v>
          </cell>
          <cell r="AP163">
            <v>2.1499999999999998E-2</v>
          </cell>
          <cell r="AQ163">
            <v>1.72E-2</v>
          </cell>
          <cell r="AS163" t="str">
            <v/>
          </cell>
          <cell r="AT163" t="str">
            <v/>
          </cell>
          <cell r="AV163" t="b">
            <v>0</v>
          </cell>
          <cell r="AW163" t="str">
            <v>minute &amp; call</v>
          </cell>
        </row>
        <row r="164">
          <cell r="S164" t="str">
            <v>DOM DNK DKCRP</v>
          </cell>
          <cell r="T164" t="str">
            <v>DOM</v>
          </cell>
          <cell r="U164" t="str">
            <v>DNK</v>
          </cell>
          <cell r="V164" t="str">
            <v>DKCRP</v>
          </cell>
          <cell r="X164">
            <v>2.6800000000000001E-2</v>
          </cell>
          <cell r="Y164">
            <v>2.4199999999999999E-2</v>
          </cell>
          <cell r="Z164">
            <v>2.6800000000000001E-2</v>
          </cell>
          <cell r="AA164">
            <v>2.4199999999999999E-2</v>
          </cell>
          <cell r="AB164">
            <v>2.6800000000000001E-2</v>
          </cell>
          <cell r="AC164">
            <v>2.4199999999999999E-2</v>
          </cell>
          <cell r="AD164">
            <v>2.6800000000000001E-2</v>
          </cell>
          <cell r="AE164">
            <v>2.4199999999999999E-2</v>
          </cell>
          <cell r="AG164" t="str">
            <v/>
          </cell>
          <cell r="AH164" t="str">
            <v/>
          </cell>
          <cell r="AJ164">
            <v>2.6800000000000001E-2</v>
          </cell>
          <cell r="AK164">
            <v>2.4199999999999999E-2</v>
          </cell>
          <cell r="AL164">
            <v>2.6800000000000001E-2</v>
          </cell>
          <cell r="AM164">
            <v>2.4199999999999999E-2</v>
          </cell>
          <cell r="AN164">
            <v>2.6800000000000001E-2</v>
          </cell>
          <cell r="AO164">
            <v>2.4199999999999999E-2</v>
          </cell>
          <cell r="AP164">
            <v>2.6800000000000001E-2</v>
          </cell>
          <cell r="AQ164">
            <v>2.4199999999999999E-2</v>
          </cell>
          <cell r="AS164" t="str">
            <v/>
          </cell>
          <cell r="AT164" t="str">
            <v/>
          </cell>
          <cell r="AV164" t="b">
            <v>0</v>
          </cell>
          <cell r="AW164" t="str">
            <v>minute &amp; call</v>
          </cell>
        </row>
        <row r="165">
          <cell r="S165" t="str">
            <v>DOM DNK DKDQ2</v>
          </cell>
          <cell r="T165" t="str">
            <v>DOM</v>
          </cell>
          <cell r="U165" t="str">
            <v>DNK</v>
          </cell>
          <cell r="V165" t="str">
            <v>DKDQ2</v>
          </cell>
          <cell r="X165">
            <v>0</v>
          </cell>
          <cell r="Y165">
            <v>2.3450000000000002</v>
          </cell>
          <cell r="Z165">
            <v>0</v>
          </cell>
          <cell r="AA165">
            <v>2.3450000000000002</v>
          </cell>
          <cell r="AB165">
            <v>0</v>
          </cell>
          <cell r="AC165">
            <v>2.3450000000000002</v>
          </cell>
          <cell r="AD165">
            <v>0</v>
          </cell>
          <cell r="AE165">
            <v>2.3450000000000002</v>
          </cell>
          <cell r="AG165" t="str">
            <v/>
          </cell>
          <cell r="AH165" t="str">
            <v/>
          </cell>
          <cell r="AJ165">
            <v>0</v>
          </cell>
          <cell r="AK165">
            <v>2.3450000000000002</v>
          </cell>
          <cell r="AL165">
            <v>0</v>
          </cell>
          <cell r="AM165">
            <v>2.3450000000000002</v>
          </cell>
          <cell r="AN165">
            <v>0</v>
          </cell>
          <cell r="AO165">
            <v>2.3450000000000002</v>
          </cell>
          <cell r="AP165">
            <v>0</v>
          </cell>
          <cell r="AQ165">
            <v>2.3450000000000002</v>
          </cell>
          <cell r="AS165" t="str">
            <v/>
          </cell>
          <cell r="AT165" t="str">
            <v/>
          </cell>
          <cell r="AV165" t="b">
            <v>0</v>
          </cell>
          <cell r="AW165" t="str">
            <v>minute &amp; call</v>
          </cell>
        </row>
        <row r="166">
          <cell r="S166" t="str">
            <v>DOM DNK DKEMG</v>
          </cell>
          <cell r="T166" t="str">
            <v>DOM</v>
          </cell>
          <cell r="U166" t="str">
            <v>DNK</v>
          </cell>
          <cell r="V166" t="str">
            <v>DKEMG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G166" t="str">
            <v/>
          </cell>
          <cell r="AH166" t="str">
            <v/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S166" t="str">
            <v/>
          </cell>
          <cell r="AT166" t="str">
            <v/>
          </cell>
          <cell r="AV166" t="b">
            <v>0</v>
          </cell>
          <cell r="AW166" t="str">
            <v>minute &amp; call</v>
          </cell>
        </row>
        <row r="167">
          <cell r="S167" t="str">
            <v>DOM DNK DKFLX</v>
          </cell>
          <cell r="T167" t="str">
            <v>DOM</v>
          </cell>
          <cell r="U167" t="str">
            <v>DNK</v>
          </cell>
          <cell r="V167" t="str">
            <v>DKFLX</v>
          </cell>
          <cell r="X167">
            <v>2.6800000000000001E-2</v>
          </cell>
          <cell r="Y167">
            <v>2.4199999999999999E-2</v>
          </cell>
          <cell r="Z167">
            <v>2.6800000000000001E-2</v>
          </cell>
          <cell r="AA167">
            <v>2.4199999999999999E-2</v>
          </cell>
          <cell r="AB167">
            <v>2.6800000000000001E-2</v>
          </cell>
          <cell r="AC167">
            <v>2.4199999999999999E-2</v>
          </cell>
          <cell r="AD167">
            <v>2.6800000000000001E-2</v>
          </cell>
          <cell r="AE167">
            <v>2.4199999999999999E-2</v>
          </cell>
          <cell r="AG167" t="str">
            <v/>
          </cell>
          <cell r="AH167" t="str">
            <v/>
          </cell>
          <cell r="AJ167">
            <v>2.6800000000000001E-2</v>
          </cell>
          <cell r="AK167">
            <v>2.4199999999999999E-2</v>
          </cell>
          <cell r="AL167">
            <v>2.6800000000000001E-2</v>
          </cell>
          <cell r="AM167">
            <v>2.4199999999999999E-2</v>
          </cell>
          <cell r="AN167">
            <v>2.6800000000000001E-2</v>
          </cell>
          <cell r="AO167">
            <v>2.4199999999999999E-2</v>
          </cell>
          <cell r="AP167">
            <v>2.6800000000000001E-2</v>
          </cell>
          <cell r="AQ167">
            <v>2.4199999999999999E-2</v>
          </cell>
          <cell r="AS167" t="str">
            <v/>
          </cell>
          <cell r="AT167" t="str">
            <v/>
          </cell>
          <cell r="AV167" t="b">
            <v>0</v>
          </cell>
          <cell r="AW167" t="str">
            <v>minute &amp; call</v>
          </cell>
        </row>
        <row r="168">
          <cell r="S168" t="str">
            <v>DOM DNK DKFRE</v>
          </cell>
          <cell r="T168" t="str">
            <v>DOM</v>
          </cell>
          <cell r="U168" t="str">
            <v>DNK</v>
          </cell>
          <cell r="V168" t="str">
            <v>DKFRE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G168" t="str">
            <v/>
          </cell>
          <cell r="AH168" t="str">
            <v/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S168" t="str">
            <v/>
          </cell>
          <cell r="AT168" t="str">
            <v/>
          </cell>
          <cell r="AV168" t="b">
            <v>0</v>
          </cell>
          <cell r="AW168" t="str">
            <v>minute &amp; call</v>
          </cell>
        </row>
        <row r="169">
          <cell r="S169" t="str">
            <v>DOM DNK DKHLT</v>
          </cell>
          <cell r="T169" t="str">
            <v>DOM</v>
          </cell>
          <cell r="U169" t="str">
            <v>DNK</v>
          </cell>
          <cell r="V169" t="str">
            <v>DKHLT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G169" t="str">
            <v/>
          </cell>
          <cell r="AH169" t="str">
            <v/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S169" t="str">
            <v/>
          </cell>
          <cell r="AT169" t="str">
            <v/>
          </cell>
          <cell r="AV169" t="b">
            <v>0</v>
          </cell>
          <cell r="AW169" t="str">
            <v>minute &amp; call</v>
          </cell>
        </row>
        <row r="170">
          <cell r="S170" t="str">
            <v>DOM DNK DKDIQ</v>
          </cell>
          <cell r="T170" t="str">
            <v>DOM</v>
          </cell>
          <cell r="U170" t="str">
            <v>DNK</v>
          </cell>
          <cell r="V170" t="str">
            <v>DKDIQ</v>
          </cell>
          <cell r="X170">
            <v>0</v>
          </cell>
          <cell r="Y170">
            <v>2.3450000000000002</v>
          </cell>
          <cell r="Z170">
            <v>0</v>
          </cell>
          <cell r="AA170">
            <v>2.3450000000000002</v>
          </cell>
          <cell r="AB170">
            <v>0</v>
          </cell>
          <cell r="AC170">
            <v>2.3450000000000002</v>
          </cell>
          <cell r="AD170">
            <v>0</v>
          </cell>
          <cell r="AE170">
            <v>2.3450000000000002</v>
          </cell>
          <cell r="AG170" t="str">
            <v/>
          </cell>
          <cell r="AH170" t="str">
            <v/>
          </cell>
          <cell r="AJ170">
            <v>0</v>
          </cell>
          <cell r="AK170">
            <v>2.3450000000000002</v>
          </cell>
          <cell r="AL170">
            <v>0</v>
          </cell>
          <cell r="AM170">
            <v>2.3450000000000002</v>
          </cell>
          <cell r="AN170">
            <v>0</v>
          </cell>
          <cell r="AO170">
            <v>2.3450000000000002</v>
          </cell>
          <cell r="AP170">
            <v>0</v>
          </cell>
          <cell r="AQ170">
            <v>2.3450000000000002</v>
          </cell>
          <cell r="AS170" t="str">
            <v/>
          </cell>
          <cell r="AT170" t="str">
            <v/>
          </cell>
          <cell r="AV170" t="b">
            <v>0</v>
          </cell>
          <cell r="AW170" t="str">
            <v>minute &amp; call</v>
          </cell>
        </row>
        <row r="171">
          <cell r="S171" t="str">
            <v>DOM DNK DKNEW</v>
          </cell>
          <cell r="T171" t="str">
            <v>DOM</v>
          </cell>
          <cell r="U171" t="str">
            <v>DNK</v>
          </cell>
          <cell r="V171" t="str">
            <v>DKNEW</v>
          </cell>
          <cell r="X171">
            <v>0.26850000000000002</v>
          </cell>
          <cell r="Y171">
            <v>2.4199999999999999E-2</v>
          </cell>
          <cell r="Z171">
            <v>0.26850000000000002</v>
          </cell>
          <cell r="AA171">
            <v>2.4199999999999999E-2</v>
          </cell>
          <cell r="AB171">
            <v>0.26850000000000002</v>
          </cell>
          <cell r="AC171">
            <v>2.4199999999999999E-2</v>
          </cell>
          <cell r="AD171">
            <v>0.26850000000000002</v>
          </cell>
          <cell r="AE171">
            <v>2.4199999999999999E-2</v>
          </cell>
          <cell r="AG171" t="str">
            <v/>
          </cell>
          <cell r="AH171" t="str">
            <v/>
          </cell>
          <cell r="AJ171">
            <v>0.26850000000000002</v>
          </cell>
          <cell r="AK171">
            <v>2.4199999999999999E-2</v>
          </cell>
          <cell r="AL171">
            <v>0.26850000000000002</v>
          </cell>
          <cell r="AM171">
            <v>2.4199999999999999E-2</v>
          </cell>
          <cell r="AN171">
            <v>0.26850000000000002</v>
          </cell>
          <cell r="AO171">
            <v>2.4199999999999999E-2</v>
          </cell>
          <cell r="AP171">
            <v>0.26850000000000002</v>
          </cell>
          <cell r="AQ171">
            <v>2.4199999999999999E-2</v>
          </cell>
          <cell r="AS171" t="str">
            <v/>
          </cell>
          <cell r="AT171" t="str">
            <v/>
          </cell>
          <cell r="AV171" t="b">
            <v>0</v>
          </cell>
          <cell r="AW171" t="str">
            <v>minute &amp; call</v>
          </cell>
        </row>
        <row r="172">
          <cell r="S172" t="str">
            <v>DOM DNK DKN2N</v>
          </cell>
          <cell r="T172" t="str">
            <v>DOM</v>
          </cell>
          <cell r="U172" t="str">
            <v>DNK</v>
          </cell>
          <cell r="V172" t="str">
            <v>DKN2N</v>
          </cell>
          <cell r="X172">
            <v>0</v>
          </cell>
          <cell r="Y172">
            <v>0.53690000000000004</v>
          </cell>
          <cell r="Z172">
            <v>0</v>
          </cell>
          <cell r="AA172">
            <v>0.53690000000000004</v>
          </cell>
          <cell r="AB172">
            <v>0</v>
          </cell>
          <cell r="AC172">
            <v>0.53690000000000004</v>
          </cell>
          <cell r="AD172">
            <v>0</v>
          </cell>
          <cell r="AE172">
            <v>0.53690000000000004</v>
          </cell>
          <cell r="AG172" t="str">
            <v/>
          </cell>
          <cell r="AH172" t="str">
            <v/>
          </cell>
          <cell r="AJ172">
            <v>0</v>
          </cell>
          <cell r="AK172">
            <v>0.53690000000000004</v>
          </cell>
          <cell r="AL172">
            <v>0</v>
          </cell>
          <cell r="AM172">
            <v>0.53690000000000004</v>
          </cell>
          <cell r="AN172">
            <v>0</v>
          </cell>
          <cell r="AO172">
            <v>0.53690000000000004</v>
          </cell>
          <cell r="AP172">
            <v>0</v>
          </cell>
          <cell r="AQ172">
            <v>0.53690000000000004</v>
          </cell>
          <cell r="AS172" t="str">
            <v/>
          </cell>
          <cell r="AT172" t="str">
            <v/>
          </cell>
          <cell r="AV172" t="b">
            <v>0</v>
          </cell>
          <cell r="AW172" t="str">
            <v>minute &amp; call</v>
          </cell>
        </row>
        <row r="173">
          <cell r="S173" t="str">
            <v>DOM DNK DKPOL</v>
          </cell>
          <cell r="T173" t="str">
            <v>DOM</v>
          </cell>
          <cell r="U173" t="str">
            <v>DNK</v>
          </cell>
          <cell r="V173" t="str">
            <v>DKPOL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G173" t="str">
            <v/>
          </cell>
          <cell r="AH173" t="str">
            <v/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S173" t="str">
            <v/>
          </cell>
          <cell r="AT173" t="str">
            <v/>
          </cell>
          <cell r="AV173" t="b">
            <v>0</v>
          </cell>
          <cell r="AW173" t="str">
            <v>minute &amp; call</v>
          </cell>
        </row>
        <row r="174">
          <cell r="S174" t="str">
            <v>DOM DNK DKP01</v>
          </cell>
          <cell r="T174" t="str">
            <v>DOM</v>
          </cell>
          <cell r="U174" t="str">
            <v>DNK</v>
          </cell>
          <cell r="V174" t="str">
            <v>DKP01</v>
          </cell>
          <cell r="X174">
            <v>7.5200000000000003E-2</v>
          </cell>
          <cell r="Y174">
            <v>0.4617</v>
          </cell>
          <cell r="Z174">
            <v>7.5200000000000003E-2</v>
          </cell>
          <cell r="AA174">
            <v>0.4617</v>
          </cell>
          <cell r="AB174">
            <v>7.5200000000000003E-2</v>
          </cell>
          <cell r="AC174">
            <v>0.4617</v>
          </cell>
          <cell r="AD174">
            <v>7.5200000000000003E-2</v>
          </cell>
          <cell r="AE174">
            <v>0.4617</v>
          </cell>
          <cell r="AG174" t="str">
            <v/>
          </cell>
          <cell r="AH174" t="str">
            <v/>
          </cell>
          <cell r="AJ174">
            <v>7.5200000000000003E-2</v>
          </cell>
          <cell r="AK174">
            <v>0.4617</v>
          </cell>
          <cell r="AL174">
            <v>7.5200000000000003E-2</v>
          </cell>
          <cell r="AM174">
            <v>0.4617</v>
          </cell>
          <cell r="AN174">
            <v>7.5200000000000003E-2</v>
          </cell>
          <cell r="AO174">
            <v>0.4617</v>
          </cell>
          <cell r="AP174">
            <v>7.5200000000000003E-2</v>
          </cell>
          <cell r="AQ174">
            <v>0.4617</v>
          </cell>
          <cell r="AS174" t="str">
            <v/>
          </cell>
          <cell r="AT174" t="str">
            <v/>
          </cell>
          <cell r="AV174" t="b">
            <v>0</v>
          </cell>
          <cell r="AW174" t="str">
            <v>minute &amp; call</v>
          </cell>
        </row>
        <row r="175">
          <cell r="S175" t="str">
            <v>DOM DNK DKP02</v>
          </cell>
          <cell r="T175" t="str">
            <v>DOM</v>
          </cell>
          <cell r="U175" t="str">
            <v>DNK</v>
          </cell>
          <cell r="V175" t="str">
            <v>DKP02</v>
          </cell>
          <cell r="X175">
            <v>2.1499999999999998E-2</v>
          </cell>
          <cell r="Y175">
            <v>0.1288</v>
          </cell>
          <cell r="Z175">
            <v>2.1499999999999998E-2</v>
          </cell>
          <cell r="AA175">
            <v>0.1288</v>
          </cell>
          <cell r="AB175">
            <v>2.1499999999999998E-2</v>
          </cell>
          <cell r="AC175">
            <v>0.1288</v>
          </cell>
          <cell r="AD175">
            <v>2.1499999999999998E-2</v>
          </cell>
          <cell r="AE175">
            <v>0.1288</v>
          </cell>
          <cell r="AG175" t="str">
            <v/>
          </cell>
          <cell r="AH175" t="str">
            <v/>
          </cell>
          <cell r="AJ175">
            <v>2.1499999999999998E-2</v>
          </cell>
          <cell r="AK175">
            <v>0.1288</v>
          </cell>
          <cell r="AL175">
            <v>2.1499999999999998E-2</v>
          </cell>
          <cell r="AM175">
            <v>0.1288</v>
          </cell>
          <cell r="AN175">
            <v>2.1499999999999998E-2</v>
          </cell>
          <cell r="AO175">
            <v>0.1288</v>
          </cell>
          <cell r="AP175">
            <v>2.1499999999999998E-2</v>
          </cell>
          <cell r="AQ175">
            <v>0.1288</v>
          </cell>
          <cell r="AS175" t="str">
            <v/>
          </cell>
          <cell r="AT175" t="str">
            <v/>
          </cell>
          <cell r="AV175" t="b">
            <v>0</v>
          </cell>
          <cell r="AW175" t="str">
            <v>minute &amp; call</v>
          </cell>
        </row>
        <row r="176">
          <cell r="S176" t="str">
            <v>DOM DNK DKP03</v>
          </cell>
          <cell r="T176" t="str">
            <v>DOM</v>
          </cell>
          <cell r="U176" t="str">
            <v>DNK</v>
          </cell>
          <cell r="V176" t="str">
            <v>DKP03</v>
          </cell>
          <cell r="X176">
            <v>2.1499999999999998E-2</v>
          </cell>
          <cell r="Y176">
            <v>8.5900000000000004E-2</v>
          </cell>
          <cell r="Z176">
            <v>2.1499999999999998E-2</v>
          </cell>
          <cell r="AA176">
            <v>8.5900000000000004E-2</v>
          </cell>
          <cell r="AB176">
            <v>2.1499999999999998E-2</v>
          </cell>
          <cell r="AC176">
            <v>8.5900000000000004E-2</v>
          </cell>
          <cell r="AD176">
            <v>2.1499999999999998E-2</v>
          </cell>
          <cell r="AE176">
            <v>8.5900000000000004E-2</v>
          </cell>
          <cell r="AG176" t="str">
            <v/>
          </cell>
          <cell r="AH176" t="str">
            <v/>
          </cell>
          <cell r="AJ176">
            <v>2.1499999999999998E-2</v>
          </cell>
          <cell r="AK176">
            <v>8.5900000000000004E-2</v>
          </cell>
          <cell r="AL176">
            <v>2.1499999999999998E-2</v>
          </cell>
          <cell r="AM176">
            <v>8.5900000000000004E-2</v>
          </cell>
          <cell r="AN176">
            <v>2.1499999999999998E-2</v>
          </cell>
          <cell r="AO176">
            <v>8.5900000000000004E-2</v>
          </cell>
          <cell r="AP176">
            <v>2.1499999999999998E-2</v>
          </cell>
          <cell r="AQ176">
            <v>8.5900000000000004E-2</v>
          </cell>
          <cell r="AS176" t="str">
            <v/>
          </cell>
          <cell r="AT176" t="str">
            <v/>
          </cell>
          <cell r="AV176" t="b">
            <v>0</v>
          </cell>
          <cell r="AW176" t="str">
            <v>minute &amp; call</v>
          </cell>
        </row>
        <row r="177">
          <cell r="S177" t="str">
            <v>DOM DNK DKP04</v>
          </cell>
          <cell r="T177" t="str">
            <v>DOM</v>
          </cell>
          <cell r="U177" t="str">
            <v>DNK</v>
          </cell>
          <cell r="V177" t="str">
            <v>DKP04</v>
          </cell>
          <cell r="X177">
            <v>2.1499999999999998E-2</v>
          </cell>
          <cell r="Y177">
            <v>0.21479999999999999</v>
          </cell>
          <cell r="Z177">
            <v>2.1499999999999998E-2</v>
          </cell>
          <cell r="AA177">
            <v>0.21479999999999999</v>
          </cell>
          <cell r="AB177">
            <v>2.1499999999999998E-2</v>
          </cell>
          <cell r="AC177">
            <v>0.21479999999999999</v>
          </cell>
          <cell r="AD177">
            <v>2.1499999999999998E-2</v>
          </cell>
          <cell r="AE177">
            <v>0.21479999999999999</v>
          </cell>
          <cell r="AG177" t="str">
            <v/>
          </cell>
          <cell r="AH177" t="str">
            <v/>
          </cell>
          <cell r="AJ177">
            <v>2.1499999999999998E-2</v>
          </cell>
          <cell r="AK177">
            <v>0.21479999999999999</v>
          </cell>
          <cell r="AL177">
            <v>2.1499999999999998E-2</v>
          </cell>
          <cell r="AM177">
            <v>0.21479999999999999</v>
          </cell>
          <cell r="AN177">
            <v>2.1499999999999998E-2</v>
          </cell>
          <cell r="AO177">
            <v>0.21479999999999999</v>
          </cell>
          <cell r="AP177">
            <v>2.1499999999999998E-2</v>
          </cell>
          <cell r="AQ177">
            <v>0.21479999999999999</v>
          </cell>
          <cell r="AS177" t="str">
            <v/>
          </cell>
          <cell r="AT177" t="str">
            <v/>
          </cell>
          <cell r="AV177" t="b">
            <v>0</v>
          </cell>
          <cell r="AW177" t="str">
            <v>minute &amp; call</v>
          </cell>
        </row>
        <row r="178">
          <cell r="S178" t="str">
            <v>DOM DNK DKP05</v>
          </cell>
          <cell r="T178" t="str">
            <v>DOM</v>
          </cell>
          <cell r="U178" t="str">
            <v>DNK</v>
          </cell>
          <cell r="V178" t="str">
            <v>DKP05</v>
          </cell>
          <cell r="X178">
            <v>2.1499999999999998E-2</v>
          </cell>
          <cell r="Y178">
            <v>0.34360000000000002</v>
          </cell>
          <cell r="Z178">
            <v>2.1499999999999998E-2</v>
          </cell>
          <cell r="AA178">
            <v>0.34360000000000002</v>
          </cell>
          <cell r="AB178">
            <v>2.1499999999999998E-2</v>
          </cell>
          <cell r="AC178">
            <v>0.34360000000000002</v>
          </cell>
          <cell r="AD178">
            <v>2.1499999999999998E-2</v>
          </cell>
          <cell r="AE178">
            <v>0.34360000000000002</v>
          </cell>
          <cell r="AG178" t="str">
            <v/>
          </cell>
          <cell r="AH178" t="str">
            <v/>
          </cell>
          <cell r="AJ178">
            <v>2.1499999999999998E-2</v>
          </cell>
          <cell r="AK178">
            <v>0.34360000000000002</v>
          </cell>
          <cell r="AL178">
            <v>2.1499999999999998E-2</v>
          </cell>
          <cell r="AM178">
            <v>0.34360000000000002</v>
          </cell>
          <cell r="AN178">
            <v>2.1499999999999998E-2</v>
          </cell>
          <cell r="AO178">
            <v>0.34360000000000002</v>
          </cell>
          <cell r="AP178">
            <v>2.1499999999999998E-2</v>
          </cell>
          <cell r="AQ178">
            <v>0.34360000000000002</v>
          </cell>
          <cell r="AS178" t="str">
            <v/>
          </cell>
          <cell r="AT178" t="str">
            <v/>
          </cell>
          <cell r="AV178" t="b">
            <v>0</v>
          </cell>
          <cell r="AW178" t="str">
            <v>minute &amp; call</v>
          </cell>
        </row>
        <row r="179">
          <cell r="S179" t="str">
            <v>DOM DNK DKP06</v>
          </cell>
          <cell r="T179" t="str">
            <v>DOM</v>
          </cell>
          <cell r="U179" t="str">
            <v>DNK</v>
          </cell>
          <cell r="V179" t="str">
            <v>DKP06</v>
          </cell>
          <cell r="X179">
            <v>2.1499999999999998E-2</v>
          </cell>
          <cell r="Y179">
            <v>0.4123</v>
          </cell>
          <cell r="Z179">
            <v>2.1499999999999998E-2</v>
          </cell>
          <cell r="AA179">
            <v>0.4123</v>
          </cell>
          <cell r="AB179">
            <v>2.1499999999999998E-2</v>
          </cell>
          <cell r="AC179">
            <v>0.4123</v>
          </cell>
          <cell r="AD179">
            <v>2.1499999999999998E-2</v>
          </cell>
          <cell r="AE179">
            <v>0.4123</v>
          </cell>
          <cell r="AG179" t="str">
            <v/>
          </cell>
          <cell r="AH179" t="str">
            <v/>
          </cell>
          <cell r="AJ179">
            <v>2.1499999999999998E-2</v>
          </cell>
          <cell r="AK179">
            <v>0.4123</v>
          </cell>
          <cell r="AL179">
            <v>2.1499999999999998E-2</v>
          </cell>
          <cell r="AM179">
            <v>0.4123</v>
          </cell>
          <cell r="AN179">
            <v>2.1499999999999998E-2</v>
          </cell>
          <cell r="AO179">
            <v>0.4123</v>
          </cell>
          <cell r="AP179">
            <v>2.1499999999999998E-2</v>
          </cell>
          <cell r="AQ179">
            <v>0.4123</v>
          </cell>
          <cell r="AS179" t="str">
            <v/>
          </cell>
          <cell r="AT179" t="str">
            <v/>
          </cell>
          <cell r="AV179" t="b">
            <v>0</v>
          </cell>
          <cell r="AW179" t="str">
            <v>minute &amp; call</v>
          </cell>
        </row>
        <row r="180">
          <cell r="S180" t="str">
            <v>DOM DNK DKP07</v>
          </cell>
          <cell r="T180" t="str">
            <v>DOM</v>
          </cell>
          <cell r="U180" t="str">
            <v>DNK</v>
          </cell>
          <cell r="V180" t="str">
            <v>DKP07</v>
          </cell>
          <cell r="X180">
            <v>0.16109999999999999</v>
          </cell>
          <cell r="Y180">
            <v>2.4199999999999999E-2</v>
          </cell>
          <cell r="Z180">
            <v>0.16109999999999999</v>
          </cell>
          <cell r="AA180">
            <v>2.4199999999999999E-2</v>
          </cell>
          <cell r="AB180">
            <v>0.16109999999999999</v>
          </cell>
          <cell r="AC180">
            <v>2.4199999999999999E-2</v>
          </cell>
          <cell r="AD180">
            <v>0.16109999999999999</v>
          </cell>
          <cell r="AE180">
            <v>2.4199999999999999E-2</v>
          </cell>
          <cell r="AG180" t="str">
            <v/>
          </cell>
          <cell r="AH180" t="str">
            <v/>
          </cell>
          <cell r="AJ180">
            <v>0.16109999999999999</v>
          </cell>
          <cell r="AK180">
            <v>2.4199999999999999E-2</v>
          </cell>
          <cell r="AL180">
            <v>0.16109999999999999</v>
          </cell>
          <cell r="AM180">
            <v>2.4199999999999999E-2</v>
          </cell>
          <cell r="AN180">
            <v>0.16109999999999999</v>
          </cell>
          <cell r="AO180">
            <v>2.4199999999999999E-2</v>
          </cell>
          <cell r="AP180">
            <v>0.16109999999999999</v>
          </cell>
          <cell r="AQ180">
            <v>2.4199999999999999E-2</v>
          </cell>
          <cell r="AS180" t="str">
            <v/>
          </cell>
          <cell r="AT180" t="str">
            <v/>
          </cell>
          <cell r="AV180" t="b">
            <v>0</v>
          </cell>
          <cell r="AW180" t="str">
            <v>minute &amp; call</v>
          </cell>
        </row>
        <row r="181">
          <cell r="S181" t="str">
            <v>DOM DNK DKP08</v>
          </cell>
          <cell r="T181" t="str">
            <v>DOM</v>
          </cell>
          <cell r="U181" t="str">
            <v>DNK</v>
          </cell>
          <cell r="V181" t="str">
            <v>DKP08</v>
          </cell>
          <cell r="X181">
            <v>0.21479999999999999</v>
          </cell>
          <cell r="Y181">
            <v>2.4199999999999999E-2</v>
          </cell>
          <cell r="Z181">
            <v>0.21479999999999999</v>
          </cell>
          <cell r="AA181">
            <v>2.4199999999999999E-2</v>
          </cell>
          <cell r="AB181">
            <v>0.21479999999999999</v>
          </cell>
          <cell r="AC181">
            <v>2.4199999999999999E-2</v>
          </cell>
          <cell r="AD181">
            <v>0.21479999999999999</v>
          </cell>
          <cell r="AE181">
            <v>2.4199999999999999E-2</v>
          </cell>
          <cell r="AG181" t="str">
            <v/>
          </cell>
          <cell r="AH181" t="str">
            <v/>
          </cell>
          <cell r="AJ181">
            <v>0.21479999999999999</v>
          </cell>
          <cell r="AK181">
            <v>2.4199999999999999E-2</v>
          </cell>
          <cell r="AL181">
            <v>0.21479999999999999</v>
          </cell>
          <cell r="AM181">
            <v>2.4199999999999999E-2</v>
          </cell>
          <cell r="AN181">
            <v>0.21479999999999999</v>
          </cell>
          <cell r="AO181">
            <v>2.4199999999999999E-2</v>
          </cell>
          <cell r="AP181">
            <v>0.21479999999999999</v>
          </cell>
          <cell r="AQ181">
            <v>2.4199999999999999E-2</v>
          </cell>
          <cell r="AS181" t="str">
            <v/>
          </cell>
          <cell r="AT181" t="str">
            <v/>
          </cell>
          <cell r="AV181" t="b">
            <v>0</v>
          </cell>
          <cell r="AW181" t="str">
            <v>minute &amp; call</v>
          </cell>
        </row>
        <row r="182">
          <cell r="S182" t="str">
            <v>DOM DNK DKP09</v>
          </cell>
          <cell r="T182" t="str">
            <v>DOM</v>
          </cell>
          <cell r="U182" t="str">
            <v>DNK</v>
          </cell>
          <cell r="V182" t="str">
            <v>DKP09</v>
          </cell>
          <cell r="X182">
            <v>0.26850000000000002</v>
          </cell>
          <cell r="Y182">
            <v>2.4199999999999999E-2</v>
          </cell>
          <cell r="Z182">
            <v>0.26850000000000002</v>
          </cell>
          <cell r="AA182">
            <v>2.4199999999999999E-2</v>
          </cell>
          <cell r="AB182">
            <v>0.26850000000000002</v>
          </cell>
          <cell r="AC182">
            <v>2.4199999999999999E-2</v>
          </cell>
          <cell r="AD182">
            <v>0.26850000000000002</v>
          </cell>
          <cell r="AE182">
            <v>2.4199999999999999E-2</v>
          </cell>
          <cell r="AG182" t="str">
            <v/>
          </cell>
          <cell r="AH182" t="str">
            <v/>
          </cell>
          <cell r="AJ182">
            <v>0.26850000000000002</v>
          </cell>
          <cell r="AK182">
            <v>2.4199999999999999E-2</v>
          </cell>
          <cell r="AL182">
            <v>0.26850000000000002</v>
          </cell>
          <cell r="AM182">
            <v>2.4199999999999999E-2</v>
          </cell>
          <cell r="AN182">
            <v>0.26850000000000002</v>
          </cell>
          <cell r="AO182">
            <v>2.4199999999999999E-2</v>
          </cell>
          <cell r="AP182">
            <v>0.26850000000000002</v>
          </cell>
          <cell r="AQ182">
            <v>2.4199999999999999E-2</v>
          </cell>
          <cell r="AS182" t="str">
            <v/>
          </cell>
          <cell r="AT182" t="str">
            <v/>
          </cell>
          <cell r="AV182" t="b">
            <v>0</v>
          </cell>
          <cell r="AW182" t="str">
            <v>minute &amp; call</v>
          </cell>
        </row>
        <row r="183">
          <cell r="S183" t="str">
            <v>DOM DNK DKP10</v>
          </cell>
          <cell r="T183" t="str">
            <v>DOM</v>
          </cell>
          <cell r="U183" t="str">
            <v>DNK</v>
          </cell>
          <cell r="V183" t="str">
            <v>DKP10</v>
          </cell>
          <cell r="X183">
            <v>0.3221</v>
          </cell>
          <cell r="Y183">
            <v>2.4199999999999999E-2</v>
          </cell>
          <cell r="Z183">
            <v>0.3221</v>
          </cell>
          <cell r="AA183">
            <v>2.4199999999999999E-2</v>
          </cell>
          <cell r="AB183">
            <v>0.3221</v>
          </cell>
          <cell r="AC183">
            <v>2.4199999999999999E-2</v>
          </cell>
          <cell r="AD183">
            <v>0.3221</v>
          </cell>
          <cell r="AE183">
            <v>2.4199999999999999E-2</v>
          </cell>
          <cell r="AG183" t="str">
            <v/>
          </cell>
          <cell r="AH183" t="str">
            <v/>
          </cell>
          <cell r="AJ183">
            <v>0.3221</v>
          </cell>
          <cell r="AK183">
            <v>2.4199999999999999E-2</v>
          </cell>
          <cell r="AL183">
            <v>0.3221</v>
          </cell>
          <cell r="AM183">
            <v>2.4199999999999999E-2</v>
          </cell>
          <cell r="AN183">
            <v>0.3221</v>
          </cell>
          <cell r="AO183">
            <v>2.4199999999999999E-2</v>
          </cell>
          <cell r="AP183">
            <v>0.3221</v>
          </cell>
          <cell r="AQ183">
            <v>2.4199999999999999E-2</v>
          </cell>
          <cell r="AS183" t="str">
            <v/>
          </cell>
          <cell r="AT183" t="str">
            <v/>
          </cell>
          <cell r="AV183" t="b">
            <v>0</v>
          </cell>
          <cell r="AW183" t="str">
            <v>minute &amp; call</v>
          </cell>
        </row>
        <row r="184">
          <cell r="S184" t="str">
            <v>DOM DNK DKP11</v>
          </cell>
          <cell r="T184" t="str">
            <v>DOM</v>
          </cell>
          <cell r="U184" t="str">
            <v>DNK</v>
          </cell>
          <cell r="V184" t="str">
            <v>DKP11</v>
          </cell>
          <cell r="X184">
            <v>0.37580000000000002</v>
          </cell>
          <cell r="Y184">
            <v>2.4199999999999999E-2</v>
          </cell>
          <cell r="Z184">
            <v>0.37580000000000002</v>
          </cell>
          <cell r="AA184">
            <v>2.4199999999999999E-2</v>
          </cell>
          <cell r="AB184">
            <v>0.37580000000000002</v>
          </cell>
          <cell r="AC184">
            <v>2.4199999999999999E-2</v>
          </cell>
          <cell r="AD184">
            <v>0.37580000000000002</v>
          </cell>
          <cell r="AE184">
            <v>2.4199999999999999E-2</v>
          </cell>
          <cell r="AG184" t="str">
            <v/>
          </cell>
          <cell r="AH184" t="str">
            <v/>
          </cell>
          <cell r="AJ184">
            <v>0.37580000000000002</v>
          </cell>
          <cell r="AK184">
            <v>2.4199999999999999E-2</v>
          </cell>
          <cell r="AL184">
            <v>0.37580000000000002</v>
          </cell>
          <cell r="AM184">
            <v>2.4199999999999999E-2</v>
          </cell>
          <cell r="AN184">
            <v>0.37580000000000002</v>
          </cell>
          <cell r="AO184">
            <v>2.4199999999999999E-2</v>
          </cell>
          <cell r="AP184">
            <v>0.37580000000000002</v>
          </cell>
          <cell r="AQ184">
            <v>2.4199999999999999E-2</v>
          </cell>
          <cell r="AS184" t="str">
            <v/>
          </cell>
          <cell r="AT184" t="str">
            <v/>
          </cell>
          <cell r="AV184" t="b">
            <v>0</v>
          </cell>
          <cell r="AW184" t="str">
            <v>minute &amp; call</v>
          </cell>
        </row>
        <row r="185">
          <cell r="S185" t="str">
            <v>DOM DNK DKP12</v>
          </cell>
          <cell r="T185" t="str">
            <v>DOM</v>
          </cell>
          <cell r="U185" t="str">
            <v>DNK</v>
          </cell>
          <cell r="V185" t="str">
            <v>DKP12</v>
          </cell>
          <cell r="X185">
            <v>0.42949999999999999</v>
          </cell>
          <cell r="Y185">
            <v>2.4199999999999999E-2</v>
          </cell>
          <cell r="Z185">
            <v>0.42949999999999999</v>
          </cell>
          <cell r="AA185">
            <v>2.4199999999999999E-2</v>
          </cell>
          <cell r="AB185">
            <v>0.42949999999999999</v>
          </cell>
          <cell r="AC185">
            <v>2.4199999999999999E-2</v>
          </cell>
          <cell r="AD185">
            <v>0.42949999999999999</v>
          </cell>
          <cell r="AE185">
            <v>2.4199999999999999E-2</v>
          </cell>
          <cell r="AG185" t="str">
            <v/>
          </cell>
          <cell r="AH185" t="str">
            <v/>
          </cell>
          <cell r="AJ185">
            <v>0.42949999999999999</v>
          </cell>
          <cell r="AK185">
            <v>2.4199999999999999E-2</v>
          </cell>
          <cell r="AL185">
            <v>0.42949999999999999</v>
          </cell>
          <cell r="AM185">
            <v>2.4199999999999999E-2</v>
          </cell>
          <cell r="AN185">
            <v>0.42949999999999999</v>
          </cell>
          <cell r="AO185">
            <v>2.4199999999999999E-2</v>
          </cell>
          <cell r="AP185">
            <v>0.42949999999999999</v>
          </cell>
          <cell r="AQ185">
            <v>2.4199999999999999E-2</v>
          </cell>
          <cell r="AS185" t="str">
            <v/>
          </cell>
          <cell r="AT185" t="str">
            <v/>
          </cell>
          <cell r="AV185" t="b">
            <v>0</v>
          </cell>
          <cell r="AW185" t="str">
            <v>minute &amp; call</v>
          </cell>
        </row>
        <row r="186">
          <cell r="S186" t="str">
            <v>DOM DNK DKP13</v>
          </cell>
          <cell r="T186" t="str">
            <v>DOM</v>
          </cell>
          <cell r="U186" t="str">
            <v>DNK</v>
          </cell>
          <cell r="V186" t="str">
            <v>DKP13</v>
          </cell>
          <cell r="X186">
            <v>0.51529999999999998</v>
          </cell>
          <cell r="Y186">
            <v>2.4199999999999999E-2</v>
          </cell>
          <cell r="Z186">
            <v>0.51529999999999998</v>
          </cell>
          <cell r="AA186">
            <v>2.4199999999999999E-2</v>
          </cell>
          <cell r="AB186">
            <v>0.51529999999999998</v>
          </cell>
          <cell r="AC186">
            <v>2.4199999999999999E-2</v>
          </cell>
          <cell r="AD186">
            <v>0.51529999999999998</v>
          </cell>
          <cell r="AE186">
            <v>2.4199999999999999E-2</v>
          </cell>
          <cell r="AG186" t="str">
            <v/>
          </cell>
          <cell r="AH186" t="str">
            <v/>
          </cell>
          <cell r="AJ186">
            <v>0.51529999999999998</v>
          </cell>
          <cell r="AK186">
            <v>2.4199999999999999E-2</v>
          </cell>
          <cell r="AL186">
            <v>0.51529999999999998</v>
          </cell>
          <cell r="AM186">
            <v>2.4199999999999999E-2</v>
          </cell>
          <cell r="AN186">
            <v>0.51529999999999998</v>
          </cell>
          <cell r="AO186">
            <v>2.4199999999999999E-2</v>
          </cell>
          <cell r="AP186">
            <v>0.51529999999999998</v>
          </cell>
          <cell r="AQ186">
            <v>2.4199999999999999E-2</v>
          </cell>
          <cell r="AS186" t="str">
            <v/>
          </cell>
          <cell r="AT186" t="str">
            <v/>
          </cell>
          <cell r="AV186" t="b">
            <v>0</v>
          </cell>
          <cell r="AW186" t="str">
            <v>minute &amp; call</v>
          </cell>
        </row>
        <row r="187">
          <cell r="S187" t="str">
            <v>DOM DNK DKP14</v>
          </cell>
          <cell r="T187" t="str">
            <v>DOM</v>
          </cell>
          <cell r="U187" t="str">
            <v>DNK</v>
          </cell>
          <cell r="V187" t="str">
            <v>DKP14</v>
          </cell>
          <cell r="X187">
            <v>0</v>
          </cell>
          <cell r="Y187">
            <v>0.42949999999999999</v>
          </cell>
          <cell r="Z187">
            <v>0</v>
          </cell>
          <cell r="AA187">
            <v>0.42949999999999999</v>
          </cell>
          <cell r="AB187">
            <v>0</v>
          </cell>
          <cell r="AC187">
            <v>0.42949999999999999</v>
          </cell>
          <cell r="AD187">
            <v>0</v>
          </cell>
          <cell r="AE187">
            <v>0.42949999999999999</v>
          </cell>
          <cell r="AG187" t="str">
            <v/>
          </cell>
          <cell r="AH187" t="str">
            <v/>
          </cell>
          <cell r="AJ187">
            <v>0</v>
          </cell>
          <cell r="AK187">
            <v>0.42949999999999999</v>
          </cell>
          <cell r="AL187">
            <v>0</v>
          </cell>
          <cell r="AM187">
            <v>0.42949999999999999</v>
          </cell>
          <cell r="AN187">
            <v>0</v>
          </cell>
          <cell r="AO187">
            <v>0.42949999999999999</v>
          </cell>
          <cell r="AP187">
            <v>0</v>
          </cell>
          <cell r="AQ187">
            <v>0.42949999999999999</v>
          </cell>
          <cell r="AS187" t="str">
            <v/>
          </cell>
          <cell r="AT187" t="str">
            <v/>
          </cell>
          <cell r="AV187" t="b">
            <v>0</v>
          </cell>
          <cell r="AW187" t="str">
            <v>minute &amp; call</v>
          </cell>
        </row>
        <row r="188">
          <cell r="S188" t="str">
            <v>DOM DNK DKP15</v>
          </cell>
          <cell r="T188" t="str">
            <v>DOM</v>
          </cell>
          <cell r="U188" t="str">
            <v>DNK</v>
          </cell>
          <cell r="V188" t="str">
            <v>DKP15</v>
          </cell>
          <cell r="X188">
            <v>0</v>
          </cell>
          <cell r="Y188">
            <v>0.51529999999999998</v>
          </cell>
          <cell r="Z188">
            <v>0</v>
          </cell>
          <cell r="AA188">
            <v>0.51529999999999998</v>
          </cell>
          <cell r="AB188">
            <v>0</v>
          </cell>
          <cell r="AC188">
            <v>0.51529999999999998</v>
          </cell>
          <cell r="AD188">
            <v>0</v>
          </cell>
          <cell r="AE188">
            <v>0.51529999999999998</v>
          </cell>
          <cell r="AG188" t="str">
            <v/>
          </cell>
          <cell r="AH188" t="str">
            <v/>
          </cell>
          <cell r="AJ188">
            <v>0</v>
          </cell>
          <cell r="AK188">
            <v>0.51529999999999998</v>
          </cell>
          <cell r="AL188">
            <v>0</v>
          </cell>
          <cell r="AM188">
            <v>0.51529999999999998</v>
          </cell>
          <cell r="AN188">
            <v>0</v>
          </cell>
          <cell r="AO188">
            <v>0.51529999999999998</v>
          </cell>
          <cell r="AP188">
            <v>0</v>
          </cell>
          <cell r="AQ188">
            <v>0.51529999999999998</v>
          </cell>
          <cell r="AS188" t="str">
            <v/>
          </cell>
          <cell r="AT188" t="str">
            <v/>
          </cell>
          <cell r="AV188" t="b">
            <v>0</v>
          </cell>
          <cell r="AW188" t="str">
            <v>minute &amp; call</v>
          </cell>
        </row>
        <row r="189">
          <cell r="S189" t="str">
            <v>DOM DNK DKP18</v>
          </cell>
          <cell r="T189" t="str">
            <v>DOM</v>
          </cell>
          <cell r="U189" t="str">
            <v>DNK</v>
          </cell>
          <cell r="V189" t="str">
            <v>DKP18</v>
          </cell>
          <cell r="X189">
            <v>0</v>
          </cell>
          <cell r="Y189">
            <v>20.1342</v>
          </cell>
          <cell r="Z189">
            <v>0</v>
          </cell>
          <cell r="AA189">
            <v>20.1342</v>
          </cell>
          <cell r="AB189">
            <v>0</v>
          </cell>
          <cell r="AC189">
            <v>20.1342</v>
          </cell>
          <cell r="AD189">
            <v>0</v>
          </cell>
          <cell r="AE189">
            <v>20.1342</v>
          </cell>
          <cell r="AG189" t="str">
            <v/>
          </cell>
          <cell r="AH189" t="str">
            <v/>
          </cell>
          <cell r="AJ189">
            <v>0</v>
          </cell>
          <cell r="AK189">
            <v>20.1342</v>
          </cell>
          <cell r="AL189">
            <v>0</v>
          </cell>
          <cell r="AM189">
            <v>20.1342</v>
          </cell>
          <cell r="AN189">
            <v>0</v>
          </cell>
          <cell r="AO189">
            <v>20.1342</v>
          </cell>
          <cell r="AP189">
            <v>0</v>
          </cell>
          <cell r="AQ189">
            <v>20.1342</v>
          </cell>
          <cell r="AS189" t="str">
            <v/>
          </cell>
          <cell r="AT189" t="str">
            <v/>
          </cell>
          <cell r="AV189" t="b">
            <v>0</v>
          </cell>
          <cell r="AW189" t="str">
            <v>minute &amp; call</v>
          </cell>
        </row>
        <row r="190">
          <cell r="S190" t="str">
            <v>DOM DNK DKP19</v>
          </cell>
          <cell r="T190" t="str">
            <v>DOM</v>
          </cell>
          <cell r="U190" t="str">
            <v>DNK</v>
          </cell>
          <cell r="V190" t="str">
            <v>DKP19</v>
          </cell>
          <cell r="X190">
            <v>0</v>
          </cell>
          <cell r="Y190">
            <v>13.422800000000001</v>
          </cell>
          <cell r="Z190">
            <v>0</v>
          </cell>
          <cell r="AA190">
            <v>13.422800000000001</v>
          </cell>
          <cell r="AB190">
            <v>0</v>
          </cell>
          <cell r="AC190">
            <v>13.422800000000001</v>
          </cell>
          <cell r="AD190">
            <v>0</v>
          </cell>
          <cell r="AE190">
            <v>13.422800000000001</v>
          </cell>
          <cell r="AG190" t="str">
            <v/>
          </cell>
          <cell r="AH190" t="str">
            <v/>
          </cell>
          <cell r="AJ190">
            <v>0</v>
          </cell>
          <cell r="AK190">
            <v>13.422800000000001</v>
          </cell>
          <cell r="AL190">
            <v>0</v>
          </cell>
          <cell r="AM190">
            <v>13.422800000000001</v>
          </cell>
          <cell r="AN190">
            <v>0</v>
          </cell>
          <cell r="AO190">
            <v>13.422800000000001</v>
          </cell>
          <cell r="AP190">
            <v>0</v>
          </cell>
          <cell r="AQ190">
            <v>13.422800000000001</v>
          </cell>
          <cell r="AS190" t="str">
            <v/>
          </cell>
          <cell r="AT190" t="str">
            <v/>
          </cell>
          <cell r="AV190" t="b">
            <v>0</v>
          </cell>
          <cell r="AW190" t="str">
            <v>minute &amp; call</v>
          </cell>
        </row>
        <row r="191">
          <cell r="S191" t="str">
            <v>DOM DNK DKP20</v>
          </cell>
          <cell r="T191" t="str">
            <v>DOM</v>
          </cell>
          <cell r="U191" t="str">
            <v>DNK</v>
          </cell>
          <cell r="V191" t="str">
            <v>DKP20</v>
          </cell>
          <cell r="X191">
            <v>0</v>
          </cell>
          <cell r="Y191">
            <v>6.7114000000000003</v>
          </cell>
          <cell r="Z191">
            <v>0</v>
          </cell>
          <cell r="AA191">
            <v>6.7114000000000003</v>
          </cell>
          <cell r="AB191">
            <v>0</v>
          </cell>
          <cell r="AC191">
            <v>6.7114000000000003</v>
          </cell>
          <cell r="AD191">
            <v>0</v>
          </cell>
          <cell r="AE191">
            <v>6.7114000000000003</v>
          </cell>
          <cell r="AG191" t="str">
            <v/>
          </cell>
          <cell r="AH191" t="str">
            <v/>
          </cell>
          <cell r="AJ191">
            <v>0</v>
          </cell>
          <cell r="AK191">
            <v>6.7114000000000003</v>
          </cell>
          <cell r="AL191">
            <v>0</v>
          </cell>
          <cell r="AM191">
            <v>6.7114000000000003</v>
          </cell>
          <cell r="AN191">
            <v>0</v>
          </cell>
          <cell r="AO191">
            <v>6.7114000000000003</v>
          </cell>
          <cell r="AP191">
            <v>0</v>
          </cell>
          <cell r="AQ191">
            <v>6.7114000000000003</v>
          </cell>
          <cell r="AS191" t="str">
            <v/>
          </cell>
          <cell r="AT191" t="str">
            <v/>
          </cell>
          <cell r="AV191" t="b">
            <v>0</v>
          </cell>
          <cell r="AW191" t="str">
            <v>minute &amp; call</v>
          </cell>
        </row>
        <row r="192">
          <cell r="S192" t="str">
            <v>DOM DNK DKP21</v>
          </cell>
          <cell r="T192" t="str">
            <v>DOM</v>
          </cell>
          <cell r="U192" t="str">
            <v>DNK</v>
          </cell>
          <cell r="V192" t="str">
            <v>DKP21</v>
          </cell>
          <cell r="X192">
            <v>2.1499999999999998E-2</v>
          </cell>
          <cell r="Y192">
            <v>0.1288</v>
          </cell>
          <cell r="Z192">
            <v>2.1499999999999998E-2</v>
          </cell>
          <cell r="AA192">
            <v>0.1288</v>
          </cell>
          <cell r="AB192">
            <v>2.1499999999999998E-2</v>
          </cell>
          <cell r="AC192">
            <v>0.1288</v>
          </cell>
          <cell r="AD192">
            <v>2.1499999999999998E-2</v>
          </cell>
          <cell r="AE192">
            <v>0.1288</v>
          </cell>
          <cell r="AG192" t="str">
            <v/>
          </cell>
          <cell r="AH192" t="str">
            <v/>
          </cell>
          <cell r="AJ192">
            <v>2.1499999999999998E-2</v>
          </cell>
          <cell r="AK192">
            <v>0.1288</v>
          </cell>
          <cell r="AL192">
            <v>2.1499999999999998E-2</v>
          </cell>
          <cell r="AM192">
            <v>0.1288</v>
          </cell>
          <cell r="AN192">
            <v>2.1499999999999998E-2</v>
          </cell>
          <cell r="AO192">
            <v>0.1288</v>
          </cell>
          <cell r="AP192">
            <v>2.1499999999999998E-2</v>
          </cell>
          <cell r="AQ192">
            <v>0.1288</v>
          </cell>
          <cell r="AS192" t="str">
            <v/>
          </cell>
          <cell r="AT192" t="str">
            <v/>
          </cell>
          <cell r="AV192" t="b">
            <v>0</v>
          </cell>
          <cell r="AW192" t="str">
            <v>minute &amp; call</v>
          </cell>
        </row>
        <row r="193">
          <cell r="S193" t="str">
            <v>DOM DNK DKP22</v>
          </cell>
          <cell r="T193" t="str">
            <v>DOM</v>
          </cell>
          <cell r="U193" t="str">
            <v>DNK</v>
          </cell>
          <cell r="V193" t="str">
            <v>DKP22</v>
          </cell>
          <cell r="X193">
            <v>2.6800000000000001E-2</v>
          </cell>
          <cell r="Y193">
            <v>0.1074</v>
          </cell>
          <cell r="Z193">
            <v>2.6800000000000001E-2</v>
          </cell>
          <cell r="AA193">
            <v>0.1074</v>
          </cell>
          <cell r="AB193">
            <v>2.6800000000000001E-2</v>
          </cell>
          <cell r="AC193">
            <v>0.1074</v>
          </cell>
          <cell r="AD193">
            <v>2.6800000000000001E-2</v>
          </cell>
          <cell r="AE193">
            <v>0.1074</v>
          </cell>
          <cell r="AG193" t="str">
            <v/>
          </cell>
          <cell r="AH193" t="str">
            <v/>
          </cell>
          <cell r="AJ193">
            <v>2.6800000000000001E-2</v>
          </cell>
          <cell r="AK193">
            <v>0.1074</v>
          </cell>
          <cell r="AL193">
            <v>2.6800000000000001E-2</v>
          </cell>
          <cell r="AM193">
            <v>0.1074</v>
          </cell>
          <cell r="AN193">
            <v>2.6800000000000001E-2</v>
          </cell>
          <cell r="AO193">
            <v>0.1074</v>
          </cell>
          <cell r="AP193">
            <v>2.6800000000000001E-2</v>
          </cell>
          <cell r="AQ193">
            <v>0.1074</v>
          </cell>
          <cell r="AS193" t="str">
            <v/>
          </cell>
          <cell r="AT193" t="str">
            <v/>
          </cell>
          <cell r="AV193" t="b">
            <v>0</v>
          </cell>
          <cell r="AW193" t="str">
            <v>minute &amp; call</v>
          </cell>
        </row>
        <row r="194">
          <cell r="S194" t="str">
            <v>DOM DNK DKP23</v>
          </cell>
          <cell r="T194" t="str">
            <v>DOM</v>
          </cell>
          <cell r="U194" t="str">
            <v>DNK</v>
          </cell>
          <cell r="V194" t="str">
            <v>DKP23</v>
          </cell>
          <cell r="X194">
            <v>2.6800000000000001E-2</v>
          </cell>
          <cell r="Y194">
            <v>0.26850000000000002</v>
          </cell>
          <cell r="Z194">
            <v>2.6800000000000001E-2</v>
          </cell>
          <cell r="AA194">
            <v>0.26850000000000002</v>
          </cell>
          <cell r="AB194">
            <v>2.6800000000000001E-2</v>
          </cell>
          <cell r="AC194">
            <v>0.26850000000000002</v>
          </cell>
          <cell r="AD194">
            <v>2.6800000000000001E-2</v>
          </cell>
          <cell r="AE194">
            <v>0.26850000000000002</v>
          </cell>
          <cell r="AG194" t="str">
            <v/>
          </cell>
          <cell r="AH194" t="str">
            <v/>
          </cell>
          <cell r="AJ194">
            <v>2.6800000000000001E-2</v>
          </cell>
          <cell r="AK194">
            <v>0.26850000000000002</v>
          </cell>
          <cell r="AL194">
            <v>2.6800000000000001E-2</v>
          </cell>
          <cell r="AM194">
            <v>0.26850000000000002</v>
          </cell>
          <cell r="AN194">
            <v>2.6800000000000001E-2</v>
          </cell>
          <cell r="AO194">
            <v>0.26850000000000002</v>
          </cell>
          <cell r="AP194">
            <v>2.6800000000000001E-2</v>
          </cell>
          <cell r="AQ194">
            <v>0.26850000000000002</v>
          </cell>
          <cell r="AS194" t="str">
            <v/>
          </cell>
          <cell r="AT194" t="str">
            <v/>
          </cell>
          <cell r="AV194" t="b">
            <v>0</v>
          </cell>
          <cell r="AW194" t="str">
            <v>minute &amp; call</v>
          </cell>
        </row>
        <row r="195">
          <cell r="S195" t="str">
            <v>DOM DNK DKP24</v>
          </cell>
          <cell r="T195" t="str">
            <v>DOM</v>
          </cell>
          <cell r="U195" t="str">
            <v>DNK</v>
          </cell>
          <cell r="V195" t="str">
            <v>DKP24</v>
          </cell>
          <cell r="X195">
            <v>2.1499999999999998E-2</v>
          </cell>
          <cell r="Y195">
            <v>0.37580000000000002</v>
          </cell>
          <cell r="Z195">
            <v>2.1499999999999998E-2</v>
          </cell>
          <cell r="AA195">
            <v>0.37580000000000002</v>
          </cell>
          <cell r="AB195">
            <v>2.1499999999999998E-2</v>
          </cell>
          <cell r="AC195">
            <v>0.37580000000000002</v>
          </cell>
          <cell r="AD195">
            <v>2.1499999999999998E-2</v>
          </cell>
          <cell r="AE195">
            <v>0.37580000000000002</v>
          </cell>
          <cell r="AG195" t="str">
            <v/>
          </cell>
          <cell r="AH195" t="str">
            <v/>
          </cell>
          <cell r="AJ195">
            <v>2.1499999999999998E-2</v>
          </cell>
          <cell r="AK195">
            <v>0.37580000000000002</v>
          </cell>
          <cell r="AL195">
            <v>2.1499999999999998E-2</v>
          </cell>
          <cell r="AM195">
            <v>0.37580000000000002</v>
          </cell>
          <cell r="AN195">
            <v>2.1499999999999998E-2</v>
          </cell>
          <cell r="AO195">
            <v>0.37580000000000002</v>
          </cell>
          <cell r="AP195">
            <v>2.1499999999999998E-2</v>
          </cell>
          <cell r="AQ195">
            <v>0.37580000000000002</v>
          </cell>
          <cell r="AS195" t="str">
            <v/>
          </cell>
          <cell r="AT195" t="str">
            <v/>
          </cell>
          <cell r="AV195" t="b">
            <v>0</v>
          </cell>
          <cell r="AW195" t="str">
            <v>minute &amp; call</v>
          </cell>
        </row>
        <row r="196">
          <cell r="S196" t="str">
            <v>DOM DNK DKP25</v>
          </cell>
          <cell r="T196" t="str">
            <v>DOM</v>
          </cell>
          <cell r="U196" t="str">
            <v>DNK</v>
          </cell>
          <cell r="V196" t="str">
            <v>DKP25</v>
          </cell>
          <cell r="X196">
            <v>0</v>
          </cell>
          <cell r="Y196">
            <v>0.42949999999999999</v>
          </cell>
          <cell r="Z196">
            <v>0</v>
          </cell>
          <cell r="AA196">
            <v>0.42949999999999999</v>
          </cell>
          <cell r="AB196">
            <v>0</v>
          </cell>
          <cell r="AC196">
            <v>0.42949999999999999</v>
          </cell>
          <cell r="AD196">
            <v>0</v>
          </cell>
          <cell r="AE196">
            <v>0.42949999999999999</v>
          </cell>
          <cell r="AG196" t="str">
            <v/>
          </cell>
          <cell r="AH196" t="str">
            <v/>
          </cell>
          <cell r="AJ196">
            <v>0</v>
          </cell>
          <cell r="AK196">
            <v>0.42949999999999999</v>
          </cell>
          <cell r="AL196">
            <v>0</v>
          </cell>
          <cell r="AM196">
            <v>0.42949999999999999</v>
          </cell>
          <cell r="AN196">
            <v>0</v>
          </cell>
          <cell r="AO196">
            <v>0.42949999999999999</v>
          </cell>
          <cell r="AP196">
            <v>0</v>
          </cell>
          <cell r="AQ196">
            <v>0.42949999999999999</v>
          </cell>
          <cell r="AS196" t="str">
            <v/>
          </cell>
          <cell r="AT196" t="str">
            <v/>
          </cell>
          <cell r="AV196" t="b">
            <v>0</v>
          </cell>
          <cell r="AW196" t="str">
            <v>minute &amp; call</v>
          </cell>
        </row>
        <row r="197">
          <cell r="S197" t="str">
            <v>DOM DNK DKP26</v>
          </cell>
          <cell r="T197" t="str">
            <v>DOM</v>
          </cell>
          <cell r="U197" t="str">
            <v>DNK</v>
          </cell>
          <cell r="V197" t="str">
            <v>DKP26</v>
          </cell>
          <cell r="X197">
            <v>2.1499999999999998E-2</v>
          </cell>
          <cell r="Y197">
            <v>0.15029999999999999</v>
          </cell>
          <cell r="Z197">
            <v>2.1499999999999998E-2</v>
          </cell>
          <cell r="AA197">
            <v>0.15029999999999999</v>
          </cell>
          <cell r="AB197">
            <v>2.1499999999999998E-2</v>
          </cell>
          <cell r="AC197">
            <v>0.15029999999999999</v>
          </cell>
          <cell r="AD197">
            <v>2.1499999999999998E-2</v>
          </cell>
          <cell r="AE197">
            <v>0.15029999999999999</v>
          </cell>
          <cell r="AG197" t="str">
            <v/>
          </cell>
          <cell r="AH197" t="str">
            <v/>
          </cell>
          <cell r="AJ197">
            <v>2.1499999999999998E-2</v>
          </cell>
          <cell r="AK197">
            <v>0.15029999999999999</v>
          </cell>
          <cell r="AL197">
            <v>2.1499999999999998E-2</v>
          </cell>
          <cell r="AM197">
            <v>0.15029999999999999</v>
          </cell>
          <cell r="AN197">
            <v>2.1499999999999998E-2</v>
          </cell>
          <cell r="AO197">
            <v>0.15029999999999999</v>
          </cell>
          <cell r="AP197">
            <v>2.1499999999999998E-2</v>
          </cell>
          <cell r="AQ197">
            <v>0.15029999999999999</v>
          </cell>
          <cell r="AS197" t="str">
            <v/>
          </cell>
          <cell r="AT197" t="str">
            <v/>
          </cell>
          <cell r="AV197" t="b">
            <v>0</v>
          </cell>
          <cell r="AW197" t="str">
            <v>minute &amp; call</v>
          </cell>
        </row>
        <row r="198">
          <cell r="S198" t="str">
            <v>DOM DNK DKP27</v>
          </cell>
          <cell r="T198" t="str">
            <v>DOM</v>
          </cell>
          <cell r="U198" t="str">
            <v>DNK</v>
          </cell>
          <cell r="V198" t="str">
            <v>DKP27</v>
          </cell>
          <cell r="X198">
            <v>2.1499999999999998E-2</v>
          </cell>
          <cell r="Y198">
            <v>0.21479999999999999</v>
          </cell>
          <cell r="Z198">
            <v>2.1499999999999998E-2</v>
          </cell>
          <cell r="AA198">
            <v>0.21479999999999999</v>
          </cell>
          <cell r="AB198">
            <v>2.1499999999999998E-2</v>
          </cell>
          <cell r="AC198">
            <v>0.21479999999999999</v>
          </cell>
          <cell r="AD198">
            <v>2.1499999999999998E-2</v>
          </cell>
          <cell r="AE198">
            <v>0.21479999999999999</v>
          </cell>
          <cell r="AG198" t="str">
            <v/>
          </cell>
          <cell r="AH198" t="str">
            <v/>
          </cell>
          <cell r="AJ198">
            <v>2.1499999999999998E-2</v>
          </cell>
          <cell r="AK198">
            <v>0.21479999999999999</v>
          </cell>
          <cell r="AL198">
            <v>2.1499999999999998E-2</v>
          </cell>
          <cell r="AM198">
            <v>0.21479999999999999</v>
          </cell>
          <cell r="AN198">
            <v>2.1499999999999998E-2</v>
          </cell>
          <cell r="AO198">
            <v>0.21479999999999999</v>
          </cell>
          <cell r="AP198">
            <v>2.1499999999999998E-2</v>
          </cell>
          <cell r="AQ198">
            <v>0.21479999999999999</v>
          </cell>
          <cell r="AS198" t="str">
            <v/>
          </cell>
          <cell r="AT198" t="str">
            <v/>
          </cell>
          <cell r="AV198" t="b">
            <v>0</v>
          </cell>
          <cell r="AW198" t="str">
            <v>minute &amp; call</v>
          </cell>
        </row>
        <row r="199">
          <cell r="S199" t="str">
            <v>DOM DNK DKP28</v>
          </cell>
          <cell r="T199" t="str">
            <v>DOM</v>
          </cell>
          <cell r="U199" t="str">
            <v>DNK</v>
          </cell>
          <cell r="V199" t="str">
            <v>DKP28</v>
          </cell>
          <cell r="X199">
            <v>2.1499999999999998E-2</v>
          </cell>
          <cell r="Y199">
            <v>0.30070000000000002</v>
          </cell>
          <cell r="Z199">
            <v>2.1499999999999998E-2</v>
          </cell>
          <cell r="AA199">
            <v>0.30070000000000002</v>
          </cell>
          <cell r="AB199">
            <v>2.1499999999999998E-2</v>
          </cell>
          <cell r="AC199">
            <v>0.30070000000000002</v>
          </cell>
          <cell r="AD199">
            <v>2.1499999999999998E-2</v>
          </cell>
          <cell r="AE199">
            <v>0.30070000000000002</v>
          </cell>
          <cell r="AG199" t="str">
            <v/>
          </cell>
          <cell r="AH199" t="str">
            <v/>
          </cell>
          <cell r="AJ199">
            <v>2.1499999999999998E-2</v>
          </cell>
          <cell r="AK199">
            <v>0.30070000000000002</v>
          </cell>
          <cell r="AL199">
            <v>2.1499999999999998E-2</v>
          </cell>
          <cell r="AM199">
            <v>0.30070000000000002</v>
          </cell>
          <cell r="AN199">
            <v>2.1499999999999998E-2</v>
          </cell>
          <cell r="AO199">
            <v>0.30070000000000002</v>
          </cell>
          <cell r="AP199">
            <v>2.1499999999999998E-2</v>
          </cell>
          <cell r="AQ199">
            <v>0.30070000000000002</v>
          </cell>
          <cell r="AS199" t="str">
            <v/>
          </cell>
          <cell r="AT199" t="str">
            <v/>
          </cell>
          <cell r="AV199" t="b">
            <v>0</v>
          </cell>
          <cell r="AW199" t="str">
            <v>minute &amp; call</v>
          </cell>
        </row>
        <row r="200">
          <cell r="S200" t="str">
            <v>DOM DNK DKP29</v>
          </cell>
          <cell r="T200" t="str">
            <v>DOM</v>
          </cell>
          <cell r="U200" t="str">
            <v>DNK</v>
          </cell>
          <cell r="V200" t="str">
            <v>DKP29</v>
          </cell>
          <cell r="X200">
            <v>0.29530000000000001</v>
          </cell>
          <cell r="Y200">
            <v>2.4199999999999999E-2</v>
          </cell>
          <cell r="Z200">
            <v>0.29530000000000001</v>
          </cell>
          <cell r="AA200">
            <v>2.4199999999999999E-2</v>
          </cell>
          <cell r="AB200">
            <v>0.29530000000000001</v>
          </cell>
          <cell r="AC200">
            <v>2.4199999999999999E-2</v>
          </cell>
          <cell r="AD200">
            <v>0.29530000000000001</v>
          </cell>
          <cell r="AE200">
            <v>2.4199999999999999E-2</v>
          </cell>
          <cell r="AG200" t="str">
            <v/>
          </cell>
          <cell r="AH200" t="str">
            <v/>
          </cell>
          <cell r="AJ200">
            <v>0.29530000000000001</v>
          </cell>
          <cell r="AK200">
            <v>2.4199999999999999E-2</v>
          </cell>
          <cell r="AL200">
            <v>0.29530000000000001</v>
          </cell>
          <cell r="AM200">
            <v>2.4199999999999999E-2</v>
          </cell>
          <cell r="AN200">
            <v>0.29530000000000001</v>
          </cell>
          <cell r="AO200">
            <v>2.4199999999999999E-2</v>
          </cell>
          <cell r="AP200">
            <v>0.29530000000000001</v>
          </cell>
          <cell r="AQ200">
            <v>2.4199999999999999E-2</v>
          </cell>
          <cell r="AS200" t="str">
            <v/>
          </cell>
          <cell r="AT200" t="str">
            <v/>
          </cell>
          <cell r="AV200" t="b">
            <v>0</v>
          </cell>
          <cell r="AW200" t="str">
            <v>minute &amp; call</v>
          </cell>
        </row>
        <row r="201">
          <cell r="S201" t="str">
            <v>DOM DNK DKROI</v>
          </cell>
          <cell r="T201" t="str">
            <v>DOM</v>
          </cell>
          <cell r="U201" t="str">
            <v>DNK</v>
          </cell>
          <cell r="V201" t="str">
            <v>DKROI</v>
          </cell>
          <cell r="X201">
            <v>2.4199999999999999E-2</v>
          </cell>
          <cell r="Y201">
            <v>2.6800000000000001E-2</v>
          </cell>
          <cell r="Z201">
            <v>2.4199999999999999E-2</v>
          </cell>
          <cell r="AA201">
            <v>2.6800000000000001E-2</v>
          </cell>
          <cell r="AB201">
            <v>2.4199999999999999E-2</v>
          </cell>
          <cell r="AC201">
            <v>2.6800000000000001E-2</v>
          </cell>
          <cell r="AD201">
            <v>2.4199999999999999E-2</v>
          </cell>
          <cell r="AE201">
            <v>2.6800000000000001E-2</v>
          </cell>
          <cell r="AG201" t="str">
            <v/>
          </cell>
          <cell r="AH201" t="str">
            <v/>
          </cell>
          <cell r="AJ201">
            <v>2.4199999999999999E-2</v>
          </cell>
          <cell r="AK201">
            <v>2.6800000000000001E-2</v>
          </cell>
          <cell r="AL201">
            <v>2.4199999999999999E-2</v>
          </cell>
          <cell r="AM201">
            <v>2.6800000000000001E-2</v>
          </cell>
          <cell r="AN201">
            <v>2.4199999999999999E-2</v>
          </cell>
          <cell r="AO201">
            <v>2.6800000000000001E-2</v>
          </cell>
          <cell r="AP201">
            <v>2.4199999999999999E-2</v>
          </cell>
          <cell r="AQ201">
            <v>2.6800000000000001E-2</v>
          </cell>
          <cell r="AS201" t="str">
            <v/>
          </cell>
          <cell r="AT201" t="str">
            <v/>
          </cell>
          <cell r="AV201" t="b">
            <v>0</v>
          </cell>
          <cell r="AW201" t="str">
            <v>minute &amp; call</v>
          </cell>
        </row>
        <row r="202">
          <cell r="S202" t="str">
            <v>DOM DNK DKWFC</v>
          </cell>
          <cell r="T202" t="str">
            <v>DOM</v>
          </cell>
          <cell r="U202" t="str">
            <v>DNK</v>
          </cell>
          <cell r="V202" t="str">
            <v>DKWFC</v>
          </cell>
          <cell r="X202">
            <v>0.26850000000000002</v>
          </cell>
          <cell r="Y202">
            <v>2.4199999999999999E-2</v>
          </cell>
          <cell r="Z202">
            <v>0.26850000000000002</v>
          </cell>
          <cell r="AA202">
            <v>2.4199999999999999E-2</v>
          </cell>
          <cell r="AB202">
            <v>0.26850000000000002</v>
          </cell>
          <cell r="AC202">
            <v>2.4199999999999999E-2</v>
          </cell>
          <cell r="AD202">
            <v>0.26850000000000002</v>
          </cell>
          <cell r="AE202">
            <v>2.4199999999999999E-2</v>
          </cell>
          <cell r="AG202" t="str">
            <v/>
          </cell>
          <cell r="AH202" t="str">
            <v/>
          </cell>
          <cell r="AJ202">
            <v>0.26850000000000002</v>
          </cell>
          <cell r="AK202">
            <v>2.4199999999999999E-2</v>
          </cell>
          <cell r="AL202">
            <v>0.26850000000000002</v>
          </cell>
          <cell r="AM202">
            <v>2.4199999999999999E-2</v>
          </cell>
          <cell r="AN202">
            <v>0.26850000000000002</v>
          </cell>
          <cell r="AO202">
            <v>2.4199999999999999E-2</v>
          </cell>
          <cell r="AP202">
            <v>0.26850000000000002</v>
          </cell>
          <cell r="AQ202">
            <v>2.4199999999999999E-2</v>
          </cell>
          <cell r="AS202" t="str">
            <v/>
          </cell>
          <cell r="AT202" t="str">
            <v/>
          </cell>
          <cell r="AV202" t="b">
            <v>0</v>
          </cell>
          <cell r="AW202" t="str">
            <v>minute &amp; call</v>
          </cell>
        </row>
        <row r="203">
          <cell r="S203" t="str">
            <v>DOM EST MOB</v>
          </cell>
          <cell r="T203" t="str">
            <v>DOM</v>
          </cell>
          <cell r="U203" t="str">
            <v>EST</v>
          </cell>
          <cell r="V203" t="str">
            <v>MOB</v>
          </cell>
          <cell r="X203">
            <v>0.1729</v>
          </cell>
          <cell r="Y203">
            <v>0</v>
          </cell>
          <cell r="Z203">
            <v>0.15040000000000001</v>
          </cell>
          <cell r="AA203">
            <v>0</v>
          </cell>
          <cell r="AB203">
            <v>0.13070000000000001</v>
          </cell>
          <cell r="AC203">
            <v>0</v>
          </cell>
          <cell r="AD203">
            <v>0.1137</v>
          </cell>
          <cell r="AE203">
            <v>0</v>
          </cell>
          <cell r="AG203" t="str">
            <v/>
          </cell>
          <cell r="AH203" t="str">
            <v/>
          </cell>
          <cell r="AJ203">
            <v>0.1729</v>
          </cell>
          <cell r="AK203">
            <v>0</v>
          </cell>
          <cell r="AL203">
            <v>0.15040000000000001</v>
          </cell>
          <cell r="AM203">
            <v>0</v>
          </cell>
          <cell r="AN203">
            <v>0.13070000000000001</v>
          </cell>
          <cell r="AO203">
            <v>0</v>
          </cell>
          <cell r="AP203">
            <v>0.1137</v>
          </cell>
          <cell r="AQ203">
            <v>0</v>
          </cell>
          <cell r="AS203" t="str">
            <v/>
          </cell>
          <cell r="AT203" t="str">
            <v/>
          </cell>
          <cell r="AV203" t="b">
            <v>1</v>
          </cell>
          <cell r="AW203" t="str">
            <v>minute</v>
          </cell>
        </row>
        <row r="204">
          <cell r="S204" t="str">
            <v>DOM EST EEMEM</v>
          </cell>
          <cell r="T204" t="str">
            <v>DOM</v>
          </cell>
          <cell r="U204" t="str">
            <v>EST</v>
          </cell>
          <cell r="V204" t="str">
            <v>EEMEM</v>
          </cell>
          <cell r="X204">
            <v>0.1729</v>
          </cell>
          <cell r="Y204">
            <v>0</v>
          </cell>
          <cell r="Z204">
            <v>0.15040000000000001</v>
          </cell>
          <cell r="AA204">
            <v>0</v>
          </cell>
          <cell r="AB204">
            <v>0.13070000000000001</v>
          </cell>
          <cell r="AC204">
            <v>0</v>
          </cell>
          <cell r="AD204">
            <v>0.1137</v>
          </cell>
          <cell r="AE204">
            <v>0</v>
          </cell>
          <cell r="AG204" t="str">
            <v/>
          </cell>
          <cell r="AH204" t="str">
            <v/>
          </cell>
          <cell r="AJ204">
            <v>0.1729</v>
          </cell>
          <cell r="AK204">
            <v>0</v>
          </cell>
          <cell r="AL204">
            <v>0.15040000000000001</v>
          </cell>
          <cell r="AM204">
            <v>0</v>
          </cell>
          <cell r="AN204">
            <v>0.13070000000000001</v>
          </cell>
          <cell r="AO204">
            <v>0</v>
          </cell>
          <cell r="AP204">
            <v>0.1137</v>
          </cell>
          <cell r="AQ204">
            <v>0</v>
          </cell>
          <cell r="AS204" t="str">
            <v/>
          </cell>
          <cell r="AT204" t="str">
            <v/>
          </cell>
          <cell r="AV204" t="b">
            <v>1</v>
          </cell>
          <cell r="AW204" t="str">
            <v>minute</v>
          </cell>
        </row>
        <row r="205">
          <cell r="S205" t="str">
            <v>DOM EST FIX</v>
          </cell>
          <cell r="T205" t="str">
            <v>DOM</v>
          </cell>
          <cell r="U205" t="str">
            <v>EST</v>
          </cell>
          <cell r="V205" t="str">
            <v>FIX</v>
          </cell>
          <cell r="X205">
            <v>3.1E-2</v>
          </cell>
          <cell r="Y205">
            <v>0</v>
          </cell>
          <cell r="Z205">
            <v>2.7E-2</v>
          </cell>
          <cell r="AA205">
            <v>0</v>
          </cell>
          <cell r="AB205">
            <v>2.3400000000000001E-2</v>
          </cell>
          <cell r="AC205">
            <v>0</v>
          </cell>
          <cell r="AD205">
            <v>2.0400000000000001E-2</v>
          </cell>
          <cell r="AE205">
            <v>0</v>
          </cell>
          <cell r="AG205" t="str">
            <v/>
          </cell>
          <cell r="AH205" t="str">
            <v/>
          </cell>
          <cell r="AJ205">
            <v>3.1E-2</v>
          </cell>
          <cell r="AK205">
            <v>0</v>
          </cell>
          <cell r="AL205">
            <v>2.7E-2</v>
          </cell>
          <cell r="AM205">
            <v>0</v>
          </cell>
          <cell r="AN205">
            <v>2.3400000000000001E-2</v>
          </cell>
          <cell r="AO205">
            <v>0</v>
          </cell>
          <cell r="AP205">
            <v>2.0400000000000001E-2</v>
          </cell>
          <cell r="AQ205">
            <v>0</v>
          </cell>
          <cell r="AS205" t="str">
            <v/>
          </cell>
          <cell r="AT205" t="str">
            <v/>
          </cell>
          <cell r="AV205" t="b">
            <v>1</v>
          </cell>
          <cell r="AW205" t="str">
            <v>minute</v>
          </cell>
        </row>
        <row r="206">
          <cell r="S206" t="str">
            <v>DOM FIN AREA2</v>
          </cell>
          <cell r="T206" t="str">
            <v>DOM</v>
          </cell>
          <cell r="U206" t="str">
            <v>FIN</v>
          </cell>
          <cell r="V206" t="str">
            <v>AREA2</v>
          </cell>
          <cell r="X206">
            <v>0.06</v>
          </cell>
          <cell r="Y206">
            <v>0</v>
          </cell>
          <cell r="Z206">
            <v>5.3999999999999999E-2</v>
          </cell>
          <cell r="AA206">
            <v>0</v>
          </cell>
          <cell r="AB206">
            <v>5.0999999999999997E-2</v>
          </cell>
          <cell r="AC206">
            <v>0</v>
          </cell>
          <cell r="AD206">
            <v>4.8000000000000001E-2</v>
          </cell>
          <cell r="AE206">
            <v>0</v>
          </cell>
          <cell r="AG206" t="str">
            <v/>
          </cell>
          <cell r="AH206" t="str">
            <v/>
          </cell>
          <cell r="AJ206">
            <v>0.06</v>
          </cell>
          <cell r="AK206">
            <v>0</v>
          </cell>
          <cell r="AL206">
            <v>5.3999999999999999E-2</v>
          </cell>
          <cell r="AM206">
            <v>0</v>
          </cell>
          <cell r="AN206">
            <v>5.0999999999999997E-2</v>
          </cell>
          <cell r="AO206">
            <v>0</v>
          </cell>
          <cell r="AP206">
            <v>4.8000000000000001E-2</v>
          </cell>
          <cell r="AQ206">
            <v>0</v>
          </cell>
          <cell r="AS206" t="str">
            <v/>
          </cell>
          <cell r="AT206" t="str">
            <v/>
          </cell>
          <cell r="AV206" t="b">
            <v>1</v>
          </cell>
          <cell r="AW206" t="str">
            <v>minute</v>
          </cell>
        </row>
        <row r="207">
          <cell r="S207" t="str">
            <v>DOM FIN FIMSO</v>
          </cell>
          <cell r="T207" t="str">
            <v>DOM</v>
          </cell>
          <cell r="U207" t="str">
            <v>FIN</v>
          </cell>
          <cell r="V207" t="str">
            <v>FIMSO</v>
          </cell>
          <cell r="X207">
            <v>4.7699999999999999E-2</v>
          </cell>
          <cell r="Y207">
            <v>0</v>
          </cell>
          <cell r="Z207">
            <v>4.4600000000000001E-2</v>
          </cell>
          <cell r="AA207">
            <v>0</v>
          </cell>
          <cell r="AB207">
            <v>4.1700000000000001E-2</v>
          </cell>
          <cell r="AC207">
            <v>0</v>
          </cell>
          <cell r="AD207">
            <v>3.9E-2</v>
          </cell>
          <cell r="AE207">
            <v>0</v>
          </cell>
          <cell r="AG207" t="str">
            <v/>
          </cell>
          <cell r="AH207" t="str">
            <v/>
          </cell>
          <cell r="AJ207">
            <v>4.7699999999999999E-2</v>
          </cell>
          <cell r="AK207">
            <v>0</v>
          </cell>
          <cell r="AL207">
            <v>4.4600000000000001E-2</v>
          </cell>
          <cell r="AM207">
            <v>0</v>
          </cell>
          <cell r="AN207">
            <v>4.1700000000000001E-2</v>
          </cell>
          <cell r="AO207">
            <v>0</v>
          </cell>
          <cell r="AP207">
            <v>3.9E-2</v>
          </cell>
          <cell r="AQ207">
            <v>0</v>
          </cell>
          <cell r="AS207" t="str">
            <v/>
          </cell>
          <cell r="AT207" t="str">
            <v/>
          </cell>
          <cell r="AV207" t="b">
            <v>1</v>
          </cell>
          <cell r="AW207" t="str">
            <v>minute</v>
          </cell>
        </row>
        <row r="208">
          <cell r="S208" t="str">
            <v>DOM FIN AREA1</v>
          </cell>
          <cell r="T208" t="str">
            <v>DOM</v>
          </cell>
          <cell r="U208" t="str">
            <v>FIN</v>
          </cell>
          <cell r="V208" t="str">
            <v>AREA1</v>
          </cell>
          <cell r="X208">
            <v>5.3999999999999999E-2</v>
          </cell>
          <cell r="Y208">
            <v>0</v>
          </cell>
          <cell r="Z208">
            <v>4.8599999999999997E-2</v>
          </cell>
          <cell r="AA208">
            <v>0</v>
          </cell>
          <cell r="AB208">
            <v>4.5900000000000003E-2</v>
          </cell>
          <cell r="AC208">
            <v>0</v>
          </cell>
          <cell r="AD208">
            <v>4.3200000000000002E-2</v>
          </cell>
          <cell r="AE208">
            <v>0</v>
          </cell>
          <cell r="AG208" t="str">
            <v/>
          </cell>
          <cell r="AH208" t="str">
            <v/>
          </cell>
          <cell r="AJ208">
            <v>5.3999999999999999E-2</v>
          </cell>
          <cell r="AK208">
            <v>0</v>
          </cell>
          <cell r="AL208">
            <v>4.8599999999999997E-2</v>
          </cell>
          <cell r="AM208">
            <v>0</v>
          </cell>
          <cell r="AN208">
            <v>4.5900000000000003E-2</v>
          </cell>
          <cell r="AO208">
            <v>0</v>
          </cell>
          <cell r="AP208">
            <v>4.3200000000000002E-2</v>
          </cell>
          <cell r="AQ208">
            <v>0</v>
          </cell>
          <cell r="AS208" t="str">
            <v/>
          </cell>
          <cell r="AT208" t="str">
            <v/>
          </cell>
          <cell r="AV208" t="b">
            <v>1</v>
          </cell>
          <cell r="AW208" t="str">
            <v>minute</v>
          </cell>
        </row>
        <row r="209">
          <cell r="S209" t="str">
            <v>DOM FIN FIB01</v>
          </cell>
          <cell r="T209" t="str">
            <v>DOM</v>
          </cell>
          <cell r="U209" t="str">
            <v>FIN</v>
          </cell>
          <cell r="V209" t="str">
            <v>FIB01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G209" t="str">
            <v/>
          </cell>
          <cell r="AH209" t="str">
            <v/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S209" t="str">
            <v/>
          </cell>
          <cell r="AT209" t="str">
            <v/>
          </cell>
          <cell r="AV209" t="b">
            <v>0</v>
          </cell>
          <cell r="AW209" t="str">
            <v>minute</v>
          </cell>
        </row>
        <row r="210">
          <cell r="S210" t="str">
            <v>DOM FIN FIB02</v>
          </cell>
          <cell r="T210" t="str">
            <v>DOM</v>
          </cell>
          <cell r="U210" t="str">
            <v>FIN</v>
          </cell>
          <cell r="V210" t="str">
            <v>FIB02</v>
          </cell>
          <cell r="X210">
            <v>6.08E-2</v>
          </cell>
          <cell r="Y210">
            <v>0</v>
          </cell>
          <cell r="Z210">
            <v>6.08E-2</v>
          </cell>
          <cell r="AA210">
            <v>0</v>
          </cell>
          <cell r="AB210">
            <v>6.08E-2</v>
          </cell>
          <cell r="AC210">
            <v>0</v>
          </cell>
          <cell r="AD210">
            <v>6.08E-2</v>
          </cell>
          <cell r="AE210">
            <v>0</v>
          </cell>
          <cell r="AG210" t="str">
            <v/>
          </cell>
          <cell r="AH210" t="str">
            <v/>
          </cell>
          <cell r="AJ210">
            <v>6.08E-2</v>
          </cell>
          <cell r="AK210">
            <v>0</v>
          </cell>
          <cell r="AL210">
            <v>6.08E-2</v>
          </cell>
          <cell r="AM210">
            <v>0</v>
          </cell>
          <cell r="AN210">
            <v>6.08E-2</v>
          </cell>
          <cell r="AO210">
            <v>0</v>
          </cell>
          <cell r="AP210">
            <v>6.08E-2</v>
          </cell>
          <cell r="AQ210">
            <v>0</v>
          </cell>
          <cell r="AS210" t="str">
            <v/>
          </cell>
          <cell r="AT210" t="str">
            <v/>
          </cell>
          <cell r="AV210" t="b">
            <v>0</v>
          </cell>
          <cell r="AW210" t="str">
            <v>minute</v>
          </cell>
        </row>
        <row r="211">
          <cell r="S211" t="str">
            <v>DOM FIN FIB03</v>
          </cell>
          <cell r="T211" t="str">
            <v>DOM</v>
          </cell>
          <cell r="U211" t="str">
            <v>FIN</v>
          </cell>
          <cell r="V211" t="str">
            <v>FIB03</v>
          </cell>
          <cell r="X211">
            <v>6.08E-2</v>
          </cell>
          <cell r="Y211">
            <v>6.7299999999999999E-2</v>
          </cell>
          <cell r="Z211">
            <v>6.08E-2</v>
          </cell>
          <cell r="AA211">
            <v>6.7299999999999999E-2</v>
          </cell>
          <cell r="AB211">
            <v>6.08E-2</v>
          </cell>
          <cell r="AC211">
            <v>6.7299999999999999E-2</v>
          </cell>
          <cell r="AD211">
            <v>6.08E-2</v>
          </cell>
          <cell r="AE211">
            <v>6.7299999999999999E-2</v>
          </cell>
          <cell r="AG211" t="str">
            <v/>
          </cell>
          <cell r="AH211" t="str">
            <v/>
          </cell>
          <cell r="AJ211">
            <v>6.08E-2</v>
          </cell>
          <cell r="AK211">
            <v>6.7299999999999999E-2</v>
          </cell>
          <cell r="AL211">
            <v>6.08E-2</v>
          </cell>
          <cell r="AM211">
            <v>6.7299999999999999E-2</v>
          </cell>
          <cell r="AN211">
            <v>6.08E-2</v>
          </cell>
          <cell r="AO211">
            <v>6.7299999999999999E-2</v>
          </cell>
          <cell r="AP211">
            <v>6.08E-2</v>
          </cell>
          <cell r="AQ211">
            <v>6.7299999999999999E-2</v>
          </cell>
          <cell r="AS211" t="str">
            <v/>
          </cell>
          <cell r="AT211" t="str">
            <v/>
          </cell>
          <cell r="AV211" t="b">
            <v>0</v>
          </cell>
          <cell r="AW211" t="str">
            <v>minute &amp; call</v>
          </cell>
        </row>
        <row r="212">
          <cell r="S212" t="str">
            <v>DOM FIN FIB04</v>
          </cell>
          <cell r="T212" t="str">
            <v>DOM</v>
          </cell>
          <cell r="U212" t="str">
            <v>FIN</v>
          </cell>
          <cell r="V212" t="str">
            <v>FIB04</v>
          </cell>
          <cell r="X212">
            <v>6.08E-2</v>
          </cell>
          <cell r="Y212">
            <v>0.33660000000000001</v>
          </cell>
          <cell r="Z212">
            <v>6.08E-2</v>
          </cell>
          <cell r="AA212">
            <v>0.33660000000000001</v>
          </cell>
          <cell r="AB212">
            <v>6.08E-2</v>
          </cell>
          <cell r="AC212">
            <v>0.33660000000000001</v>
          </cell>
          <cell r="AD212">
            <v>6.08E-2</v>
          </cell>
          <cell r="AE212">
            <v>0.33660000000000001</v>
          </cell>
          <cell r="AG212" t="str">
            <v/>
          </cell>
          <cell r="AH212" t="str">
            <v/>
          </cell>
          <cell r="AJ212">
            <v>6.08E-2</v>
          </cell>
          <cell r="AK212">
            <v>0.33660000000000001</v>
          </cell>
          <cell r="AL212">
            <v>6.08E-2</v>
          </cell>
          <cell r="AM212">
            <v>0.33660000000000001</v>
          </cell>
          <cell r="AN212">
            <v>6.08E-2</v>
          </cell>
          <cell r="AO212">
            <v>0.33660000000000001</v>
          </cell>
          <cell r="AP212">
            <v>6.08E-2</v>
          </cell>
          <cell r="AQ212">
            <v>0.33660000000000001</v>
          </cell>
          <cell r="AS212" t="str">
            <v/>
          </cell>
          <cell r="AT212" t="str">
            <v/>
          </cell>
          <cell r="AV212" t="b">
            <v>0</v>
          </cell>
          <cell r="AW212" t="str">
            <v>minute &amp; call</v>
          </cell>
        </row>
        <row r="213">
          <cell r="S213" t="str">
            <v>DOM FIN FIB05</v>
          </cell>
          <cell r="T213" t="str">
            <v>DOM</v>
          </cell>
          <cell r="U213" t="str">
            <v>FIN</v>
          </cell>
          <cell r="V213" t="str">
            <v>FIB05</v>
          </cell>
          <cell r="X213">
            <v>6.7299999999999999E-2</v>
          </cell>
          <cell r="Y213">
            <v>2.4400000000000002E-2</v>
          </cell>
          <cell r="Z213">
            <v>6.7299999999999999E-2</v>
          </cell>
          <cell r="AA213">
            <v>2.4400000000000002E-2</v>
          </cell>
          <cell r="AB213">
            <v>6.7299999999999999E-2</v>
          </cell>
          <cell r="AC213">
            <v>2.4400000000000002E-2</v>
          </cell>
          <cell r="AD213">
            <v>6.7299999999999999E-2</v>
          </cell>
          <cell r="AE213">
            <v>2.4400000000000002E-2</v>
          </cell>
          <cell r="AG213" t="str">
            <v/>
          </cell>
          <cell r="AH213" t="str">
            <v/>
          </cell>
          <cell r="AJ213">
            <v>6.7299999999999999E-2</v>
          </cell>
          <cell r="AK213">
            <v>2.4400000000000002E-2</v>
          </cell>
          <cell r="AL213">
            <v>6.7299999999999999E-2</v>
          </cell>
          <cell r="AM213">
            <v>2.4400000000000002E-2</v>
          </cell>
          <cell r="AN213">
            <v>6.7299999999999999E-2</v>
          </cell>
          <cell r="AO213">
            <v>2.4400000000000002E-2</v>
          </cell>
          <cell r="AP213">
            <v>6.7299999999999999E-2</v>
          </cell>
          <cell r="AQ213">
            <v>2.4400000000000002E-2</v>
          </cell>
          <cell r="AS213" t="str">
            <v/>
          </cell>
          <cell r="AT213" t="str">
            <v/>
          </cell>
          <cell r="AV213" t="b">
            <v>0</v>
          </cell>
          <cell r="AW213" t="str">
            <v>minute &amp; call</v>
          </cell>
        </row>
        <row r="214">
          <cell r="S214" t="str">
            <v>DOM FIN FIB06</v>
          </cell>
          <cell r="T214" t="str">
            <v>DOM</v>
          </cell>
          <cell r="U214" t="str">
            <v>FIN</v>
          </cell>
          <cell r="V214" t="str">
            <v>FIB06</v>
          </cell>
          <cell r="X214">
            <v>1.21E-2</v>
          </cell>
          <cell r="Y214">
            <v>6.7299999999999999E-2</v>
          </cell>
          <cell r="Z214">
            <v>1.21E-2</v>
          </cell>
          <cell r="AA214">
            <v>6.7299999999999999E-2</v>
          </cell>
          <cell r="AB214">
            <v>1.21E-2</v>
          </cell>
          <cell r="AC214">
            <v>6.7299999999999999E-2</v>
          </cell>
          <cell r="AD214">
            <v>1.21E-2</v>
          </cell>
          <cell r="AE214">
            <v>6.7299999999999999E-2</v>
          </cell>
          <cell r="AG214" t="str">
            <v/>
          </cell>
          <cell r="AH214" t="str">
            <v/>
          </cell>
          <cell r="AJ214">
            <v>1.21E-2</v>
          </cell>
          <cell r="AK214">
            <v>6.7299999999999999E-2</v>
          </cell>
          <cell r="AL214">
            <v>1.21E-2</v>
          </cell>
          <cell r="AM214">
            <v>6.7299999999999999E-2</v>
          </cell>
          <cell r="AN214">
            <v>1.21E-2</v>
          </cell>
          <cell r="AO214">
            <v>6.7299999999999999E-2</v>
          </cell>
          <cell r="AP214">
            <v>1.21E-2</v>
          </cell>
          <cell r="AQ214">
            <v>6.7299999999999999E-2</v>
          </cell>
          <cell r="AS214" t="str">
            <v/>
          </cell>
          <cell r="AT214" t="str">
            <v/>
          </cell>
          <cell r="AV214" t="b">
            <v>0</v>
          </cell>
          <cell r="AW214" t="str">
            <v>minute &amp; call</v>
          </cell>
        </row>
        <row r="215">
          <cell r="S215" t="str">
            <v>DOM FIN FIB07</v>
          </cell>
          <cell r="T215" t="str">
            <v>DOM</v>
          </cell>
          <cell r="U215" t="str">
            <v>FIN</v>
          </cell>
          <cell r="V215" t="str">
            <v>FIB07</v>
          </cell>
          <cell r="X215">
            <v>7.7299999999999994E-2</v>
          </cell>
          <cell r="Y215">
            <v>0</v>
          </cell>
          <cell r="Z215">
            <v>7.7299999999999994E-2</v>
          </cell>
          <cell r="AA215">
            <v>0</v>
          </cell>
          <cell r="AB215">
            <v>7.7299999999999994E-2</v>
          </cell>
          <cell r="AC215">
            <v>0</v>
          </cell>
          <cell r="AD215">
            <v>7.7299999999999994E-2</v>
          </cell>
          <cell r="AE215">
            <v>0</v>
          </cell>
          <cell r="AG215" t="str">
            <v/>
          </cell>
          <cell r="AH215" t="str">
            <v/>
          </cell>
          <cell r="AJ215">
            <v>7.7299999999999994E-2</v>
          </cell>
          <cell r="AK215">
            <v>0</v>
          </cell>
          <cell r="AL215">
            <v>7.7299999999999994E-2</v>
          </cell>
          <cell r="AM215">
            <v>0</v>
          </cell>
          <cell r="AN215">
            <v>7.7299999999999994E-2</v>
          </cell>
          <cell r="AO215">
            <v>0</v>
          </cell>
          <cell r="AP215">
            <v>7.7299999999999994E-2</v>
          </cell>
          <cell r="AQ215">
            <v>0</v>
          </cell>
          <cell r="AS215" t="str">
            <v/>
          </cell>
          <cell r="AT215" t="str">
            <v/>
          </cell>
          <cell r="AV215" t="b">
            <v>0</v>
          </cell>
          <cell r="AW215" t="str">
            <v>minute</v>
          </cell>
        </row>
        <row r="216">
          <cell r="S216" t="str">
            <v>DOM FIN FIB08</v>
          </cell>
          <cell r="T216" t="str">
            <v>DOM</v>
          </cell>
          <cell r="U216" t="str">
            <v>FIN</v>
          </cell>
          <cell r="V216" t="str">
            <v>FIB08</v>
          </cell>
          <cell r="X216">
            <v>8.5199999999999998E-2</v>
          </cell>
          <cell r="Y216">
            <v>0</v>
          </cell>
          <cell r="Z216">
            <v>8.5199999999999998E-2</v>
          </cell>
          <cell r="AA216">
            <v>0</v>
          </cell>
          <cell r="AB216">
            <v>8.5199999999999998E-2</v>
          </cell>
          <cell r="AC216">
            <v>0</v>
          </cell>
          <cell r="AD216">
            <v>8.5199999999999998E-2</v>
          </cell>
          <cell r="AE216">
            <v>0</v>
          </cell>
          <cell r="AG216" t="str">
            <v/>
          </cell>
          <cell r="AH216" t="str">
            <v/>
          </cell>
          <cell r="AJ216">
            <v>8.5199999999999998E-2</v>
          </cell>
          <cell r="AK216">
            <v>0</v>
          </cell>
          <cell r="AL216">
            <v>8.5199999999999998E-2</v>
          </cell>
          <cell r="AM216">
            <v>0</v>
          </cell>
          <cell r="AN216">
            <v>8.5199999999999998E-2</v>
          </cell>
          <cell r="AO216">
            <v>0</v>
          </cell>
          <cell r="AP216">
            <v>8.5199999999999998E-2</v>
          </cell>
          <cell r="AQ216">
            <v>0</v>
          </cell>
          <cell r="AS216" t="str">
            <v/>
          </cell>
          <cell r="AT216" t="str">
            <v/>
          </cell>
          <cell r="AV216" t="b">
            <v>0</v>
          </cell>
          <cell r="AW216" t="str">
            <v>minute</v>
          </cell>
        </row>
        <row r="217">
          <cell r="S217" t="str">
            <v>DOM FIN FIB09</v>
          </cell>
          <cell r="T217" t="str">
            <v>DOM</v>
          </cell>
          <cell r="U217" t="str">
            <v>FIN</v>
          </cell>
          <cell r="V217" t="str">
            <v>FIB09</v>
          </cell>
          <cell r="X217">
            <v>8.5400000000000004E-2</v>
          </cell>
          <cell r="Y217">
            <v>0</v>
          </cell>
          <cell r="Z217">
            <v>8.5400000000000004E-2</v>
          </cell>
          <cell r="AA217">
            <v>0</v>
          </cell>
          <cell r="AB217">
            <v>8.5400000000000004E-2</v>
          </cell>
          <cell r="AC217">
            <v>0</v>
          </cell>
          <cell r="AD217">
            <v>8.5400000000000004E-2</v>
          </cell>
          <cell r="AE217">
            <v>0</v>
          </cell>
          <cell r="AG217" t="str">
            <v/>
          </cell>
          <cell r="AH217" t="str">
            <v/>
          </cell>
          <cell r="AJ217">
            <v>8.5400000000000004E-2</v>
          </cell>
          <cell r="AK217">
            <v>0</v>
          </cell>
          <cell r="AL217">
            <v>8.5400000000000004E-2</v>
          </cell>
          <cell r="AM217">
            <v>0</v>
          </cell>
          <cell r="AN217">
            <v>8.5400000000000004E-2</v>
          </cell>
          <cell r="AO217">
            <v>0</v>
          </cell>
          <cell r="AP217">
            <v>8.5400000000000004E-2</v>
          </cell>
          <cell r="AQ217">
            <v>0</v>
          </cell>
          <cell r="AS217" t="str">
            <v/>
          </cell>
          <cell r="AT217" t="str">
            <v/>
          </cell>
          <cell r="AV217" t="b">
            <v>0</v>
          </cell>
          <cell r="AW217" t="str">
            <v>minute</v>
          </cell>
        </row>
        <row r="218">
          <cell r="S218" t="str">
            <v>DOM FIN FIB10</v>
          </cell>
          <cell r="T218" t="str">
            <v>DOM</v>
          </cell>
          <cell r="U218" t="str">
            <v>FIN</v>
          </cell>
          <cell r="V218" t="str">
            <v>FIB10</v>
          </cell>
          <cell r="X218">
            <v>9.1200000000000003E-2</v>
          </cell>
          <cell r="Y218">
            <v>0</v>
          </cell>
          <cell r="Z218">
            <v>9.1200000000000003E-2</v>
          </cell>
          <cell r="AA218">
            <v>0</v>
          </cell>
          <cell r="AB218">
            <v>9.1200000000000003E-2</v>
          </cell>
          <cell r="AC218">
            <v>0</v>
          </cell>
          <cell r="AD218">
            <v>9.1200000000000003E-2</v>
          </cell>
          <cell r="AE218">
            <v>0</v>
          </cell>
          <cell r="AG218" t="str">
            <v/>
          </cell>
          <cell r="AH218" t="str">
            <v/>
          </cell>
          <cell r="AJ218">
            <v>9.1200000000000003E-2</v>
          </cell>
          <cell r="AK218">
            <v>0</v>
          </cell>
          <cell r="AL218">
            <v>9.1200000000000003E-2</v>
          </cell>
          <cell r="AM218">
            <v>0</v>
          </cell>
          <cell r="AN218">
            <v>9.1200000000000003E-2</v>
          </cell>
          <cell r="AO218">
            <v>0</v>
          </cell>
          <cell r="AP218">
            <v>9.1200000000000003E-2</v>
          </cell>
          <cell r="AQ218">
            <v>0</v>
          </cell>
          <cell r="AS218" t="str">
            <v/>
          </cell>
          <cell r="AT218" t="str">
            <v/>
          </cell>
          <cell r="AV218" t="b">
            <v>0</v>
          </cell>
          <cell r="AW218" t="str">
            <v>minute</v>
          </cell>
        </row>
        <row r="219">
          <cell r="S219" t="str">
            <v>DOM FIN FIB11</v>
          </cell>
          <cell r="T219" t="str">
            <v>DOM</v>
          </cell>
          <cell r="U219" t="str">
            <v>FIN</v>
          </cell>
          <cell r="V219" t="str">
            <v>FIB11</v>
          </cell>
          <cell r="X219">
            <v>0.1056</v>
          </cell>
          <cell r="Y219">
            <v>0</v>
          </cell>
          <cell r="Z219">
            <v>0.1056</v>
          </cell>
          <cell r="AA219">
            <v>0</v>
          </cell>
          <cell r="AB219">
            <v>0.1056</v>
          </cell>
          <cell r="AC219">
            <v>0</v>
          </cell>
          <cell r="AD219">
            <v>0.1056</v>
          </cell>
          <cell r="AE219">
            <v>0</v>
          </cell>
          <cell r="AG219" t="str">
            <v/>
          </cell>
          <cell r="AH219" t="str">
            <v/>
          </cell>
          <cell r="AJ219">
            <v>0.1056</v>
          </cell>
          <cell r="AK219">
            <v>0</v>
          </cell>
          <cell r="AL219">
            <v>0.1056</v>
          </cell>
          <cell r="AM219">
            <v>0</v>
          </cell>
          <cell r="AN219">
            <v>0.1056</v>
          </cell>
          <cell r="AO219">
            <v>0</v>
          </cell>
          <cell r="AP219">
            <v>0.1056</v>
          </cell>
          <cell r="AQ219">
            <v>0</v>
          </cell>
          <cell r="AS219" t="str">
            <v/>
          </cell>
          <cell r="AT219" t="str">
            <v/>
          </cell>
          <cell r="AV219" t="b">
            <v>0</v>
          </cell>
          <cell r="AW219" t="str">
            <v>minute</v>
          </cell>
        </row>
        <row r="220">
          <cell r="S220" t="str">
            <v>DOM FIN FIB12</v>
          </cell>
          <cell r="T220" t="str">
            <v>DOM</v>
          </cell>
          <cell r="U220" t="str">
            <v>FIN</v>
          </cell>
          <cell r="V220" t="str">
            <v>FIB12</v>
          </cell>
          <cell r="X220">
            <v>0.1057</v>
          </cell>
          <cell r="Y220">
            <v>0</v>
          </cell>
          <cell r="Z220">
            <v>0.1057</v>
          </cell>
          <cell r="AA220">
            <v>0</v>
          </cell>
          <cell r="AB220">
            <v>0.1057</v>
          </cell>
          <cell r="AC220">
            <v>0</v>
          </cell>
          <cell r="AD220">
            <v>0.1057</v>
          </cell>
          <cell r="AE220">
            <v>0</v>
          </cell>
          <cell r="AG220" t="str">
            <v/>
          </cell>
          <cell r="AH220" t="str">
            <v/>
          </cell>
          <cell r="AJ220">
            <v>0.1057</v>
          </cell>
          <cell r="AK220">
            <v>0</v>
          </cell>
          <cell r="AL220">
            <v>0.1057</v>
          </cell>
          <cell r="AM220">
            <v>0</v>
          </cell>
          <cell r="AN220">
            <v>0.1057</v>
          </cell>
          <cell r="AO220">
            <v>0</v>
          </cell>
          <cell r="AP220">
            <v>0.1057</v>
          </cell>
          <cell r="AQ220">
            <v>0</v>
          </cell>
          <cell r="AS220" t="str">
            <v/>
          </cell>
          <cell r="AT220" t="str">
            <v/>
          </cell>
          <cell r="AV220" t="b">
            <v>0</v>
          </cell>
          <cell r="AW220" t="str">
            <v>minute</v>
          </cell>
        </row>
        <row r="221">
          <cell r="S221" t="str">
            <v>DOM FIN FIB13</v>
          </cell>
          <cell r="T221" t="str">
            <v>DOM</v>
          </cell>
          <cell r="U221" t="str">
            <v>FIN</v>
          </cell>
          <cell r="V221" t="str">
            <v>FIB13</v>
          </cell>
          <cell r="X221">
            <v>0.106</v>
          </cell>
          <cell r="Y221">
            <v>0</v>
          </cell>
          <cell r="Z221">
            <v>0.106</v>
          </cell>
          <cell r="AA221">
            <v>0</v>
          </cell>
          <cell r="AB221">
            <v>0.106</v>
          </cell>
          <cell r="AC221">
            <v>0</v>
          </cell>
          <cell r="AD221">
            <v>0.106</v>
          </cell>
          <cell r="AE221">
            <v>0</v>
          </cell>
          <cell r="AG221" t="str">
            <v/>
          </cell>
          <cell r="AH221" t="str">
            <v/>
          </cell>
          <cell r="AJ221">
            <v>0.106</v>
          </cell>
          <cell r="AK221">
            <v>0</v>
          </cell>
          <cell r="AL221">
            <v>0.106</v>
          </cell>
          <cell r="AM221">
            <v>0</v>
          </cell>
          <cell r="AN221">
            <v>0.106</v>
          </cell>
          <cell r="AO221">
            <v>0</v>
          </cell>
          <cell r="AP221">
            <v>0.106</v>
          </cell>
          <cell r="AQ221">
            <v>0</v>
          </cell>
          <cell r="AS221" t="str">
            <v/>
          </cell>
          <cell r="AT221" t="str">
            <v/>
          </cell>
          <cell r="AV221" t="b">
            <v>0</v>
          </cell>
          <cell r="AW221" t="str">
            <v>minute</v>
          </cell>
        </row>
        <row r="222">
          <cell r="S222" t="str">
            <v>DOM FIN FIB14</v>
          </cell>
          <cell r="T222" t="str">
            <v>DOM</v>
          </cell>
          <cell r="U222" t="str">
            <v>FIN</v>
          </cell>
          <cell r="V222" t="str">
            <v>FIB14</v>
          </cell>
          <cell r="X222">
            <v>4.8399999999999999E-2</v>
          </cell>
          <cell r="Y222">
            <v>6.7299999999999999E-2</v>
          </cell>
          <cell r="Z222">
            <v>4.8399999999999999E-2</v>
          </cell>
          <cell r="AA222">
            <v>6.7299999999999999E-2</v>
          </cell>
          <cell r="AB222">
            <v>4.8399999999999999E-2</v>
          </cell>
          <cell r="AC222">
            <v>6.7299999999999999E-2</v>
          </cell>
          <cell r="AD222">
            <v>4.8399999999999999E-2</v>
          </cell>
          <cell r="AE222">
            <v>6.7299999999999999E-2</v>
          </cell>
          <cell r="AG222" t="str">
            <v/>
          </cell>
          <cell r="AH222" t="str">
            <v/>
          </cell>
          <cell r="AJ222">
            <v>4.8399999999999999E-2</v>
          </cell>
          <cell r="AK222">
            <v>6.7299999999999999E-2</v>
          </cell>
          <cell r="AL222">
            <v>4.8399999999999999E-2</v>
          </cell>
          <cell r="AM222">
            <v>6.7299999999999999E-2</v>
          </cell>
          <cell r="AN222">
            <v>4.8399999999999999E-2</v>
          </cell>
          <cell r="AO222">
            <v>6.7299999999999999E-2</v>
          </cell>
          <cell r="AP222">
            <v>4.8399999999999999E-2</v>
          </cell>
          <cell r="AQ222">
            <v>6.7299999999999999E-2</v>
          </cell>
          <cell r="AS222" t="str">
            <v/>
          </cell>
          <cell r="AT222" t="str">
            <v/>
          </cell>
          <cell r="AV222" t="b">
            <v>0</v>
          </cell>
          <cell r="AW222" t="str">
            <v>minute &amp; call</v>
          </cell>
        </row>
        <row r="223">
          <cell r="S223" t="str">
            <v>DOM FIN FIB15</v>
          </cell>
          <cell r="T223" t="str">
            <v>DOM</v>
          </cell>
          <cell r="U223" t="str">
            <v>FIN</v>
          </cell>
          <cell r="V223" t="str">
            <v>FIB15</v>
          </cell>
          <cell r="X223">
            <v>0.1119</v>
          </cell>
          <cell r="Y223">
            <v>0</v>
          </cell>
          <cell r="Z223">
            <v>0.1119</v>
          </cell>
          <cell r="AA223">
            <v>0</v>
          </cell>
          <cell r="AB223">
            <v>0.1119</v>
          </cell>
          <cell r="AC223">
            <v>0</v>
          </cell>
          <cell r="AD223">
            <v>0.1119</v>
          </cell>
          <cell r="AE223">
            <v>0</v>
          </cell>
          <cell r="AG223" t="str">
            <v/>
          </cell>
          <cell r="AH223" t="str">
            <v/>
          </cell>
          <cell r="AJ223">
            <v>0.1119</v>
          </cell>
          <cell r="AK223">
            <v>0</v>
          </cell>
          <cell r="AL223">
            <v>0.1119</v>
          </cell>
          <cell r="AM223">
            <v>0</v>
          </cell>
          <cell r="AN223">
            <v>0.1119</v>
          </cell>
          <cell r="AO223">
            <v>0</v>
          </cell>
          <cell r="AP223">
            <v>0.1119</v>
          </cell>
          <cell r="AQ223">
            <v>0</v>
          </cell>
          <cell r="AS223" t="str">
            <v/>
          </cell>
          <cell r="AT223" t="str">
            <v/>
          </cell>
          <cell r="AV223" t="b">
            <v>0</v>
          </cell>
          <cell r="AW223" t="str">
            <v>minute</v>
          </cell>
        </row>
        <row r="224">
          <cell r="S224" t="str">
            <v>DOM FIN FIB16</v>
          </cell>
          <cell r="T224" t="str">
            <v>DOM</v>
          </cell>
          <cell r="U224" t="str">
            <v>FIN</v>
          </cell>
          <cell r="V224" t="str">
            <v>FIB16</v>
          </cell>
          <cell r="X224">
            <v>0.1137</v>
          </cell>
          <cell r="Y224">
            <v>6.7299999999999999E-2</v>
          </cell>
          <cell r="Z224">
            <v>0.1137</v>
          </cell>
          <cell r="AA224">
            <v>6.7299999999999999E-2</v>
          </cell>
          <cell r="AB224">
            <v>0.1137</v>
          </cell>
          <cell r="AC224">
            <v>6.7299999999999999E-2</v>
          </cell>
          <cell r="AD224">
            <v>0.1137</v>
          </cell>
          <cell r="AE224">
            <v>6.7299999999999999E-2</v>
          </cell>
          <cell r="AG224" t="str">
            <v/>
          </cell>
          <cell r="AH224" t="str">
            <v/>
          </cell>
          <cell r="AJ224">
            <v>0.1137</v>
          </cell>
          <cell r="AK224">
            <v>6.7299999999999999E-2</v>
          </cell>
          <cell r="AL224">
            <v>0.1137</v>
          </cell>
          <cell r="AM224">
            <v>6.7299999999999999E-2</v>
          </cell>
          <cell r="AN224">
            <v>0.1137</v>
          </cell>
          <cell r="AO224">
            <v>6.7299999999999999E-2</v>
          </cell>
          <cell r="AP224">
            <v>0.1137</v>
          </cell>
          <cell r="AQ224">
            <v>6.7299999999999999E-2</v>
          </cell>
          <cell r="AS224" t="str">
            <v/>
          </cell>
          <cell r="AT224" t="str">
            <v/>
          </cell>
          <cell r="AV224" t="b">
            <v>0</v>
          </cell>
          <cell r="AW224" t="str">
            <v>minute &amp; call</v>
          </cell>
        </row>
        <row r="225">
          <cell r="S225" t="str">
            <v>DOM FIN FIB17</v>
          </cell>
          <cell r="T225" t="str">
            <v>DOM</v>
          </cell>
          <cell r="U225" t="str">
            <v>FIN</v>
          </cell>
          <cell r="V225" t="str">
            <v>FIB17</v>
          </cell>
          <cell r="X225">
            <v>5.57E-2</v>
          </cell>
          <cell r="Y225">
            <v>6.7299999999999999E-2</v>
          </cell>
          <cell r="Z225">
            <v>5.57E-2</v>
          </cell>
          <cell r="AA225">
            <v>6.7299999999999999E-2</v>
          </cell>
          <cell r="AB225">
            <v>5.57E-2</v>
          </cell>
          <cell r="AC225">
            <v>6.7299999999999999E-2</v>
          </cell>
          <cell r="AD225">
            <v>5.57E-2</v>
          </cell>
          <cell r="AE225">
            <v>6.7299999999999999E-2</v>
          </cell>
          <cell r="AG225" t="str">
            <v/>
          </cell>
          <cell r="AH225" t="str">
            <v/>
          </cell>
          <cell r="AJ225">
            <v>5.57E-2</v>
          </cell>
          <cell r="AK225">
            <v>6.7299999999999999E-2</v>
          </cell>
          <cell r="AL225">
            <v>5.57E-2</v>
          </cell>
          <cell r="AM225">
            <v>6.7299999999999999E-2</v>
          </cell>
          <cell r="AN225">
            <v>5.57E-2</v>
          </cell>
          <cell r="AO225">
            <v>6.7299999999999999E-2</v>
          </cell>
          <cell r="AP225">
            <v>5.57E-2</v>
          </cell>
          <cell r="AQ225">
            <v>6.7299999999999999E-2</v>
          </cell>
          <cell r="AS225" t="str">
            <v/>
          </cell>
          <cell r="AT225" t="str">
            <v/>
          </cell>
          <cell r="AV225" t="b">
            <v>0</v>
          </cell>
          <cell r="AW225" t="str">
            <v>minute &amp; call</v>
          </cell>
        </row>
        <row r="226">
          <cell r="S226" t="str">
            <v>DOM FIN FIB18</v>
          </cell>
          <cell r="T226" t="str">
            <v>DOM</v>
          </cell>
          <cell r="U226" t="str">
            <v>FIN</v>
          </cell>
          <cell r="V226" t="str">
            <v>FIB18</v>
          </cell>
          <cell r="X226">
            <v>5.6899999999999999E-2</v>
          </cell>
          <cell r="Y226">
            <v>6.7299999999999999E-2</v>
          </cell>
          <cell r="Z226">
            <v>5.6899999999999999E-2</v>
          </cell>
          <cell r="AA226">
            <v>6.7299999999999999E-2</v>
          </cell>
          <cell r="AB226">
            <v>5.6899999999999999E-2</v>
          </cell>
          <cell r="AC226">
            <v>6.7299999999999999E-2</v>
          </cell>
          <cell r="AD226">
            <v>5.6899999999999999E-2</v>
          </cell>
          <cell r="AE226">
            <v>6.7299999999999999E-2</v>
          </cell>
          <cell r="AG226" t="str">
            <v/>
          </cell>
          <cell r="AH226" t="str">
            <v/>
          </cell>
          <cell r="AJ226">
            <v>5.6899999999999999E-2</v>
          </cell>
          <cell r="AK226">
            <v>6.7299999999999999E-2</v>
          </cell>
          <cell r="AL226">
            <v>5.6899999999999999E-2</v>
          </cell>
          <cell r="AM226">
            <v>6.7299999999999999E-2</v>
          </cell>
          <cell r="AN226">
            <v>5.6899999999999999E-2</v>
          </cell>
          <cell r="AO226">
            <v>6.7299999999999999E-2</v>
          </cell>
          <cell r="AP226">
            <v>5.6899999999999999E-2</v>
          </cell>
          <cell r="AQ226">
            <v>6.7299999999999999E-2</v>
          </cell>
          <cell r="AS226" t="str">
            <v/>
          </cell>
          <cell r="AT226" t="str">
            <v/>
          </cell>
          <cell r="AV226" t="b">
            <v>0</v>
          </cell>
          <cell r="AW226" t="str">
            <v>minute &amp; call</v>
          </cell>
        </row>
        <row r="227">
          <cell r="S227" t="str">
            <v>DOM FIN FIB19</v>
          </cell>
          <cell r="T227" t="str">
            <v>DOM</v>
          </cell>
          <cell r="U227" t="str">
            <v>FIN</v>
          </cell>
          <cell r="V227" t="str">
            <v>FIB19</v>
          </cell>
          <cell r="X227">
            <v>0.12139999999999999</v>
          </cell>
          <cell r="Y227">
            <v>0</v>
          </cell>
          <cell r="Z227">
            <v>0.12139999999999999</v>
          </cell>
          <cell r="AA227">
            <v>0</v>
          </cell>
          <cell r="AB227">
            <v>0.12139999999999999</v>
          </cell>
          <cell r="AC227">
            <v>0</v>
          </cell>
          <cell r="AD227">
            <v>0.12139999999999999</v>
          </cell>
          <cell r="AE227">
            <v>0</v>
          </cell>
          <cell r="AG227" t="str">
            <v/>
          </cell>
          <cell r="AH227" t="str">
            <v/>
          </cell>
          <cell r="AJ227">
            <v>0.12139999999999999</v>
          </cell>
          <cell r="AK227">
            <v>0</v>
          </cell>
          <cell r="AL227">
            <v>0.12139999999999999</v>
          </cell>
          <cell r="AM227">
            <v>0</v>
          </cell>
          <cell r="AN227">
            <v>0.12139999999999999</v>
          </cell>
          <cell r="AO227">
            <v>0</v>
          </cell>
          <cell r="AP227">
            <v>0.12139999999999999</v>
          </cell>
          <cell r="AQ227">
            <v>0</v>
          </cell>
          <cell r="AS227" t="str">
            <v/>
          </cell>
          <cell r="AT227" t="str">
            <v/>
          </cell>
          <cell r="AV227" t="b">
            <v>0</v>
          </cell>
          <cell r="AW227" t="str">
            <v>minute</v>
          </cell>
        </row>
        <row r="228">
          <cell r="S228" t="str">
            <v>DOM FIN FIB20</v>
          </cell>
          <cell r="T228" t="str">
            <v>DOM</v>
          </cell>
          <cell r="U228" t="str">
            <v>FIN</v>
          </cell>
          <cell r="V228" t="str">
            <v>FIB20</v>
          </cell>
          <cell r="X228">
            <v>0.1216</v>
          </cell>
          <cell r="Y228">
            <v>0</v>
          </cell>
          <cell r="Z228">
            <v>0.1216</v>
          </cell>
          <cell r="AA228">
            <v>0</v>
          </cell>
          <cell r="AB228">
            <v>0.1216</v>
          </cell>
          <cell r="AC228">
            <v>0</v>
          </cell>
          <cell r="AD228">
            <v>0.1216</v>
          </cell>
          <cell r="AE228">
            <v>0</v>
          </cell>
          <cell r="AG228" t="str">
            <v/>
          </cell>
          <cell r="AH228" t="str">
            <v/>
          </cell>
          <cell r="AJ228">
            <v>0.1216</v>
          </cell>
          <cell r="AK228">
            <v>0</v>
          </cell>
          <cell r="AL228">
            <v>0.1216</v>
          </cell>
          <cell r="AM228">
            <v>0</v>
          </cell>
          <cell r="AN228">
            <v>0.1216</v>
          </cell>
          <cell r="AO228">
            <v>0</v>
          </cell>
          <cell r="AP228">
            <v>0.1216</v>
          </cell>
          <cell r="AQ228">
            <v>0</v>
          </cell>
          <cell r="AS228" t="str">
            <v/>
          </cell>
          <cell r="AT228" t="str">
            <v/>
          </cell>
          <cell r="AV228" t="b">
            <v>0</v>
          </cell>
          <cell r="AW228" t="str">
            <v>minute</v>
          </cell>
        </row>
        <row r="229">
          <cell r="S229" t="str">
            <v>DOM FIN FIB21</v>
          </cell>
          <cell r="T229" t="str">
            <v>DOM</v>
          </cell>
          <cell r="U229" t="str">
            <v>FIN</v>
          </cell>
          <cell r="V229" t="str">
            <v>FIB21</v>
          </cell>
          <cell r="X229">
            <v>7.1199999999999999E-2</v>
          </cell>
          <cell r="Y229">
            <v>6.7299999999999999E-2</v>
          </cell>
          <cell r="Z229">
            <v>7.1199999999999999E-2</v>
          </cell>
          <cell r="AA229">
            <v>6.7299999999999999E-2</v>
          </cell>
          <cell r="AB229">
            <v>7.1199999999999999E-2</v>
          </cell>
          <cell r="AC229">
            <v>6.7299999999999999E-2</v>
          </cell>
          <cell r="AD229">
            <v>7.1199999999999999E-2</v>
          </cell>
          <cell r="AE229">
            <v>6.7299999999999999E-2</v>
          </cell>
          <cell r="AG229" t="str">
            <v/>
          </cell>
          <cell r="AH229" t="str">
            <v/>
          </cell>
          <cell r="AJ229">
            <v>7.1199999999999999E-2</v>
          </cell>
          <cell r="AK229">
            <v>6.7299999999999999E-2</v>
          </cell>
          <cell r="AL229">
            <v>7.1199999999999999E-2</v>
          </cell>
          <cell r="AM229">
            <v>6.7299999999999999E-2</v>
          </cell>
          <cell r="AN229">
            <v>7.1199999999999999E-2</v>
          </cell>
          <cell r="AO229">
            <v>6.7299999999999999E-2</v>
          </cell>
          <cell r="AP229">
            <v>7.1199999999999999E-2</v>
          </cell>
          <cell r="AQ229">
            <v>6.7299999999999999E-2</v>
          </cell>
          <cell r="AS229" t="str">
            <v/>
          </cell>
          <cell r="AT229" t="str">
            <v/>
          </cell>
          <cell r="AV229" t="b">
            <v>0</v>
          </cell>
          <cell r="AW229" t="str">
            <v>minute &amp; call</v>
          </cell>
        </row>
        <row r="230">
          <cell r="S230" t="str">
            <v>DOM FIN FIB22</v>
          </cell>
          <cell r="T230" t="str">
            <v>DOM</v>
          </cell>
          <cell r="U230" t="str">
            <v>FIN</v>
          </cell>
          <cell r="V230" t="str">
            <v>FIB22</v>
          </cell>
          <cell r="X230">
            <v>0.1401</v>
          </cell>
          <cell r="Y230">
            <v>6.7299999999999999E-2</v>
          </cell>
          <cell r="Z230">
            <v>0.1401</v>
          </cell>
          <cell r="AA230">
            <v>6.7299999999999999E-2</v>
          </cell>
          <cell r="AB230">
            <v>0.1401</v>
          </cell>
          <cell r="AC230">
            <v>6.7299999999999999E-2</v>
          </cell>
          <cell r="AD230">
            <v>0.1401</v>
          </cell>
          <cell r="AE230">
            <v>6.7299999999999999E-2</v>
          </cell>
          <cell r="AG230" t="str">
            <v/>
          </cell>
          <cell r="AH230" t="str">
            <v/>
          </cell>
          <cell r="AJ230">
            <v>0.1401</v>
          </cell>
          <cell r="AK230">
            <v>6.7299999999999999E-2</v>
          </cell>
          <cell r="AL230">
            <v>0.1401</v>
          </cell>
          <cell r="AM230">
            <v>6.7299999999999999E-2</v>
          </cell>
          <cell r="AN230">
            <v>0.1401</v>
          </cell>
          <cell r="AO230">
            <v>6.7299999999999999E-2</v>
          </cell>
          <cell r="AP230">
            <v>0.1401</v>
          </cell>
          <cell r="AQ230">
            <v>6.7299999999999999E-2</v>
          </cell>
          <cell r="AS230" t="str">
            <v/>
          </cell>
          <cell r="AT230" t="str">
            <v/>
          </cell>
          <cell r="AV230" t="b">
            <v>0</v>
          </cell>
          <cell r="AW230" t="str">
            <v>minute &amp; call</v>
          </cell>
        </row>
        <row r="231">
          <cell r="S231" t="str">
            <v>DOM FIN FIB23</v>
          </cell>
          <cell r="T231" t="str">
            <v>DOM</v>
          </cell>
          <cell r="U231" t="str">
            <v>FIN</v>
          </cell>
          <cell r="V231" t="str">
            <v>FIB23</v>
          </cell>
          <cell r="X231">
            <v>0.08</v>
          </cell>
          <cell r="Y231">
            <v>6.7299999999999999E-2</v>
          </cell>
          <cell r="Z231">
            <v>0.08</v>
          </cell>
          <cell r="AA231">
            <v>6.7299999999999999E-2</v>
          </cell>
          <cell r="AB231">
            <v>0.08</v>
          </cell>
          <cell r="AC231">
            <v>6.7299999999999999E-2</v>
          </cell>
          <cell r="AD231">
            <v>0.08</v>
          </cell>
          <cell r="AE231">
            <v>6.7299999999999999E-2</v>
          </cell>
          <cell r="AG231" t="str">
            <v/>
          </cell>
          <cell r="AH231" t="str">
            <v/>
          </cell>
          <cell r="AJ231">
            <v>0.08</v>
          </cell>
          <cell r="AK231">
            <v>6.7299999999999999E-2</v>
          </cell>
          <cell r="AL231">
            <v>0.08</v>
          </cell>
          <cell r="AM231">
            <v>6.7299999999999999E-2</v>
          </cell>
          <cell r="AN231">
            <v>0.08</v>
          </cell>
          <cell r="AO231">
            <v>6.7299999999999999E-2</v>
          </cell>
          <cell r="AP231">
            <v>0.08</v>
          </cell>
          <cell r="AQ231">
            <v>6.7299999999999999E-2</v>
          </cell>
          <cell r="AS231" t="str">
            <v/>
          </cell>
          <cell r="AT231" t="str">
            <v/>
          </cell>
          <cell r="AV231" t="b">
            <v>0</v>
          </cell>
          <cell r="AW231" t="str">
            <v>minute &amp; call</v>
          </cell>
        </row>
        <row r="232">
          <cell r="S232" t="str">
            <v>DOM FIN FIB24</v>
          </cell>
          <cell r="T232" t="str">
            <v>DOM</v>
          </cell>
          <cell r="U232" t="str">
            <v>FIN</v>
          </cell>
          <cell r="V232" t="str">
            <v>FIB24</v>
          </cell>
          <cell r="X232">
            <v>9.7500000000000003E-2</v>
          </cell>
          <cell r="Y232">
            <v>6.7299999999999999E-2</v>
          </cell>
          <cell r="Z232">
            <v>9.7500000000000003E-2</v>
          </cell>
          <cell r="AA232">
            <v>6.7299999999999999E-2</v>
          </cell>
          <cell r="AB232">
            <v>9.7500000000000003E-2</v>
          </cell>
          <cell r="AC232">
            <v>6.7299999999999999E-2</v>
          </cell>
          <cell r="AD232">
            <v>9.7500000000000003E-2</v>
          </cell>
          <cell r="AE232">
            <v>6.7299999999999999E-2</v>
          </cell>
          <cell r="AG232" t="str">
            <v/>
          </cell>
          <cell r="AH232" t="str">
            <v/>
          </cell>
          <cell r="AJ232">
            <v>9.7500000000000003E-2</v>
          </cell>
          <cell r="AK232">
            <v>6.7299999999999999E-2</v>
          </cell>
          <cell r="AL232">
            <v>9.7500000000000003E-2</v>
          </cell>
          <cell r="AM232">
            <v>6.7299999999999999E-2</v>
          </cell>
          <cell r="AN232">
            <v>9.7500000000000003E-2</v>
          </cell>
          <cell r="AO232">
            <v>6.7299999999999999E-2</v>
          </cell>
          <cell r="AP232">
            <v>9.7500000000000003E-2</v>
          </cell>
          <cell r="AQ232">
            <v>6.7299999999999999E-2</v>
          </cell>
          <cell r="AS232" t="str">
            <v/>
          </cell>
          <cell r="AT232" t="str">
            <v/>
          </cell>
          <cell r="AV232" t="b">
            <v>0</v>
          </cell>
          <cell r="AW232" t="str">
            <v>minute &amp; call</v>
          </cell>
        </row>
        <row r="233">
          <cell r="S233" t="str">
            <v>DOM FIN FIB25</v>
          </cell>
          <cell r="T233" t="str">
            <v>DOM</v>
          </cell>
          <cell r="U233" t="str">
            <v>FIN</v>
          </cell>
          <cell r="V233" t="str">
            <v>FIB25</v>
          </cell>
          <cell r="X233">
            <v>9.7600000000000006E-2</v>
          </cell>
          <cell r="Y233">
            <v>6.7299999999999999E-2</v>
          </cell>
          <cell r="Z233">
            <v>9.7600000000000006E-2</v>
          </cell>
          <cell r="AA233">
            <v>6.7299999999999999E-2</v>
          </cell>
          <cell r="AB233">
            <v>9.7600000000000006E-2</v>
          </cell>
          <cell r="AC233">
            <v>6.7299999999999999E-2</v>
          </cell>
          <cell r="AD233">
            <v>9.7600000000000006E-2</v>
          </cell>
          <cell r="AE233">
            <v>6.7299999999999999E-2</v>
          </cell>
          <cell r="AG233" t="str">
            <v/>
          </cell>
          <cell r="AH233" t="str">
            <v/>
          </cell>
          <cell r="AJ233">
            <v>9.7600000000000006E-2</v>
          </cell>
          <cell r="AK233">
            <v>6.7299999999999999E-2</v>
          </cell>
          <cell r="AL233">
            <v>9.7600000000000006E-2</v>
          </cell>
          <cell r="AM233">
            <v>6.7299999999999999E-2</v>
          </cell>
          <cell r="AN233">
            <v>9.7600000000000006E-2</v>
          </cell>
          <cell r="AO233">
            <v>6.7299999999999999E-2</v>
          </cell>
          <cell r="AP233">
            <v>9.7600000000000006E-2</v>
          </cell>
          <cell r="AQ233">
            <v>6.7299999999999999E-2</v>
          </cell>
          <cell r="AS233" t="str">
            <v/>
          </cell>
          <cell r="AT233" t="str">
            <v/>
          </cell>
          <cell r="AV233" t="b">
            <v>0</v>
          </cell>
          <cell r="AW233" t="str">
            <v>minute &amp; call</v>
          </cell>
        </row>
        <row r="234">
          <cell r="S234" t="str">
            <v>DOM FIN FIB26</v>
          </cell>
          <cell r="T234" t="str">
            <v>DOM</v>
          </cell>
          <cell r="U234" t="str">
            <v>FIN</v>
          </cell>
          <cell r="V234" t="str">
            <v>FIB26</v>
          </cell>
          <cell r="X234">
            <v>0.16650000000000001</v>
          </cell>
          <cell r="Y234">
            <v>0</v>
          </cell>
          <cell r="Z234">
            <v>0.16650000000000001</v>
          </cell>
          <cell r="AA234">
            <v>0</v>
          </cell>
          <cell r="AB234">
            <v>0.16650000000000001</v>
          </cell>
          <cell r="AC234">
            <v>0</v>
          </cell>
          <cell r="AD234">
            <v>0.16650000000000001</v>
          </cell>
          <cell r="AE234">
            <v>0</v>
          </cell>
          <cell r="AG234" t="str">
            <v/>
          </cell>
          <cell r="AH234" t="str">
            <v/>
          </cell>
          <cell r="AJ234">
            <v>0.16650000000000001</v>
          </cell>
          <cell r="AK234">
            <v>0</v>
          </cell>
          <cell r="AL234">
            <v>0.16650000000000001</v>
          </cell>
          <cell r="AM234">
            <v>0</v>
          </cell>
          <cell r="AN234">
            <v>0.16650000000000001</v>
          </cell>
          <cell r="AO234">
            <v>0</v>
          </cell>
          <cell r="AP234">
            <v>0.16650000000000001</v>
          </cell>
          <cell r="AQ234">
            <v>0</v>
          </cell>
          <cell r="AS234" t="str">
            <v/>
          </cell>
          <cell r="AT234" t="str">
            <v/>
          </cell>
          <cell r="AV234" t="b">
            <v>0</v>
          </cell>
          <cell r="AW234" t="str">
            <v>minute</v>
          </cell>
        </row>
        <row r="235">
          <cell r="S235" t="str">
            <v>DOM FIN FIB27</v>
          </cell>
          <cell r="T235" t="str">
            <v>DOM</v>
          </cell>
          <cell r="U235" t="str">
            <v>FIN</v>
          </cell>
          <cell r="V235" t="str">
            <v>FIB27</v>
          </cell>
          <cell r="X235">
            <v>0.12</v>
          </cell>
          <cell r="Y235">
            <v>6.7299999999999999E-2</v>
          </cell>
          <cell r="Z235">
            <v>0.12</v>
          </cell>
          <cell r="AA235">
            <v>6.7299999999999999E-2</v>
          </cell>
          <cell r="AB235">
            <v>0.12</v>
          </cell>
          <cell r="AC235">
            <v>6.7299999999999999E-2</v>
          </cell>
          <cell r="AD235">
            <v>0.12</v>
          </cell>
          <cell r="AE235">
            <v>6.7299999999999999E-2</v>
          </cell>
          <cell r="AG235" t="str">
            <v/>
          </cell>
          <cell r="AH235" t="str">
            <v/>
          </cell>
          <cell r="AJ235">
            <v>0.12</v>
          </cell>
          <cell r="AK235">
            <v>6.7299999999999999E-2</v>
          </cell>
          <cell r="AL235">
            <v>0.12</v>
          </cell>
          <cell r="AM235">
            <v>6.7299999999999999E-2</v>
          </cell>
          <cell r="AN235">
            <v>0.12</v>
          </cell>
          <cell r="AO235">
            <v>6.7299999999999999E-2</v>
          </cell>
          <cell r="AP235">
            <v>0.12</v>
          </cell>
          <cell r="AQ235">
            <v>6.7299999999999999E-2</v>
          </cell>
          <cell r="AS235" t="str">
            <v/>
          </cell>
          <cell r="AT235" t="str">
            <v/>
          </cell>
          <cell r="AV235" t="b">
            <v>0</v>
          </cell>
          <cell r="AW235" t="str">
            <v>minute &amp; call</v>
          </cell>
        </row>
        <row r="236">
          <cell r="S236" t="str">
            <v>DOM FIN FIB28</v>
          </cell>
          <cell r="T236" t="str">
            <v>DOM</v>
          </cell>
          <cell r="U236" t="str">
            <v>FIN</v>
          </cell>
          <cell r="V236" t="str">
            <v>FIB28</v>
          </cell>
          <cell r="X236">
            <v>0.18379999999999999</v>
          </cell>
          <cell r="Y236">
            <v>0</v>
          </cell>
          <cell r="Z236">
            <v>0.18379999999999999</v>
          </cell>
          <cell r="AA236">
            <v>0</v>
          </cell>
          <cell r="AB236">
            <v>0.18379999999999999</v>
          </cell>
          <cell r="AC236">
            <v>0</v>
          </cell>
          <cell r="AD236">
            <v>0.18379999999999999</v>
          </cell>
          <cell r="AE236">
            <v>0</v>
          </cell>
          <cell r="AG236" t="str">
            <v/>
          </cell>
          <cell r="AH236" t="str">
            <v/>
          </cell>
          <cell r="AJ236">
            <v>0.18379999999999999</v>
          </cell>
          <cell r="AK236">
            <v>0</v>
          </cell>
          <cell r="AL236">
            <v>0.18379999999999999</v>
          </cell>
          <cell r="AM236">
            <v>0</v>
          </cell>
          <cell r="AN236">
            <v>0.18379999999999999</v>
          </cell>
          <cell r="AO236">
            <v>0</v>
          </cell>
          <cell r="AP236">
            <v>0.18379999999999999</v>
          </cell>
          <cell r="AQ236">
            <v>0</v>
          </cell>
          <cell r="AS236" t="str">
            <v/>
          </cell>
          <cell r="AT236" t="str">
            <v/>
          </cell>
          <cell r="AV236" t="b">
            <v>0</v>
          </cell>
          <cell r="AW236" t="str">
            <v>minute</v>
          </cell>
        </row>
        <row r="237">
          <cell r="S237" t="str">
            <v>DOM FIN FIB29</v>
          </cell>
          <cell r="T237" t="str">
            <v>DOM</v>
          </cell>
          <cell r="U237" t="str">
            <v>FIN</v>
          </cell>
          <cell r="V237" t="str">
            <v>FIB29</v>
          </cell>
          <cell r="X237">
            <v>0.18890000000000001</v>
          </cell>
          <cell r="Y237">
            <v>6.7299999999999999E-2</v>
          </cell>
          <cell r="Z237">
            <v>0.18890000000000001</v>
          </cell>
          <cell r="AA237">
            <v>6.7299999999999999E-2</v>
          </cell>
          <cell r="AB237">
            <v>0.18890000000000001</v>
          </cell>
          <cell r="AC237">
            <v>6.7299999999999999E-2</v>
          </cell>
          <cell r="AD237">
            <v>0.18890000000000001</v>
          </cell>
          <cell r="AE237">
            <v>6.7299999999999999E-2</v>
          </cell>
          <cell r="AG237" t="str">
            <v/>
          </cell>
          <cell r="AH237" t="str">
            <v/>
          </cell>
          <cell r="AJ237">
            <v>0.18890000000000001</v>
          </cell>
          <cell r="AK237">
            <v>6.7299999999999999E-2</v>
          </cell>
          <cell r="AL237">
            <v>0.18890000000000001</v>
          </cell>
          <cell r="AM237">
            <v>6.7299999999999999E-2</v>
          </cell>
          <cell r="AN237">
            <v>0.18890000000000001</v>
          </cell>
          <cell r="AO237">
            <v>6.7299999999999999E-2</v>
          </cell>
          <cell r="AP237">
            <v>0.18890000000000001</v>
          </cell>
          <cell r="AQ237">
            <v>6.7299999999999999E-2</v>
          </cell>
          <cell r="AS237" t="str">
            <v/>
          </cell>
          <cell r="AT237" t="str">
            <v/>
          </cell>
          <cell r="AV237" t="b">
            <v>0</v>
          </cell>
          <cell r="AW237" t="str">
            <v>minute &amp; call</v>
          </cell>
        </row>
        <row r="238">
          <cell r="S238" t="str">
            <v>DOM FIN FIDIR</v>
          </cell>
          <cell r="T238" t="str">
            <v>DOM</v>
          </cell>
          <cell r="U238" t="str">
            <v>FIN</v>
          </cell>
          <cell r="V238" t="str">
            <v>FIDIR</v>
          </cell>
          <cell r="X238">
            <v>0.65</v>
          </cell>
          <cell r="Y238">
            <v>1.3</v>
          </cell>
          <cell r="Z238">
            <v>0.65</v>
          </cell>
          <cell r="AA238">
            <v>1.3</v>
          </cell>
          <cell r="AB238">
            <v>0.65</v>
          </cell>
          <cell r="AC238">
            <v>1.3</v>
          </cell>
          <cell r="AD238">
            <v>0.65</v>
          </cell>
          <cell r="AE238">
            <v>1.3</v>
          </cell>
          <cell r="AG238" t="str">
            <v/>
          </cell>
          <cell r="AH238" t="str">
            <v/>
          </cell>
          <cell r="AJ238">
            <v>0.65</v>
          </cell>
          <cell r="AK238">
            <v>1.3</v>
          </cell>
          <cell r="AL238">
            <v>0.65</v>
          </cell>
          <cell r="AM238">
            <v>1.3</v>
          </cell>
          <cell r="AN238">
            <v>0.65</v>
          </cell>
          <cell r="AO238">
            <v>1.3</v>
          </cell>
          <cell r="AP238">
            <v>0.65</v>
          </cell>
          <cell r="AQ238">
            <v>1.3</v>
          </cell>
          <cell r="AS238" t="str">
            <v/>
          </cell>
          <cell r="AT238" t="str">
            <v/>
          </cell>
          <cell r="AV238" t="b">
            <v>0</v>
          </cell>
          <cell r="AW238" t="str">
            <v>minute &amp; call</v>
          </cell>
        </row>
        <row r="239">
          <cell r="S239" t="str">
            <v>DOM FIN FISOS</v>
          </cell>
          <cell r="T239" t="str">
            <v>DOM</v>
          </cell>
          <cell r="U239" t="str">
            <v>FIN</v>
          </cell>
          <cell r="V239" t="str">
            <v>FISOS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G239" t="str">
            <v/>
          </cell>
          <cell r="AH239" t="str">
            <v/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S239" t="str">
            <v/>
          </cell>
          <cell r="AT239" t="str">
            <v/>
          </cell>
          <cell r="AV239" t="b">
            <v>0</v>
          </cell>
          <cell r="AW239" t="str">
            <v>minute</v>
          </cell>
        </row>
        <row r="240">
          <cell r="S240" t="str">
            <v>DOM FIN FITFR</v>
          </cell>
          <cell r="T240" t="str">
            <v>DOM</v>
          </cell>
          <cell r="U240" t="str">
            <v>FIN</v>
          </cell>
          <cell r="V240" t="str">
            <v>FITFR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G240" t="str">
            <v/>
          </cell>
          <cell r="AH240" t="str">
            <v/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S240" t="str">
            <v/>
          </cell>
          <cell r="AT240" t="str">
            <v/>
          </cell>
          <cell r="AV240" t="b">
            <v>0</v>
          </cell>
          <cell r="AW240" t="str">
            <v>minute</v>
          </cell>
        </row>
        <row r="241">
          <cell r="S241" t="str">
            <v>DOM FIN FITS1</v>
          </cell>
          <cell r="T241" t="str">
            <v>DOM</v>
          </cell>
          <cell r="U241" t="str">
            <v>FIN</v>
          </cell>
          <cell r="V241" t="str">
            <v>FITS1</v>
          </cell>
          <cell r="X241">
            <v>0.65</v>
          </cell>
          <cell r="Y241">
            <v>1.3</v>
          </cell>
          <cell r="Z241">
            <v>0.65</v>
          </cell>
          <cell r="AA241">
            <v>1.3</v>
          </cell>
          <cell r="AB241">
            <v>0.65</v>
          </cell>
          <cell r="AC241">
            <v>1.3</v>
          </cell>
          <cell r="AD241">
            <v>0.65</v>
          </cell>
          <cell r="AE241">
            <v>1.3</v>
          </cell>
          <cell r="AG241" t="str">
            <v/>
          </cell>
          <cell r="AH241" t="str">
            <v/>
          </cell>
          <cell r="AJ241">
            <v>0.65</v>
          </cell>
          <cell r="AK241">
            <v>1.3</v>
          </cell>
          <cell r="AL241">
            <v>0.65</v>
          </cell>
          <cell r="AM241">
            <v>1.3</v>
          </cell>
          <cell r="AN241">
            <v>0.65</v>
          </cell>
          <cell r="AO241">
            <v>1.3</v>
          </cell>
          <cell r="AP241">
            <v>0.65</v>
          </cell>
          <cell r="AQ241">
            <v>1.3</v>
          </cell>
          <cell r="AS241" t="str">
            <v/>
          </cell>
          <cell r="AT241" t="str">
            <v/>
          </cell>
          <cell r="AV241" t="b">
            <v>0</v>
          </cell>
          <cell r="AW241" t="str">
            <v>minute &amp; call</v>
          </cell>
        </row>
        <row r="242">
          <cell r="S242" t="str">
            <v>DOM FIN FITS2</v>
          </cell>
          <cell r="T242" t="str">
            <v>DOM</v>
          </cell>
          <cell r="U242" t="str">
            <v>FIN</v>
          </cell>
          <cell r="V242" t="str">
            <v>FITS2</v>
          </cell>
          <cell r="X242">
            <v>0.65</v>
          </cell>
          <cell r="Y242">
            <v>1.3</v>
          </cell>
          <cell r="Z242">
            <v>0.65</v>
          </cell>
          <cell r="AA242">
            <v>1.3</v>
          </cell>
          <cell r="AB242">
            <v>0.65</v>
          </cell>
          <cell r="AC242">
            <v>1.3</v>
          </cell>
          <cell r="AD242">
            <v>0.65</v>
          </cell>
          <cell r="AE242">
            <v>1.3</v>
          </cell>
          <cell r="AG242" t="str">
            <v/>
          </cell>
          <cell r="AH242" t="str">
            <v/>
          </cell>
          <cell r="AJ242">
            <v>0.65</v>
          </cell>
          <cell r="AK242">
            <v>1.3</v>
          </cell>
          <cell r="AL242">
            <v>0.65</v>
          </cell>
          <cell r="AM242">
            <v>1.3</v>
          </cell>
          <cell r="AN242">
            <v>0.65</v>
          </cell>
          <cell r="AO242">
            <v>1.3</v>
          </cell>
          <cell r="AP242">
            <v>0.65</v>
          </cell>
          <cell r="AQ242">
            <v>1.3</v>
          </cell>
          <cell r="AS242" t="str">
            <v/>
          </cell>
          <cell r="AT242" t="str">
            <v/>
          </cell>
          <cell r="AV242" t="b">
            <v>0</v>
          </cell>
          <cell r="AW242" t="str">
            <v>minute &amp; call</v>
          </cell>
        </row>
        <row r="243">
          <cell r="S243" t="str">
            <v>DOM FRA OFPOP</v>
          </cell>
          <cell r="T243" t="str">
            <v>DOM</v>
          </cell>
          <cell r="U243" t="str">
            <v>FRA</v>
          </cell>
          <cell r="V243" t="str">
            <v>OFPOP</v>
          </cell>
          <cell r="X243">
            <v>1.2200000000000001E-2</v>
          </cell>
          <cell r="Y243">
            <v>0</v>
          </cell>
          <cell r="Z243">
            <v>1.0999999999999999E-2</v>
          </cell>
          <cell r="AA243">
            <v>0</v>
          </cell>
          <cell r="AB243">
            <v>1.04E-2</v>
          </cell>
          <cell r="AC243">
            <v>0</v>
          </cell>
          <cell r="AD243">
            <v>9.7999999999999997E-3</v>
          </cell>
          <cell r="AE243">
            <v>0</v>
          </cell>
          <cell r="AG243" t="str">
            <v/>
          </cell>
          <cell r="AH243" t="str">
            <v/>
          </cell>
          <cell r="AJ243">
            <v>1.2200000000000001E-2</v>
          </cell>
          <cell r="AK243">
            <v>0</v>
          </cell>
          <cell r="AL243">
            <v>1.0999999999999999E-2</v>
          </cell>
          <cell r="AM243">
            <v>0</v>
          </cell>
          <cell r="AN243">
            <v>1.04E-2</v>
          </cell>
          <cell r="AO243">
            <v>0</v>
          </cell>
          <cell r="AP243">
            <v>9.7999999999999997E-3</v>
          </cell>
          <cell r="AQ243">
            <v>0</v>
          </cell>
          <cell r="AS243" t="str">
            <v/>
          </cell>
          <cell r="AT243" t="str">
            <v/>
          </cell>
          <cell r="AV243" t="b">
            <v>1</v>
          </cell>
          <cell r="AW243" t="str">
            <v>minute</v>
          </cell>
        </row>
        <row r="244">
          <cell r="S244" t="str">
            <v>DOM FRA MOBIL</v>
          </cell>
          <cell r="T244" t="str">
            <v>DOM</v>
          </cell>
          <cell r="U244" t="str">
            <v>FRA</v>
          </cell>
          <cell r="V244" t="str">
            <v>MOBIL</v>
          </cell>
          <cell r="X244">
            <v>3.7699999999999997E-2</v>
          </cell>
          <cell r="Y244">
            <v>0</v>
          </cell>
          <cell r="Z244">
            <v>3.39E-2</v>
          </cell>
          <cell r="AA244">
            <v>0</v>
          </cell>
          <cell r="AB244">
            <v>3.2000000000000001E-2</v>
          </cell>
          <cell r="AC244">
            <v>0</v>
          </cell>
          <cell r="AD244">
            <v>3.0099999999999998E-2</v>
          </cell>
          <cell r="AE244">
            <v>0</v>
          </cell>
          <cell r="AG244" t="str">
            <v/>
          </cell>
          <cell r="AH244" t="str">
            <v/>
          </cell>
          <cell r="AJ244">
            <v>3.7699999999999997E-2</v>
          </cell>
          <cell r="AK244">
            <v>0</v>
          </cell>
          <cell r="AL244">
            <v>3.39E-2</v>
          </cell>
          <cell r="AM244">
            <v>0</v>
          </cell>
          <cell r="AN244">
            <v>3.2000000000000001E-2</v>
          </cell>
          <cell r="AO244">
            <v>0</v>
          </cell>
          <cell r="AP244">
            <v>3.0099999999999998E-2</v>
          </cell>
          <cell r="AQ244">
            <v>0</v>
          </cell>
          <cell r="AS244" t="str">
            <v/>
          </cell>
          <cell r="AT244" t="str">
            <v/>
          </cell>
          <cell r="AV244" t="b">
            <v>1</v>
          </cell>
          <cell r="AW244" t="str">
            <v>minute</v>
          </cell>
        </row>
        <row r="245">
          <cell r="S245" t="str">
            <v>DOM FRA MOBBO</v>
          </cell>
          <cell r="T245" t="str">
            <v>DOM</v>
          </cell>
          <cell r="U245" t="str">
            <v>FRA</v>
          </cell>
          <cell r="V245" t="str">
            <v>MOBBO</v>
          </cell>
          <cell r="X245">
            <v>3.7699999999999997E-2</v>
          </cell>
          <cell r="Y245">
            <v>0</v>
          </cell>
          <cell r="Z245">
            <v>3.39E-2</v>
          </cell>
          <cell r="AA245">
            <v>0</v>
          </cell>
          <cell r="AB245">
            <v>3.2000000000000001E-2</v>
          </cell>
          <cell r="AC245">
            <v>0</v>
          </cell>
          <cell r="AD245">
            <v>3.0099999999999998E-2</v>
          </cell>
          <cell r="AE245">
            <v>0</v>
          </cell>
          <cell r="AG245" t="str">
            <v/>
          </cell>
          <cell r="AH245" t="str">
            <v/>
          </cell>
          <cell r="AJ245">
            <v>3.7699999999999997E-2</v>
          </cell>
          <cell r="AK245">
            <v>0</v>
          </cell>
          <cell r="AL245">
            <v>3.39E-2</v>
          </cell>
          <cell r="AM245">
            <v>0</v>
          </cell>
          <cell r="AN245">
            <v>3.2000000000000001E-2</v>
          </cell>
          <cell r="AO245">
            <v>0</v>
          </cell>
          <cell r="AP245">
            <v>3.0099999999999998E-2</v>
          </cell>
          <cell r="AQ245">
            <v>0</v>
          </cell>
          <cell r="AS245" t="str">
            <v/>
          </cell>
          <cell r="AT245" t="str">
            <v/>
          </cell>
          <cell r="AV245" t="b">
            <v>1</v>
          </cell>
          <cell r="AW245" t="str">
            <v>minute</v>
          </cell>
        </row>
        <row r="246">
          <cell r="S246" t="str">
            <v>DOM FRA FRMGL</v>
          </cell>
          <cell r="T246" t="str">
            <v>DOM</v>
          </cell>
          <cell r="U246" t="str">
            <v>FRA</v>
          </cell>
          <cell r="V246" t="str">
            <v>FRMGL</v>
          </cell>
          <cell r="X246">
            <v>0.4</v>
          </cell>
          <cell r="Y246">
            <v>0</v>
          </cell>
          <cell r="Z246">
            <v>0.35</v>
          </cell>
          <cell r="AA246">
            <v>0</v>
          </cell>
          <cell r="AB246">
            <v>0.3</v>
          </cell>
          <cell r="AC246">
            <v>0</v>
          </cell>
          <cell r="AD246">
            <v>0.25</v>
          </cell>
          <cell r="AE246">
            <v>0</v>
          </cell>
          <cell r="AG246" t="str">
            <v/>
          </cell>
          <cell r="AH246" t="str">
            <v/>
          </cell>
          <cell r="AJ246">
            <v>0.4</v>
          </cell>
          <cell r="AK246">
            <v>0</v>
          </cell>
          <cell r="AL246">
            <v>0.35</v>
          </cell>
          <cell r="AM246">
            <v>0</v>
          </cell>
          <cell r="AN246">
            <v>0.3</v>
          </cell>
          <cell r="AO246">
            <v>0</v>
          </cell>
          <cell r="AP246">
            <v>0.25</v>
          </cell>
          <cell r="AQ246">
            <v>0</v>
          </cell>
          <cell r="AS246" t="str">
            <v/>
          </cell>
          <cell r="AT246" t="str">
            <v/>
          </cell>
          <cell r="AV246" t="b">
            <v>1</v>
          </cell>
          <cell r="AW246" t="str">
            <v>minute</v>
          </cell>
        </row>
        <row r="247">
          <cell r="S247" t="str">
            <v>DOM FRA MOBI1</v>
          </cell>
          <cell r="T247" t="str">
            <v>DOM</v>
          </cell>
          <cell r="U247" t="str">
            <v>FRA</v>
          </cell>
          <cell r="V247" t="str">
            <v>MOBI1</v>
          </cell>
          <cell r="X247">
            <v>3.7699999999999997E-2</v>
          </cell>
          <cell r="Y247">
            <v>0</v>
          </cell>
          <cell r="Z247">
            <v>3.39E-2</v>
          </cell>
          <cell r="AA247">
            <v>0</v>
          </cell>
          <cell r="AB247">
            <v>3.2000000000000001E-2</v>
          </cell>
          <cell r="AC247">
            <v>0</v>
          </cell>
          <cell r="AD247">
            <v>3.0099999999999998E-2</v>
          </cell>
          <cell r="AE247">
            <v>0</v>
          </cell>
          <cell r="AG247" t="str">
            <v/>
          </cell>
          <cell r="AH247" t="str">
            <v/>
          </cell>
          <cell r="AJ247">
            <v>3.7699999999999997E-2</v>
          </cell>
          <cell r="AK247">
            <v>0</v>
          </cell>
          <cell r="AL247">
            <v>3.39E-2</v>
          </cell>
          <cell r="AM247">
            <v>0</v>
          </cell>
          <cell r="AN247">
            <v>3.2000000000000001E-2</v>
          </cell>
          <cell r="AO247">
            <v>0</v>
          </cell>
          <cell r="AP247">
            <v>3.0099999999999998E-2</v>
          </cell>
          <cell r="AQ247">
            <v>0</v>
          </cell>
          <cell r="AS247" t="str">
            <v/>
          </cell>
          <cell r="AT247" t="str">
            <v/>
          </cell>
          <cell r="AV247" t="b">
            <v>1</v>
          </cell>
          <cell r="AW247" t="str">
            <v>minute</v>
          </cell>
        </row>
        <row r="248">
          <cell r="S248" t="str">
            <v>DOM FRA MOBSF</v>
          </cell>
          <cell r="T248" t="str">
            <v>DOM</v>
          </cell>
          <cell r="U248" t="str">
            <v>FRA</v>
          </cell>
          <cell r="V248" t="str">
            <v>MOBSF</v>
          </cell>
          <cell r="X248">
            <v>3.7699999999999997E-2</v>
          </cell>
          <cell r="Y248">
            <v>0</v>
          </cell>
          <cell r="Z248">
            <v>3.39E-2</v>
          </cell>
          <cell r="AA248">
            <v>0</v>
          </cell>
          <cell r="AB248">
            <v>3.2000000000000001E-2</v>
          </cell>
          <cell r="AC248">
            <v>0</v>
          </cell>
          <cell r="AD248">
            <v>3.0099999999999998E-2</v>
          </cell>
          <cell r="AE248">
            <v>0</v>
          </cell>
          <cell r="AG248" t="str">
            <v/>
          </cell>
          <cell r="AH248" t="str">
            <v/>
          </cell>
          <cell r="AJ248">
            <v>3.7699999999999997E-2</v>
          </cell>
          <cell r="AK248">
            <v>0</v>
          </cell>
          <cell r="AL248">
            <v>3.39E-2</v>
          </cell>
          <cell r="AM248">
            <v>0</v>
          </cell>
          <cell r="AN248">
            <v>3.2000000000000001E-2</v>
          </cell>
          <cell r="AO248">
            <v>0</v>
          </cell>
          <cell r="AP248">
            <v>3.0099999999999998E-2</v>
          </cell>
          <cell r="AQ248">
            <v>0</v>
          </cell>
          <cell r="AS248" t="str">
            <v/>
          </cell>
          <cell r="AT248" t="str">
            <v/>
          </cell>
          <cell r="AV248" t="b">
            <v>1</v>
          </cell>
          <cell r="AW248" t="str">
            <v>minute</v>
          </cell>
        </row>
        <row r="249">
          <cell r="S249" t="str">
            <v>DOM GUF MOB</v>
          </cell>
          <cell r="T249" t="str">
            <v>DOM</v>
          </cell>
          <cell r="U249" t="str">
            <v>GUF</v>
          </cell>
          <cell r="V249" t="str">
            <v>MOB</v>
          </cell>
          <cell r="X249">
            <v>3.7699999999999997E-2</v>
          </cell>
          <cell r="Y249">
            <v>0</v>
          </cell>
          <cell r="Z249">
            <v>3.39E-2</v>
          </cell>
          <cell r="AA249">
            <v>0</v>
          </cell>
          <cell r="AB249">
            <v>3.2000000000000001E-2</v>
          </cell>
          <cell r="AC249">
            <v>0</v>
          </cell>
          <cell r="AD249">
            <v>3.0099999999999998E-2</v>
          </cell>
          <cell r="AE249">
            <v>0</v>
          </cell>
          <cell r="AG249" t="str">
            <v/>
          </cell>
          <cell r="AH249" t="str">
            <v/>
          </cell>
          <cell r="AJ249">
            <v>3.7699999999999997E-2</v>
          </cell>
          <cell r="AK249">
            <v>0</v>
          </cell>
          <cell r="AL249">
            <v>3.39E-2</v>
          </cell>
          <cell r="AM249">
            <v>0</v>
          </cell>
          <cell r="AN249">
            <v>3.2000000000000001E-2</v>
          </cell>
          <cell r="AO249">
            <v>0</v>
          </cell>
          <cell r="AP249">
            <v>3.0099999999999998E-2</v>
          </cell>
          <cell r="AQ249">
            <v>0</v>
          </cell>
          <cell r="AS249" t="str">
            <v/>
          </cell>
          <cell r="AT249" t="str">
            <v/>
          </cell>
          <cell r="AV249" t="b">
            <v>1</v>
          </cell>
          <cell r="AW249" t="str">
            <v>minute</v>
          </cell>
        </row>
        <row r="250">
          <cell r="S250" t="str">
            <v>DOM GUF FIX</v>
          </cell>
          <cell r="T250" t="str">
            <v>DOM</v>
          </cell>
          <cell r="U250" t="str">
            <v>GUF</v>
          </cell>
          <cell r="V250" t="str">
            <v>FIX</v>
          </cell>
          <cell r="X250">
            <v>1.7999999999999999E-2</v>
          </cell>
          <cell r="Y250">
            <v>0</v>
          </cell>
          <cell r="Z250">
            <v>1.6500000000000001E-2</v>
          </cell>
          <cell r="AA250">
            <v>0</v>
          </cell>
          <cell r="AB250">
            <v>1.4999999999999999E-2</v>
          </cell>
          <cell r="AC250">
            <v>0</v>
          </cell>
          <cell r="AD250">
            <v>1.4E-2</v>
          </cell>
          <cell r="AE250">
            <v>0</v>
          </cell>
          <cell r="AG250" t="str">
            <v/>
          </cell>
          <cell r="AH250" t="str">
            <v/>
          </cell>
          <cell r="AJ250">
            <v>1.7999999999999999E-2</v>
          </cell>
          <cell r="AK250">
            <v>0</v>
          </cell>
          <cell r="AL250">
            <v>1.6500000000000001E-2</v>
          </cell>
          <cell r="AM250">
            <v>0</v>
          </cell>
          <cell r="AN250">
            <v>1.4999999999999999E-2</v>
          </cell>
          <cell r="AO250">
            <v>0</v>
          </cell>
          <cell r="AP250">
            <v>1.4E-2</v>
          </cell>
          <cell r="AQ250">
            <v>0</v>
          </cell>
          <cell r="AS250" t="str">
            <v/>
          </cell>
          <cell r="AT250" t="str">
            <v/>
          </cell>
          <cell r="AV250" t="b">
            <v>1</v>
          </cell>
          <cell r="AW250" t="str">
            <v>minute</v>
          </cell>
        </row>
        <row r="251">
          <cell r="S251" t="str">
            <v>DOM GUF GU1FR</v>
          </cell>
          <cell r="T251" t="str">
            <v>DOM</v>
          </cell>
          <cell r="U251" t="str">
            <v>GUF</v>
          </cell>
          <cell r="V251" t="str">
            <v>GU1FR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G251" t="str">
            <v/>
          </cell>
          <cell r="AH251" t="str">
            <v/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S251" t="str">
            <v/>
          </cell>
          <cell r="AT251" t="str">
            <v/>
          </cell>
          <cell r="AV251" t="b">
            <v>0</v>
          </cell>
          <cell r="AW251" t="str">
            <v>minute</v>
          </cell>
        </row>
        <row r="252">
          <cell r="S252" t="str">
            <v>DOM GUF GU1TS</v>
          </cell>
          <cell r="T252" t="str">
            <v>DOM</v>
          </cell>
          <cell r="U252" t="str">
            <v>GUF</v>
          </cell>
          <cell r="V252" t="str">
            <v>GU1TS</v>
          </cell>
          <cell r="X252">
            <v>2.3E-2</v>
          </cell>
          <cell r="Y252">
            <v>6.5000000000000002E-2</v>
          </cell>
          <cell r="Z252">
            <v>2.3E-2</v>
          </cell>
          <cell r="AA252">
            <v>6.5000000000000002E-2</v>
          </cell>
          <cell r="AB252">
            <v>2.3E-2</v>
          </cell>
          <cell r="AC252">
            <v>6.5000000000000002E-2</v>
          </cell>
          <cell r="AD252">
            <v>2.3E-2</v>
          </cell>
          <cell r="AE252">
            <v>6.5000000000000002E-2</v>
          </cell>
          <cell r="AG252" t="str">
            <v/>
          </cell>
          <cell r="AH252" t="str">
            <v/>
          </cell>
          <cell r="AJ252">
            <v>2.3E-2</v>
          </cell>
          <cell r="AK252">
            <v>6.5000000000000002E-2</v>
          </cell>
          <cell r="AL252">
            <v>2.3E-2</v>
          </cell>
          <cell r="AM252">
            <v>6.5000000000000002E-2</v>
          </cell>
          <cell r="AN252">
            <v>2.3E-2</v>
          </cell>
          <cell r="AO252">
            <v>6.5000000000000002E-2</v>
          </cell>
          <cell r="AP252">
            <v>2.3E-2</v>
          </cell>
          <cell r="AQ252">
            <v>6.5000000000000002E-2</v>
          </cell>
          <cell r="AS252" t="str">
            <v/>
          </cell>
          <cell r="AT252" t="str">
            <v/>
          </cell>
          <cell r="AV252" t="b">
            <v>0</v>
          </cell>
          <cell r="AW252" t="str">
            <v>minute &amp; call</v>
          </cell>
        </row>
        <row r="253">
          <cell r="S253" t="str">
            <v>DOM GUF GU300</v>
          </cell>
          <cell r="T253" t="str">
            <v>DOM</v>
          </cell>
          <cell r="U253" t="str">
            <v>GUF</v>
          </cell>
          <cell r="V253" t="str">
            <v>GU300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G253" t="str">
            <v/>
          </cell>
          <cell r="AH253" t="str">
            <v/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S253" t="str">
            <v/>
          </cell>
          <cell r="AT253" t="str">
            <v/>
          </cell>
          <cell r="AV253" t="b">
            <v>0</v>
          </cell>
          <cell r="AW253" t="str">
            <v>minute</v>
          </cell>
        </row>
        <row r="254">
          <cell r="S254" t="str">
            <v>DOM GUF GU301</v>
          </cell>
          <cell r="T254" t="str">
            <v>DOM</v>
          </cell>
          <cell r="U254" t="str">
            <v>GUF</v>
          </cell>
          <cell r="V254" t="str">
            <v>GU301</v>
          </cell>
          <cell r="X254">
            <v>5.04E-2</v>
          </cell>
          <cell r="Y254">
            <v>0</v>
          </cell>
          <cell r="Z254">
            <v>5.04E-2</v>
          </cell>
          <cell r="AA254">
            <v>0</v>
          </cell>
          <cell r="AB254">
            <v>5.04E-2</v>
          </cell>
          <cell r="AC254">
            <v>0</v>
          </cell>
          <cell r="AD254">
            <v>5.04E-2</v>
          </cell>
          <cell r="AE254">
            <v>0</v>
          </cell>
          <cell r="AG254" t="str">
            <v/>
          </cell>
          <cell r="AH254" t="str">
            <v/>
          </cell>
          <cell r="AJ254">
            <v>5.04E-2</v>
          </cell>
          <cell r="AK254">
            <v>0</v>
          </cell>
          <cell r="AL254">
            <v>5.04E-2</v>
          </cell>
          <cell r="AM254">
            <v>0</v>
          </cell>
          <cell r="AN254">
            <v>5.04E-2</v>
          </cell>
          <cell r="AO254">
            <v>0</v>
          </cell>
          <cell r="AP254">
            <v>5.04E-2</v>
          </cell>
          <cell r="AQ254">
            <v>0</v>
          </cell>
          <cell r="AS254" t="str">
            <v/>
          </cell>
          <cell r="AT254" t="str">
            <v/>
          </cell>
          <cell r="AV254" t="b">
            <v>0</v>
          </cell>
          <cell r="AW254" t="str">
            <v>minute</v>
          </cell>
        </row>
        <row r="255">
          <cell r="S255" t="str">
            <v>DOM GUF GU302</v>
          </cell>
          <cell r="T255" t="str">
            <v>DOM</v>
          </cell>
          <cell r="U255" t="str">
            <v>GUF</v>
          </cell>
          <cell r="V255" t="str">
            <v>GU302</v>
          </cell>
          <cell r="X255">
            <v>5.9400000000000001E-2</v>
          </cell>
          <cell r="Y255">
            <v>0</v>
          </cell>
          <cell r="Z255">
            <v>5.9400000000000001E-2</v>
          </cell>
          <cell r="AA255">
            <v>0</v>
          </cell>
          <cell r="AB255">
            <v>5.9400000000000001E-2</v>
          </cell>
          <cell r="AC255">
            <v>0</v>
          </cell>
          <cell r="AD255">
            <v>5.9400000000000001E-2</v>
          </cell>
          <cell r="AE255">
            <v>0</v>
          </cell>
          <cell r="AG255" t="str">
            <v/>
          </cell>
          <cell r="AH255" t="str">
            <v/>
          </cell>
          <cell r="AJ255">
            <v>5.9400000000000001E-2</v>
          </cell>
          <cell r="AK255">
            <v>0</v>
          </cell>
          <cell r="AL255">
            <v>5.9400000000000001E-2</v>
          </cell>
          <cell r="AM255">
            <v>0</v>
          </cell>
          <cell r="AN255">
            <v>5.9400000000000001E-2</v>
          </cell>
          <cell r="AO255">
            <v>0</v>
          </cell>
          <cell r="AP255">
            <v>5.9400000000000001E-2</v>
          </cell>
          <cell r="AQ255">
            <v>0</v>
          </cell>
          <cell r="AS255" t="str">
            <v/>
          </cell>
          <cell r="AT255" t="str">
            <v/>
          </cell>
          <cell r="AV255" t="b">
            <v>0</v>
          </cell>
          <cell r="AW255" t="str">
            <v>minute</v>
          </cell>
        </row>
        <row r="256">
          <cell r="S256" t="str">
            <v>DOM GUF GU303</v>
          </cell>
          <cell r="T256" t="str">
            <v>DOM</v>
          </cell>
          <cell r="U256" t="str">
            <v>GUF</v>
          </cell>
          <cell r="V256" t="str">
            <v>GU303</v>
          </cell>
          <cell r="X256">
            <v>9.4E-2</v>
          </cell>
          <cell r="Y256">
            <v>0</v>
          </cell>
          <cell r="Z256">
            <v>9.4E-2</v>
          </cell>
          <cell r="AA256">
            <v>0</v>
          </cell>
          <cell r="AB256">
            <v>9.4E-2</v>
          </cell>
          <cell r="AC256">
            <v>0</v>
          </cell>
          <cell r="AD256">
            <v>9.4E-2</v>
          </cell>
          <cell r="AE256">
            <v>0</v>
          </cell>
          <cell r="AG256" t="str">
            <v/>
          </cell>
          <cell r="AH256" t="str">
            <v/>
          </cell>
          <cell r="AJ256">
            <v>9.4E-2</v>
          </cell>
          <cell r="AK256">
            <v>0</v>
          </cell>
          <cell r="AL256">
            <v>9.4E-2</v>
          </cell>
          <cell r="AM256">
            <v>0</v>
          </cell>
          <cell r="AN256">
            <v>9.4E-2</v>
          </cell>
          <cell r="AO256">
            <v>0</v>
          </cell>
          <cell r="AP256">
            <v>9.4E-2</v>
          </cell>
          <cell r="AQ256">
            <v>0</v>
          </cell>
          <cell r="AS256" t="str">
            <v/>
          </cell>
          <cell r="AT256" t="str">
            <v/>
          </cell>
          <cell r="AV256" t="b">
            <v>0</v>
          </cell>
          <cell r="AW256" t="str">
            <v>minute</v>
          </cell>
        </row>
        <row r="257">
          <cell r="S257" t="str">
            <v>DOM GUF GU304</v>
          </cell>
          <cell r="T257" t="str">
            <v>DOM</v>
          </cell>
          <cell r="U257" t="str">
            <v>GUF</v>
          </cell>
          <cell r="V257" t="str">
            <v>GU304</v>
          </cell>
          <cell r="X257">
            <v>0.125</v>
          </cell>
          <cell r="Y257">
            <v>0</v>
          </cell>
          <cell r="Z257">
            <v>0.125</v>
          </cell>
          <cell r="AA257">
            <v>0</v>
          </cell>
          <cell r="AB257">
            <v>0.125</v>
          </cell>
          <cell r="AC257">
            <v>0</v>
          </cell>
          <cell r="AD257">
            <v>0.125</v>
          </cell>
          <cell r="AE257">
            <v>0</v>
          </cell>
          <cell r="AG257" t="str">
            <v/>
          </cell>
          <cell r="AH257" t="str">
            <v/>
          </cell>
          <cell r="AJ257">
            <v>0.125</v>
          </cell>
          <cell r="AK257">
            <v>0</v>
          </cell>
          <cell r="AL257">
            <v>0.125</v>
          </cell>
          <cell r="AM257">
            <v>0</v>
          </cell>
          <cell r="AN257">
            <v>0.125</v>
          </cell>
          <cell r="AO257">
            <v>0</v>
          </cell>
          <cell r="AP257">
            <v>0.125</v>
          </cell>
          <cell r="AQ257">
            <v>0</v>
          </cell>
          <cell r="AS257" t="str">
            <v/>
          </cell>
          <cell r="AT257" t="str">
            <v/>
          </cell>
          <cell r="AV257" t="b">
            <v>0</v>
          </cell>
          <cell r="AW257" t="str">
            <v>minute</v>
          </cell>
        </row>
        <row r="258">
          <cell r="S258" t="str">
            <v>DOM GUF GU305</v>
          </cell>
          <cell r="T258" t="str">
            <v>DOM</v>
          </cell>
          <cell r="U258" t="str">
            <v>GUF</v>
          </cell>
          <cell r="V258" t="str">
            <v>GU305</v>
          </cell>
          <cell r="X258">
            <v>0.17630000000000001</v>
          </cell>
          <cell r="Y258">
            <v>0</v>
          </cell>
          <cell r="Z258">
            <v>0.17630000000000001</v>
          </cell>
          <cell r="AA258">
            <v>0</v>
          </cell>
          <cell r="AB258">
            <v>0.17630000000000001</v>
          </cell>
          <cell r="AC258">
            <v>0</v>
          </cell>
          <cell r="AD258">
            <v>0.17630000000000001</v>
          </cell>
          <cell r="AE258">
            <v>0</v>
          </cell>
          <cell r="AG258" t="str">
            <v/>
          </cell>
          <cell r="AH258" t="str">
            <v/>
          </cell>
          <cell r="AJ258">
            <v>0.17630000000000001</v>
          </cell>
          <cell r="AK258">
            <v>0</v>
          </cell>
          <cell r="AL258">
            <v>0.17630000000000001</v>
          </cell>
          <cell r="AM258">
            <v>0</v>
          </cell>
          <cell r="AN258">
            <v>0.17630000000000001</v>
          </cell>
          <cell r="AO258">
            <v>0</v>
          </cell>
          <cell r="AP258">
            <v>0.17630000000000001</v>
          </cell>
          <cell r="AQ258">
            <v>0</v>
          </cell>
          <cell r="AS258" t="str">
            <v/>
          </cell>
          <cell r="AT258" t="str">
            <v/>
          </cell>
          <cell r="AV258" t="b">
            <v>0</v>
          </cell>
          <cell r="AW258" t="str">
            <v>minute</v>
          </cell>
        </row>
        <row r="259">
          <cell r="S259" t="str">
            <v>DOM GUF GU306</v>
          </cell>
          <cell r="T259" t="str">
            <v>DOM</v>
          </cell>
          <cell r="U259" t="str">
            <v>GUF</v>
          </cell>
          <cell r="V259" t="str">
            <v>GU306</v>
          </cell>
          <cell r="X259">
            <v>0.188</v>
          </cell>
          <cell r="Y259">
            <v>0</v>
          </cell>
          <cell r="Z259">
            <v>0.188</v>
          </cell>
          <cell r="AA259">
            <v>0</v>
          </cell>
          <cell r="AB259">
            <v>0.188</v>
          </cell>
          <cell r="AC259">
            <v>0</v>
          </cell>
          <cell r="AD259">
            <v>0.188</v>
          </cell>
          <cell r="AE259">
            <v>0</v>
          </cell>
          <cell r="AG259" t="str">
            <v/>
          </cell>
          <cell r="AH259" t="str">
            <v/>
          </cell>
          <cell r="AJ259">
            <v>0.188</v>
          </cell>
          <cell r="AK259">
            <v>0</v>
          </cell>
          <cell r="AL259">
            <v>0.188</v>
          </cell>
          <cell r="AM259">
            <v>0</v>
          </cell>
          <cell r="AN259">
            <v>0.188</v>
          </cell>
          <cell r="AO259">
            <v>0</v>
          </cell>
          <cell r="AP259">
            <v>0.188</v>
          </cell>
          <cell r="AQ259">
            <v>0</v>
          </cell>
          <cell r="AS259" t="str">
            <v/>
          </cell>
          <cell r="AT259" t="str">
            <v/>
          </cell>
          <cell r="AV259" t="b">
            <v>0</v>
          </cell>
          <cell r="AW259" t="str">
            <v>minute</v>
          </cell>
        </row>
        <row r="260">
          <cell r="S260" t="str">
            <v>DOM GUF GU307</v>
          </cell>
          <cell r="T260" t="str">
            <v>DOM</v>
          </cell>
          <cell r="U260" t="str">
            <v>GUF</v>
          </cell>
          <cell r="V260" t="str">
            <v>GU307</v>
          </cell>
          <cell r="X260">
            <v>0.28100000000000003</v>
          </cell>
          <cell r="Y260">
            <v>0</v>
          </cell>
          <cell r="Z260">
            <v>0.28100000000000003</v>
          </cell>
          <cell r="AA260">
            <v>0</v>
          </cell>
          <cell r="AB260">
            <v>0.28100000000000003</v>
          </cell>
          <cell r="AC260">
            <v>0</v>
          </cell>
          <cell r="AD260">
            <v>0.28100000000000003</v>
          </cell>
          <cell r="AE260">
            <v>0</v>
          </cell>
          <cell r="AG260" t="str">
            <v/>
          </cell>
          <cell r="AH260" t="str">
            <v/>
          </cell>
          <cell r="AJ260">
            <v>0.28100000000000003</v>
          </cell>
          <cell r="AK260">
            <v>0</v>
          </cell>
          <cell r="AL260">
            <v>0.28100000000000003</v>
          </cell>
          <cell r="AM260">
            <v>0</v>
          </cell>
          <cell r="AN260">
            <v>0.28100000000000003</v>
          </cell>
          <cell r="AO260">
            <v>0</v>
          </cell>
          <cell r="AP260">
            <v>0.28100000000000003</v>
          </cell>
          <cell r="AQ260">
            <v>0</v>
          </cell>
          <cell r="AS260" t="str">
            <v/>
          </cell>
          <cell r="AT260" t="str">
            <v/>
          </cell>
          <cell r="AV260" t="b">
            <v>0</v>
          </cell>
          <cell r="AW260" t="str">
            <v>minute</v>
          </cell>
        </row>
        <row r="261">
          <cell r="S261" t="str">
            <v>DOM GUF GU308</v>
          </cell>
          <cell r="T261" t="str">
            <v>DOM</v>
          </cell>
          <cell r="U261" t="str">
            <v>GUF</v>
          </cell>
          <cell r="V261" t="str">
            <v>GU308</v>
          </cell>
          <cell r="X261">
            <v>0.29680000000000001</v>
          </cell>
          <cell r="Y261">
            <v>0</v>
          </cell>
          <cell r="Z261">
            <v>0.29680000000000001</v>
          </cell>
          <cell r="AA261">
            <v>0</v>
          </cell>
          <cell r="AB261">
            <v>0.29680000000000001</v>
          </cell>
          <cell r="AC261">
            <v>0</v>
          </cell>
          <cell r="AD261">
            <v>0.29680000000000001</v>
          </cell>
          <cell r="AE261">
            <v>0</v>
          </cell>
          <cell r="AG261" t="str">
            <v/>
          </cell>
          <cell r="AH261" t="str">
            <v/>
          </cell>
          <cell r="AJ261">
            <v>0.29680000000000001</v>
          </cell>
          <cell r="AK261">
            <v>0</v>
          </cell>
          <cell r="AL261">
            <v>0.29680000000000001</v>
          </cell>
          <cell r="AM261">
            <v>0</v>
          </cell>
          <cell r="AN261">
            <v>0.29680000000000001</v>
          </cell>
          <cell r="AO261">
            <v>0</v>
          </cell>
          <cell r="AP261">
            <v>0.29680000000000001</v>
          </cell>
          <cell r="AQ261">
            <v>0</v>
          </cell>
          <cell r="AS261" t="str">
            <v/>
          </cell>
          <cell r="AT261" t="str">
            <v/>
          </cell>
          <cell r="AV261" t="b">
            <v>0</v>
          </cell>
          <cell r="AW261" t="str">
            <v>minute</v>
          </cell>
        </row>
        <row r="262">
          <cell r="S262" t="str">
            <v>DOM GUF GU309</v>
          </cell>
          <cell r="T262" t="str">
            <v>DOM</v>
          </cell>
          <cell r="U262" t="str">
            <v>GUF</v>
          </cell>
          <cell r="V262" t="str">
            <v>GU309</v>
          </cell>
          <cell r="X262">
            <v>0.34499999999999997</v>
          </cell>
          <cell r="Y262">
            <v>0</v>
          </cell>
          <cell r="Z262">
            <v>0.34499999999999997</v>
          </cell>
          <cell r="AA262">
            <v>0</v>
          </cell>
          <cell r="AB262">
            <v>0.34499999999999997</v>
          </cell>
          <cell r="AC262">
            <v>0</v>
          </cell>
          <cell r="AD262">
            <v>0.34499999999999997</v>
          </cell>
          <cell r="AE262">
            <v>0</v>
          </cell>
          <cell r="AG262" t="str">
            <v/>
          </cell>
          <cell r="AH262" t="str">
            <v/>
          </cell>
          <cell r="AJ262">
            <v>0.34499999999999997</v>
          </cell>
          <cell r="AK262">
            <v>0</v>
          </cell>
          <cell r="AL262">
            <v>0.34499999999999997</v>
          </cell>
          <cell r="AM262">
            <v>0</v>
          </cell>
          <cell r="AN262">
            <v>0.34499999999999997</v>
          </cell>
          <cell r="AO262">
            <v>0</v>
          </cell>
          <cell r="AP262">
            <v>0.34499999999999997</v>
          </cell>
          <cell r="AQ262">
            <v>0</v>
          </cell>
          <cell r="AS262" t="str">
            <v/>
          </cell>
          <cell r="AT262" t="str">
            <v/>
          </cell>
          <cell r="AV262" t="b">
            <v>0</v>
          </cell>
          <cell r="AW262" t="str">
            <v>minute</v>
          </cell>
        </row>
        <row r="263">
          <cell r="S263" t="str">
            <v>DOM GUF GU310</v>
          </cell>
          <cell r="T263" t="str">
            <v>DOM</v>
          </cell>
          <cell r="U263" t="str">
            <v>GUF</v>
          </cell>
          <cell r="V263" t="str">
            <v>GU310</v>
          </cell>
          <cell r="X263">
            <v>0.72309999999999997</v>
          </cell>
          <cell r="Y263">
            <v>0</v>
          </cell>
          <cell r="Z263">
            <v>0.72309999999999997</v>
          </cell>
          <cell r="AA263">
            <v>0</v>
          </cell>
          <cell r="AB263">
            <v>0.72309999999999997</v>
          </cell>
          <cell r="AC263">
            <v>0</v>
          </cell>
          <cell r="AD263">
            <v>0.72309999999999997</v>
          </cell>
          <cell r="AE263">
            <v>0</v>
          </cell>
          <cell r="AG263" t="str">
            <v/>
          </cell>
          <cell r="AH263" t="str">
            <v/>
          </cell>
          <cell r="AJ263">
            <v>0.72309999999999997</v>
          </cell>
          <cell r="AK263">
            <v>0</v>
          </cell>
          <cell r="AL263">
            <v>0.72309999999999997</v>
          </cell>
          <cell r="AM263">
            <v>0</v>
          </cell>
          <cell r="AN263">
            <v>0.72309999999999997</v>
          </cell>
          <cell r="AO263">
            <v>0</v>
          </cell>
          <cell r="AP263">
            <v>0.72309999999999997</v>
          </cell>
          <cell r="AQ263">
            <v>0</v>
          </cell>
          <cell r="AS263" t="str">
            <v/>
          </cell>
          <cell r="AT263" t="str">
            <v/>
          </cell>
          <cell r="AV263" t="b">
            <v>0</v>
          </cell>
          <cell r="AW263" t="str">
            <v>minute</v>
          </cell>
        </row>
        <row r="264">
          <cell r="S264" t="str">
            <v>DOM GUF GU311</v>
          </cell>
          <cell r="T264" t="str">
            <v>DOM</v>
          </cell>
          <cell r="U264" t="str">
            <v>GUF</v>
          </cell>
          <cell r="V264" t="str">
            <v>GU311</v>
          </cell>
          <cell r="X264">
            <v>1.1279999999999999</v>
          </cell>
          <cell r="Y264">
            <v>0</v>
          </cell>
          <cell r="Z264">
            <v>1.1279999999999999</v>
          </cell>
          <cell r="AA264">
            <v>0</v>
          </cell>
          <cell r="AB264">
            <v>1.1279999999999999</v>
          </cell>
          <cell r="AC264">
            <v>0</v>
          </cell>
          <cell r="AD264">
            <v>1.1279999999999999</v>
          </cell>
          <cell r="AE264">
            <v>0</v>
          </cell>
          <cell r="AG264" t="str">
            <v/>
          </cell>
          <cell r="AH264" t="str">
            <v/>
          </cell>
          <cell r="AJ264">
            <v>1.1279999999999999</v>
          </cell>
          <cell r="AK264">
            <v>0</v>
          </cell>
          <cell r="AL264">
            <v>1.1279999999999999</v>
          </cell>
          <cell r="AM264">
            <v>0</v>
          </cell>
          <cell r="AN264">
            <v>1.1279999999999999</v>
          </cell>
          <cell r="AO264">
            <v>0</v>
          </cell>
          <cell r="AP264">
            <v>1.1279999999999999</v>
          </cell>
          <cell r="AQ264">
            <v>0</v>
          </cell>
          <cell r="AS264" t="str">
            <v/>
          </cell>
          <cell r="AT264" t="str">
            <v/>
          </cell>
          <cell r="AV264" t="b">
            <v>0</v>
          </cell>
          <cell r="AW264" t="str">
            <v>minute</v>
          </cell>
        </row>
        <row r="265">
          <cell r="S265" t="str">
            <v>DOM GUF GU312</v>
          </cell>
          <cell r="T265" t="str">
            <v>DOM</v>
          </cell>
          <cell r="U265" t="str">
            <v>GUF</v>
          </cell>
          <cell r="V265" t="str">
            <v>GU312</v>
          </cell>
          <cell r="X265">
            <v>9.9000000000000005E-2</v>
          </cell>
          <cell r="Y265">
            <v>2E-3</v>
          </cell>
          <cell r="Z265">
            <v>9.9000000000000005E-2</v>
          </cell>
          <cell r="AA265">
            <v>2E-3</v>
          </cell>
          <cell r="AB265">
            <v>9.9000000000000005E-2</v>
          </cell>
          <cell r="AC265">
            <v>2E-3</v>
          </cell>
          <cell r="AD265">
            <v>9.9000000000000005E-2</v>
          </cell>
          <cell r="AE265">
            <v>2E-3</v>
          </cell>
          <cell r="AG265" t="str">
            <v/>
          </cell>
          <cell r="AH265" t="str">
            <v/>
          </cell>
          <cell r="AJ265">
            <v>9.9000000000000005E-2</v>
          </cell>
          <cell r="AK265">
            <v>2E-3</v>
          </cell>
          <cell r="AL265">
            <v>9.9000000000000005E-2</v>
          </cell>
          <cell r="AM265">
            <v>2E-3</v>
          </cell>
          <cell r="AN265">
            <v>9.9000000000000005E-2</v>
          </cell>
          <cell r="AO265">
            <v>2E-3</v>
          </cell>
          <cell r="AP265">
            <v>9.9000000000000005E-2</v>
          </cell>
          <cell r="AQ265">
            <v>2E-3</v>
          </cell>
          <cell r="AS265" t="str">
            <v/>
          </cell>
          <cell r="AT265" t="str">
            <v/>
          </cell>
          <cell r="AV265" t="b">
            <v>0</v>
          </cell>
          <cell r="AW265" t="str">
            <v>minute &amp; call</v>
          </cell>
        </row>
        <row r="266">
          <cell r="S266" t="str">
            <v>DOM GUF GU313</v>
          </cell>
          <cell r="T266" t="str">
            <v>DOM</v>
          </cell>
          <cell r="U266" t="str">
            <v>GUF</v>
          </cell>
          <cell r="V266" t="str">
            <v>GU313</v>
          </cell>
          <cell r="X266">
            <v>6.7100000000000007E-2</v>
          </cell>
          <cell r="Y266">
            <v>1.7000000000000001E-2</v>
          </cell>
          <cell r="Z266">
            <v>6.7100000000000007E-2</v>
          </cell>
          <cell r="AA266">
            <v>1.7000000000000001E-2</v>
          </cell>
          <cell r="AB266">
            <v>6.7100000000000007E-2</v>
          </cell>
          <cell r="AC266">
            <v>1.7000000000000001E-2</v>
          </cell>
          <cell r="AD266">
            <v>6.7100000000000007E-2</v>
          </cell>
          <cell r="AE266">
            <v>1.7000000000000001E-2</v>
          </cell>
          <cell r="AG266" t="str">
            <v/>
          </cell>
          <cell r="AH266" t="str">
            <v/>
          </cell>
          <cell r="AJ266">
            <v>6.7100000000000007E-2</v>
          </cell>
          <cell r="AK266">
            <v>1.7000000000000001E-2</v>
          </cell>
          <cell r="AL266">
            <v>6.7100000000000007E-2</v>
          </cell>
          <cell r="AM266">
            <v>1.7000000000000001E-2</v>
          </cell>
          <cell r="AN266">
            <v>6.7100000000000007E-2</v>
          </cell>
          <cell r="AO266">
            <v>1.7000000000000001E-2</v>
          </cell>
          <cell r="AP266">
            <v>6.7100000000000007E-2</v>
          </cell>
          <cell r="AQ266">
            <v>1.7000000000000001E-2</v>
          </cell>
          <cell r="AS266" t="str">
            <v/>
          </cell>
          <cell r="AT266" t="str">
            <v/>
          </cell>
          <cell r="AV266" t="b">
            <v>0</v>
          </cell>
          <cell r="AW266" t="str">
            <v>minute &amp; call</v>
          </cell>
        </row>
        <row r="267">
          <cell r="S267" t="str">
            <v>DOM GUF GU314</v>
          </cell>
          <cell r="T267" t="str">
            <v>DOM</v>
          </cell>
          <cell r="U267" t="str">
            <v>GUF</v>
          </cell>
          <cell r="V267" t="str">
            <v>GU314</v>
          </cell>
          <cell r="X267">
            <v>7.4999999999999997E-2</v>
          </cell>
          <cell r="Y267">
            <v>2.4E-2</v>
          </cell>
          <cell r="Z267">
            <v>7.4999999999999997E-2</v>
          </cell>
          <cell r="AA267">
            <v>2.4E-2</v>
          </cell>
          <cell r="AB267">
            <v>7.4999999999999997E-2</v>
          </cell>
          <cell r="AC267">
            <v>2.4E-2</v>
          </cell>
          <cell r="AD267">
            <v>7.4999999999999997E-2</v>
          </cell>
          <cell r="AE267">
            <v>2.4E-2</v>
          </cell>
          <cell r="AG267" t="str">
            <v/>
          </cell>
          <cell r="AH267" t="str">
            <v/>
          </cell>
          <cell r="AJ267">
            <v>7.4999999999999997E-2</v>
          </cell>
          <cell r="AK267">
            <v>2.4E-2</v>
          </cell>
          <cell r="AL267">
            <v>7.4999999999999997E-2</v>
          </cell>
          <cell r="AM267">
            <v>2.4E-2</v>
          </cell>
          <cell r="AN267">
            <v>7.4999999999999997E-2</v>
          </cell>
          <cell r="AO267">
            <v>2.4E-2</v>
          </cell>
          <cell r="AP267">
            <v>7.4999999999999997E-2</v>
          </cell>
          <cell r="AQ267">
            <v>2.4E-2</v>
          </cell>
          <cell r="AS267" t="str">
            <v/>
          </cell>
          <cell r="AT267" t="str">
            <v/>
          </cell>
          <cell r="AV267" t="b">
            <v>0</v>
          </cell>
          <cell r="AW267" t="str">
            <v>minute &amp; call</v>
          </cell>
        </row>
        <row r="268">
          <cell r="S268" t="str">
            <v>DOM GUF GU315</v>
          </cell>
          <cell r="T268" t="str">
            <v>DOM</v>
          </cell>
          <cell r="U268" t="str">
            <v>GUF</v>
          </cell>
          <cell r="V268" t="str">
            <v>GU315</v>
          </cell>
          <cell r="X268">
            <v>5.0999999999999997E-2</v>
          </cell>
          <cell r="Y268">
            <v>4.2999999999999997E-2</v>
          </cell>
          <cell r="Z268">
            <v>5.0999999999999997E-2</v>
          </cell>
          <cell r="AA268">
            <v>4.2999999999999997E-2</v>
          </cell>
          <cell r="AB268">
            <v>5.0999999999999997E-2</v>
          </cell>
          <cell r="AC268">
            <v>4.2999999999999997E-2</v>
          </cell>
          <cell r="AD268">
            <v>5.0999999999999997E-2</v>
          </cell>
          <cell r="AE268">
            <v>4.2999999999999997E-2</v>
          </cell>
          <cell r="AG268" t="str">
            <v/>
          </cell>
          <cell r="AH268" t="str">
            <v/>
          </cell>
          <cell r="AJ268">
            <v>5.0999999999999997E-2</v>
          </cell>
          <cell r="AK268">
            <v>4.2999999999999997E-2</v>
          </cell>
          <cell r="AL268">
            <v>5.0999999999999997E-2</v>
          </cell>
          <cell r="AM268">
            <v>4.2999999999999997E-2</v>
          </cell>
          <cell r="AN268">
            <v>5.0999999999999997E-2</v>
          </cell>
          <cell r="AO268">
            <v>4.2999999999999997E-2</v>
          </cell>
          <cell r="AP268">
            <v>5.0999999999999997E-2</v>
          </cell>
          <cell r="AQ268">
            <v>4.2999999999999997E-2</v>
          </cell>
          <cell r="AS268" t="str">
            <v/>
          </cell>
          <cell r="AT268" t="str">
            <v/>
          </cell>
          <cell r="AV268" t="b">
            <v>0</v>
          </cell>
          <cell r="AW268" t="str">
            <v>minute &amp; call</v>
          </cell>
        </row>
        <row r="269">
          <cell r="S269" t="str">
            <v>DOM GUF GU316</v>
          </cell>
          <cell r="T269" t="str">
            <v>DOM</v>
          </cell>
          <cell r="U269" t="str">
            <v>GUF</v>
          </cell>
          <cell r="V269" t="str">
            <v>GU316</v>
          </cell>
          <cell r="X269">
            <v>2.3E-2</v>
          </cell>
          <cell r="Y269">
            <v>6.5000000000000002E-2</v>
          </cell>
          <cell r="Z269">
            <v>2.3E-2</v>
          </cell>
          <cell r="AA269">
            <v>6.5000000000000002E-2</v>
          </cell>
          <cell r="AB269">
            <v>2.3E-2</v>
          </cell>
          <cell r="AC269">
            <v>6.5000000000000002E-2</v>
          </cell>
          <cell r="AD269">
            <v>2.3E-2</v>
          </cell>
          <cell r="AE269">
            <v>6.5000000000000002E-2</v>
          </cell>
          <cell r="AG269" t="str">
            <v/>
          </cell>
          <cell r="AH269" t="str">
            <v/>
          </cell>
          <cell r="AJ269">
            <v>2.3E-2</v>
          </cell>
          <cell r="AK269">
            <v>6.5000000000000002E-2</v>
          </cell>
          <cell r="AL269">
            <v>2.3E-2</v>
          </cell>
          <cell r="AM269">
            <v>6.5000000000000002E-2</v>
          </cell>
          <cell r="AN269">
            <v>2.3E-2</v>
          </cell>
          <cell r="AO269">
            <v>6.5000000000000002E-2</v>
          </cell>
          <cell r="AP269">
            <v>2.3E-2</v>
          </cell>
          <cell r="AQ269">
            <v>6.5000000000000002E-2</v>
          </cell>
          <cell r="AS269" t="str">
            <v/>
          </cell>
          <cell r="AT269" t="str">
            <v/>
          </cell>
          <cell r="AV269" t="b">
            <v>0</v>
          </cell>
          <cell r="AW269" t="str">
            <v>minute &amp; call</v>
          </cell>
        </row>
        <row r="270">
          <cell r="S270" t="str">
            <v>DOM GUF GU317</v>
          </cell>
          <cell r="T270" t="str">
            <v>DOM</v>
          </cell>
          <cell r="U270" t="str">
            <v>GUF</v>
          </cell>
          <cell r="V270" t="str">
            <v>GU317</v>
          </cell>
          <cell r="X270">
            <v>2.4E-2</v>
          </cell>
          <cell r="Y270">
            <v>7.5999999999999998E-2</v>
          </cell>
          <cell r="Z270">
            <v>2.4E-2</v>
          </cell>
          <cell r="AA270">
            <v>7.5999999999999998E-2</v>
          </cell>
          <cell r="AB270">
            <v>2.4E-2</v>
          </cell>
          <cell r="AC270">
            <v>7.5999999999999998E-2</v>
          </cell>
          <cell r="AD270">
            <v>2.4E-2</v>
          </cell>
          <cell r="AE270">
            <v>7.5999999999999998E-2</v>
          </cell>
          <cell r="AG270" t="str">
            <v/>
          </cell>
          <cell r="AH270" t="str">
            <v/>
          </cell>
          <cell r="AJ270">
            <v>2.4E-2</v>
          </cell>
          <cell r="AK270">
            <v>7.5999999999999998E-2</v>
          </cell>
          <cell r="AL270">
            <v>2.4E-2</v>
          </cell>
          <cell r="AM270">
            <v>7.5999999999999998E-2</v>
          </cell>
          <cell r="AN270">
            <v>2.4E-2</v>
          </cell>
          <cell r="AO270">
            <v>7.5999999999999998E-2</v>
          </cell>
          <cell r="AP270">
            <v>2.4E-2</v>
          </cell>
          <cell r="AQ270">
            <v>7.5999999999999998E-2</v>
          </cell>
          <cell r="AS270" t="str">
            <v/>
          </cell>
          <cell r="AT270" t="str">
            <v/>
          </cell>
          <cell r="AV270" t="b">
            <v>0</v>
          </cell>
          <cell r="AW270" t="str">
            <v>minute &amp; call</v>
          </cell>
        </row>
        <row r="271">
          <cell r="S271" t="str">
            <v>DOM GUF GU318</v>
          </cell>
          <cell r="T271" t="str">
            <v>DOM</v>
          </cell>
          <cell r="U271" t="str">
            <v>GUF</v>
          </cell>
          <cell r="V271" t="str">
            <v>GU318</v>
          </cell>
          <cell r="X271">
            <v>0</v>
          </cell>
          <cell r="Y271">
            <v>9.4E-2</v>
          </cell>
          <cell r="Z271">
            <v>0</v>
          </cell>
          <cell r="AA271">
            <v>9.4E-2</v>
          </cell>
          <cell r="AB271">
            <v>0</v>
          </cell>
          <cell r="AC271">
            <v>9.4E-2</v>
          </cell>
          <cell r="AD271">
            <v>0</v>
          </cell>
          <cell r="AE271">
            <v>9.4E-2</v>
          </cell>
          <cell r="AG271" t="str">
            <v/>
          </cell>
          <cell r="AH271" t="str">
            <v/>
          </cell>
          <cell r="AJ271">
            <v>0</v>
          </cell>
          <cell r="AK271">
            <v>9.4E-2</v>
          </cell>
          <cell r="AL271">
            <v>0</v>
          </cell>
          <cell r="AM271">
            <v>9.4E-2</v>
          </cell>
          <cell r="AN271">
            <v>0</v>
          </cell>
          <cell r="AO271">
            <v>9.4E-2</v>
          </cell>
          <cell r="AP271">
            <v>0</v>
          </cell>
          <cell r="AQ271">
            <v>9.4E-2</v>
          </cell>
          <cell r="AS271" t="str">
            <v/>
          </cell>
          <cell r="AT271" t="str">
            <v/>
          </cell>
          <cell r="AV271" t="b">
            <v>0</v>
          </cell>
          <cell r="AW271" t="str">
            <v>call</v>
          </cell>
        </row>
        <row r="272">
          <cell r="S272" t="str">
            <v>DOM GUF GU319</v>
          </cell>
          <cell r="T272" t="str">
            <v>DOM</v>
          </cell>
          <cell r="U272" t="str">
            <v>GUF</v>
          </cell>
          <cell r="V272" t="str">
            <v>GU319</v>
          </cell>
          <cell r="X272">
            <v>0.125</v>
          </cell>
          <cell r="Y272">
            <v>9.4E-2</v>
          </cell>
          <cell r="Z272">
            <v>0.125</v>
          </cell>
          <cell r="AA272">
            <v>9.4E-2</v>
          </cell>
          <cell r="AB272">
            <v>0.125</v>
          </cell>
          <cell r="AC272">
            <v>9.4E-2</v>
          </cell>
          <cell r="AD272">
            <v>0.125</v>
          </cell>
          <cell r="AE272">
            <v>9.4E-2</v>
          </cell>
          <cell r="AG272" t="str">
            <v/>
          </cell>
          <cell r="AH272" t="str">
            <v/>
          </cell>
          <cell r="AJ272">
            <v>0.125</v>
          </cell>
          <cell r="AK272">
            <v>9.4E-2</v>
          </cell>
          <cell r="AL272">
            <v>0.125</v>
          </cell>
          <cell r="AM272">
            <v>9.4E-2</v>
          </cell>
          <cell r="AN272">
            <v>0.125</v>
          </cell>
          <cell r="AO272">
            <v>9.4E-2</v>
          </cell>
          <cell r="AP272">
            <v>0.125</v>
          </cell>
          <cell r="AQ272">
            <v>9.4E-2</v>
          </cell>
          <cell r="AS272" t="str">
            <v/>
          </cell>
          <cell r="AT272" t="str">
            <v/>
          </cell>
          <cell r="AV272" t="b">
            <v>0</v>
          </cell>
          <cell r="AW272" t="str">
            <v>minute &amp; call</v>
          </cell>
        </row>
        <row r="273">
          <cell r="S273" t="str">
            <v>DOM GUF GU320</v>
          </cell>
          <cell r="T273" t="str">
            <v>DOM</v>
          </cell>
          <cell r="U273" t="str">
            <v>GUF</v>
          </cell>
          <cell r="V273" t="str">
            <v>GU320</v>
          </cell>
          <cell r="X273">
            <v>4.7E-2</v>
          </cell>
          <cell r="Y273">
            <v>0.14099999999999999</v>
          </cell>
          <cell r="Z273">
            <v>4.7E-2</v>
          </cell>
          <cell r="AA273">
            <v>0.14099999999999999</v>
          </cell>
          <cell r="AB273">
            <v>4.7E-2</v>
          </cell>
          <cell r="AC273">
            <v>0.14099999999999999</v>
          </cell>
          <cell r="AD273">
            <v>4.7E-2</v>
          </cell>
          <cell r="AE273">
            <v>0.14099999999999999</v>
          </cell>
          <cell r="AG273" t="str">
            <v/>
          </cell>
          <cell r="AH273" t="str">
            <v/>
          </cell>
          <cell r="AJ273">
            <v>4.7E-2</v>
          </cell>
          <cell r="AK273">
            <v>0.14099999999999999</v>
          </cell>
          <cell r="AL273">
            <v>4.7E-2</v>
          </cell>
          <cell r="AM273">
            <v>0.14099999999999999</v>
          </cell>
          <cell r="AN273">
            <v>4.7E-2</v>
          </cell>
          <cell r="AO273">
            <v>0.14099999999999999</v>
          </cell>
          <cell r="AP273">
            <v>4.7E-2</v>
          </cell>
          <cell r="AQ273">
            <v>0.14099999999999999</v>
          </cell>
          <cell r="AS273" t="str">
            <v/>
          </cell>
          <cell r="AT273" t="str">
            <v/>
          </cell>
          <cell r="AV273" t="b">
            <v>0</v>
          </cell>
          <cell r="AW273" t="str">
            <v>minute &amp; call</v>
          </cell>
        </row>
        <row r="274">
          <cell r="S274" t="str">
            <v>DOM GUF GU321</v>
          </cell>
          <cell r="T274" t="str">
            <v>DOM</v>
          </cell>
          <cell r="U274" t="str">
            <v>GUF</v>
          </cell>
          <cell r="V274" t="str">
            <v>GU321</v>
          </cell>
          <cell r="X274">
            <v>0</v>
          </cell>
          <cell r="Y274">
            <v>0.47</v>
          </cell>
          <cell r="Z274">
            <v>0</v>
          </cell>
          <cell r="AA274">
            <v>0.47</v>
          </cell>
          <cell r="AB274">
            <v>0</v>
          </cell>
          <cell r="AC274">
            <v>0.47</v>
          </cell>
          <cell r="AD274">
            <v>0</v>
          </cell>
          <cell r="AE274">
            <v>0.47</v>
          </cell>
          <cell r="AG274" t="str">
            <v/>
          </cell>
          <cell r="AH274" t="str">
            <v/>
          </cell>
          <cell r="AJ274">
            <v>0</v>
          </cell>
          <cell r="AK274">
            <v>0.47</v>
          </cell>
          <cell r="AL274">
            <v>0</v>
          </cell>
          <cell r="AM274">
            <v>0.47</v>
          </cell>
          <cell r="AN274">
            <v>0</v>
          </cell>
          <cell r="AO274">
            <v>0.47</v>
          </cell>
          <cell r="AP274">
            <v>0</v>
          </cell>
          <cell r="AQ274">
            <v>0.47</v>
          </cell>
          <cell r="AS274" t="str">
            <v/>
          </cell>
          <cell r="AT274" t="str">
            <v/>
          </cell>
          <cell r="AV274" t="b">
            <v>0</v>
          </cell>
          <cell r="AW274" t="str">
            <v>call</v>
          </cell>
        </row>
        <row r="275">
          <cell r="S275" t="str">
            <v>DOM GUF GUVAS</v>
          </cell>
          <cell r="T275" t="str">
            <v>DOM</v>
          </cell>
          <cell r="U275" t="str">
            <v>GUF</v>
          </cell>
          <cell r="V275" t="str">
            <v>GUVAS</v>
          </cell>
          <cell r="X275">
            <v>0.28100000000000003</v>
          </cell>
          <cell r="Y275">
            <v>1.1297999999999999</v>
          </cell>
          <cell r="Z275">
            <v>0.28100000000000003</v>
          </cell>
          <cell r="AA275">
            <v>1.1297999999999999</v>
          </cell>
          <cell r="AB275">
            <v>0.28100000000000003</v>
          </cell>
          <cell r="AC275">
            <v>1.1297999999999999</v>
          </cell>
          <cell r="AD275">
            <v>0.28100000000000003</v>
          </cell>
          <cell r="AE275">
            <v>1.1297999999999999</v>
          </cell>
          <cell r="AG275" t="str">
            <v/>
          </cell>
          <cell r="AH275" t="str">
            <v/>
          </cell>
          <cell r="AJ275">
            <v>0.28100000000000003</v>
          </cell>
          <cell r="AK275">
            <v>1.1297999999999999</v>
          </cell>
          <cell r="AL275">
            <v>0.28100000000000003</v>
          </cell>
          <cell r="AM275">
            <v>1.1297999999999999</v>
          </cell>
          <cell r="AN275">
            <v>0.28100000000000003</v>
          </cell>
          <cell r="AO275">
            <v>1.1297999999999999</v>
          </cell>
          <cell r="AP275">
            <v>0.28100000000000003</v>
          </cell>
          <cell r="AQ275">
            <v>1.1297999999999999</v>
          </cell>
          <cell r="AS275" t="str">
            <v/>
          </cell>
          <cell r="AT275" t="str">
            <v/>
          </cell>
          <cell r="AV275" t="b">
            <v>0</v>
          </cell>
          <cell r="AW275" t="str">
            <v>minute &amp; call</v>
          </cell>
        </row>
        <row r="276">
          <cell r="S276" t="str">
            <v>DOM GUF GUSOS</v>
          </cell>
          <cell r="T276" t="str">
            <v>DOM</v>
          </cell>
          <cell r="U276" t="str">
            <v>GUF</v>
          </cell>
          <cell r="V276" t="str">
            <v>GUSOS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G276" t="str">
            <v/>
          </cell>
          <cell r="AH276" t="str">
            <v/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S276" t="str">
            <v/>
          </cell>
          <cell r="AT276" t="str">
            <v/>
          </cell>
          <cell r="AV276" t="b">
            <v>0</v>
          </cell>
          <cell r="AW276" t="str">
            <v>minute</v>
          </cell>
        </row>
        <row r="277">
          <cell r="S277" t="str">
            <v>DOM GUF GU860</v>
          </cell>
          <cell r="T277" t="str">
            <v>DOM</v>
          </cell>
          <cell r="U277" t="str">
            <v>GUF</v>
          </cell>
          <cell r="V277" t="str">
            <v>GU860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G277" t="str">
            <v/>
          </cell>
          <cell r="AH277" t="str">
            <v/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S277" t="str">
            <v/>
          </cell>
          <cell r="AT277" t="str">
            <v/>
          </cell>
          <cell r="AV277" t="b">
            <v>0</v>
          </cell>
          <cell r="AW277" t="str">
            <v>minute</v>
          </cell>
        </row>
        <row r="278">
          <cell r="S278" t="str">
            <v>DOM GUF GU82H</v>
          </cell>
          <cell r="T278" t="str">
            <v>DOM</v>
          </cell>
          <cell r="U278" t="str">
            <v>GUF</v>
          </cell>
          <cell r="V278" t="str">
            <v>GU82H</v>
          </cell>
          <cell r="X278">
            <v>9.9000000000000005E-2</v>
          </cell>
          <cell r="Y278">
            <v>9.4E-2</v>
          </cell>
          <cell r="Z278">
            <v>9.9000000000000005E-2</v>
          </cell>
          <cell r="AA278">
            <v>9.4E-2</v>
          </cell>
          <cell r="AB278">
            <v>9.9000000000000005E-2</v>
          </cell>
          <cell r="AC278">
            <v>9.4E-2</v>
          </cell>
          <cell r="AD278">
            <v>9.9000000000000005E-2</v>
          </cell>
          <cell r="AE278">
            <v>9.4E-2</v>
          </cell>
          <cell r="AG278" t="str">
            <v/>
          </cell>
          <cell r="AH278" t="str">
            <v/>
          </cell>
          <cell r="AJ278">
            <v>9.9000000000000005E-2</v>
          </cell>
          <cell r="AK278">
            <v>9.4E-2</v>
          </cell>
          <cell r="AL278">
            <v>9.9000000000000005E-2</v>
          </cell>
          <cell r="AM278">
            <v>9.4E-2</v>
          </cell>
          <cell r="AN278">
            <v>9.9000000000000005E-2</v>
          </cell>
          <cell r="AO278">
            <v>9.4E-2</v>
          </cell>
          <cell r="AP278">
            <v>9.9000000000000005E-2</v>
          </cell>
          <cell r="AQ278">
            <v>9.4E-2</v>
          </cell>
          <cell r="AS278" t="str">
            <v/>
          </cell>
          <cell r="AT278" t="str">
            <v/>
          </cell>
          <cell r="AV278" t="b">
            <v>0</v>
          </cell>
          <cell r="AW278" t="str">
            <v>minute &amp; call</v>
          </cell>
        </row>
        <row r="279">
          <cell r="S279" t="str">
            <v>DOM GUF GU82L</v>
          </cell>
          <cell r="T279" t="str">
            <v>DOM</v>
          </cell>
          <cell r="U279" t="str">
            <v>GUF</v>
          </cell>
          <cell r="V279" t="str">
            <v>GU82L</v>
          </cell>
          <cell r="X279">
            <v>7.4999999999999997E-2</v>
          </cell>
          <cell r="Y279">
            <v>9.4E-2</v>
          </cell>
          <cell r="Z279">
            <v>7.4999999999999997E-2</v>
          </cell>
          <cell r="AA279">
            <v>9.4E-2</v>
          </cell>
          <cell r="AB279">
            <v>7.4999999999999997E-2</v>
          </cell>
          <cell r="AC279">
            <v>9.4E-2</v>
          </cell>
          <cell r="AD279">
            <v>7.4999999999999997E-2</v>
          </cell>
          <cell r="AE279">
            <v>9.4E-2</v>
          </cell>
          <cell r="AG279" t="str">
            <v/>
          </cell>
          <cell r="AH279" t="str">
            <v/>
          </cell>
          <cell r="AJ279">
            <v>7.4999999999999997E-2</v>
          </cell>
          <cell r="AK279">
            <v>9.4E-2</v>
          </cell>
          <cell r="AL279">
            <v>7.4999999999999997E-2</v>
          </cell>
          <cell r="AM279">
            <v>9.4E-2</v>
          </cell>
          <cell r="AN279">
            <v>7.4999999999999997E-2</v>
          </cell>
          <cell r="AO279">
            <v>9.4E-2</v>
          </cell>
          <cell r="AP279">
            <v>7.4999999999999997E-2</v>
          </cell>
          <cell r="AQ279">
            <v>9.4E-2</v>
          </cell>
          <cell r="AS279" t="str">
            <v/>
          </cell>
          <cell r="AT279" t="str">
            <v/>
          </cell>
          <cell r="AV279" t="b">
            <v>0</v>
          </cell>
          <cell r="AW279" t="str">
            <v>minute &amp; call</v>
          </cell>
        </row>
        <row r="280">
          <cell r="S280" t="str">
            <v>DOM GUF GU825</v>
          </cell>
          <cell r="T280" t="str">
            <v>DOM</v>
          </cell>
          <cell r="U280" t="str">
            <v>GUF</v>
          </cell>
          <cell r="V280" t="str">
            <v>GU825</v>
          </cell>
          <cell r="X280">
            <v>0.12529999999999999</v>
          </cell>
          <cell r="Y280">
            <v>0</v>
          </cell>
          <cell r="Z280">
            <v>0.12529999999999999</v>
          </cell>
          <cell r="AA280">
            <v>0</v>
          </cell>
          <cell r="AB280">
            <v>0.12529999999999999</v>
          </cell>
          <cell r="AC280">
            <v>0</v>
          </cell>
          <cell r="AD280">
            <v>0.12529999999999999</v>
          </cell>
          <cell r="AE280">
            <v>0</v>
          </cell>
          <cell r="AG280" t="str">
            <v/>
          </cell>
          <cell r="AH280" t="str">
            <v/>
          </cell>
          <cell r="AJ280">
            <v>0.12529999999999999</v>
          </cell>
          <cell r="AK280">
            <v>0</v>
          </cell>
          <cell r="AL280">
            <v>0.12529999999999999</v>
          </cell>
          <cell r="AM280">
            <v>0</v>
          </cell>
          <cell r="AN280">
            <v>0.12529999999999999</v>
          </cell>
          <cell r="AO280">
            <v>0</v>
          </cell>
          <cell r="AP280">
            <v>0.12529999999999999</v>
          </cell>
          <cell r="AQ280">
            <v>0</v>
          </cell>
          <cell r="AS280" t="str">
            <v/>
          </cell>
          <cell r="AT280" t="str">
            <v/>
          </cell>
          <cell r="AV280" t="b">
            <v>0</v>
          </cell>
          <cell r="AW280" t="str">
            <v>minute</v>
          </cell>
        </row>
        <row r="281">
          <cell r="S281" t="str">
            <v>DOM GUF GU89H</v>
          </cell>
          <cell r="T281" t="str">
            <v>DOM</v>
          </cell>
          <cell r="U281" t="str">
            <v>GUF</v>
          </cell>
          <cell r="V281" t="str">
            <v>GU89H</v>
          </cell>
          <cell r="X281">
            <v>0.12529999999999999</v>
          </cell>
          <cell r="Y281">
            <v>0</v>
          </cell>
          <cell r="Z281">
            <v>0.12529999999999999</v>
          </cell>
          <cell r="AA281">
            <v>0</v>
          </cell>
          <cell r="AB281">
            <v>0.12529999999999999</v>
          </cell>
          <cell r="AC281">
            <v>0</v>
          </cell>
          <cell r="AD281">
            <v>0.12529999999999999</v>
          </cell>
          <cell r="AE281">
            <v>0</v>
          </cell>
          <cell r="AG281" t="str">
            <v/>
          </cell>
          <cell r="AH281" t="str">
            <v/>
          </cell>
          <cell r="AJ281">
            <v>0.12529999999999999</v>
          </cell>
          <cell r="AK281">
            <v>0</v>
          </cell>
          <cell r="AL281">
            <v>0.12529999999999999</v>
          </cell>
          <cell r="AM281">
            <v>0</v>
          </cell>
          <cell r="AN281">
            <v>0.12529999999999999</v>
          </cell>
          <cell r="AO281">
            <v>0</v>
          </cell>
          <cell r="AP281">
            <v>0.12529999999999999</v>
          </cell>
          <cell r="AQ281">
            <v>0</v>
          </cell>
          <cell r="AS281" t="str">
            <v/>
          </cell>
          <cell r="AT281" t="str">
            <v/>
          </cell>
          <cell r="AV281" t="b">
            <v>0</v>
          </cell>
          <cell r="AW281" t="str">
            <v>minute</v>
          </cell>
        </row>
        <row r="282">
          <cell r="S282" t="str">
            <v>DOM GUF GU89L</v>
          </cell>
          <cell r="T282" t="str">
            <v>DOM</v>
          </cell>
          <cell r="U282" t="str">
            <v>GUF</v>
          </cell>
          <cell r="V282" t="str">
            <v>GU89L</v>
          </cell>
          <cell r="X282">
            <v>9.4E-2</v>
          </cell>
          <cell r="Y282">
            <v>0</v>
          </cell>
          <cell r="Z282">
            <v>9.4E-2</v>
          </cell>
          <cell r="AA282">
            <v>0</v>
          </cell>
          <cell r="AB282">
            <v>9.4E-2</v>
          </cell>
          <cell r="AC282">
            <v>0</v>
          </cell>
          <cell r="AD282">
            <v>9.4E-2</v>
          </cell>
          <cell r="AE282">
            <v>0</v>
          </cell>
          <cell r="AG282" t="str">
            <v/>
          </cell>
          <cell r="AH282" t="str">
            <v/>
          </cell>
          <cell r="AJ282">
            <v>9.4E-2</v>
          </cell>
          <cell r="AK282">
            <v>0</v>
          </cell>
          <cell r="AL282">
            <v>9.4E-2</v>
          </cell>
          <cell r="AM282">
            <v>0</v>
          </cell>
          <cell r="AN282">
            <v>9.4E-2</v>
          </cell>
          <cell r="AO282">
            <v>0</v>
          </cell>
          <cell r="AP282">
            <v>9.4E-2</v>
          </cell>
          <cell r="AQ282">
            <v>0</v>
          </cell>
          <cell r="AS282" t="str">
            <v/>
          </cell>
          <cell r="AT282" t="str">
            <v/>
          </cell>
          <cell r="AV282" t="b">
            <v>0</v>
          </cell>
          <cell r="AW282" t="str">
            <v>minute</v>
          </cell>
        </row>
        <row r="283">
          <cell r="S283" t="str">
            <v>DOM GUF GU891</v>
          </cell>
          <cell r="T283" t="str">
            <v>DOM</v>
          </cell>
          <cell r="U283" t="str">
            <v>GUF</v>
          </cell>
          <cell r="V283" t="str">
            <v>GU891</v>
          </cell>
          <cell r="X283">
            <v>0.188</v>
          </cell>
          <cell r="Y283">
            <v>0</v>
          </cell>
          <cell r="Z283">
            <v>0.188</v>
          </cell>
          <cell r="AA283">
            <v>0</v>
          </cell>
          <cell r="AB283">
            <v>0.188</v>
          </cell>
          <cell r="AC283">
            <v>0</v>
          </cell>
          <cell r="AD283">
            <v>0.188</v>
          </cell>
          <cell r="AE283">
            <v>0</v>
          </cell>
          <cell r="AG283" t="str">
            <v/>
          </cell>
          <cell r="AH283" t="str">
            <v/>
          </cell>
          <cell r="AJ283">
            <v>0.188</v>
          </cell>
          <cell r="AK283">
            <v>0</v>
          </cell>
          <cell r="AL283">
            <v>0.188</v>
          </cell>
          <cell r="AM283">
            <v>0</v>
          </cell>
          <cell r="AN283">
            <v>0.188</v>
          </cell>
          <cell r="AO283">
            <v>0</v>
          </cell>
          <cell r="AP283">
            <v>0.188</v>
          </cell>
          <cell r="AQ283">
            <v>0</v>
          </cell>
          <cell r="AS283" t="str">
            <v/>
          </cell>
          <cell r="AT283" t="str">
            <v/>
          </cell>
          <cell r="AV283" t="b">
            <v>0</v>
          </cell>
          <cell r="AW283" t="str">
            <v>minute</v>
          </cell>
        </row>
        <row r="284">
          <cell r="S284" t="str">
            <v>DOM GUF GU892</v>
          </cell>
          <cell r="T284" t="str">
            <v>DOM</v>
          </cell>
          <cell r="U284" t="str">
            <v>GUF</v>
          </cell>
          <cell r="V284" t="str">
            <v>GU892</v>
          </cell>
          <cell r="X284">
            <v>0.28199999999999997</v>
          </cell>
          <cell r="Y284">
            <v>0</v>
          </cell>
          <cell r="Z284">
            <v>0.28199999999999997</v>
          </cell>
          <cell r="AA284">
            <v>0</v>
          </cell>
          <cell r="AB284">
            <v>0.28199999999999997</v>
          </cell>
          <cell r="AC284">
            <v>0</v>
          </cell>
          <cell r="AD284">
            <v>0.28199999999999997</v>
          </cell>
          <cell r="AE284">
            <v>0</v>
          </cell>
          <cell r="AG284" t="str">
            <v/>
          </cell>
          <cell r="AH284" t="str">
            <v/>
          </cell>
          <cell r="AJ284">
            <v>0.28199999999999997</v>
          </cell>
          <cell r="AK284">
            <v>0</v>
          </cell>
          <cell r="AL284">
            <v>0.28199999999999997</v>
          </cell>
          <cell r="AM284">
            <v>0</v>
          </cell>
          <cell r="AN284">
            <v>0.28199999999999997</v>
          </cell>
          <cell r="AO284">
            <v>0</v>
          </cell>
          <cell r="AP284">
            <v>0.28199999999999997</v>
          </cell>
          <cell r="AQ284">
            <v>0</v>
          </cell>
          <cell r="AS284" t="str">
            <v/>
          </cell>
          <cell r="AT284" t="str">
            <v/>
          </cell>
          <cell r="AV284" t="b">
            <v>0</v>
          </cell>
          <cell r="AW284" t="str">
            <v>minute</v>
          </cell>
        </row>
        <row r="285">
          <cell r="S285" t="str">
            <v>DOM GUF GU897</v>
          </cell>
          <cell r="T285" t="str">
            <v>DOM</v>
          </cell>
          <cell r="U285" t="str">
            <v>GUF</v>
          </cell>
          <cell r="V285" t="str">
            <v>GU897</v>
          </cell>
          <cell r="X285">
            <v>0</v>
          </cell>
          <cell r="Y285">
            <v>0.47</v>
          </cell>
          <cell r="Z285">
            <v>0</v>
          </cell>
          <cell r="AA285">
            <v>0.47</v>
          </cell>
          <cell r="AB285">
            <v>0</v>
          </cell>
          <cell r="AC285">
            <v>0.47</v>
          </cell>
          <cell r="AD285">
            <v>0</v>
          </cell>
          <cell r="AE285">
            <v>0.47</v>
          </cell>
          <cell r="AG285" t="str">
            <v/>
          </cell>
          <cell r="AH285" t="str">
            <v/>
          </cell>
          <cell r="AJ285">
            <v>0</v>
          </cell>
          <cell r="AK285">
            <v>0.47</v>
          </cell>
          <cell r="AL285">
            <v>0</v>
          </cell>
          <cell r="AM285">
            <v>0.47</v>
          </cell>
          <cell r="AN285">
            <v>0</v>
          </cell>
          <cell r="AO285">
            <v>0.47</v>
          </cell>
          <cell r="AP285">
            <v>0</v>
          </cell>
          <cell r="AQ285">
            <v>0.47</v>
          </cell>
          <cell r="AS285" t="str">
            <v/>
          </cell>
          <cell r="AT285" t="str">
            <v/>
          </cell>
          <cell r="AV285" t="b">
            <v>0</v>
          </cell>
          <cell r="AW285" t="str">
            <v>call</v>
          </cell>
        </row>
        <row r="286">
          <cell r="S286" t="str">
            <v>DOM GUF GU899</v>
          </cell>
          <cell r="T286" t="str">
            <v>DOM</v>
          </cell>
          <cell r="U286" t="str">
            <v>GUF</v>
          </cell>
          <cell r="V286" t="str">
            <v>GU899</v>
          </cell>
          <cell r="X286">
            <v>0.28199999999999997</v>
          </cell>
          <cell r="Y286">
            <v>1.1276999999999999</v>
          </cell>
          <cell r="Z286">
            <v>0.28199999999999997</v>
          </cell>
          <cell r="AA286">
            <v>1.1276999999999999</v>
          </cell>
          <cell r="AB286">
            <v>0.28199999999999997</v>
          </cell>
          <cell r="AC286">
            <v>1.1276999999999999</v>
          </cell>
          <cell r="AD286">
            <v>0.28199999999999997</v>
          </cell>
          <cell r="AE286">
            <v>1.1276999999999999</v>
          </cell>
          <cell r="AG286" t="str">
            <v/>
          </cell>
          <cell r="AH286" t="str">
            <v/>
          </cell>
          <cell r="AJ286">
            <v>0.28199999999999997</v>
          </cell>
          <cell r="AK286">
            <v>1.1276999999999999</v>
          </cell>
          <cell r="AL286">
            <v>0.28199999999999997</v>
          </cell>
          <cell r="AM286">
            <v>1.1276999999999999</v>
          </cell>
          <cell r="AN286">
            <v>0.28199999999999997</v>
          </cell>
          <cell r="AO286">
            <v>1.1276999999999999</v>
          </cell>
          <cell r="AP286">
            <v>0.28199999999999997</v>
          </cell>
          <cell r="AQ286">
            <v>1.1276999999999999</v>
          </cell>
          <cell r="AS286" t="str">
            <v/>
          </cell>
          <cell r="AT286" t="str">
            <v/>
          </cell>
          <cell r="AV286" t="b">
            <v>0</v>
          </cell>
          <cell r="AW286" t="str">
            <v>minute &amp; call</v>
          </cell>
        </row>
        <row r="287">
          <cell r="S287" t="str">
            <v>DOM GUF GU006</v>
          </cell>
          <cell r="T287" t="str">
            <v>DOM</v>
          </cell>
          <cell r="U287" t="str">
            <v>GUF</v>
          </cell>
          <cell r="V287" t="str">
            <v>GU006</v>
          </cell>
          <cell r="X287">
            <v>0.28199999999999997</v>
          </cell>
          <cell r="Y287">
            <v>1.1279999999999999</v>
          </cell>
          <cell r="Z287">
            <v>0.28199999999999997</v>
          </cell>
          <cell r="AA287">
            <v>1.1279999999999999</v>
          </cell>
          <cell r="AB287">
            <v>0.28199999999999997</v>
          </cell>
          <cell r="AC287">
            <v>1.1279999999999999</v>
          </cell>
          <cell r="AD287">
            <v>0.28199999999999997</v>
          </cell>
          <cell r="AE287">
            <v>1.1279999999999999</v>
          </cell>
          <cell r="AG287" t="str">
            <v/>
          </cell>
          <cell r="AH287" t="str">
            <v/>
          </cell>
          <cell r="AJ287">
            <v>0.28199999999999997</v>
          </cell>
          <cell r="AK287">
            <v>1.1279999999999999</v>
          </cell>
          <cell r="AL287">
            <v>0.28199999999999997</v>
          </cell>
          <cell r="AM287">
            <v>1.1279999999999999</v>
          </cell>
          <cell r="AN287">
            <v>0.28199999999999997</v>
          </cell>
          <cell r="AO287">
            <v>1.1279999999999999</v>
          </cell>
          <cell r="AP287">
            <v>0.28199999999999997</v>
          </cell>
          <cell r="AQ287">
            <v>1.1279999999999999</v>
          </cell>
          <cell r="AS287" t="str">
            <v/>
          </cell>
          <cell r="AT287" t="str">
            <v/>
          </cell>
          <cell r="AV287" t="b">
            <v>0</v>
          </cell>
          <cell r="AW287" t="str">
            <v>minute &amp; call</v>
          </cell>
        </row>
        <row r="288">
          <cell r="S288" t="str">
            <v>DOM GUF GU218</v>
          </cell>
          <cell r="T288" t="str">
            <v>DOM</v>
          </cell>
          <cell r="U288" t="str">
            <v>GUF</v>
          </cell>
          <cell r="V288" t="str">
            <v>GU218</v>
          </cell>
          <cell r="X288">
            <v>0.752</v>
          </cell>
          <cell r="Y288">
            <v>0.752</v>
          </cell>
          <cell r="Z288">
            <v>0.752</v>
          </cell>
          <cell r="AA288">
            <v>0.752</v>
          </cell>
          <cell r="AB288">
            <v>0.752</v>
          </cell>
          <cell r="AC288">
            <v>0.752</v>
          </cell>
          <cell r="AD288">
            <v>0.752</v>
          </cell>
          <cell r="AE288">
            <v>0.752</v>
          </cell>
          <cell r="AG288" t="str">
            <v/>
          </cell>
          <cell r="AH288" t="str">
            <v/>
          </cell>
          <cell r="AJ288">
            <v>0.752</v>
          </cell>
          <cell r="AK288">
            <v>0.752</v>
          </cell>
          <cell r="AL288">
            <v>0.752</v>
          </cell>
          <cell r="AM288">
            <v>0.752</v>
          </cell>
          <cell r="AN288">
            <v>0.752</v>
          </cell>
          <cell r="AO288">
            <v>0.752</v>
          </cell>
          <cell r="AP288">
            <v>0.752</v>
          </cell>
          <cell r="AQ288">
            <v>0.752</v>
          </cell>
          <cell r="AS288" t="str">
            <v/>
          </cell>
          <cell r="AT288" t="str">
            <v/>
          </cell>
          <cell r="AV288" t="b">
            <v>0</v>
          </cell>
          <cell r="AW288" t="str">
            <v>minute &amp; call</v>
          </cell>
        </row>
        <row r="289">
          <cell r="S289" t="str">
            <v>DOM GUF GU222</v>
          </cell>
          <cell r="T289" t="str">
            <v>DOM</v>
          </cell>
          <cell r="U289" t="str">
            <v>GUF</v>
          </cell>
          <cell r="V289" t="str">
            <v>GU222</v>
          </cell>
          <cell r="X289">
            <v>0.188</v>
          </cell>
          <cell r="Y289">
            <v>1.1279999999999999</v>
          </cell>
          <cell r="Z289">
            <v>0.188</v>
          </cell>
          <cell r="AA289">
            <v>1.1279999999999999</v>
          </cell>
          <cell r="AB289">
            <v>0.188</v>
          </cell>
          <cell r="AC289">
            <v>1.1279999999999999</v>
          </cell>
          <cell r="AD289">
            <v>0.188</v>
          </cell>
          <cell r="AE289">
            <v>1.1279999999999999</v>
          </cell>
          <cell r="AG289" t="str">
            <v/>
          </cell>
          <cell r="AH289" t="str">
            <v/>
          </cell>
          <cell r="AJ289">
            <v>0.188</v>
          </cell>
          <cell r="AK289">
            <v>1.1279999999999999</v>
          </cell>
          <cell r="AL289">
            <v>0.188</v>
          </cell>
          <cell r="AM289">
            <v>1.1279999999999999</v>
          </cell>
          <cell r="AN289">
            <v>0.188</v>
          </cell>
          <cell r="AO289">
            <v>1.1279999999999999</v>
          </cell>
          <cell r="AP289">
            <v>0.188</v>
          </cell>
          <cell r="AQ289">
            <v>1.1279999999999999</v>
          </cell>
          <cell r="AS289" t="str">
            <v/>
          </cell>
          <cell r="AT289" t="str">
            <v/>
          </cell>
          <cell r="AV289" t="b">
            <v>0</v>
          </cell>
          <cell r="AW289" t="str">
            <v>minute &amp; call</v>
          </cell>
        </row>
        <row r="290">
          <cell r="S290" t="str">
            <v>DOM GUF GU700</v>
          </cell>
          <cell r="T290" t="str">
            <v>DOM</v>
          </cell>
          <cell r="U290" t="str">
            <v>GUF</v>
          </cell>
          <cell r="V290" t="str">
            <v>GU700</v>
          </cell>
          <cell r="X290">
            <v>0</v>
          </cell>
          <cell r="Y290">
            <v>2.5099999999999998</v>
          </cell>
          <cell r="Z290">
            <v>0</v>
          </cell>
          <cell r="AA290">
            <v>2.5099999999999998</v>
          </cell>
          <cell r="AB290">
            <v>0</v>
          </cell>
          <cell r="AC290">
            <v>2.5099999999999998</v>
          </cell>
          <cell r="AD290">
            <v>0</v>
          </cell>
          <cell r="AE290">
            <v>2.5099999999999998</v>
          </cell>
          <cell r="AG290" t="str">
            <v/>
          </cell>
          <cell r="AH290" t="str">
            <v/>
          </cell>
          <cell r="AJ290">
            <v>0</v>
          </cell>
          <cell r="AK290">
            <v>2.5099999999999998</v>
          </cell>
          <cell r="AL290">
            <v>0</v>
          </cell>
          <cell r="AM290">
            <v>2.5099999999999998</v>
          </cell>
          <cell r="AN290">
            <v>0</v>
          </cell>
          <cell r="AO290">
            <v>2.5099999999999998</v>
          </cell>
          <cell r="AP290">
            <v>0</v>
          </cell>
          <cell r="AQ290">
            <v>2.5099999999999998</v>
          </cell>
          <cell r="AS290" t="str">
            <v/>
          </cell>
          <cell r="AT290" t="str">
            <v/>
          </cell>
          <cell r="AV290" t="b">
            <v>0</v>
          </cell>
          <cell r="AW290" t="str">
            <v>call</v>
          </cell>
        </row>
        <row r="291">
          <cell r="S291" t="str">
            <v>DOM GUF GU710</v>
          </cell>
          <cell r="T291" t="str">
            <v>DOM</v>
          </cell>
          <cell r="U291" t="str">
            <v>GUF</v>
          </cell>
          <cell r="V291" t="str">
            <v>GU710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G291" t="str">
            <v/>
          </cell>
          <cell r="AH291" t="str">
            <v/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S291" t="str">
            <v/>
          </cell>
          <cell r="AT291" t="str">
            <v/>
          </cell>
          <cell r="AV291" t="b">
            <v>0</v>
          </cell>
          <cell r="AW291" t="str">
            <v>minute</v>
          </cell>
        </row>
        <row r="292">
          <cell r="S292" t="str">
            <v>DOM GUF GU711</v>
          </cell>
          <cell r="T292" t="str">
            <v>DOM</v>
          </cell>
          <cell r="U292" t="str">
            <v>GUF</v>
          </cell>
          <cell r="V292" t="str">
            <v>GU711</v>
          </cell>
          <cell r="X292">
            <v>0.28199999999999997</v>
          </cell>
          <cell r="Y292">
            <v>0.65800000000000003</v>
          </cell>
          <cell r="Z292">
            <v>0.28199999999999997</v>
          </cell>
          <cell r="AA292">
            <v>0.65800000000000003</v>
          </cell>
          <cell r="AB292">
            <v>0.28199999999999997</v>
          </cell>
          <cell r="AC292">
            <v>0.65800000000000003</v>
          </cell>
          <cell r="AD292">
            <v>0.28199999999999997</v>
          </cell>
          <cell r="AE292">
            <v>0.65800000000000003</v>
          </cell>
          <cell r="AG292" t="str">
            <v/>
          </cell>
          <cell r="AH292" t="str">
            <v/>
          </cell>
          <cell r="AJ292">
            <v>0.28199999999999997</v>
          </cell>
          <cell r="AK292">
            <v>0.65800000000000003</v>
          </cell>
          <cell r="AL292">
            <v>0.28199999999999997</v>
          </cell>
          <cell r="AM292">
            <v>0.65800000000000003</v>
          </cell>
          <cell r="AN292">
            <v>0.28199999999999997</v>
          </cell>
          <cell r="AO292">
            <v>0.65800000000000003</v>
          </cell>
          <cell r="AP292">
            <v>0.28199999999999997</v>
          </cell>
          <cell r="AQ292">
            <v>0.65800000000000003</v>
          </cell>
          <cell r="AS292" t="str">
            <v/>
          </cell>
          <cell r="AT292" t="str">
            <v/>
          </cell>
          <cell r="AV292" t="b">
            <v>0</v>
          </cell>
          <cell r="AW292" t="str">
            <v>minute &amp; call</v>
          </cell>
        </row>
        <row r="293">
          <cell r="S293" t="str">
            <v>DOM GUF GU712</v>
          </cell>
          <cell r="T293" t="str">
            <v>DOM</v>
          </cell>
          <cell r="U293" t="str">
            <v>GUF</v>
          </cell>
          <cell r="V293" t="str">
            <v>GU712</v>
          </cell>
          <cell r="X293">
            <v>0.376</v>
          </cell>
          <cell r="Y293">
            <v>1.222</v>
          </cell>
          <cell r="Z293">
            <v>0.376</v>
          </cell>
          <cell r="AA293">
            <v>1.222</v>
          </cell>
          <cell r="AB293">
            <v>0.376</v>
          </cell>
          <cell r="AC293">
            <v>1.222</v>
          </cell>
          <cell r="AD293">
            <v>0.376</v>
          </cell>
          <cell r="AE293">
            <v>1.222</v>
          </cell>
          <cell r="AG293" t="str">
            <v/>
          </cell>
          <cell r="AH293" t="str">
            <v/>
          </cell>
          <cell r="AJ293">
            <v>0.376</v>
          </cell>
          <cell r="AK293">
            <v>1.222</v>
          </cell>
          <cell r="AL293">
            <v>0.376</v>
          </cell>
          <cell r="AM293">
            <v>1.222</v>
          </cell>
          <cell r="AN293">
            <v>0.376</v>
          </cell>
          <cell r="AO293">
            <v>1.222</v>
          </cell>
          <cell r="AP293">
            <v>0.376</v>
          </cell>
          <cell r="AQ293">
            <v>1.222</v>
          </cell>
          <cell r="AS293" t="str">
            <v/>
          </cell>
          <cell r="AT293" t="str">
            <v/>
          </cell>
          <cell r="AV293" t="b">
            <v>0</v>
          </cell>
          <cell r="AW293" t="str">
            <v>minute &amp; call</v>
          </cell>
        </row>
        <row r="294">
          <cell r="S294" t="str">
            <v>DOM GUF GU888</v>
          </cell>
          <cell r="T294" t="str">
            <v>DOM</v>
          </cell>
          <cell r="U294" t="str">
            <v>GUF</v>
          </cell>
          <cell r="V294" t="str">
            <v>GU888</v>
          </cell>
          <cell r="X294">
            <v>9.4E-2</v>
          </cell>
          <cell r="Y294">
            <v>0.94</v>
          </cell>
          <cell r="Z294">
            <v>9.4E-2</v>
          </cell>
          <cell r="AA294">
            <v>0.94</v>
          </cell>
          <cell r="AB294">
            <v>9.4E-2</v>
          </cell>
          <cell r="AC294">
            <v>0.94</v>
          </cell>
          <cell r="AD294">
            <v>9.4E-2</v>
          </cell>
          <cell r="AE294">
            <v>0.94</v>
          </cell>
          <cell r="AG294" t="str">
            <v/>
          </cell>
          <cell r="AH294" t="str">
            <v/>
          </cell>
          <cell r="AJ294">
            <v>9.4E-2</v>
          </cell>
          <cell r="AK294">
            <v>0.94</v>
          </cell>
          <cell r="AL294">
            <v>9.4E-2</v>
          </cell>
          <cell r="AM294">
            <v>0.94</v>
          </cell>
          <cell r="AN294">
            <v>9.4E-2</v>
          </cell>
          <cell r="AO294">
            <v>0.94</v>
          </cell>
          <cell r="AP294">
            <v>9.4E-2</v>
          </cell>
          <cell r="AQ294">
            <v>0.94</v>
          </cell>
          <cell r="AS294" t="str">
            <v/>
          </cell>
          <cell r="AT294" t="str">
            <v/>
          </cell>
          <cell r="AV294" t="b">
            <v>0</v>
          </cell>
          <cell r="AW294" t="str">
            <v>minute &amp; call</v>
          </cell>
        </row>
        <row r="295">
          <cell r="S295" t="str">
            <v>DOM GUF GUFRE</v>
          </cell>
          <cell r="T295" t="str">
            <v>DOM</v>
          </cell>
          <cell r="U295" t="str">
            <v>GUF</v>
          </cell>
          <cell r="V295" t="str">
            <v>GUFRE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G295" t="str">
            <v/>
          </cell>
          <cell r="AH295" t="str">
            <v/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S295" t="str">
            <v/>
          </cell>
          <cell r="AT295" t="str">
            <v/>
          </cell>
          <cell r="AV295" t="b">
            <v>0</v>
          </cell>
          <cell r="AW295" t="str">
            <v>minute</v>
          </cell>
        </row>
        <row r="296">
          <cell r="S296" t="str">
            <v>DOM GUF GU810</v>
          </cell>
          <cell r="T296" t="str">
            <v>DOM</v>
          </cell>
          <cell r="U296" t="str">
            <v>GUF</v>
          </cell>
          <cell r="V296" t="str">
            <v>GU810</v>
          </cell>
          <cell r="X296">
            <v>2.3E-2</v>
          </cell>
          <cell r="Y296">
            <v>6.5000000000000002E-2</v>
          </cell>
          <cell r="Z296">
            <v>2.3E-2</v>
          </cell>
          <cell r="AA296">
            <v>6.5000000000000002E-2</v>
          </cell>
          <cell r="AB296">
            <v>2.3E-2</v>
          </cell>
          <cell r="AC296">
            <v>6.5000000000000002E-2</v>
          </cell>
          <cell r="AD296">
            <v>2.3E-2</v>
          </cell>
          <cell r="AE296">
            <v>6.5000000000000002E-2</v>
          </cell>
          <cell r="AG296" t="str">
            <v/>
          </cell>
          <cell r="AH296" t="str">
            <v/>
          </cell>
          <cell r="AJ296">
            <v>2.3E-2</v>
          </cell>
          <cell r="AK296">
            <v>6.5000000000000002E-2</v>
          </cell>
          <cell r="AL296">
            <v>2.3E-2</v>
          </cell>
          <cell r="AM296">
            <v>6.5000000000000002E-2</v>
          </cell>
          <cell r="AN296">
            <v>2.3E-2</v>
          </cell>
          <cell r="AO296">
            <v>6.5000000000000002E-2</v>
          </cell>
          <cell r="AP296">
            <v>2.3E-2</v>
          </cell>
          <cell r="AQ296">
            <v>6.5000000000000002E-2</v>
          </cell>
          <cell r="AS296" t="str">
            <v/>
          </cell>
          <cell r="AT296" t="str">
            <v/>
          </cell>
          <cell r="AV296" t="b">
            <v>0</v>
          </cell>
          <cell r="AW296" t="str">
            <v>minute &amp; call</v>
          </cell>
        </row>
        <row r="297">
          <cell r="S297" t="str">
            <v>DOM GEO MOB</v>
          </cell>
          <cell r="T297" t="str">
            <v>DOM</v>
          </cell>
          <cell r="U297" t="str">
            <v>GEO</v>
          </cell>
          <cell r="V297" t="str">
            <v>MOB</v>
          </cell>
          <cell r="X297">
            <v>0.17469999999999999</v>
          </cell>
          <cell r="Y297">
            <v>0</v>
          </cell>
          <cell r="Z297">
            <v>0.15190000000000001</v>
          </cell>
          <cell r="AA297">
            <v>0</v>
          </cell>
          <cell r="AB297">
            <v>0.1321</v>
          </cell>
          <cell r="AC297">
            <v>0</v>
          </cell>
          <cell r="AD297">
            <v>0.1149</v>
          </cell>
          <cell r="AE297">
            <v>0</v>
          </cell>
          <cell r="AG297" t="str">
            <v/>
          </cell>
          <cell r="AH297" t="str">
            <v/>
          </cell>
          <cell r="AJ297">
            <v>0.17469999999999999</v>
          </cell>
          <cell r="AK297">
            <v>0</v>
          </cell>
          <cell r="AL297">
            <v>0.15190000000000001</v>
          </cell>
          <cell r="AM297">
            <v>0</v>
          </cell>
          <cell r="AN297">
            <v>0.1321</v>
          </cell>
          <cell r="AO297">
            <v>0</v>
          </cell>
          <cell r="AP297">
            <v>0.1149</v>
          </cell>
          <cell r="AQ297">
            <v>0</v>
          </cell>
          <cell r="AS297" t="str">
            <v/>
          </cell>
          <cell r="AT297" t="str">
            <v/>
          </cell>
          <cell r="AV297" t="b">
            <v>1</v>
          </cell>
          <cell r="AW297" t="str">
            <v>minute</v>
          </cell>
        </row>
        <row r="298">
          <cell r="S298" t="str">
            <v>DOM GEO GEMGE</v>
          </cell>
          <cell r="T298" t="str">
            <v>DOM</v>
          </cell>
          <cell r="U298" t="str">
            <v>GEO</v>
          </cell>
          <cell r="V298" t="str">
            <v>GEMGE</v>
          </cell>
          <cell r="X298">
            <v>0.17469999999999999</v>
          </cell>
          <cell r="Y298">
            <v>0</v>
          </cell>
          <cell r="Z298">
            <v>0.15190000000000001</v>
          </cell>
          <cell r="AA298">
            <v>0</v>
          </cell>
          <cell r="AB298">
            <v>0.1321</v>
          </cell>
          <cell r="AC298">
            <v>0</v>
          </cell>
          <cell r="AD298">
            <v>0.1149</v>
          </cell>
          <cell r="AE298">
            <v>0</v>
          </cell>
          <cell r="AG298" t="str">
            <v/>
          </cell>
          <cell r="AH298" t="str">
            <v/>
          </cell>
          <cell r="AJ298">
            <v>0.17469999999999999</v>
          </cell>
          <cell r="AK298">
            <v>0</v>
          </cell>
          <cell r="AL298">
            <v>0.15190000000000001</v>
          </cell>
          <cell r="AM298">
            <v>0</v>
          </cell>
          <cell r="AN298">
            <v>0.1321</v>
          </cell>
          <cell r="AO298">
            <v>0</v>
          </cell>
          <cell r="AP298">
            <v>0.1149</v>
          </cell>
          <cell r="AQ298">
            <v>0</v>
          </cell>
          <cell r="AS298" t="str">
            <v/>
          </cell>
          <cell r="AT298" t="str">
            <v/>
          </cell>
          <cell r="AV298" t="b">
            <v>1</v>
          </cell>
          <cell r="AW298" t="str">
            <v>minute</v>
          </cell>
        </row>
        <row r="299">
          <cell r="S299" t="str">
            <v>DOM GEO FIX</v>
          </cell>
          <cell r="T299" t="str">
            <v>DOM</v>
          </cell>
          <cell r="U299" t="str">
            <v>GEO</v>
          </cell>
          <cell r="V299" t="str">
            <v>FIX</v>
          </cell>
          <cell r="X299">
            <v>9.2799999999999994E-2</v>
          </cell>
          <cell r="Y299">
            <v>0</v>
          </cell>
          <cell r="Z299">
            <v>8.0699999999999994E-2</v>
          </cell>
          <cell r="AA299">
            <v>0</v>
          </cell>
          <cell r="AB299">
            <v>7.0199999999999999E-2</v>
          </cell>
          <cell r="AC299">
            <v>0</v>
          </cell>
          <cell r="AD299">
            <v>6.0999999999999999E-2</v>
          </cell>
          <cell r="AE299">
            <v>0</v>
          </cell>
          <cell r="AG299" t="str">
            <v/>
          </cell>
          <cell r="AH299" t="str">
            <v/>
          </cell>
          <cell r="AJ299">
            <v>9.2799999999999994E-2</v>
          </cell>
          <cell r="AK299">
            <v>0</v>
          </cell>
          <cell r="AL299">
            <v>8.0699999999999994E-2</v>
          </cell>
          <cell r="AM299">
            <v>0</v>
          </cell>
          <cell r="AN299">
            <v>7.0199999999999999E-2</v>
          </cell>
          <cell r="AO299">
            <v>0</v>
          </cell>
          <cell r="AP299">
            <v>6.0999999999999999E-2</v>
          </cell>
          <cell r="AQ299">
            <v>0</v>
          </cell>
          <cell r="AS299" t="str">
            <v/>
          </cell>
          <cell r="AT299" t="str">
            <v/>
          </cell>
          <cell r="AV299" t="b">
            <v>1</v>
          </cell>
          <cell r="AW299" t="str">
            <v>minute</v>
          </cell>
        </row>
        <row r="300">
          <cell r="S300" t="str">
            <v>DOM GER GEVPN</v>
          </cell>
          <cell r="T300" t="str">
            <v>DOM</v>
          </cell>
          <cell r="U300" t="str">
            <v>GER</v>
          </cell>
          <cell r="V300" t="str">
            <v>GEVPN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G300" t="str">
            <v/>
          </cell>
          <cell r="AH300" t="str">
            <v/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S300" t="str">
            <v/>
          </cell>
          <cell r="AT300" t="str">
            <v/>
          </cell>
          <cell r="AV300" t="b">
            <v>0</v>
          </cell>
          <cell r="AW300" t="str">
            <v>minute</v>
          </cell>
        </row>
        <row r="301">
          <cell r="S301" t="str">
            <v>DOM GER GMOTH</v>
          </cell>
          <cell r="T301" t="str">
            <v>DOM</v>
          </cell>
          <cell r="U301" t="str">
            <v>GER</v>
          </cell>
          <cell r="V301" t="str">
            <v>GMOTH</v>
          </cell>
          <cell r="X301">
            <v>1.1900000000000001E-2</v>
          </cell>
          <cell r="Y301">
            <v>0</v>
          </cell>
          <cell r="Z301">
            <v>1.0999999999999999E-2</v>
          </cell>
          <cell r="AA301">
            <v>0</v>
          </cell>
          <cell r="AB301">
            <v>0.01</v>
          </cell>
          <cell r="AC301">
            <v>0</v>
          </cell>
          <cell r="AD301">
            <v>8.0000000000000002E-3</v>
          </cell>
          <cell r="AE301">
            <v>0</v>
          </cell>
          <cell r="AG301" t="str">
            <v/>
          </cell>
          <cell r="AH301" t="str">
            <v/>
          </cell>
          <cell r="AJ301">
            <v>1.1900000000000001E-2</v>
          </cell>
          <cell r="AK301">
            <v>0</v>
          </cell>
          <cell r="AL301">
            <v>1.0999999999999999E-2</v>
          </cell>
          <cell r="AM301">
            <v>0</v>
          </cell>
          <cell r="AN301">
            <v>0.01</v>
          </cell>
          <cell r="AO301">
            <v>0</v>
          </cell>
          <cell r="AP301">
            <v>8.0000000000000002E-3</v>
          </cell>
          <cell r="AQ301">
            <v>0</v>
          </cell>
          <cell r="AS301" t="str">
            <v/>
          </cell>
          <cell r="AT301" t="str">
            <v/>
          </cell>
          <cell r="AV301" t="b">
            <v>1</v>
          </cell>
          <cell r="AW301" t="str">
            <v>minute</v>
          </cell>
        </row>
        <row r="302">
          <cell r="S302" t="str">
            <v>DOM GER GEMEP</v>
          </cell>
          <cell r="T302" t="str">
            <v>DOM</v>
          </cell>
          <cell r="U302" t="str">
            <v>GER</v>
          </cell>
          <cell r="V302" t="str">
            <v>GEMEP</v>
          </cell>
          <cell r="X302">
            <v>3.3000000000000002E-2</v>
          </cell>
          <cell r="Y302">
            <v>0</v>
          </cell>
          <cell r="Z302">
            <v>2.9700000000000001E-2</v>
          </cell>
          <cell r="AA302">
            <v>0</v>
          </cell>
          <cell r="AB302">
            <v>2.75E-2</v>
          </cell>
          <cell r="AC302">
            <v>0</v>
          </cell>
          <cell r="AD302">
            <v>2.47E-2</v>
          </cell>
          <cell r="AE302">
            <v>0</v>
          </cell>
          <cell r="AG302" t="str">
            <v/>
          </cell>
          <cell r="AH302" t="str">
            <v/>
          </cell>
          <cell r="AJ302">
            <v>3.3000000000000002E-2</v>
          </cell>
          <cell r="AK302">
            <v>0</v>
          </cell>
          <cell r="AL302">
            <v>2.9700000000000001E-2</v>
          </cell>
          <cell r="AM302">
            <v>0</v>
          </cell>
          <cell r="AN302">
            <v>2.75E-2</v>
          </cell>
          <cell r="AO302">
            <v>0</v>
          </cell>
          <cell r="AP302">
            <v>2.47E-2</v>
          </cell>
          <cell r="AQ302">
            <v>0</v>
          </cell>
          <cell r="AS302" t="str">
            <v/>
          </cell>
          <cell r="AT302" t="str">
            <v/>
          </cell>
          <cell r="AV302" t="b">
            <v>1</v>
          </cell>
          <cell r="AW302" t="str">
            <v>minute</v>
          </cell>
        </row>
        <row r="303">
          <cell r="S303" t="str">
            <v>DOM GER GEMO2</v>
          </cell>
          <cell r="T303" t="str">
            <v>DOM</v>
          </cell>
          <cell r="U303" t="str">
            <v>GER</v>
          </cell>
          <cell r="V303" t="str">
            <v>GEMO2</v>
          </cell>
          <cell r="X303">
            <v>3.3000000000000002E-2</v>
          </cell>
          <cell r="Y303">
            <v>0</v>
          </cell>
          <cell r="Z303">
            <v>2.9700000000000001E-2</v>
          </cell>
          <cell r="AA303">
            <v>0</v>
          </cell>
          <cell r="AB303">
            <v>2.75E-2</v>
          </cell>
          <cell r="AC303">
            <v>0</v>
          </cell>
          <cell r="AD303">
            <v>2.47E-2</v>
          </cell>
          <cell r="AE303">
            <v>0</v>
          </cell>
          <cell r="AG303" t="str">
            <v/>
          </cell>
          <cell r="AH303" t="str">
            <v/>
          </cell>
          <cell r="AJ303">
            <v>3.3000000000000002E-2</v>
          </cell>
          <cell r="AK303">
            <v>0</v>
          </cell>
          <cell r="AL303">
            <v>2.9700000000000001E-2</v>
          </cell>
          <cell r="AM303">
            <v>0</v>
          </cell>
          <cell r="AN303">
            <v>2.75E-2</v>
          </cell>
          <cell r="AO303">
            <v>0</v>
          </cell>
          <cell r="AP303">
            <v>2.47E-2</v>
          </cell>
          <cell r="AQ303">
            <v>0</v>
          </cell>
          <cell r="AS303" t="str">
            <v/>
          </cell>
          <cell r="AT303" t="str">
            <v/>
          </cell>
          <cell r="AV303" t="b">
            <v>1</v>
          </cell>
          <cell r="AW303" t="str">
            <v>minute</v>
          </cell>
        </row>
        <row r="304">
          <cell r="S304" t="str">
            <v>DOM GER GMMOB</v>
          </cell>
          <cell r="T304" t="str">
            <v>DOM</v>
          </cell>
          <cell r="U304" t="str">
            <v>GER</v>
          </cell>
          <cell r="V304" t="str">
            <v>GMMOB</v>
          </cell>
          <cell r="X304">
            <v>3.3000000000000002E-2</v>
          </cell>
          <cell r="Y304">
            <v>0</v>
          </cell>
          <cell r="Z304">
            <v>2.9700000000000001E-2</v>
          </cell>
          <cell r="AA304">
            <v>0</v>
          </cell>
          <cell r="AB304">
            <v>2.75E-2</v>
          </cell>
          <cell r="AC304">
            <v>0</v>
          </cell>
          <cell r="AD304">
            <v>2.47E-2</v>
          </cell>
          <cell r="AE304">
            <v>0</v>
          </cell>
          <cell r="AG304" t="str">
            <v/>
          </cell>
          <cell r="AH304" t="str">
            <v/>
          </cell>
          <cell r="AJ304">
            <v>3.3000000000000002E-2</v>
          </cell>
          <cell r="AK304">
            <v>0</v>
          </cell>
          <cell r="AL304">
            <v>2.9700000000000001E-2</v>
          </cell>
          <cell r="AM304">
            <v>0</v>
          </cell>
          <cell r="AN304">
            <v>2.75E-2</v>
          </cell>
          <cell r="AO304">
            <v>0</v>
          </cell>
          <cell r="AP304">
            <v>2.47E-2</v>
          </cell>
          <cell r="AQ304">
            <v>0</v>
          </cell>
          <cell r="AS304" t="str">
            <v/>
          </cell>
          <cell r="AT304" t="str">
            <v/>
          </cell>
          <cell r="AV304" t="b">
            <v>1</v>
          </cell>
          <cell r="AW304" t="str">
            <v>minute</v>
          </cell>
        </row>
        <row r="305">
          <cell r="S305" t="str">
            <v>DOM GER GEMTM</v>
          </cell>
          <cell r="T305" t="str">
            <v>DOM</v>
          </cell>
          <cell r="U305" t="str">
            <v>GER</v>
          </cell>
          <cell r="V305" t="str">
            <v>GEMTM</v>
          </cell>
          <cell r="X305">
            <v>3.3000000000000002E-2</v>
          </cell>
          <cell r="Y305">
            <v>0</v>
          </cell>
          <cell r="Z305">
            <v>2.9700000000000001E-2</v>
          </cell>
          <cell r="AA305">
            <v>0</v>
          </cell>
          <cell r="AB305">
            <v>2.75E-2</v>
          </cell>
          <cell r="AC305">
            <v>0</v>
          </cell>
          <cell r="AD305">
            <v>2.47E-2</v>
          </cell>
          <cell r="AE305">
            <v>0</v>
          </cell>
          <cell r="AG305" t="str">
            <v/>
          </cell>
          <cell r="AH305" t="str">
            <v/>
          </cell>
          <cell r="AJ305">
            <v>3.3000000000000002E-2</v>
          </cell>
          <cell r="AK305">
            <v>0</v>
          </cell>
          <cell r="AL305">
            <v>2.9700000000000001E-2</v>
          </cell>
          <cell r="AM305">
            <v>0</v>
          </cell>
          <cell r="AN305">
            <v>2.75E-2</v>
          </cell>
          <cell r="AO305">
            <v>0</v>
          </cell>
          <cell r="AP305">
            <v>2.47E-2</v>
          </cell>
          <cell r="AQ305">
            <v>0</v>
          </cell>
          <cell r="AS305" t="str">
            <v/>
          </cell>
          <cell r="AT305" t="str">
            <v/>
          </cell>
          <cell r="AV305" t="b">
            <v>1</v>
          </cell>
          <cell r="AW305" t="str">
            <v>minute</v>
          </cell>
        </row>
        <row r="306">
          <cell r="S306" t="str">
            <v>DOM GER GEMVO</v>
          </cell>
          <cell r="T306" t="str">
            <v>DOM</v>
          </cell>
          <cell r="U306" t="str">
            <v>GER</v>
          </cell>
          <cell r="V306" t="str">
            <v>GEMVO</v>
          </cell>
          <cell r="X306">
            <v>3.3000000000000002E-2</v>
          </cell>
          <cell r="Y306">
            <v>0</v>
          </cell>
          <cell r="Z306">
            <v>2.9700000000000001E-2</v>
          </cell>
          <cell r="AA306">
            <v>0</v>
          </cell>
          <cell r="AB306">
            <v>2.75E-2</v>
          </cell>
          <cell r="AC306">
            <v>0</v>
          </cell>
          <cell r="AD306">
            <v>2.47E-2</v>
          </cell>
          <cell r="AE306">
            <v>0</v>
          </cell>
          <cell r="AG306" t="str">
            <v/>
          </cell>
          <cell r="AH306" t="str">
            <v/>
          </cell>
          <cell r="AJ306">
            <v>3.3000000000000002E-2</v>
          </cell>
          <cell r="AK306">
            <v>0</v>
          </cell>
          <cell r="AL306">
            <v>2.9700000000000001E-2</v>
          </cell>
          <cell r="AM306">
            <v>0</v>
          </cell>
          <cell r="AN306">
            <v>2.75E-2</v>
          </cell>
          <cell r="AO306">
            <v>0</v>
          </cell>
          <cell r="AP306">
            <v>2.47E-2</v>
          </cell>
          <cell r="AQ306">
            <v>0</v>
          </cell>
          <cell r="AS306" t="str">
            <v/>
          </cell>
          <cell r="AT306" t="str">
            <v/>
          </cell>
          <cell r="AV306" t="b">
            <v>1</v>
          </cell>
          <cell r="AW306" t="str">
            <v>minute</v>
          </cell>
        </row>
        <row r="307">
          <cell r="S307" t="str">
            <v>DOM GER GEDIR</v>
          </cell>
          <cell r="T307" t="str">
            <v>DOM</v>
          </cell>
          <cell r="U307" t="str">
            <v>GER</v>
          </cell>
          <cell r="V307" t="str">
            <v>GEDIR</v>
          </cell>
          <cell r="X307">
            <v>1.6718999999999999</v>
          </cell>
          <cell r="Y307">
            <v>0</v>
          </cell>
          <cell r="Z307">
            <v>1.6718999999999999</v>
          </cell>
          <cell r="AA307">
            <v>0</v>
          </cell>
          <cell r="AB307">
            <v>1.6718999999999999</v>
          </cell>
          <cell r="AC307">
            <v>0</v>
          </cell>
          <cell r="AD307">
            <v>1.6718999999999999</v>
          </cell>
          <cell r="AE307">
            <v>0</v>
          </cell>
          <cell r="AG307" t="str">
            <v/>
          </cell>
          <cell r="AH307" t="str">
            <v/>
          </cell>
          <cell r="AJ307">
            <v>1.6718999999999999</v>
          </cell>
          <cell r="AK307">
            <v>0</v>
          </cell>
          <cell r="AL307">
            <v>1.6718999999999999</v>
          </cell>
          <cell r="AM307">
            <v>0</v>
          </cell>
          <cell r="AN307">
            <v>1.6718999999999999</v>
          </cell>
          <cell r="AO307">
            <v>0</v>
          </cell>
          <cell r="AP307">
            <v>1.6718999999999999</v>
          </cell>
          <cell r="AQ307">
            <v>0</v>
          </cell>
          <cell r="AS307" t="str">
            <v/>
          </cell>
          <cell r="AT307" t="str">
            <v/>
          </cell>
          <cell r="AV307" t="b">
            <v>0</v>
          </cell>
          <cell r="AW307" t="str">
            <v>minute</v>
          </cell>
        </row>
        <row r="308">
          <cell r="S308" t="str">
            <v>DOM GER GEEMN</v>
          </cell>
          <cell r="T308" t="str">
            <v>DOM</v>
          </cell>
          <cell r="U308" t="str">
            <v>GER</v>
          </cell>
          <cell r="V308" t="str">
            <v>GEEMN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G308" t="str">
            <v/>
          </cell>
          <cell r="AH308" t="str">
            <v/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S308" t="str">
            <v/>
          </cell>
          <cell r="AT308" t="str">
            <v/>
          </cell>
          <cell r="AV308" t="b">
            <v>0</v>
          </cell>
          <cell r="AW308" t="str">
            <v>minute</v>
          </cell>
        </row>
        <row r="309">
          <cell r="S309" t="str">
            <v>DOM GER GEONL</v>
          </cell>
          <cell r="T309" t="str">
            <v>DOM</v>
          </cell>
          <cell r="U309" t="str">
            <v>GER</v>
          </cell>
          <cell r="V309" t="str">
            <v>GEONL</v>
          </cell>
          <cell r="X309">
            <v>0.126</v>
          </cell>
          <cell r="Y309">
            <v>0</v>
          </cell>
          <cell r="Z309">
            <v>0.126</v>
          </cell>
          <cell r="AA309">
            <v>0</v>
          </cell>
          <cell r="AB309">
            <v>0.126</v>
          </cell>
          <cell r="AC309">
            <v>0</v>
          </cell>
          <cell r="AD309">
            <v>0.126</v>
          </cell>
          <cell r="AE309">
            <v>0</v>
          </cell>
          <cell r="AG309" t="str">
            <v/>
          </cell>
          <cell r="AH309" t="str">
            <v/>
          </cell>
          <cell r="AJ309">
            <v>0.126</v>
          </cell>
          <cell r="AK309">
            <v>0</v>
          </cell>
          <cell r="AL309">
            <v>0.126</v>
          </cell>
          <cell r="AM309">
            <v>0</v>
          </cell>
          <cell r="AN309">
            <v>0.126</v>
          </cell>
          <cell r="AO309">
            <v>0</v>
          </cell>
          <cell r="AP309">
            <v>0.126</v>
          </cell>
          <cell r="AQ309">
            <v>0</v>
          </cell>
          <cell r="AS309" t="str">
            <v/>
          </cell>
          <cell r="AT309" t="str">
            <v/>
          </cell>
          <cell r="AV309" t="b">
            <v>0</v>
          </cell>
          <cell r="AW309" t="str">
            <v>minute</v>
          </cell>
        </row>
        <row r="310">
          <cell r="S310" t="str">
            <v>DOM GER PAGE</v>
          </cell>
          <cell r="T310" t="str">
            <v>DOM</v>
          </cell>
          <cell r="U310" t="str">
            <v>GER</v>
          </cell>
          <cell r="V310" t="str">
            <v>PAGE</v>
          </cell>
          <cell r="X310">
            <v>0.15629999999999999</v>
          </cell>
          <cell r="Y310">
            <v>0</v>
          </cell>
          <cell r="Z310">
            <v>0.15629999999999999</v>
          </cell>
          <cell r="AA310">
            <v>0</v>
          </cell>
          <cell r="AB310">
            <v>0.15629999999999999</v>
          </cell>
          <cell r="AC310">
            <v>0</v>
          </cell>
          <cell r="AD310">
            <v>0.15629999999999999</v>
          </cell>
          <cell r="AE310">
            <v>0</v>
          </cell>
          <cell r="AG310" t="str">
            <v/>
          </cell>
          <cell r="AH310" t="str">
            <v/>
          </cell>
          <cell r="AJ310">
            <v>0.15629999999999999</v>
          </cell>
          <cell r="AK310">
            <v>0</v>
          </cell>
          <cell r="AL310">
            <v>0.15629999999999999</v>
          </cell>
          <cell r="AM310">
            <v>0</v>
          </cell>
          <cell r="AN310">
            <v>0.15629999999999999</v>
          </cell>
          <cell r="AO310">
            <v>0</v>
          </cell>
          <cell r="AP310">
            <v>0.15629999999999999</v>
          </cell>
          <cell r="AQ310">
            <v>0</v>
          </cell>
          <cell r="AS310" t="str">
            <v/>
          </cell>
          <cell r="AT310" t="str">
            <v/>
          </cell>
          <cell r="AV310" t="b">
            <v>0</v>
          </cell>
          <cell r="AW310" t="str">
            <v>minute</v>
          </cell>
        </row>
        <row r="311">
          <cell r="S311" t="str">
            <v>DOM GER GEPN1</v>
          </cell>
          <cell r="T311" t="str">
            <v>DOM</v>
          </cell>
          <cell r="U311" t="str">
            <v>GER</v>
          </cell>
          <cell r="V311" t="str">
            <v>GEPN1</v>
          </cell>
          <cell r="X311">
            <v>0.1041</v>
          </cell>
          <cell r="Y311">
            <v>0</v>
          </cell>
          <cell r="Z311">
            <v>0.1041</v>
          </cell>
          <cell r="AA311">
            <v>0</v>
          </cell>
          <cell r="AB311">
            <v>0.1041</v>
          </cell>
          <cell r="AC311">
            <v>0</v>
          </cell>
          <cell r="AD311">
            <v>0.1041</v>
          </cell>
          <cell r="AE311">
            <v>0</v>
          </cell>
          <cell r="AG311" t="str">
            <v/>
          </cell>
          <cell r="AH311" t="str">
            <v/>
          </cell>
          <cell r="AJ311">
            <v>0.1041</v>
          </cell>
          <cell r="AK311">
            <v>0</v>
          </cell>
          <cell r="AL311">
            <v>0.1041</v>
          </cell>
          <cell r="AM311">
            <v>0</v>
          </cell>
          <cell r="AN311">
            <v>0.1041</v>
          </cell>
          <cell r="AO311">
            <v>0</v>
          </cell>
          <cell r="AP311">
            <v>0.1041</v>
          </cell>
          <cell r="AQ311">
            <v>0</v>
          </cell>
          <cell r="AS311" t="str">
            <v/>
          </cell>
          <cell r="AT311" t="str">
            <v/>
          </cell>
          <cell r="AV311" t="b">
            <v>0</v>
          </cell>
          <cell r="AW311" t="str">
            <v>minute</v>
          </cell>
        </row>
        <row r="312">
          <cell r="S312" t="str">
            <v>DOM GER GEPAD</v>
          </cell>
          <cell r="T312" t="str">
            <v>DOM</v>
          </cell>
          <cell r="U312" t="str">
            <v>GER</v>
          </cell>
          <cell r="V312" t="str">
            <v>GEPAD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G312" t="str">
            <v/>
          </cell>
          <cell r="AH312" t="str">
            <v/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S312" t="str">
            <v/>
          </cell>
          <cell r="AT312" t="str">
            <v/>
          </cell>
          <cell r="AV312" t="b">
            <v>0</v>
          </cell>
          <cell r="AW312" t="str">
            <v>minute</v>
          </cell>
        </row>
        <row r="313">
          <cell r="S313" t="str">
            <v>DOM GER GEPDL</v>
          </cell>
          <cell r="T313" t="str">
            <v>DOM</v>
          </cell>
          <cell r="U313" t="str">
            <v>GER</v>
          </cell>
          <cell r="V313" t="str">
            <v>GEPDL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G313" t="str">
            <v/>
          </cell>
          <cell r="AH313" t="str">
            <v/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S313" t="str">
            <v/>
          </cell>
          <cell r="AT313" t="str">
            <v/>
          </cell>
          <cell r="AV313" t="b">
            <v>0</v>
          </cell>
          <cell r="AW313" t="str">
            <v>minute</v>
          </cell>
        </row>
        <row r="314">
          <cell r="S314" t="str">
            <v>DOM GER GEPEN</v>
          </cell>
          <cell r="T314" t="str">
            <v>DOM</v>
          </cell>
          <cell r="U314" t="str">
            <v>GER</v>
          </cell>
          <cell r="V314" t="str">
            <v>GEPEN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G314" t="str">
            <v/>
          </cell>
          <cell r="AH314" t="str">
            <v/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S314" t="str">
            <v/>
          </cell>
          <cell r="AT314" t="str">
            <v/>
          </cell>
          <cell r="AV314" t="b">
            <v>0</v>
          </cell>
          <cell r="AW314" t="str">
            <v>minute</v>
          </cell>
        </row>
        <row r="315">
          <cell r="S315" t="str">
            <v>DOM GER GEPIN</v>
          </cell>
          <cell r="T315" t="str">
            <v>DOM</v>
          </cell>
          <cell r="U315" t="str">
            <v>GER</v>
          </cell>
          <cell r="V315" t="str">
            <v>GEPIN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G315" t="str">
            <v/>
          </cell>
          <cell r="AH315" t="str">
            <v/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S315" t="str">
            <v/>
          </cell>
          <cell r="AT315" t="str">
            <v/>
          </cell>
          <cell r="AV315" t="b">
            <v>0</v>
          </cell>
          <cell r="AW315" t="str">
            <v>minute</v>
          </cell>
        </row>
        <row r="316">
          <cell r="S316" t="str">
            <v>DOM GER GETS1</v>
          </cell>
          <cell r="T316" t="str">
            <v>DOM</v>
          </cell>
          <cell r="U316" t="str">
            <v>GER</v>
          </cell>
          <cell r="V316" t="str">
            <v>GETS1</v>
          </cell>
          <cell r="X316">
            <v>3.27E-2</v>
          </cell>
          <cell r="Y316">
            <v>0</v>
          </cell>
          <cell r="Z316">
            <v>3.27E-2</v>
          </cell>
          <cell r="AA316">
            <v>0</v>
          </cell>
          <cell r="AB316">
            <v>3.27E-2</v>
          </cell>
          <cell r="AC316">
            <v>0</v>
          </cell>
          <cell r="AD316">
            <v>3.27E-2</v>
          </cell>
          <cell r="AE316">
            <v>0</v>
          </cell>
          <cell r="AG316" t="str">
            <v/>
          </cell>
          <cell r="AH316" t="str">
            <v/>
          </cell>
          <cell r="AJ316">
            <v>3.27E-2</v>
          </cell>
          <cell r="AK316">
            <v>0</v>
          </cell>
          <cell r="AL316">
            <v>3.27E-2</v>
          </cell>
          <cell r="AM316">
            <v>0</v>
          </cell>
          <cell r="AN316">
            <v>3.27E-2</v>
          </cell>
          <cell r="AO316">
            <v>0</v>
          </cell>
          <cell r="AP316">
            <v>3.27E-2</v>
          </cell>
          <cell r="AQ316">
            <v>0</v>
          </cell>
          <cell r="AS316" t="str">
            <v/>
          </cell>
          <cell r="AT316" t="str">
            <v/>
          </cell>
          <cell r="AV316" t="b">
            <v>0</v>
          </cell>
          <cell r="AW316" t="str">
            <v>minute</v>
          </cell>
        </row>
        <row r="317">
          <cell r="S317" t="str">
            <v>DOM GER GETS2</v>
          </cell>
          <cell r="T317" t="str">
            <v>DOM</v>
          </cell>
          <cell r="U317" t="str">
            <v>GER</v>
          </cell>
          <cell r="V317" t="str">
            <v>GETS2</v>
          </cell>
          <cell r="X317">
            <v>0</v>
          </cell>
          <cell r="Y317">
            <v>5.04E-2</v>
          </cell>
          <cell r="Z317">
            <v>0</v>
          </cell>
          <cell r="AA317">
            <v>5.04E-2</v>
          </cell>
          <cell r="AB317">
            <v>0</v>
          </cell>
          <cell r="AC317">
            <v>5.04E-2</v>
          </cell>
          <cell r="AD317">
            <v>0</v>
          </cell>
          <cell r="AE317">
            <v>5.04E-2</v>
          </cell>
          <cell r="AG317" t="str">
            <v/>
          </cell>
          <cell r="AH317" t="str">
            <v/>
          </cell>
          <cell r="AJ317">
            <v>0</v>
          </cell>
          <cell r="AK317">
            <v>5.04E-2</v>
          </cell>
          <cell r="AL317">
            <v>0</v>
          </cell>
          <cell r="AM317">
            <v>5.04E-2</v>
          </cell>
          <cell r="AN317">
            <v>0</v>
          </cell>
          <cell r="AO317">
            <v>5.04E-2</v>
          </cell>
          <cell r="AP317">
            <v>0</v>
          </cell>
          <cell r="AQ317">
            <v>5.04E-2</v>
          </cell>
          <cell r="AS317" t="str">
            <v/>
          </cell>
          <cell r="AT317" t="str">
            <v/>
          </cell>
          <cell r="AV317" t="b">
            <v>0</v>
          </cell>
          <cell r="AW317" t="str">
            <v>call</v>
          </cell>
        </row>
        <row r="318">
          <cell r="S318" t="str">
            <v>DOM GER GETS3</v>
          </cell>
          <cell r="T318" t="str">
            <v>DOM</v>
          </cell>
          <cell r="U318" t="str">
            <v>GER</v>
          </cell>
          <cell r="V318" t="str">
            <v>GETS3</v>
          </cell>
          <cell r="X318">
            <v>7.5600000000000001E-2</v>
          </cell>
          <cell r="Y318">
            <v>0</v>
          </cell>
          <cell r="Z318">
            <v>7.5600000000000001E-2</v>
          </cell>
          <cell r="AA318">
            <v>0</v>
          </cell>
          <cell r="AB318">
            <v>7.5600000000000001E-2</v>
          </cell>
          <cell r="AC318">
            <v>0</v>
          </cell>
          <cell r="AD318">
            <v>7.5600000000000001E-2</v>
          </cell>
          <cell r="AE318">
            <v>0</v>
          </cell>
          <cell r="AG318" t="str">
            <v/>
          </cell>
          <cell r="AH318" t="str">
            <v/>
          </cell>
          <cell r="AJ318">
            <v>7.5600000000000001E-2</v>
          </cell>
          <cell r="AK318">
            <v>0</v>
          </cell>
          <cell r="AL318">
            <v>7.5600000000000001E-2</v>
          </cell>
          <cell r="AM318">
            <v>0</v>
          </cell>
          <cell r="AN318">
            <v>7.5600000000000001E-2</v>
          </cell>
          <cell r="AO318">
            <v>0</v>
          </cell>
          <cell r="AP318">
            <v>7.5600000000000001E-2</v>
          </cell>
          <cell r="AQ318">
            <v>0</v>
          </cell>
          <cell r="AS318" t="str">
            <v/>
          </cell>
          <cell r="AT318" t="str">
            <v/>
          </cell>
          <cell r="AV318" t="b">
            <v>0</v>
          </cell>
          <cell r="AW318" t="str">
            <v>minute</v>
          </cell>
        </row>
        <row r="319">
          <cell r="S319" t="str">
            <v>DOM GER GETS4</v>
          </cell>
          <cell r="T319" t="str">
            <v>DOM</v>
          </cell>
          <cell r="U319" t="str">
            <v>GER</v>
          </cell>
          <cell r="V319" t="str">
            <v>GETS4</v>
          </cell>
          <cell r="X319">
            <v>0</v>
          </cell>
          <cell r="Y319">
            <v>0.16800000000000001</v>
          </cell>
          <cell r="Z319">
            <v>0</v>
          </cell>
          <cell r="AA319">
            <v>0.16800000000000001</v>
          </cell>
          <cell r="AB319">
            <v>0</v>
          </cell>
          <cell r="AC319">
            <v>0.16800000000000001</v>
          </cell>
          <cell r="AD319">
            <v>0</v>
          </cell>
          <cell r="AE319">
            <v>0.16800000000000001</v>
          </cell>
          <cell r="AG319" t="str">
            <v/>
          </cell>
          <cell r="AH319" t="str">
            <v/>
          </cell>
          <cell r="AJ319">
            <v>0</v>
          </cell>
          <cell r="AK319">
            <v>0.16800000000000001</v>
          </cell>
          <cell r="AL319">
            <v>0</v>
          </cell>
          <cell r="AM319">
            <v>0.16800000000000001</v>
          </cell>
          <cell r="AN319">
            <v>0</v>
          </cell>
          <cell r="AO319">
            <v>0.16800000000000001</v>
          </cell>
          <cell r="AP319">
            <v>0</v>
          </cell>
          <cell r="AQ319">
            <v>0.16800000000000001</v>
          </cell>
          <cell r="AS319" t="str">
            <v/>
          </cell>
          <cell r="AT319" t="str">
            <v/>
          </cell>
          <cell r="AV319" t="b">
            <v>0</v>
          </cell>
          <cell r="AW319" t="str">
            <v>call</v>
          </cell>
        </row>
        <row r="320">
          <cell r="S320" t="str">
            <v>DOM GER GETS5</v>
          </cell>
          <cell r="T320" t="str">
            <v>DOM</v>
          </cell>
          <cell r="U320" t="str">
            <v>GER</v>
          </cell>
          <cell r="V320" t="str">
            <v>GETS5</v>
          </cell>
          <cell r="X320">
            <v>0.1176</v>
          </cell>
          <cell r="Y320">
            <v>0</v>
          </cell>
          <cell r="Z320">
            <v>0.1176</v>
          </cell>
          <cell r="AA320">
            <v>0</v>
          </cell>
          <cell r="AB320">
            <v>0.1176</v>
          </cell>
          <cell r="AC320">
            <v>0</v>
          </cell>
          <cell r="AD320">
            <v>0.1176</v>
          </cell>
          <cell r="AE320">
            <v>0</v>
          </cell>
          <cell r="AG320" t="str">
            <v/>
          </cell>
          <cell r="AH320" t="str">
            <v/>
          </cell>
          <cell r="AJ320">
            <v>0.1176</v>
          </cell>
          <cell r="AK320">
            <v>0</v>
          </cell>
          <cell r="AL320">
            <v>0.1176</v>
          </cell>
          <cell r="AM320">
            <v>0</v>
          </cell>
          <cell r="AN320">
            <v>0.1176</v>
          </cell>
          <cell r="AO320">
            <v>0</v>
          </cell>
          <cell r="AP320">
            <v>0.1176</v>
          </cell>
          <cell r="AQ320">
            <v>0</v>
          </cell>
          <cell r="AS320" t="str">
            <v/>
          </cell>
          <cell r="AT320" t="str">
            <v/>
          </cell>
          <cell r="AV320" t="b">
            <v>0</v>
          </cell>
          <cell r="AW320" t="str">
            <v>minute</v>
          </cell>
        </row>
        <row r="321">
          <cell r="S321" t="str">
            <v>DOM GER GETS6</v>
          </cell>
          <cell r="T321" t="str">
            <v>DOM</v>
          </cell>
          <cell r="U321" t="str">
            <v>GER</v>
          </cell>
          <cell r="V321" t="str">
            <v>GETS6</v>
          </cell>
          <cell r="X321">
            <v>0</v>
          </cell>
          <cell r="Y321">
            <v>0.2</v>
          </cell>
          <cell r="Z321">
            <v>0</v>
          </cell>
          <cell r="AA321">
            <v>0.2</v>
          </cell>
          <cell r="AB321">
            <v>0</v>
          </cell>
          <cell r="AC321">
            <v>0.2</v>
          </cell>
          <cell r="AD321">
            <v>0</v>
          </cell>
          <cell r="AE321">
            <v>0.2</v>
          </cell>
          <cell r="AG321" t="str">
            <v/>
          </cell>
          <cell r="AH321" t="str">
            <v/>
          </cell>
          <cell r="AJ321">
            <v>0</v>
          </cell>
          <cell r="AK321">
            <v>0.2</v>
          </cell>
          <cell r="AL321">
            <v>0</v>
          </cell>
          <cell r="AM321">
            <v>0.2</v>
          </cell>
          <cell r="AN321">
            <v>0</v>
          </cell>
          <cell r="AO321">
            <v>0.2</v>
          </cell>
          <cell r="AP321">
            <v>0</v>
          </cell>
          <cell r="AQ321">
            <v>0.2</v>
          </cell>
          <cell r="AS321" t="str">
            <v/>
          </cell>
          <cell r="AT321" t="str">
            <v/>
          </cell>
          <cell r="AV321" t="b">
            <v>0</v>
          </cell>
          <cell r="AW321" t="str">
            <v>call</v>
          </cell>
        </row>
        <row r="322">
          <cell r="S322" t="str">
            <v>DOM GER GETS7</v>
          </cell>
          <cell r="T322" t="str">
            <v>DOM</v>
          </cell>
          <cell r="U322" t="str">
            <v>GER</v>
          </cell>
          <cell r="V322" t="str">
            <v>GETS7</v>
          </cell>
          <cell r="X322">
            <v>0.14000000000000001</v>
          </cell>
          <cell r="Y322">
            <v>0</v>
          </cell>
          <cell r="Z322">
            <v>0.14000000000000001</v>
          </cell>
          <cell r="AA322">
            <v>0</v>
          </cell>
          <cell r="AB322">
            <v>0.14000000000000001</v>
          </cell>
          <cell r="AC322">
            <v>0</v>
          </cell>
          <cell r="AD322">
            <v>0.14000000000000001</v>
          </cell>
          <cell r="AE322">
            <v>0</v>
          </cell>
          <cell r="AG322" t="str">
            <v/>
          </cell>
          <cell r="AH322" t="str">
            <v/>
          </cell>
          <cell r="AJ322">
            <v>0.14000000000000001</v>
          </cell>
          <cell r="AK322">
            <v>0</v>
          </cell>
          <cell r="AL322">
            <v>0.14000000000000001</v>
          </cell>
          <cell r="AM322">
            <v>0</v>
          </cell>
          <cell r="AN322">
            <v>0.14000000000000001</v>
          </cell>
          <cell r="AO322">
            <v>0</v>
          </cell>
          <cell r="AP322">
            <v>0.14000000000000001</v>
          </cell>
          <cell r="AQ322">
            <v>0</v>
          </cell>
          <cell r="AS322" t="str">
            <v/>
          </cell>
          <cell r="AT322" t="str">
            <v/>
          </cell>
          <cell r="AV322" t="b">
            <v>0</v>
          </cell>
          <cell r="AW322" t="str">
            <v>minute</v>
          </cell>
        </row>
        <row r="323">
          <cell r="S323" t="str">
            <v>DOM GER GESOC</v>
          </cell>
          <cell r="T323" t="str">
            <v>DOM</v>
          </cell>
          <cell r="U323" t="str">
            <v>GER</v>
          </cell>
          <cell r="V323" t="str">
            <v>GESOC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G323" t="str">
            <v/>
          </cell>
          <cell r="AH323" t="str">
            <v/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S323" t="str">
            <v/>
          </cell>
          <cell r="AT323" t="str">
            <v/>
          </cell>
          <cell r="AV323" t="b">
            <v>0</v>
          </cell>
          <cell r="AW323" t="str">
            <v>minute</v>
          </cell>
        </row>
        <row r="324">
          <cell r="S324" t="str">
            <v>DOM GER GEV01</v>
          </cell>
          <cell r="T324" t="str">
            <v>DOM</v>
          </cell>
          <cell r="U324" t="str">
            <v>GER</v>
          </cell>
          <cell r="V324" t="str">
            <v>GEV01</v>
          </cell>
          <cell r="X324">
            <v>0</v>
          </cell>
          <cell r="Y324">
            <v>0.1176</v>
          </cell>
          <cell r="Z324">
            <v>0</v>
          </cell>
          <cell r="AA324">
            <v>0.1176</v>
          </cell>
          <cell r="AB324">
            <v>0</v>
          </cell>
          <cell r="AC324">
            <v>0.1176</v>
          </cell>
          <cell r="AD324">
            <v>0</v>
          </cell>
          <cell r="AE324">
            <v>0.1176</v>
          </cell>
          <cell r="AG324" t="str">
            <v/>
          </cell>
          <cell r="AH324" t="str">
            <v/>
          </cell>
          <cell r="AJ324">
            <v>0</v>
          </cell>
          <cell r="AK324">
            <v>0.1176</v>
          </cell>
          <cell r="AL324">
            <v>0</v>
          </cell>
          <cell r="AM324">
            <v>0.1176</v>
          </cell>
          <cell r="AN324">
            <v>0</v>
          </cell>
          <cell r="AO324">
            <v>0.1176</v>
          </cell>
          <cell r="AP324">
            <v>0</v>
          </cell>
          <cell r="AQ324">
            <v>0.1176</v>
          </cell>
          <cell r="AS324" t="str">
            <v/>
          </cell>
          <cell r="AT324" t="str">
            <v/>
          </cell>
          <cell r="AV324" t="b">
            <v>0</v>
          </cell>
          <cell r="AW324" t="str">
            <v>call</v>
          </cell>
        </row>
        <row r="325">
          <cell r="S325" t="str">
            <v>DOM GER GEV02</v>
          </cell>
          <cell r="T325" t="str">
            <v>DOM</v>
          </cell>
          <cell r="U325" t="str">
            <v>GER</v>
          </cell>
          <cell r="V325" t="str">
            <v>GEV02</v>
          </cell>
          <cell r="X325">
            <v>0.1176</v>
          </cell>
          <cell r="Y325">
            <v>0</v>
          </cell>
          <cell r="Z325">
            <v>0.1176</v>
          </cell>
          <cell r="AA325">
            <v>0</v>
          </cell>
          <cell r="AB325">
            <v>0.1176</v>
          </cell>
          <cell r="AC325">
            <v>0</v>
          </cell>
          <cell r="AD325">
            <v>0.1176</v>
          </cell>
          <cell r="AE325">
            <v>0</v>
          </cell>
          <cell r="AG325" t="str">
            <v/>
          </cell>
          <cell r="AH325" t="str">
            <v/>
          </cell>
          <cell r="AJ325">
            <v>0.1176</v>
          </cell>
          <cell r="AK325">
            <v>0</v>
          </cell>
          <cell r="AL325">
            <v>0.1176</v>
          </cell>
          <cell r="AM325">
            <v>0</v>
          </cell>
          <cell r="AN325">
            <v>0.1176</v>
          </cell>
          <cell r="AO325">
            <v>0</v>
          </cell>
          <cell r="AP325">
            <v>0.1176</v>
          </cell>
          <cell r="AQ325">
            <v>0</v>
          </cell>
          <cell r="AS325" t="str">
            <v/>
          </cell>
          <cell r="AT325" t="str">
            <v/>
          </cell>
          <cell r="AV325" t="b">
            <v>0</v>
          </cell>
          <cell r="AW325" t="str">
            <v>minute</v>
          </cell>
        </row>
        <row r="326">
          <cell r="S326" t="str">
            <v>DOM GER GEV03</v>
          </cell>
          <cell r="T326" t="str">
            <v>DOM</v>
          </cell>
          <cell r="U326" t="str">
            <v>GER</v>
          </cell>
          <cell r="V326" t="str">
            <v>GEV03</v>
          </cell>
          <cell r="X326">
            <v>0</v>
          </cell>
          <cell r="Y326">
            <v>0.21</v>
          </cell>
          <cell r="Z326">
            <v>0</v>
          </cell>
          <cell r="AA326">
            <v>0.21</v>
          </cell>
          <cell r="AB326">
            <v>0</v>
          </cell>
          <cell r="AC326">
            <v>0.21</v>
          </cell>
          <cell r="AD326">
            <v>0</v>
          </cell>
          <cell r="AE326">
            <v>0.21</v>
          </cell>
          <cell r="AG326" t="str">
            <v/>
          </cell>
          <cell r="AH326" t="str">
            <v/>
          </cell>
          <cell r="AJ326">
            <v>0</v>
          </cell>
          <cell r="AK326">
            <v>0.21</v>
          </cell>
          <cell r="AL326">
            <v>0</v>
          </cell>
          <cell r="AM326">
            <v>0.21</v>
          </cell>
          <cell r="AN326">
            <v>0</v>
          </cell>
          <cell r="AO326">
            <v>0.21</v>
          </cell>
          <cell r="AP326">
            <v>0</v>
          </cell>
          <cell r="AQ326">
            <v>0.21</v>
          </cell>
          <cell r="AS326" t="str">
            <v/>
          </cell>
          <cell r="AT326" t="str">
            <v/>
          </cell>
          <cell r="AV326" t="b">
            <v>0</v>
          </cell>
          <cell r="AW326" t="str">
            <v>call</v>
          </cell>
        </row>
        <row r="327">
          <cell r="S327" t="str">
            <v>DOM GER GEV04</v>
          </cell>
          <cell r="T327" t="str">
            <v>DOM</v>
          </cell>
          <cell r="U327" t="str">
            <v>GER</v>
          </cell>
          <cell r="V327" t="str">
            <v>GEV04</v>
          </cell>
          <cell r="X327">
            <v>0</v>
          </cell>
          <cell r="Y327">
            <v>0.84030000000000005</v>
          </cell>
          <cell r="Z327">
            <v>0</v>
          </cell>
          <cell r="AA327">
            <v>0.84030000000000005</v>
          </cell>
          <cell r="AB327">
            <v>0</v>
          </cell>
          <cell r="AC327">
            <v>0.84030000000000005</v>
          </cell>
          <cell r="AD327">
            <v>0</v>
          </cell>
          <cell r="AE327">
            <v>0.84030000000000005</v>
          </cell>
          <cell r="AG327" t="str">
            <v/>
          </cell>
          <cell r="AH327" t="str">
            <v/>
          </cell>
          <cell r="AJ327">
            <v>0</v>
          </cell>
          <cell r="AK327">
            <v>0.84030000000000005</v>
          </cell>
          <cell r="AL327">
            <v>0</v>
          </cell>
          <cell r="AM327">
            <v>0.84030000000000005</v>
          </cell>
          <cell r="AN327">
            <v>0</v>
          </cell>
          <cell r="AO327">
            <v>0.84030000000000005</v>
          </cell>
          <cell r="AP327">
            <v>0</v>
          </cell>
          <cell r="AQ327">
            <v>0.84030000000000005</v>
          </cell>
          <cell r="AS327" t="str">
            <v/>
          </cell>
          <cell r="AT327" t="str">
            <v/>
          </cell>
          <cell r="AV327" t="b">
            <v>0</v>
          </cell>
          <cell r="AW327" t="str">
            <v>call</v>
          </cell>
        </row>
        <row r="328">
          <cell r="S328" t="str">
            <v>DOM GER GEV05</v>
          </cell>
          <cell r="T328" t="str">
            <v>DOM</v>
          </cell>
          <cell r="U328" t="str">
            <v>GER</v>
          </cell>
          <cell r="V328" t="str">
            <v>GEV05</v>
          </cell>
          <cell r="X328">
            <v>0</v>
          </cell>
          <cell r="Y328">
            <v>0.42009999999999997</v>
          </cell>
          <cell r="Z328">
            <v>0</v>
          </cell>
          <cell r="AA328">
            <v>0.42009999999999997</v>
          </cell>
          <cell r="AB328">
            <v>0</v>
          </cell>
          <cell r="AC328">
            <v>0.42009999999999997</v>
          </cell>
          <cell r="AD328">
            <v>0</v>
          </cell>
          <cell r="AE328">
            <v>0.42009999999999997</v>
          </cell>
          <cell r="AG328" t="str">
            <v/>
          </cell>
          <cell r="AH328" t="str">
            <v/>
          </cell>
          <cell r="AJ328">
            <v>0</v>
          </cell>
          <cell r="AK328">
            <v>0.42009999999999997</v>
          </cell>
          <cell r="AL328">
            <v>0</v>
          </cell>
          <cell r="AM328">
            <v>0.42009999999999997</v>
          </cell>
          <cell r="AN328">
            <v>0</v>
          </cell>
          <cell r="AO328">
            <v>0.42009999999999997</v>
          </cell>
          <cell r="AP328">
            <v>0</v>
          </cell>
          <cell r="AQ328">
            <v>0.42009999999999997</v>
          </cell>
          <cell r="AS328" t="str">
            <v/>
          </cell>
          <cell r="AT328" t="str">
            <v/>
          </cell>
          <cell r="AV328" t="b">
            <v>0</v>
          </cell>
          <cell r="AW328" t="str">
            <v>call</v>
          </cell>
        </row>
        <row r="329">
          <cell r="S329" t="str">
            <v>DOM GER GETFR</v>
          </cell>
          <cell r="T329" t="str">
            <v>DOM</v>
          </cell>
          <cell r="U329" t="str">
            <v>GER</v>
          </cell>
          <cell r="V329" t="str">
            <v>GETFR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G329" t="str">
            <v/>
          </cell>
          <cell r="AH329" t="str">
            <v/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S329" t="str">
            <v/>
          </cell>
          <cell r="AT329" t="str">
            <v/>
          </cell>
          <cell r="AV329" t="b">
            <v>0</v>
          </cell>
          <cell r="AW329" t="str">
            <v>minute</v>
          </cell>
        </row>
        <row r="330">
          <cell r="S330" t="str">
            <v>DOM GIB MOB</v>
          </cell>
          <cell r="T330" t="str">
            <v>DOM</v>
          </cell>
          <cell r="U330" t="str">
            <v>GIB</v>
          </cell>
          <cell r="V330" t="str">
            <v>MOB</v>
          </cell>
          <cell r="X330">
            <v>0.25309999999999999</v>
          </cell>
          <cell r="Y330">
            <v>0</v>
          </cell>
          <cell r="Z330">
            <v>0.22009999999999999</v>
          </cell>
          <cell r="AA330">
            <v>0</v>
          </cell>
          <cell r="AB330">
            <v>0.19139999999999999</v>
          </cell>
          <cell r="AC330">
            <v>0</v>
          </cell>
          <cell r="AD330">
            <v>0.16639999999999999</v>
          </cell>
          <cell r="AE330">
            <v>0</v>
          </cell>
          <cell r="AG330" t="str">
            <v/>
          </cell>
          <cell r="AH330" t="str">
            <v/>
          </cell>
          <cell r="AJ330">
            <v>0.25309999999999999</v>
          </cell>
          <cell r="AK330">
            <v>0</v>
          </cell>
          <cell r="AL330">
            <v>0.22009999999999999</v>
          </cell>
          <cell r="AM330">
            <v>0</v>
          </cell>
          <cell r="AN330">
            <v>0.19139999999999999</v>
          </cell>
          <cell r="AO330">
            <v>0</v>
          </cell>
          <cell r="AP330">
            <v>0.16639999999999999</v>
          </cell>
          <cell r="AQ330">
            <v>0</v>
          </cell>
          <cell r="AS330" t="str">
            <v/>
          </cell>
          <cell r="AT330" t="str">
            <v/>
          </cell>
          <cell r="AV330" t="b">
            <v>1</v>
          </cell>
          <cell r="AW330" t="str">
            <v>minute</v>
          </cell>
        </row>
        <row r="331">
          <cell r="S331" t="str">
            <v>DOM GIB FIX</v>
          </cell>
          <cell r="T331" t="str">
            <v>DOM</v>
          </cell>
          <cell r="U331" t="str">
            <v>GIB</v>
          </cell>
          <cell r="V331" t="str">
            <v>FIX</v>
          </cell>
          <cell r="X331">
            <v>0.25309999999999999</v>
          </cell>
          <cell r="Y331">
            <v>0</v>
          </cell>
          <cell r="Z331">
            <v>0.22009999999999999</v>
          </cell>
          <cell r="AA331">
            <v>0</v>
          </cell>
          <cell r="AB331">
            <v>0.19139999999999999</v>
          </cell>
          <cell r="AC331">
            <v>0</v>
          </cell>
          <cell r="AD331">
            <v>0.16639999999999999</v>
          </cell>
          <cell r="AE331">
            <v>0</v>
          </cell>
          <cell r="AG331" t="str">
            <v/>
          </cell>
          <cell r="AH331" t="str">
            <v/>
          </cell>
          <cell r="AJ331">
            <v>0.25309999999999999</v>
          </cell>
          <cell r="AK331">
            <v>0</v>
          </cell>
          <cell r="AL331">
            <v>0.22009999999999999</v>
          </cell>
          <cell r="AM331">
            <v>0</v>
          </cell>
          <cell r="AN331">
            <v>0.19139999999999999</v>
          </cell>
          <cell r="AO331">
            <v>0</v>
          </cell>
          <cell r="AP331">
            <v>0.16639999999999999</v>
          </cell>
          <cell r="AQ331">
            <v>0</v>
          </cell>
          <cell r="AS331" t="str">
            <v/>
          </cell>
          <cell r="AT331" t="str">
            <v/>
          </cell>
          <cell r="AV331" t="b">
            <v>1</v>
          </cell>
          <cell r="AW331" t="str">
            <v>minute</v>
          </cell>
        </row>
        <row r="332">
          <cell r="S332" t="str">
            <v>DOM GRC MOBGR</v>
          </cell>
          <cell r="T332" t="str">
            <v>DOM</v>
          </cell>
          <cell r="U332" t="str">
            <v>GRC</v>
          </cell>
          <cell r="V332" t="str">
            <v>MOBGR</v>
          </cell>
          <cell r="X332">
            <v>3.9600000000000003E-2</v>
          </cell>
          <cell r="Y332">
            <v>0</v>
          </cell>
          <cell r="Z332">
            <v>3.5700000000000003E-2</v>
          </cell>
          <cell r="AA332">
            <v>0</v>
          </cell>
          <cell r="AB332">
            <v>3.3700000000000001E-2</v>
          </cell>
          <cell r="AC332">
            <v>0</v>
          </cell>
          <cell r="AD332">
            <v>3.1699999999999999E-2</v>
          </cell>
          <cell r="AE332">
            <v>0</v>
          </cell>
          <cell r="AG332" t="str">
            <v/>
          </cell>
          <cell r="AH332" t="str">
            <v/>
          </cell>
          <cell r="AJ332">
            <v>3.9600000000000003E-2</v>
          </cell>
          <cell r="AK332">
            <v>0</v>
          </cell>
          <cell r="AL332">
            <v>3.5700000000000003E-2</v>
          </cell>
          <cell r="AM332">
            <v>0</v>
          </cell>
          <cell r="AN332">
            <v>3.3700000000000001E-2</v>
          </cell>
          <cell r="AO332">
            <v>0</v>
          </cell>
          <cell r="AP332">
            <v>3.1699999999999999E-2</v>
          </cell>
          <cell r="AQ332">
            <v>0</v>
          </cell>
          <cell r="AS332" t="str">
            <v/>
          </cell>
          <cell r="AT332" t="str">
            <v/>
          </cell>
          <cell r="AV332" t="b">
            <v>1</v>
          </cell>
          <cell r="AW332" t="str">
            <v>minute</v>
          </cell>
        </row>
        <row r="333">
          <cell r="S333" t="str">
            <v>DOM GRC GRMCO</v>
          </cell>
          <cell r="T333" t="str">
            <v>DOM</v>
          </cell>
          <cell r="U333" t="str">
            <v>GRC</v>
          </cell>
          <cell r="V333" t="str">
            <v>GRMCO</v>
          </cell>
          <cell r="X333">
            <v>2.4400000000000002E-2</v>
          </cell>
          <cell r="Y333">
            <v>0</v>
          </cell>
          <cell r="Z333">
            <v>2.2800000000000001E-2</v>
          </cell>
          <cell r="AA333">
            <v>0</v>
          </cell>
          <cell r="AB333">
            <v>2.1299999999999999E-2</v>
          </cell>
          <cell r="AC333">
            <v>0</v>
          </cell>
          <cell r="AD333">
            <v>1.9900000000000001E-2</v>
          </cell>
          <cell r="AE333">
            <v>0</v>
          </cell>
          <cell r="AG333" t="str">
            <v/>
          </cell>
          <cell r="AH333" t="str">
            <v/>
          </cell>
          <cell r="AJ333">
            <v>2.4400000000000002E-2</v>
          </cell>
          <cell r="AK333">
            <v>0</v>
          </cell>
          <cell r="AL333">
            <v>2.2800000000000001E-2</v>
          </cell>
          <cell r="AM333">
            <v>0</v>
          </cell>
          <cell r="AN333">
            <v>2.1299999999999999E-2</v>
          </cell>
          <cell r="AO333">
            <v>0</v>
          </cell>
          <cell r="AP333">
            <v>1.9900000000000001E-2</v>
          </cell>
          <cell r="AQ333">
            <v>0</v>
          </cell>
          <cell r="AS333" t="str">
            <v/>
          </cell>
          <cell r="AT333" t="str">
            <v/>
          </cell>
          <cell r="AV333" t="b">
            <v>1</v>
          </cell>
          <cell r="AW333" t="str">
            <v>minute</v>
          </cell>
        </row>
        <row r="334">
          <cell r="S334" t="str">
            <v>DOM GRC FIXGR</v>
          </cell>
          <cell r="T334" t="str">
            <v>DOM</v>
          </cell>
          <cell r="U334" t="str">
            <v>GRC</v>
          </cell>
          <cell r="V334" t="str">
            <v>FIXGR</v>
          </cell>
          <cell r="X334">
            <v>1.29E-2</v>
          </cell>
          <cell r="Y334">
            <v>0</v>
          </cell>
          <cell r="Z334">
            <v>1.21E-2</v>
          </cell>
          <cell r="AA334">
            <v>0</v>
          </cell>
          <cell r="AB334">
            <v>1.1299999999999999E-2</v>
          </cell>
          <cell r="AC334">
            <v>0</v>
          </cell>
          <cell r="AD334">
            <v>1.06E-2</v>
          </cell>
          <cell r="AE334">
            <v>0</v>
          </cell>
          <cell r="AG334" t="str">
            <v/>
          </cell>
          <cell r="AH334" t="str">
            <v/>
          </cell>
          <cell r="AJ334">
            <v>1.29E-2</v>
          </cell>
          <cell r="AK334">
            <v>0</v>
          </cell>
          <cell r="AL334">
            <v>1.21E-2</v>
          </cell>
          <cell r="AM334">
            <v>0</v>
          </cell>
          <cell r="AN334">
            <v>1.1299999999999999E-2</v>
          </cell>
          <cell r="AO334">
            <v>0</v>
          </cell>
          <cell r="AP334">
            <v>1.06E-2</v>
          </cell>
          <cell r="AQ334">
            <v>0</v>
          </cell>
          <cell r="AS334" t="str">
            <v/>
          </cell>
          <cell r="AT334" t="str">
            <v/>
          </cell>
          <cell r="AV334" t="b">
            <v>1</v>
          </cell>
          <cell r="AW334" t="str">
            <v>minute</v>
          </cell>
        </row>
        <row r="335">
          <cell r="S335" t="str">
            <v>DOM GLP MOB</v>
          </cell>
          <cell r="T335" t="str">
            <v>DOM</v>
          </cell>
          <cell r="U335" t="str">
            <v>GLP</v>
          </cell>
          <cell r="V335" t="str">
            <v>MOB</v>
          </cell>
          <cell r="X335">
            <v>3.7699999999999997E-2</v>
          </cell>
          <cell r="Y335">
            <v>0</v>
          </cell>
          <cell r="Z335">
            <v>3.39E-2</v>
          </cell>
          <cell r="AA335">
            <v>0</v>
          </cell>
          <cell r="AB335">
            <v>3.2000000000000001E-2</v>
          </cell>
          <cell r="AC335">
            <v>0</v>
          </cell>
          <cell r="AD335">
            <v>3.0099999999999998E-2</v>
          </cell>
          <cell r="AE335">
            <v>0</v>
          </cell>
          <cell r="AG335" t="str">
            <v/>
          </cell>
          <cell r="AH335" t="str">
            <v/>
          </cell>
          <cell r="AJ335">
            <v>3.7699999999999997E-2</v>
          </cell>
          <cell r="AK335">
            <v>0</v>
          </cell>
          <cell r="AL335">
            <v>3.39E-2</v>
          </cell>
          <cell r="AM335">
            <v>0</v>
          </cell>
          <cell r="AN335">
            <v>3.2000000000000001E-2</v>
          </cell>
          <cell r="AO335">
            <v>0</v>
          </cell>
          <cell r="AP335">
            <v>3.0099999999999998E-2</v>
          </cell>
          <cell r="AQ335">
            <v>0</v>
          </cell>
          <cell r="AS335" t="str">
            <v/>
          </cell>
          <cell r="AT335" t="str">
            <v/>
          </cell>
          <cell r="AV335" t="b">
            <v>1</v>
          </cell>
          <cell r="AW335" t="str">
            <v>minute</v>
          </cell>
        </row>
        <row r="336">
          <cell r="S336" t="str">
            <v>DOM GLP FIX</v>
          </cell>
          <cell r="T336" t="str">
            <v>DOM</v>
          </cell>
          <cell r="U336" t="str">
            <v>GLP</v>
          </cell>
          <cell r="V336" t="str">
            <v>FIX</v>
          </cell>
          <cell r="X336">
            <v>1.7999999999999999E-2</v>
          </cell>
          <cell r="Y336">
            <v>0</v>
          </cell>
          <cell r="Z336">
            <v>1.6500000000000001E-2</v>
          </cell>
          <cell r="AA336">
            <v>0</v>
          </cell>
          <cell r="AB336">
            <v>1.4999999999999999E-2</v>
          </cell>
          <cell r="AC336">
            <v>0</v>
          </cell>
          <cell r="AD336">
            <v>1.4E-2</v>
          </cell>
          <cell r="AE336">
            <v>0</v>
          </cell>
          <cell r="AG336" t="str">
            <v/>
          </cell>
          <cell r="AH336" t="str">
            <v/>
          </cell>
          <cell r="AJ336">
            <v>1.7999999999999999E-2</v>
          </cell>
          <cell r="AK336">
            <v>0</v>
          </cell>
          <cell r="AL336">
            <v>1.6500000000000001E-2</v>
          </cell>
          <cell r="AM336">
            <v>0</v>
          </cell>
          <cell r="AN336">
            <v>1.4999999999999999E-2</v>
          </cell>
          <cell r="AO336">
            <v>0</v>
          </cell>
          <cell r="AP336">
            <v>1.4E-2</v>
          </cell>
          <cell r="AQ336">
            <v>0</v>
          </cell>
          <cell r="AS336" t="str">
            <v/>
          </cell>
          <cell r="AT336" t="str">
            <v/>
          </cell>
          <cell r="AV336" t="b">
            <v>1</v>
          </cell>
          <cell r="AW336" t="str">
            <v>minute</v>
          </cell>
        </row>
        <row r="337">
          <cell r="S337" t="str">
            <v>DOM GLP GL1FR</v>
          </cell>
          <cell r="T337" t="str">
            <v>DOM</v>
          </cell>
          <cell r="U337" t="str">
            <v>GLP</v>
          </cell>
          <cell r="V337" t="str">
            <v>GL1FR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G337" t="str">
            <v/>
          </cell>
          <cell r="AH337" t="str">
            <v/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S337" t="str">
            <v/>
          </cell>
          <cell r="AT337" t="str">
            <v/>
          </cell>
          <cell r="AV337" t="b">
            <v>0</v>
          </cell>
          <cell r="AW337" t="str">
            <v>minute</v>
          </cell>
        </row>
        <row r="338">
          <cell r="S338" t="str">
            <v>DOM GLP GL1TS</v>
          </cell>
          <cell r="T338" t="str">
            <v>DOM</v>
          </cell>
          <cell r="U338" t="str">
            <v>GLP</v>
          </cell>
          <cell r="V338" t="str">
            <v>GL1TS</v>
          </cell>
          <cell r="X338">
            <v>2.3E-2</v>
          </cell>
          <cell r="Y338">
            <v>6.5000000000000002E-2</v>
          </cell>
          <cell r="Z338">
            <v>2.3E-2</v>
          </cell>
          <cell r="AA338">
            <v>6.5000000000000002E-2</v>
          </cell>
          <cell r="AB338">
            <v>2.3E-2</v>
          </cell>
          <cell r="AC338">
            <v>6.5000000000000002E-2</v>
          </cell>
          <cell r="AD338">
            <v>2.3E-2</v>
          </cell>
          <cell r="AE338">
            <v>6.5000000000000002E-2</v>
          </cell>
          <cell r="AG338" t="str">
            <v/>
          </cell>
          <cell r="AH338" t="str">
            <v/>
          </cell>
          <cell r="AJ338">
            <v>2.3E-2</v>
          </cell>
          <cell r="AK338">
            <v>6.5000000000000002E-2</v>
          </cell>
          <cell r="AL338">
            <v>2.3E-2</v>
          </cell>
          <cell r="AM338">
            <v>6.5000000000000002E-2</v>
          </cell>
          <cell r="AN338">
            <v>2.3E-2</v>
          </cell>
          <cell r="AO338">
            <v>6.5000000000000002E-2</v>
          </cell>
          <cell r="AP338">
            <v>2.3E-2</v>
          </cell>
          <cell r="AQ338">
            <v>6.5000000000000002E-2</v>
          </cell>
          <cell r="AS338" t="str">
            <v/>
          </cell>
          <cell r="AT338" t="str">
            <v/>
          </cell>
          <cell r="AV338" t="b">
            <v>0</v>
          </cell>
          <cell r="AW338" t="str">
            <v>minute &amp; call</v>
          </cell>
        </row>
        <row r="339">
          <cell r="S339" t="str">
            <v>DOM GLP GL300</v>
          </cell>
          <cell r="T339" t="str">
            <v>DOM</v>
          </cell>
          <cell r="U339" t="str">
            <v>GLP</v>
          </cell>
          <cell r="V339" t="str">
            <v>GL300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G339" t="str">
            <v/>
          </cell>
          <cell r="AH339" t="str">
            <v/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S339" t="str">
            <v/>
          </cell>
          <cell r="AT339" t="str">
            <v/>
          </cell>
          <cell r="AV339" t="b">
            <v>0</v>
          </cell>
          <cell r="AW339" t="str">
            <v>minute</v>
          </cell>
        </row>
        <row r="340">
          <cell r="S340" t="str">
            <v>DOM GLP GL301</v>
          </cell>
          <cell r="T340" t="str">
            <v>DOM</v>
          </cell>
          <cell r="U340" t="str">
            <v>GLP</v>
          </cell>
          <cell r="V340" t="str">
            <v>GL301</v>
          </cell>
          <cell r="X340">
            <v>5.04E-2</v>
          </cell>
          <cell r="Y340">
            <v>0</v>
          </cell>
          <cell r="Z340">
            <v>5.04E-2</v>
          </cell>
          <cell r="AA340">
            <v>0</v>
          </cell>
          <cell r="AB340">
            <v>5.04E-2</v>
          </cell>
          <cell r="AC340">
            <v>0</v>
          </cell>
          <cell r="AD340">
            <v>5.04E-2</v>
          </cell>
          <cell r="AE340">
            <v>0</v>
          </cell>
          <cell r="AG340" t="str">
            <v/>
          </cell>
          <cell r="AH340" t="str">
            <v/>
          </cell>
          <cell r="AJ340">
            <v>5.04E-2</v>
          </cell>
          <cell r="AK340">
            <v>0</v>
          </cell>
          <cell r="AL340">
            <v>5.04E-2</v>
          </cell>
          <cell r="AM340">
            <v>0</v>
          </cell>
          <cell r="AN340">
            <v>5.04E-2</v>
          </cell>
          <cell r="AO340">
            <v>0</v>
          </cell>
          <cell r="AP340">
            <v>5.04E-2</v>
          </cell>
          <cell r="AQ340">
            <v>0</v>
          </cell>
          <cell r="AS340" t="str">
            <v/>
          </cell>
          <cell r="AT340" t="str">
            <v/>
          </cell>
          <cell r="AV340" t="b">
            <v>0</v>
          </cell>
          <cell r="AW340" t="str">
            <v>minute</v>
          </cell>
        </row>
        <row r="341">
          <cell r="S341" t="str">
            <v>DOM GLP GL302</v>
          </cell>
          <cell r="T341" t="str">
            <v>DOM</v>
          </cell>
          <cell r="U341" t="str">
            <v>GLP</v>
          </cell>
          <cell r="V341" t="str">
            <v>GL302</v>
          </cell>
          <cell r="X341">
            <v>5.9400000000000001E-2</v>
          </cell>
          <cell r="Y341">
            <v>0</v>
          </cell>
          <cell r="Z341">
            <v>5.9400000000000001E-2</v>
          </cell>
          <cell r="AA341">
            <v>0</v>
          </cell>
          <cell r="AB341">
            <v>5.9400000000000001E-2</v>
          </cell>
          <cell r="AC341">
            <v>0</v>
          </cell>
          <cell r="AD341">
            <v>5.9400000000000001E-2</v>
          </cell>
          <cell r="AE341">
            <v>0</v>
          </cell>
          <cell r="AG341" t="str">
            <v/>
          </cell>
          <cell r="AH341" t="str">
            <v/>
          </cell>
          <cell r="AJ341">
            <v>5.9400000000000001E-2</v>
          </cell>
          <cell r="AK341">
            <v>0</v>
          </cell>
          <cell r="AL341">
            <v>5.9400000000000001E-2</v>
          </cell>
          <cell r="AM341">
            <v>0</v>
          </cell>
          <cell r="AN341">
            <v>5.9400000000000001E-2</v>
          </cell>
          <cell r="AO341">
            <v>0</v>
          </cell>
          <cell r="AP341">
            <v>5.9400000000000001E-2</v>
          </cell>
          <cell r="AQ341">
            <v>0</v>
          </cell>
          <cell r="AS341" t="str">
            <v/>
          </cell>
          <cell r="AT341" t="str">
            <v/>
          </cell>
          <cell r="AV341" t="b">
            <v>0</v>
          </cell>
          <cell r="AW341" t="str">
            <v>minute</v>
          </cell>
        </row>
        <row r="342">
          <cell r="S342" t="str">
            <v>DOM GLP GL303</v>
          </cell>
          <cell r="T342" t="str">
            <v>DOM</v>
          </cell>
          <cell r="U342" t="str">
            <v>GLP</v>
          </cell>
          <cell r="V342" t="str">
            <v>GL303</v>
          </cell>
          <cell r="X342">
            <v>9.4E-2</v>
          </cell>
          <cell r="Y342">
            <v>0</v>
          </cell>
          <cell r="Z342">
            <v>9.4E-2</v>
          </cell>
          <cell r="AA342">
            <v>0</v>
          </cell>
          <cell r="AB342">
            <v>9.4E-2</v>
          </cell>
          <cell r="AC342">
            <v>0</v>
          </cell>
          <cell r="AD342">
            <v>9.4E-2</v>
          </cell>
          <cell r="AE342">
            <v>0</v>
          </cell>
          <cell r="AG342" t="str">
            <v/>
          </cell>
          <cell r="AH342" t="str">
            <v/>
          </cell>
          <cell r="AJ342">
            <v>9.4E-2</v>
          </cell>
          <cell r="AK342">
            <v>0</v>
          </cell>
          <cell r="AL342">
            <v>9.4E-2</v>
          </cell>
          <cell r="AM342">
            <v>0</v>
          </cell>
          <cell r="AN342">
            <v>9.4E-2</v>
          </cell>
          <cell r="AO342">
            <v>0</v>
          </cell>
          <cell r="AP342">
            <v>9.4E-2</v>
          </cell>
          <cell r="AQ342">
            <v>0</v>
          </cell>
          <cell r="AS342" t="str">
            <v/>
          </cell>
          <cell r="AT342" t="str">
            <v/>
          </cell>
          <cell r="AV342" t="b">
            <v>0</v>
          </cell>
          <cell r="AW342" t="str">
            <v>minute</v>
          </cell>
        </row>
        <row r="343">
          <cell r="S343" t="str">
            <v>DOM GLP GL304</v>
          </cell>
          <cell r="T343" t="str">
            <v>DOM</v>
          </cell>
          <cell r="U343" t="str">
            <v>GLP</v>
          </cell>
          <cell r="V343" t="str">
            <v>GL304</v>
          </cell>
          <cell r="X343">
            <v>0.125</v>
          </cell>
          <cell r="Y343">
            <v>0</v>
          </cell>
          <cell r="Z343">
            <v>0.125</v>
          </cell>
          <cell r="AA343">
            <v>0</v>
          </cell>
          <cell r="AB343">
            <v>0.125</v>
          </cell>
          <cell r="AC343">
            <v>0</v>
          </cell>
          <cell r="AD343">
            <v>0.125</v>
          </cell>
          <cell r="AE343">
            <v>0</v>
          </cell>
          <cell r="AG343" t="str">
            <v/>
          </cell>
          <cell r="AH343" t="str">
            <v/>
          </cell>
          <cell r="AJ343">
            <v>0.125</v>
          </cell>
          <cell r="AK343">
            <v>0</v>
          </cell>
          <cell r="AL343">
            <v>0.125</v>
          </cell>
          <cell r="AM343">
            <v>0</v>
          </cell>
          <cell r="AN343">
            <v>0.125</v>
          </cell>
          <cell r="AO343">
            <v>0</v>
          </cell>
          <cell r="AP343">
            <v>0.125</v>
          </cell>
          <cell r="AQ343">
            <v>0</v>
          </cell>
          <cell r="AS343" t="str">
            <v/>
          </cell>
          <cell r="AT343" t="str">
            <v/>
          </cell>
          <cell r="AV343" t="b">
            <v>0</v>
          </cell>
          <cell r="AW343" t="str">
            <v>minute</v>
          </cell>
        </row>
        <row r="344">
          <cell r="S344" t="str">
            <v>DOM GLP GL305</v>
          </cell>
          <cell r="T344" t="str">
            <v>DOM</v>
          </cell>
          <cell r="U344" t="str">
            <v>GLP</v>
          </cell>
          <cell r="V344" t="str">
            <v>GL305</v>
          </cell>
          <cell r="X344">
            <v>0.17630000000000001</v>
          </cell>
          <cell r="Y344">
            <v>0</v>
          </cell>
          <cell r="Z344">
            <v>0.17630000000000001</v>
          </cell>
          <cell r="AA344">
            <v>0</v>
          </cell>
          <cell r="AB344">
            <v>0.17630000000000001</v>
          </cell>
          <cell r="AC344">
            <v>0</v>
          </cell>
          <cell r="AD344">
            <v>0.17630000000000001</v>
          </cell>
          <cell r="AE344">
            <v>0</v>
          </cell>
          <cell r="AG344" t="str">
            <v/>
          </cell>
          <cell r="AH344" t="str">
            <v/>
          </cell>
          <cell r="AJ344">
            <v>0.17630000000000001</v>
          </cell>
          <cell r="AK344">
            <v>0</v>
          </cell>
          <cell r="AL344">
            <v>0.17630000000000001</v>
          </cell>
          <cell r="AM344">
            <v>0</v>
          </cell>
          <cell r="AN344">
            <v>0.17630000000000001</v>
          </cell>
          <cell r="AO344">
            <v>0</v>
          </cell>
          <cell r="AP344">
            <v>0.17630000000000001</v>
          </cell>
          <cell r="AQ344">
            <v>0</v>
          </cell>
          <cell r="AS344" t="str">
            <v/>
          </cell>
          <cell r="AT344" t="str">
            <v/>
          </cell>
          <cell r="AV344" t="b">
            <v>0</v>
          </cell>
          <cell r="AW344" t="str">
            <v>minute</v>
          </cell>
        </row>
        <row r="345">
          <cell r="S345" t="str">
            <v>DOM GLP GL306</v>
          </cell>
          <cell r="T345" t="str">
            <v>DOM</v>
          </cell>
          <cell r="U345" t="str">
            <v>GLP</v>
          </cell>
          <cell r="V345" t="str">
            <v>GL306</v>
          </cell>
          <cell r="X345">
            <v>0.188</v>
          </cell>
          <cell r="Y345">
            <v>0</v>
          </cell>
          <cell r="Z345">
            <v>0.188</v>
          </cell>
          <cell r="AA345">
            <v>0</v>
          </cell>
          <cell r="AB345">
            <v>0.188</v>
          </cell>
          <cell r="AC345">
            <v>0</v>
          </cell>
          <cell r="AD345">
            <v>0.188</v>
          </cell>
          <cell r="AE345">
            <v>0</v>
          </cell>
          <cell r="AG345" t="str">
            <v/>
          </cell>
          <cell r="AH345" t="str">
            <v/>
          </cell>
          <cell r="AJ345">
            <v>0.188</v>
          </cell>
          <cell r="AK345">
            <v>0</v>
          </cell>
          <cell r="AL345">
            <v>0.188</v>
          </cell>
          <cell r="AM345">
            <v>0</v>
          </cell>
          <cell r="AN345">
            <v>0.188</v>
          </cell>
          <cell r="AO345">
            <v>0</v>
          </cell>
          <cell r="AP345">
            <v>0.188</v>
          </cell>
          <cell r="AQ345">
            <v>0</v>
          </cell>
          <cell r="AS345" t="str">
            <v/>
          </cell>
          <cell r="AT345" t="str">
            <v/>
          </cell>
          <cell r="AV345" t="b">
            <v>0</v>
          </cell>
          <cell r="AW345" t="str">
            <v>minute</v>
          </cell>
        </row>
        <row r="346">
          <cell r="S346" t="str">
            <v>DOM GLP GL307</v>
          </cell>
          <cell r="T346" t="str">
            <v>DOM</v>
          </cell>
          <cell r="U346" t="str">
            <v>GLP</v>
          </cell>
          <cell r="V346" t="str">
            <v>GL307</v>
          </cell>
          <cell r="X346">
            <v>0.28100000000000003</v>
          </cell>
          <cell r="Y346">
            <v>0</v>
          </cell>
          <cell r="Z346">
            <v>0.28100000000000003</v>
          </cell>
          <cell r="AA346">
            <v>0</v>
          </cell>
          <cell r="AB346">
            <v>0.28100000000000003</v>
          </cell>
          <cell r="AC346">
            <v>0</v>
          </cell>
          <cell r="AD346">
            <v>0.28100000000000003</v>
          </cell>
          <cell r="AE346">
            <v>0</v>
          </cell>
          <cell r="AG346" t="str">
            <v/>
          </cell>
          <cell r="AH346" t="str">
            <v/>
          </cell>
          <cell r="AJ346">
            <v>0.28100000000000003</v>
          </cell>
          <cell r="AK346">
            <v>0</v>
          </cell>
          <cell r="AL346">
            <v>0.28100000000000003</v>
          </cell>
          <cell r="AM346">
            <v>0</v>
          </cell>
          <cell r="AN346">
            <v>0.28100000000000003</v>
          </cell>
          <cell r="AO346">
            <v>0</v>
          </cell>
          <cell r="AP346">
            <v>0.28100000000000003</v>
          </cell>
          <cell r="AQ346">
            <v>0</v>
          </cell>
          <cell r="AS346" t="str">
            <v/>
          </cell>
          <cell r="AT346" t="str">
            <v/>
          </cell>
          <cell r="AV346" t="b">
            <v>0</v>
          </cell>
          <cell r="AW346" t="str">
            <v>minute</v>
          </cell>
        </row>
        <row r="347">
          <cell r="S347" t="str">
            <v>DOM GLP GL308</v>
          </cell>
          <cell r="T347" t="str">
            <v>DOM</v>
          </cell>
          <cell r="U347" t="str">
            <v>GLP</v>
          </cell>
          <cell r="V347" t="str">
            <v>GL308</v>
          </cell>
          <cell r="X347">
            <v>0.29680000000000001</v>
          </cell>
          <cell r="Y347">
            <v>0</v>
          </cell>
          <cell r="Z347">
            <v>0.29680000000000001</v>
          </cell>
          <cell r="AA347">
            <v>0</v>
          </cell>
          <cell r="AB347">
            <v>0.29680000000000001</v>
          </cell>
          <cell r="AC347">
            <v>0</v>
          </cell>
          <cell r="AD347">
            <v>0.29680000000000001</v>
          </cell>
          <cell r="AE347">
            <v>0</v>
          </cell>
          <cell r="AG347" t="str">
            <v/>
          </cell>
          <cell r="AH347" t="str">
            <v/>
          </cell>
          <cell r="AJ347">
            <v>0.29680000000000001</v>
          </cell>
          <cell r="AK347">
            <v>0</v>
          </cell>
          <cell r="AL347">
            <v>0.29680000000000001</v>
          </cell>
          <cell r="AM347">
            <v>0</v>
          </cell>
          <cell r="AN347">
            <v>0.29680000000000001</v>
          </cell>
          <cell r="AO347">
            <v>0</v>
          </cell>
          <cell r="AP347">
            <v>0.29680000000000001</v>
          </cell>
          <cell r="AQ347">
            <v>0</v>
          </cell>
          <cell r="AS347" t="str">
            <v/>
          </cell>
          <cell r="AT347" t="str">
            <v/>
          </cell>
          <cell r="AV347" t="b">
            <v>0</v>
          </cell>
          <cell r="AW347" t="str">
            <v>minute</v>
          </cell>
        </row>
        <row r="348">
          <cell r="S348" t="str">
            <v>DOM GLP GL309</v>
          </cell>
          <cell r="T348" t="str">
            <v>DOM</v>
          </cell>
          <cell r="U348" t="str">
            <v>GLP</v>
          </cell>
          <cell r="V348" t="str">
            <v>GL309</v>
          </cell>
          <cell r="X348">
            <v>0.34499999999999997</v>
          </cell>
          <cell r="Y348">
            <v>0</v>
          </cell>
          <cell r="Z348">
            <v>0.34499999999999997</v>
          </cell>
          <cell r="AA348">
            <v>0</v>
          </cell>
          <cell r="AB348">
            <v>0.34499999999999997</v>
          </cell>
          <cell r="AC348">
            <v>0</v>
          </cell>
          <cell r="AD348">
            <v>0.34499999999999997</v>
          </cell>
          <cell r="AE348">
            <v>0</v>
          </cell>
          <cell r="AG348" t="str">
            <v/>
          </cell>
          <cell r="AH348" t="str">
            <v/>
          </cell>
          <cell r="AJ348">
            <v>0.34499999999999997</v>
          </cell>
          <cell r="AK348">
            <v>0</v>
          </cell>
          <cell r="AL348">
            <v>0.34499999999999997</v>
          </cell>
          <cell r="AM348">
            <v>0</v>
          </cell>
          <cell r="AN348">
            <v>0.34499999999999997</v>
          </cell>
          <cell r="AO348">
            <v>0</v>
          </cell>
          <cell r="AP348">
            <v>0.34499999999999997</v>
          </cell>
          <cell r="AQ348">
            <v>0</v>
          </cell>
          <cell r="AS348" t="str">
            <v/>
          </cell>
          <cell r="AT348" t="str">
            <v/>
          </cell>
          <cell r="AV348" t="b">
            <v>0</v>
          </cell>
          <cell r="AW348" t="str">
            <v>minute</v>
          </cell>
        </row>
        <row r="349">
          <cell r="S349" t="str">
            <v>DOM GLP GL310</v>
          </cell>
          <cell r="T349" t="str">
            <v>DOM</v>
          </cell>
          <cell r="U349" t="str">
            <v>GLP</v>
          </cell>
          <cell r="V349" t="str">
            <v>GL310</v>
          </cell>
          <cell r="X349">
            <v>0.72309999999999997</v>
          </cell>
          <cell r="Y349">
            <v>0</v>
          </cell>
          <cell r="Z349">
            <v>0.72309999999999997</v>
          </cell>
          <cell r="AA349">
            <v>0</v>
          </cell>
          <cell r="AB349">
            <v>0.72309999999999997</v>
          </cell>
          <cell r="AC349">
            <v>0</v>
          </cell>
          <cell r="AD349">
            <v>0.72309999999999997</v>
          </cell>
          <cell r="AE349">
            <v>0</v>
          </cell>
          <cell r="AG349" t="str">
            <v/>
          </cell>
          <cell r="AH349" t="str">
            <v/>
          </cell>
          <cell r="AJ349">
            <v>0.72309999999999997</v>
          </cell>
          <cell r="AK349">
            <v>0</v>
          </cell>
          <cell r="AL349">
            <v>0.72309999999999997</v>
          </cell>
          <cell r="AM349">
            <v>0</v>
          </cell>
          <cell r="AN349">
            <v>0.72309999999999997</v>
          </cell>
          <cell r="AO349">
            <v>0</v>
          </cell>
          <cell r="AP349">
            <v>0.72309999999999997</v>
          </cell>
          <cell r="AQ349">
            <v>0</v>
          </cell>
          <cell r="AS349" t="str">
            <v/>
          </cell>
          <cell r="AT349" t="str">
            <v/>
          </cell>
          <cell r="AV349" t="b">
            <v>0</v>
          </cell>
          <cell r="AW349" t="str">
            <v>minute</v>
          </cell>
        </row>
        <row r="350">
          <cell r="S350" t="str">
            <v>DOM GLP GL311</v>
          </cell>
          <cell r="T350" t="str">
            <v>DOM</v>
          </cell>
          <cell r="U350" t="str">
            <v>GLP</v>
          </cell>
          <cell r="V350" t="str">
            <v>GL311</v>
          </cell>
          <cell r="X350">
            <v>1.1279999999999999</v>
          </cell>
          <cell r="Y350">
            <v>0</v>
          </cell>
          <cell r="Z350">
            <v>1.1279999999999999</v>
          </cell>
          <cell r="AA350">
            <v>0</v>
          </cell>
          <cell r="AB350">
            <v>1.1279999999999999</v>
          </cell>
          <cell r="AC350">
            <v>0</v>
          </cell>
          <cell r="AD350">
            <v>1.1279999999999999</v>
          </cell>
          <cell r="AE350">
            <v>0</v>
          </cell>
          <cell r="AG350" t="str">
            <v/>
          </cell>
          <cell r="AH350" t="str">
            <v/>
          </cell>
          <cell r="AJ350">
            <v>1.1279999999999999</v>
          </cell>
          <cell r="AK350">
            <v>0</v>
          </cell>
          <cell r="AL350">
            <v>1.1279999999999999</v>
          </cell>
          <cell r="AM350">
            <v>0</v>
          </cell>
          <cell r="AN350">
            <v>1.1279999999999999</v>
          </cell>
          <cell r="AO350">
            <v>0</v>
          </cell>
          <cell r="AP350">
            <v>1.1279999999999999</v>
          </cell>
          <cell r="AQ350">
            <v>0</v>
          </cell>
          <cell r="AS350" t="str">
            <v/>
          </cell>
          <cell r="AT350" t="str">
            <v/>
          </cell>
          <cell r="AV350" t="b">
            <v>0</v>
          </cell>
          <cell r="AW350" t="str">
            <v>minute</v>
          </cell>
        </row>
        <row r="351">
          <cell r="S351" t="str">
            <v>DOM GLP GL312</v>
          </cell>
          <cell r="T351" t="str">
            <v>DOM</v>
          </cell>
          <cell r="U351" t="str">
            <v>GLP</v>
          </cell>
          <cell r="V351" t="str">
            <v>GL312</v>
          </cell>
          <cell r="X351">
            <v>9.9000000000000005E-2</v>
          </cell>
          <cell r="Y351">
            <v>2E-3</v>
          </cell>
          <cell r="Z351">
            <v>9.9000000000000005E-2</v>
          </cell>
          <cell r="AA351">
            <v>2E-3</v>
          </cell>
          <cell r="AB351">
            <v>9.9000000000000005E-2</v>
          </cell>
          <cell r="AC351">
            <v>2E-3</v>
          </cell>
          <cell r="AD351">
            <v>9.9000000000000005E-2</v>
          </cell>
          <cell r="AE351">
            <v>2E-3</v>
          </cell>
          <cell r="AG351" t="str">
            <v/>
          </cell>
          <cell r="AH351" t="str">
            <v/>
          </cell>
          <cell r="AJ351">
            <v>9.9000000000000005E-2</v>
          </cell>
          <cell r="AK351">
            <v>2E-3</v>
          </cell>
          <cell r="AL351">
            <v>9.9000000000000005E-2</v>
          </cell>
          <cell r="AM351">
            <v>2E-3</v>
          </cell>
          <cell r="AN351">
            <v>9.9000000000000005E-2</v>
          </cell>
          <cell r="AO351">
            <v>2E-3</v>
          </cell>
          <cell r="AP351">
            <v>9.9000000000000005E-2</v>
          </cell>
          <cell r="AQ351">
            <v>2E-3</v>
          </cell>
          <cell r="AS351" t="str">
            <v/>
          </cell>
          <cell r="AT351" t="str">
            <v/>
          </cell>
          <cell r="AV351" t="b">
            <v>0</v>
          </cell>
          <cell r="AW351" t="str">
            <v>minute &amp; call</v>
          </cell>
        </row>
        <row r="352">
          <cell r="S352" t="str">
            <v>DOM GLP GL313</v>
          </cell>
          <cell r="T352" t="str">
            <v>DOM</v>
          </cell>
          <cell r="U352" t="str">
            <v>GLP</v>
          </cell>
          <cell r="V352" t="str">
            <v>GL313</v>
          </cell>
          <cell r="X352">
            <v>6.7100000000000007E-2</v>
          </cell>
          <cell r="Y352">
            <v>1.7000000000000001E-2</v>
          </cell>
          <cell r="Z352">
            <v>6.7100000000000007E-2</v>
          </cell>
          <cell r="AA352">
            <v>1.7000000000000001E-2</v>
          </cell>
          <cell r="AB352">
            <v>6.7100000000000007E-2</v>
          </cell>
          <cell r="AC352">
            <v>1.7000000000000001E-2</v>
          </cell>
          <cell r="AD352">
            <v>6.7100000000000007E-2</v>
          </cell>
          <cell r="AE352">
            <v>1.7000000000000001E-2</v>
          </cell>
          <cell r="AG352" t="str">
            <v/>
          </cell>
          <cell r="AH352" t="str">
            <v/>
          </cell>
          <cell r="AJ352">
            <v>6.7100000000000007E-2</v>
          </cell>
          <cell r="AK352">
            <v>1.7000000000000001E-2</v>
          </cell>
          <cell r="AL352">
            <v>6.7100000000000007E-2</v>
          </cell>
          <cell r="AM352">
            <v>1.7000000000000001E-2</v>
          </cell>
          <cell r="AN352">
            <v>6.7100000000000007E-2</v>
          </cell>
          <cell r="AO352">
            <v>1.7000000000000001E-2</v>
          </cell>
          <cell r="AP352">
            <v>6.7100000000000007E-2</v>
          </cell>
          <cell r="AQ352">
            <v>1.7000000000000001E-2</v>
          </cell>
          <cell r="AS352" t="str">
            <v/>
          </cell>
          <cell r="AT352" t="str">
            <v/>
          </cell>
          <cell r="AV352" t="b">
            <v>0</v>
          </cell>
          <cell r="AW352" t="str">
            <v>minute &amp; call</v>
          </cell>
        </row>
        <row r="353">
          <cell r="S353" t="str">
            <v>DOM GLP GL314</v>
          </cell>
          <cell r="T353" t="str">
            <v>DOM</v>
          </cell>
          <cell r="U353" t="str">
            <v>GLP</v>
          </cell>
          <cell r="V353" t="str">
            <v>GL314</v>
          </cell>
          <cell r="X353">
            <v>7.4999999999999997E-2</v>
          </cell>
          <cell r="Y353">
            <v>2.4E-2</v>
          </cell>
          <cell r="Z353">
            <v>7.4999999999999997E-2</v>
          </cell>
          <cell r="AA353">
            <v>2.4E-2</v>
          </cell>
          <cell r="AB353">
            <v>7.4999999999999997E-2</v>
          </cell>
          <cell r="AC353">
            <v>2.4E-2</v>
          </cell>
          <cell r="AD353">
            <v>7.4999999999999997E-2</v>
          </cell>
          <cell r="AE353">
            <v>2.4E-2</v>
          </cell>
          <cell r="AG353" t="str">
            <v/>
          </cell>
          <cell r="AH353" t="str">
            <v/>
          </cell>
          <cell r="AJ353">
            <v>7.4999999999999997E-2</v>
          </cell>
          <cell r="AK353">
            <v>2.4E-2</v>
          </cell>
          <cell r="AL353">
            <v>7.4999999999999997E-2</v>
          </cell>
          <cell r="AM353">
            <v>2.4E-2</v>
          </cell>
          <cell r="AN353">
            <v>7.4999999999999997E-2</v>
          </cell>
          <cell r="AO353">
            <v>2.4E-2</v>
          </cell>
          <cell r="AP353">
            <v>7.4999999999999997E-2</v>
          </cell>
          <cell r="AQ353">
            <v>2.4E-2</v>
          </cell>
          <cell r="AS353" t="str">
            <v/>
          </cell>
          <cell r="AT353" t="str">
            <v/>
          </cell>
          <cell r="AV353" t="b">
            <v>0</v>
          </cell>
          <cell r="AW353" t="str">
            <v>minute &amp; call</v>
          </cell>
        </row>
        <row r="354">
          <cell r="S354" t="str">
            <v>DOM GLP GL315</v>
          </cell>
          <cell r="T354" t="str">
            <v>DOM</v>
          </cell>
          <cell r="U354" t="str">
            <v>GLP</v>
          </cell>
          <cell r="V354" t="str">
            <v>GL315</v>
          </cell>
          <cell r="X354">
            <v>5.0999999999999997E-2</v>
          </cell>
          <cell r="Y354">
            <v>4.2999999999999997E-2</v>
          </cell>
          <cell r="Z354">
            <v>5.0999999999999997E-2</v>
          </cell>
          <cell r="AA354">
            <v>4.2999999999999997E-2</v>
          </cell>
          <cell r="AB354">
            <v>5.0999999999999997E-2</v>
          </cell>
          <cell r="AC354">
            <v>4.2999999999999997E-2</v>
          </cell>
          <cell r="AD354">
            <v>5.0999999999999997E-2</v>
          </cell>
          <cell r="AE354">
            <v>4.2999999999999997E-2</v>
          </cell>
          <cell r="AG354" t="str">
            <v/>
          </cell>
          <cell r="AH354" t="str">
            <v/>
          </cell>
          <cell r="AJ354">
            <v>5.0999999999999997E-2</v>
          </cell>
          <cell r="AK354">
            <v>4.2999999999999997E-2</v>
          </cell>
          <cell r="AL354">
            <v>5.0999999999999997E-2</v>
          </cell>
          <cell r="AM354">
            <v>4.2999999999999997E-2</v>
          </cell>
          <cell r="AN354">
            <v>5.0999999999999997E-2</v>
          </cell>
          <cell r="AO354">
            <v>4.2999999999999997E-2</v>
          </cell>
          <cell r="AP354">
            <v>5.0999999999999997E-2</v>
          </cell>
          <cell r="AQ354">
            <v>4.2999999999999997E-2</v>
          </cell>
          <cell r="AS354" t="str">
            <v/>
          </cell>
          <cell r="AT354" t="str">
            <v/>
          </cell>
          <cell r="AV354" t="b">
            <v>0</v>
          </cell>
          <cell r="AW354" t="str">
            <v>minute &amp; call</v>
          </cell>
        </row>
        <row r="355">
          <cell r="S355" t="str">
            <v>DOM GLP GL316</v>
          </cell>
          <cell r="T355" t="str">
            <v>DOM</v>
          </cell>
          <cell r="U355" t="str">
            <v>GLP</v>
          </cell>
          <cell r="V355" t="str">
            <v>GL316</v>
          </cell>
          <cell r="X355">
            <v>2.3E-2</v>
          </cell>
          <cell r="Y355">
            <v>6.5000000000000002E-2</v>
          </cell>
          <cell r="Z355">
            <v>2.3E-2</v>
          </cell>
          <cell r="AA355">
            <v>6.5000000000000002E-2</v>
          </cell>
          <cell r="AB355">
            <v>2.3E-2</v>
          </cell>
          <cell r="AC355">
            <v>6.5000000000000002E-2</v>
          </cell>
          <cell r="AD355">
            <v>2.3E-2</v>
          </cell>
          <cell r="AE355">
            <v>6.5000000000000002E-2</v>
          </cell>
          <cell r="AG355" t="str">
            <v/>
          </cell>
          <cell r="AH355" t="str">
            <v/>
          </cell>
          <cell r="AJ355">
            <v>2.3E-2</v>
          </cell>
          <cell r="AK355">
            <v>6.5000000000000002E-2</v>
          </cell>
          <cell r="AL355">
            <v>2.3E-2</v>
          </cell>
          <cell r="AM355">
            <v>6.5000000000000002E-2</v>
          </cell>
          <cell r="AN355">
            <v>2.3E-2</v>
          </cell>
          <cell r="AO355">
            <v>6.5000000000000002E-2</v>
          </cell>
          <cell r="AP355">
            <v>2.3E-2</v>
          </cell>
          <cell r="AQ355">
            <v>6.5000000000000002E-2</v>
          </cell>
          <cell r="AS355" t="str">
            <v/>
          </cell>
          <cell r="AT355" t="str">
            <v/>
          </cell>
          <cell r="AV355" t="b">
            <v>0</v>
          </cell>
          <cell r="AW355" t="str">
            <v>minute &amp; call</v>
          </cell>
        </row>
        <row r="356">
          <cell r="S356" t="str">
            <v>DOM GLP GL317</v>
          </cell>
          <cell r="T356" t="str">
            <v>DOM</v>
          </cell>
          <cell r="U356" t="str">
            <v>GLP</v>
          </cell>
          <cell r="V356" t="str">
            <v>GL317</v>
          </cell>
          <cell r="X356">
            <v>2.4E-2</v>
          </cell>
          <cell r="Y356">
            <v>7.5999999999999998E-2</v>
          </cell>
          <cell r="Z356">
            <v>2.4E-2</v>
          </cell>
          <cell r="AA356">
            <v>7.5999999999999998E-2</v>
          </cell>
          <cell r="AB356">
            <v>2.4E-2</v>
          </cell>
          <cell r="AC356">
            <v>7.5999999999999998E-2</v>
          </cell>
          <cell r="AD356">
            <v>2.4E-2</v>
          </cell>
          <cell r="AE356">
            <v>7.5999999999999998E-2</v>
          </cell>
          <cell r="AG356" t="str">
            <v/>
          </cell>
          <cell r="AH356" t="str">
            <v/>
          </cell>
          <cell r="AJ356">
            <v>2.4E-2</v>
          </cell>
          <cell r="AK356">
            <v>7.5999999999999998E-2</v>
          </cell>
          <cell r="AL356">
            <v>2.4E-2</v>
          </cell>
          <cell r="AM356">
            <v>7.5999999999999998E-2</v>
          </cell>
          <cell r="AN356">
            <v>2.4E-2</v>
          </cell>
          <cell r="AO356">
            <v>7.5999999999999998E-2</v>
          </cell>
          <cell r="AP356">
            <v>2.4E-2</v>
          </cell>
          <cell r="AQ356">
            <v>7.5999999999999998E-2</v>
          </cell>
          <cell r="AS356" t="str">
            <v/>
          </cell>
          <cell r="AT356" t="str">
            <v/>
          </cell>
          <cell r="AV356" t="b">
            <v>0</v>
          </cell>
          <cell r="AW356" t="str">
            <v>minute &amp; call</v>
          </cell>
        </row>
        <row r="357">
          <cell r="S357" t="str">
            <v>DOM GLP GL318</v>
          </cell>
          <cell r="T357" t="str">
            <v>DOM</v>
          </cell>
          <cell r="U357" t="str">
            <v>GLP</v>
          </cell>
          <cell r="V357" t="str">
            <v>GL318</v>
          </cell>
          <cell r="X357">
            <v>0</v>
          </cell>
          <cell r="Y357">
            <v>9.4E-2</v>
          </cell>
          <cell r="Z357">
            <v>0</v>
          </cell>
          <cell r="AA357">
            <v>9.4E-2</v>
          </cell>
          <cell r="AB357">
            <v>0</v>
          </cell>
          <cell r="AC357">
            <v>9.4E-2</v>
          </cell>
          <cell r="AD357">
            <v>0</v>
          </cell>
          <cell r="AE357">
            <v>9.4E-2</v>
          </cell>
          <cell r="AG357" t="str">
            <v/>
          </cell>
          <cell r="AH357" t="str">
            <v/>
          </cell>
          <cell r="AJ357">
            <v>0</v>
          </cell>
          <cell r="AK357">
            <v>9.4E-2</v>
          </cell>
          <cell r="AL357">
            <v>0</v>
          </cell>
          <cell r="AM357">
            <v>9.4E-2</v>
          </cell>
          <cell r="AN357">
            <v>0</v>
          </cell>
          <cell r="AO357">
            <v>9.4E-2</v>
          </cell>
          <cell r="AP357">
            <v>0</v>
          </cell>
          <cell r="AQ357">
            <v>9.4E-2</v>
          </cell>
          <cell r="AS357" t="str">
            <v/>
          </cell>
          <cell r="AT357" t="str">
            <v/>
          </cell>
          <cell r="AV357" t="b">
            <v>0</v>
          </cell>
          <cell r="AW357" t="str">
            <v>call</v>
          </cell>
        </row>
        <row r="358">
          <cell r="S358" t="str">
            <v>DOM GLP GL319</v>
          </cell>
          <cell r="T358" t="str">
            <v>DOM</v>
          </cell>
          <cell r="U358" t="str">
            <v>GLP</v>
          </cell>
          <cell r="V358" t="str">
            <v>GL319</v>
          </cell>
          <cell r="X358">
            <v>0.125</v>
          </cell>
          <cell r="Y358">
            <v>9.4E-2</v>
          </cell>
          <cell r="Z358">
            <v>0.125</v>
          </cell>
          <cell r="AA358">
            <v>9.4E-2</v>
          </cell>
          <cell r="AB358">
            <v>0.125</v>
          </cell>
          <cell r="AC358">
            <v>9.4E-2</v>
          </cell>
          <cell r="AD358">
            <v>0.125</v>
          </cell>
          <cell r="AE358">
            <v>9.4E-2</v>
          </cell>
          <cell r="AG358" t="str">
            <v/>
          </cell>
          <cell r="AH358" t="str">
            <v/>
          </cell>
          <cell r="AJ358">
            <v>0.125</v>
          </cell>
          <cell r="AK358">
            <v>9.4E-2</v>
          </cell>
          <cell r="AL358">
            <v>0.125</v>
          </cell>
          <cell r="AM358">
            <v>9.4E-2</v>
          </cell>
          <cell r="AN358">
            <v>0.125</v>
          </cell>
          <cell r="AO358">
            <v>9.4E-2</v>
          </cell>
          <cell r="AP358">
            <v>0.125</v>
          </cell>
          <cell r="AQ358">
            <v>9.4E-2</v>
          </cell>
          <cell r="AS358" t="str">
            <v/>
          </cell>
          <cell r="AT358" t="str">
            <v/>
          </cell>
          <cell r="AV358" t="b">
            <v>0</v>
          </cell>
          <cell r="AW358" t="str">
            <v>minute &amp; call</v>
          </cell>
        </row>
        <row r="359">
          <cell r="S359" t="str">
            <v>DOM GLP GL320</v>
          </cell>
          <cell r="T359" t="str">
            <v>DOM</v>
          </cell>
          <cell r="U359" t="str">
            <v>GLP</v>
          </cell>
          <cell r="V359" t="str">
            <v>GL320</v>
          </cell>
          <cell r="X359">
            <v>4.7E-2</v>
          </cell>
          <cell r="Y359">
            <v>0.14099999999999999</v>
          </cell>
          <cell r="Z359">
            <v>4.7E-2</v>
          </cell>
          <cell r="AA359">
            <v>0.14099999999999999</v>
          </cell>
          <cell r="AB359">
            <v>4.7E-2</v>
          </cell>
          <cell r="AC359">
            <v>0.14099999999999999</v>
          </cell>
          <cell r="AD359">
            <v>4.7E-2</v>
          </cell>
          <cell r="AE359">
            <v>0.14099999999999999</v>
          </cell>
          <cell r="AG359" t="str">
            <v/>
          </cell>
          <cell r="AH359" t="str">
            <v/>
          </cell>
          <cell r="AJ359">
            <v>4.7E-2</v>
          </cell>
          <cell r="AK359">
            <v>0.14099999999999999</v>
          </cell>
          <cell r="AL359">
            <v>4.7E-2</v>
          </cell>
          <cell r="AM359">
            <v>0.14099999999999999</v>
          </cell>
          <cell r="AN359">
            <v>4.7E-2</v>
          </cell>
          <cell r="AO359">
            <v>0.14099999999999999</v>
          </cell>
          <cell r="AP359">
            <v>4.7E-2</v>
          </cell>
          <cell r="AQ359">
            <v>0.14099999999999999</v>
          </cell>
          <cell r="AS359" t="str">
            <v/>
          </cell>
          <cell r="AT359" t="str">
            <v/>
          </cell>
          <cell r="AV359" t="b">
            <v>0</v>
          </cell>
          <cell r="AW359" t="str">
            <v>minute &amp; call</v>
          </cell>
        </row>
        <row r="360">
          <cell r="S360" t="str">
            <v>DOM GLP GL321</v>
          </cell>
          <cell r="T360" t="str">
            <v>DOM</v>
          </cell>
          <cell r="U360" t="str">
            <v>GLP</v>
          </cell>
          <cell r="V360" t="str">
            <v>GL321</v>
          </cell>
          <cell r="X360">
            <v>0</v>
          </cell>
          <cell r="Y360">
            <v>0.47</v>
          </cell>
          <cell r="Z360">
            <v>0</v>
          </cell>
          <cell r="AA360">
            <v>0.47</v>
          </cell>
          <cell r="AB360">
            <v>0</v>
          </cell>
          <cell r="AC360">
            <v>0.47</v>
          </cell>
          <cell r="AD360">
            <v>0</v>
          </cell>
          <cell r="AE360">
            <v>0.47</v>
          </cell>
          <cell r="AG360" t="str">
            <v/>
          </cell>
          <cell r="AH360" t="str">
            <v/>
          </cell>
          <cell r="AJ360">
            <v>0</v>
          </cell>
          <cell r="AK360">
            <v>0.47</v>
          </cell>
          <cell r="AL360">
            <v>0</v>
          </cell>
          <cell r="AM360">
            <v>0.47</v>
          </cell>
          <cell r="AN360">
            <v>0</v>
          </cell>
          <cell r="AO360">
            <v>0.47</v>
          </cell>
          <cell r="AP360">
            <v>0</v>
          </cell>
          <cell r="AQ360">
            <v>0.47</v>
          </cell>
          <cell r="AS360" t="str">
            <v/>
          </cell>
          <cell r="AT360" t="str">
            <v/>
          </cell>
          <cell r="AV360" t="b">
            <v>0</v>
          </cell>
          <cell r="AW360" t="str">
            <v>call</v>
          </cell>
        </row>
        <row r="361">
          <cell r="S361" t="str">
            <v>DOM GLP GLVAS</v>
          </cell>
          <cell r="T361" t="str">
            <v>DOM</v>
          </cell>
          <cell r="U361" t="str">
            <v>GLP</v>
          </cell>
          <cell r="V361" t="str">
            <v>GLVAS</v>
          </cell>
          <cell r="X361">
            <v>0.28100000000000003</v>
          </cell>
          <cell r="Y361">
            <v>1.1297999999999999</v>
          </cell>
          <cell r="Z361">
            <v>0.28100000000000003</v>
          </cell>
          <cell r="AA361">
            <v>1.1297999999999999</v>
          </cell>
          <cell r="AB361">
            <v>0.28100000000000003</v>
          </cell>
          <cell r="AC361">
            <v>1.1297999999999999</v>
          </cell>
          <cell r="AD361">
            <v>0.28100000000000003</v>
          </cell>
          <cell r="AE361">
            <v>1.1297999999999999</v>
          </cell>
          <cell r="AG361" t="str">
            <v/>
          </cell>
          <cell r="AH361" t="str">
            <v/>
          </cell>
          <cell r="AJ361">
            <v>0.28100000000000003</v>
          </cell>
          <cell r="AK361">
            <v>1.1297999999999999</v>
          </cell>
          <cell r="AL361">
            <v>0.28100000000000003</v>
          </cell>
          <cell r="AM361">
            <v>1.1297999999999999</v>
          </cell>
          <cell r="AN361">
            <v>0.28100000000000003</v>
          </cell>
          <cell r="AO361">
            <v>1.1297999999999999</v>
          </cell>
          <cell r="AP361">
            <v>0.28100000000000003</v>
          </cell>
          <cell r="AQ361">
            <v>1.1297999999999999</v>
          </cell>
          <cell r="AS361" t="str">
            <v/>
          </cell>
          <cell r="AT361" t="str">
            <v/>
          </cell>
          <cell r="AV361" t="b">
            <v>0</v>
          </cell>
          <cell r="AW361" t="str">
            <v>minute &amp; call</v>
          </cell>
        </row>
        <row r="362">
          <cell r="S362" t="str">
            <v>DOM GLP GLSOS</v>
          </cell>
          <cell r="T362" t="str">
            <v>DOM</v>
          </cell>
          <cell r="U362" t="str">
            <v>GLP</v>
          </cell>
          <cell r="V362" t="str">
            <v>GLSOS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G362" t="str">
            <v/>
          </cell>
          <cell r="AH362" t="str">
            <v/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S362" t="str">
            <v/>
          </cell>
          <cell r="AT362" t="str">
            <v/>
          </cell>
          <cell r="AV362" t="b">
            <v>0</v>
          </cell>
          <cell r="AW362" t="str">
            <v>minute</v>
          </cell>
        </row>
        <row r="363">
          <cell r="S363" t="str">
            <v>DOM GLP GL860</v>
          </cell>
          <cell r="T363" t="str">
            <v>DOM</v>
          </cell>
          <cell r="U363" t="str">
            <v>GLP</v>
          </cell>
          <cell r="V363" t="str">
            <v>GL860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G363" t="str">
            <v/>
          </cell>
          <cell r="AH363" t="str">
            <v/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S363" t="str">
            <v/>
          </cell>
          <cell r="AT363" t="str">
            <v/>
          </cell>
          <cell r="AV363" t="b">
            <v>0</v>
          </cell>
          <cell r="AW363" t="str">
            <v>minute</v>
          </cell>
        </row>
        <row r="364">
          <cell r="S364" t="str">
            <v>DOM GLP GL82H</v>
          </cell>
          <cell r="T364" t="str">
            <v>DOM</v>
          </cell>
          <cell r="U364" t="str">
            <v>GLP</v>
          </cell>
          <cell r="V364" t="str">
            <v>GL82H</v>
          </cell>
          <cell r="X364">
            <v>9.9000000000000005E-2</v>
          </cell>
          <cell r="Y364">
            <v>9.4E-2</v>
          </cell>
          <cell r="Z364">
            <v>9.9000000000000005E-2</v>
          </cell>
          <cell r="AA364">
            <v>9.4E-2</v>
          </cell>
          <cell r="AB364">
            <v>9.9000000000000005E-2</v>
          </cell>
          <cell r="AC364">
            <v>9.4E-2</v>
          </cell>
          <cell r="AD364">
            <v>9.9000000000000005E-2</v>
          </cell>
          <cell r="AE364">
            <v>9.4E-2</v>
          </cell>
          <cell r="AG364" t="str">
            <v/>
          </cell>
          <cell r="AH364" t="str">
            <v/>
          </cell>
          <cell r="AJ364">
            <v>9.9000000000000005E-2</v>
          </cell>
          <cell r="AK364">
            <v>9.4E-2</v>
          </cell>
          <cell r="AL364">
            <v>9.9000000000000005E-2</v>
          </cell>
          <cell r="AM364">
            <v>9.4E-2</v>
          </cell>
          <cell r="AN364">
            <v>9.9000000000000005E-2</v>
          </cell>
          <cell r="AO364">
            <v>9.4E-2</v>
          </cell>
          <cell r="AP364">
            <v>9.9000000000000005E-2</v>
          </cell>
          <cell r="AQ364">
            <v>9.4E-2</v>
          </cell>
          <cell r="AS364" t="str">
            <v/>
          </cell>
          <cell r="AT364" t="str">
            <v/>
          </cell>
          <cell r="AV364" t="b">
            <v>0</v>
          </cell>
          <cell r="AW364" t="str">
            <v>minute &amp; call</v>
          </cell>
        </row>
        <row r="365">
          <cell r="S365" t="str">
            <v>DOM GLP GL82L</v>
          </cell>
          <cell r="T365" t="str">
            <v>DOM</v>
          </cell>
          <cell r="U365" t="str">
            <v>GLP</v>
          </cell>
          <cell r="V365" t="str">
            <v>GL82L</v>
          </cell>
          <cell r="X365">
            <v>7.4999999999999997E-2</v>
          </cell>
          <cell r="Y365">
            <v>9.4E-2</v>
          </cell>
          <cell r="Z365">
            <v>7.4999999999999997E-2</v>
          </cell>
          <cell r="AA365">
            <v>9.4E-2</v>
          </cell>
          <cell r="AB365">
            <v>7.4999999999999997E-2</v>
          </cell>
          <cell r="AC365">
            <v>9.4E-2</v>
          </cell>
          <cell r="AD365">
            <v>7.4999999999999997E-2</v>
          </cell>
          <cell r="AE365">
            <v>9.4E-2</v>
          </cell>
          <cell r="AG365" t="str">
            <v/>
          </cell>
          <cell r="AH365" t="str">
            <v/>
          </cell>
          <cell r="AJ365">
            <v>7.4999999999999997E-2</v>
          </cell>
          <cell r="AK365">
            <v>9.4E-2</v>
          </cell>
          <cell r="AL365">
            <v>7.4999999999999997E-2</v>
          </cell>
          <cell r="AM365">
            <v>9.4E-2</v>
          </cell>
          <cell r="AN365">
            <v>7.4999999999999997E-2</v>
          </cell>
          <cell r="AO365">
            <v>9.4E-2</v>
          </cell>
          <cell r="AP365">
            <v>7.4999999999999997E-2</v>
          </cell>
          <cell r="AQ365">
            <v>9.4E-2</v>
          </cell>
          <cell r="AS365" t="str">
            <v/>
          </cell>
          <cell r="AT365" t="str">
            <v/>
          </cell>
          <cell r="AV365" t="b">
            <v>0</v>
          </cell>
          <cell r="AW365" t="str">
            <v>minute &amp; call</v>
          </cell>
        </row>
        <row r="366">
          <cell r="S366" t="str">
            <v>DOM GLP GL825</v>
          </cell>
          <cell r="T366" t="str">
            <v>DOM</v>
          </cell>
          <cell r="U366" t="str">
            <v>GLP</v>
          </cell>
          <cell r="V366" t="str">
            <v>GL825</v>
          </cell>
          <cell r="X366">
            <v>0.12529999999999999</v>
          </cell>
          <cell r="Y366">
            <v>0</v>
          </cell>
          <cell r="Z366">
            <v>0.12529999999999999</v>
          </cell>
          <cell r="AA366">
            <v>0</v>
          </cell>
          <cell r="AB366">
            <v>0.12529999999999999</v>
          </cell>
          <cell r="AC366">
            <v>0</v>
          </cell>
          <cell r="AD366">
            <v>0.12529999999999999</v>
          </cell>
          <cell r="AE366">
            <v>0</v>
          </cell>
          <cell r="AG366" t="str">
            <v/>
          </cell>
          <cell r="AH366" t="str">
            <v/>
          </cell>
          <cell r="AJ366">
            <v>0.12529999999999999</v>
          </cell>
          <cell r="AK366">
            <v>0</v>
          </cell>
          <cell r="AL366">
            <v>0.12529999999999999</v>
          </cell>
          <cell r="AM366">
            <v>0</v>
          </cell>
          <cell r="AN366">
            <v>0.12529999999999999</v>
          </cell>
          <cell r="AO366">
            <v>0</v>
          </cell>
          <cell r="AP366">
            <v>0.12529999999999999</v>
          </cell>
          <cell r="AQ366">
            <v>0</v>
          </cell>
          <cell r="AS366" t="str">
            <v/>
          </cell>
          <cell r="AT366" t="str">
            <v/>
          </cell>
          <cell r="AV366" t="b">
            <v>0</v>
          </cell>
          <cell r="AW366" t="str">
            <v>minute</v>
          </cell>
        </row>
        <row r="367">
          <cell r="S367" t="str">
            <v>DOM GLP GL89H</v>
          </cell>
          <cell r="T367" t="str">
            <v>DOM</v>
          </cell>
          <cell r="U367" t="str">
            <v>GLP</v>
          </cell>
          <cell r="V367" t="str">
            <v>GL89H</v>
          </cell>
          <cell r="X367">
            <v>0.12529999999999999</v>
          </cell>
          <cell r="Y367">
            <v>0</v>
          </cell>
          <cell r="Z367">
            <v>0.12529999999999999</v>
          </cell>
          <cell r="AA367">
            <v>0</v>
          </cell>
          <cell r="AB367">
            <v>0.12529999999999999</v>
          </cell>
          <cell r="AC367">
            <v>0</v>
          </cell>
          <cell r="AD367">
            <v>0.12529999999999999</v>
          </cell>
          <cell r="AE367">
            <v>0</v>
          </cell>
          <cell r="AG367" t="str">
            <v/>
          </cell>
          <cell r="AH367" t="str">
            <v/>
          </cell>
          <cell r="AJ367">
            <v>0.12529999999999999</v>
          </cell>
          <cell r="AK367">
            <v>0</v>
          </cell>
          <cell r="AL367">
            <v>0.12529999999999999</v>
          </cell>
          <cell r="AM367">
            <v>0</v>
          </cell>
          <cell r="AN367">
            <v>0.12529999999999999</v>
          </cell>
          <cell r="AO367">
            <v>0</v>
          </cell>
          <cell r="AP367">
            <v>0.12529999999999999</v>
          </cell>
          <cell r="AQ367">
            <v>0</v>
          </cell>
          <cell r="AS367" t="str">
            <v/>
          </cell>
          <cell r="AT367" t="str">
            <v/>
          </cell>
          <cell r="AV367" t="b">
            <v>0</v>
          </cell>
          <cell r="AW367" t="str">
            <v>minute</v>
          </cell>
        </row>
        <row r="368">
          <cell r="S368" t="str">
            <v>DOM GLP GL89L</v>
          </cell>
          <cell r="T368" t="str">
            <v>DOM</v>
          </cell>
          <cell r="U368" t="str">
            <v>GLP</v>
          </cell>
          <cell r="V368" t="str">
            <v>GL89L</v>
          </cell>
          <cell r="X368">
            <v>9.4E-2</v>
          </cell>
          <cell r="Y368">
            <v>0</v>
          </cell>
          <cell r="Z368">
            <v>9.4E-2</v>
          </cell>
          <cell r="AA368">
            <v>0</v>
          </cell>
          <cell r="AB368">
            <v>9.4E-2</v>
          </cell>
          <cell r="AC368">
            <v>0</v>
          </cell>
          <cell r="AD368">
            <v>9.4E-2</v>
          </cell>
          <cell r="AE368">
            <v>0</v>
          </cell>
          <cell r="AG368" t="str">
            <v/>
          </cell>
          <cell r="AH368" t="str">
            <v/>
          </cell>
          <cell r="AJ368">
            <v>9.4E-2</v>
          </cell>
          <cell r="AK368">
            <v>0</v>
          </cell>
          <cell r="AL368">
            <v>9.4E-2</v>
          </cell>
          <cell r="AM368">
            <v>0</v>
          </cell>
          <cell r="AN368">
            <v>9.4E-2</v>
          </cell>
          <cell r="AO368">
            <v>0</v>
          </cell>
          <cell r="AP368">
            <v>9.4E-2</v>
          </cell>
          <cell r="AQ368">
            <v>0</v>
          </cell>
          <cell r="AS368" t="str">
            <v/>
          </cell>
          <cell r="AT368" t="str">
            <v/>
          </cell>
          <cell r="AV368" t="b">
            <v>0</v>
          </cell>
          <cell r="AW368" t="str">
            <v>minute</v>
          </cell>
        </row>
        <row r="369">
          <cell r="S369" t="str">
            <v>DOM GLP GL891</v>
          </cell>
          <cell r="T369" t="str">
            <v>DOM</v>
          </cell>
          <cell r="U369" t="str">
            <v>GLP</v>
          </cell>
          <cell r="V369" t="str">
            <v>GL891</v>
          </cell>
          <cell r="X369">
            <v>0.188</v>
          </cell>
          <cell r="Y369">
            <v>0</v>
          </cell>
          <cell r="Z369">
            <v>0.188</v>
          </cell>
          <cell r="AA369">
            <v>0</v>
          </cell>
          <cell r="AB369">
            <v>0.188</v>
          </cell>
          <cell r="AC369">
            <v>0</v>
          </cell>
          <cell r="AD369">
            <v>0.188</v>
          </cell>
          <cell r="AE369">
            <v>0</v>
          </cell>
          <cell r="AG369" t="str">
            <v/>
          </cell>
          <cell r="AH369" t="str">
            <v/>
          </cell>
          <cell r="AJ369">
            <v>0.188</v>
          </cell>
          <cell r="AK369">
            <v>0</v>
          </cell>
          <cell r="AL369">
            <v>0.188</v>
          </cell>
          <cell r="AM369">
            <v>0</v>
          </cell>
          <cell r="AN369">
            <v>0.188</v>
          </cell>
          <cell r="AO369">
            <v>0</v>
          </cell>
          <cell r="AP369">
            <v>0.188</v>
          </cell>
          <cell r="AQ369">
            <v>0</v>
          </cell>
          <cell r="AS369" t="str">
            <v/>
          </cell>
          <cell r="AT369" t="str">
            <v/>
          </cell>
          <cell r="AV369" t="b">
            <v>0</v>
          </cell>
          <cell r="AW369" t="str">
            <v>minute</v>
          </cell>
        </row>
        <row r="370">
          <cell r="S370" t="str">
            <v>DOM GLP GL892</v>
          </cell>
          <cell r="T370" t="str">
            <v>DOM</v>
          </cell>
          <cell r="U370" t="str">
            <v>GLP</v>
          </cell>
          <cell r="V370" t="str">
            <v>GL892</v>
          </cell>
          <cell r="X370">
            <v>0.28199999999999997</v>
          </cell>
          <cell r="Y370">
            <v>0</v>
          </cell>
          <cell r="Z370">
            <v>0.28199999999999997</v>
          </cell>
          <cell r="AA370">
            <v>0</v>
          </cell>
          <cell r="AB370">
            <v>0.28199999999999997</v>
          </cell>
          <cell r="AC370">
            <v>0</v>
          </cell>
          <cell r="AD370">
            <v>0.28199999999999997</v>
          </cell>
          <cell r="AE370">
            <v>0</v>
          </cell>
          <cell r="AG370" t="str">
            <v/>
          </cell>
          <cell r="AH370" t="str">
            <v/>
          </cell>
          <cell r="AJ370">
            <v>0.28199999999999997</v>
          </cell>
          <cell r="AK370">
            <v>0</v>
          </cell>
          <cell r="AL370">
            <v>0.28199999999999997</v>
          </cell>
          <cell r="AM370">
            <v>0</v>
          </cell>
          <cell r="AN370">
            <v>0.28199999999999997</v>
          </cell>
          <cell r="AO370">
            <v>0</v>
          </cell>
          <cell r="AP370">
            <v>0.28199999999999997</v>
          </cell>
          <cell r="AQ370">
            <v>0</v>
          </cell>
          <cell r="AS370" t="str">
            <v/>
          </cell>
          <cell r="AT370" t="str">
            <v/>
          </cell>
          <cell r="AV370" t="b">
            <v>0</v>
          </cell>
          <cell r="AW370" t="str">
            <v>minute</v>
          </cell>
        </row>
        <row r="371">
          <cell r="S371" t="str">
            <v>DOM GLP GL897</v>
          </cell>
          <cell r="T371" t="str">
            <v>DOM</v>
          </cell>
          <cell r="U371" t="str">
            <v>GLP</v>
          </cell>
          <cell r="V371" t="str">
            <v>GL897</v>
          </cell>
          <cell r="X371">
            <v>0</v>
          </cell>
          <cell r="Y371">
            <v>0.47</v>
          </cell>
          <cell r="Z371">
            <v>0</v>
          </cell>
          <cell r="AA371">
            <v>0.47</v>
          </cell>
          <cell r="AB371">
            <v>0</v>
          </cell>
          <cell r="AC371">
            <v>0.47</v>
          </cell>
          <cell r="AD371">
            <v>0</v>
          </cell>
          <cell r="AE371">
            <v>0.47</v>
          </cell>
          <cell r="AG371" t="str">
            <v/>
          </cell>
          <cell r="AH371" t="str">
            <v/>
          </cell>
          <cell r="AJ371">
            <v>0</v>
          </cell>
          <cell r="AK371">
            <v>0.47</v>
          </cell>
          <cell r="AL371">
            <v>0</v>
          </cell>
          <cell r="AM371">
            <v>0.47</v>
          </cell>
          <cell r="AN371">
            <v>0</v>
          </cell>
          <cell r="AO371">
            <v>0.47</v>
          </cell>
          <cell r="AP371">
            <v>0</v>
          </cell>
          <cell r="AQ371">
            <v>0.47</v>
          </cell>
          <cell r="AS371" t="str">
            <v/>
          </cell>
          <cell r="AT371" t="str">
            <v/>
          </cell>
          <cell r="AV371" t="b">
            <v>0</v>
          </cell>
          <cell r="AW371" t="str">
            <v>call</v>
          </cell>
        </row>
        <row r="372">
          <cell r="S372" t="str">
            <v>DOM GLP GL899</v>
          </cell>
          <cell r="T372" t="str">
            <v>DOM</v>
          </cell>
          <cell r="U372" t="str">
            <v>GLP</v>
          </cell>
          <cell r="V372" t="str">
            <v>GL899</v>
          </cell>
          <cell r="X372">
            <v>0.28199999999999997</v>
          </cell>
          <cell r="Y372">
            <v>1.1276999999999999</v>
          </cell>
          <cell r="Z372">
            <v>0.28199999999999997</v>
          </cell>
          <cell r="AA372">
            <v>1.1276999999999999</v>
          </cell>
          <cell r="AB372">
            <v>0.28199999999999997</v>
          </cell>
          <cell r="AC372">
            <v>1.1276999999999999</v>
          </cell>
          <cell r="AD372">
            <v>0.28199999999999997</v>
          </cell>
          <cell r="AE372">
            <v>1.1276999999999999</v>
          </cell>
          <cell r="AG372" t="str">
            <v/>
          </cell>
          <cell r="AH372" t="str">
            <v/>
          </cell>
          <cell r="AJ372">
            <v>0.28199999999999997</v>
          </cell>
          <cell r="AK372">
            <v>1.1276999999999999</v>
          </cell>
          <cell r="AL372">
            <v>0.28199999999999997</v>
          </cell>
          <cell r="AM372">
            <v>1.1276999999999999</v>
          </cell>
          <cell r="AN372">
            <v>0.28199999999999997</v>
          </cell>
          <cell r="AO372">
            <v>1.1276999999999999</v>
          </cell>
          <cell r="AP372">
            <v>0.28199999999999997</v>
          </cell>
          <cell r="AQ372">
            <v>1.1276999999999999</v>
          </cell>
          <cell r="AS372" t="str">
            <v/>
          </cell>
          <cell r="AT372" t="str">
            <v/>
          </cell>
          <cell r="AV372" t="b">
            <v>0</v>
          </cell>
          <cell r="AW372" t="str">
            <v>minute &amp; call</v>
          </cell>
        </row>
        <row r="373">
          <cell r="S373" t="str">
            <v>DOM GLP GL006</v>
          </cell>
          <cell r="T373" t="str">
            <v>DOM</v>
          </cell>
          <cell r="U373" t="str">
            <v>GLP</v>
          </cell>
          <cell r="V373" t="str">
            <v>GL006</v>
          </cell>
          <cell r="X373">
            <v>0.28199999999999997</v>
          </cell>
          <cell r="Y373">
            <v>1.1279999999999999</v>
          </cell>
          <cell r="Z373">
            <v>0.28199999999999997</v>
          </cell>
          <cell r="AA373">
            <v>1.1279999999999999</v>
          </cell>
          <cell r="AB373">
            <v>0.28199999999999997</v>
          </cell>
          <cell r="AC373">
            <v>1.1279999999999999</v>
          </cell>
          <cell r="AD373">
            <v>0.28199999999999997</v>
          </cell>
          <cell r="AE373">
            <v>1.1279999999999999</v>
          </cell>
          <cell r="AG373" t="str">
            <v/>
          </cell>
          <cell r="AH373" t="str">
            <v/>
          </cell>
          <cell r="AJ373">
            <v>0.28199999999999997</v>
          </cell>
          <cell r="AK373">
            <v>1.1279999999999999</v>
          </cell>
          <cell r="AL373">
            <v>0.28199999999999997</v>
          </cell>
          <cell r="AM373">
            <v>1.1279999999999999</v>
          </cell>
          <cell r="AN373">
            <v>0.28199999999999997</v>
          </cell>
          <cell r="AO373">
            <v>1.1279999999999999</v>
          </cell>
          <cell r="AP373">
            <v>0.28199999999999997</v>
          </cell>
          <cell r="AQ373">
            <v>1.1279999999999999</v>
          </cell>
          <cell r="AS373" t="str">
            <v/>
          </cell>
          <cell r="AT373" t="str">
            <v/>
          </cell>
          <cell r="AV373" t="b">
            <v>0</v>
          </cell>
          <cell r="AW373" t="str">
            <v>minute &amp; call</v>
          </cell>
        </row>
        <row r="374">
          <cell r="S374" t="str">
            <v>DOM GLP GL218</v>
          </cell>
          <cell r="T374" t="str">
            <v>DOM</v>
          </cell>
          <cell r="U374" t="str">
            <v>GLP</v>
          </cell>
          <cell r="V374" t="str">
            <v>GL218</v>
          </cell>
          <cell r="X374">
            <v>0.752</v>
          </cell>
          <cell r="Y374">
            <v>0.752</v>
          </cell>
          <cell r="Z374">
            <v>0.752</v>
          </cell>
          <cell r="AA374">
            <v>0.752</v>
          </cell>
          <cell r="AB374">
            <v>0.752</v>
          </cell>
          <cell r="AC374">
            <v>0.752</v>
          </cell>
          <cell r="AD374">
            <v>0.752</v>
          </cell>
          <cell r="AE374">
            <v>0.752</v>
          </cell>
          <cell r="AG374" t="str">
            <v/>
          </cell>
          <cell r="AH374" t="str">
            <v/>
          </cell>
          <cell r="AJ374">
            <v>0.752</v>
          </cell>
          <cell r="AK374">
            <v>0.752</v>
          </cell>
          <cell r="AL374">
            <v>0.752</v>
          </cell>
          <cell r="AM374">
            <v>0.752</v>
          </cell>
          <cell r="AN374">
            <v>0.752</v>
          </cell>
          <cell r="AO374">
            <v>0.752</v>
          </cell>
          <cell r="AP374">
            <v>0.752</v>
          </cell>
          <cell r="AQ374">
            <v>0.752</v>
          </cell>
          <cell r="AS374" t="str">
            <v/>
          </cell>
          <cell r="AT374" t="str">
            <v/>
          </cell>
          <cell r="AV374" t="b">
            <v>0</v>
          </cell>
          <cell r="AW374" t="str">
            <v>minute &amp; call</v>
          </cell>
        </row>
        <row r="375">
          <cell r="S375" t="str">
            <v>DOM GLP GL222</v>
          </cell>
          <cell r="T375" t="str">
            <v>DOM</v>
          </cell>
          <cell r="U375" t="str">
            <v>GLP</v>
          </cell>
          <cell r="V375" t="str">
            <v>GL222</v>
          </cell>
          <cell r="X375">
            <v>0.188</v>
          </cell>
          <cell r="Y375">
            <v>1.1279999999999999</v>
          </cell>
          <cell r="Z375">
            <v>0.188</v>
          </cell>
          <cell r="AA375">
            <v>1.1279999999999999</v>
          </cell>
          <cell r="AB375">
            <v>0.188</v>
          </cell>
          <cell r="AC375">
            <v>1.1279999999999999</v>
          </cell>
          <cell r="AD375">
            <v>0.188</v>
          </cell>
          <cell r="AE375">
            <v>1.1279999999999999</v>
          </cell>
          <cell r="AG375" t="str">
            <v/>
          </cell>
          <cell r="AH375" t="str">
            <v/>
          </cell>
          <cell r="AJ375">
            <v>0.188</v>
          </cell>
          <cell r="AK375">
            <v>1.1279999999999999</v>
          </cell>
          <cell r="AL375">
            <v>0.188</v>
          </cell>
          <cell r="AM375">
            <v>1.1279999999999999</v>
          </cell>
          <cell r="AN375">
            <v>0.188</v>
          </cell>
          <cell r="AO375">
            <v>1.1279999999999999</v>
          </cell>
          <cell r="AP375">
            <v>0.188</v>
          </cell>
          <cell r="AQ375">
            <v>1.1279999999999999</v>
          </cell>
          <cell r="AS375" t="str">
            <v/>
          </cell>
          <cell r="AT375" t="str">
            <v/>
          </cell>
          <cell r="AV375" t="b">
            <v>0</v>
          </cell>
          <cell r="AW375" t="str">
            <v>minute &amp; call</v>
          </cell>
        </row>
        <row r="376">
          <cell r="S376" t="str">
            <v>DOM GLP GL700</v>
          </cell>
          <cell r="T376" t="str">
            <v>DOM</v>
          </cell>
          <cell r="U376" t="str">
            <v>GLP</v>
          </cell>
          <cell r="V376" t="str">
            <v>GL700</v>
          </cell>
          <cell r="X376">
            <v>0</v>
          </cell>
          <cell r="Y376">
            <v>2.5099999999999998</v>
          </cell>
          <cell r="Z376">
            <v>0</v>
          </cell>
          <cell r="AA376">
            <v>2.5099999999999998</v>
          </cell>
          <cell r="AB376">
            <v>0</v>
          </cell>
          <cell r="AC376">
            <v>2.5099999999999998</v>
          </cell>
          <cell r="AD376">
            <v>0</v>
          </cell>
          <cell r="AE376">
            <v>2.5099999999999998</v>
          </cell>
          <cell r="AG376" t="str">
            <v/>
          </cell>
          <cell r="AH376" t="str">
            <v/>
          </cell>
          <cell r="AJ376">
            <v>0</v>
          </cell>
          <cell r="AK376">
            <v>2.5099999999999998</v>
          </cell>
          <cell r="AL376">
            <v>0</v>
          </cell>
          <cell r="AM376">
            <v>2.5099999999999998</v>
          </cell>
          <cell r="AN376">
            <v>0</v>
          </cell>
          <cell r="AO376">
            <v>2.5099999999999998</v>
          </cell>
          <cell r="AP376">
            <v>0</v>
          </cell>
          <cell r="AQ376">
            <v>2.5099999999999998</v>
          </cell>
          <cell r="AS376" t="str">
            <v/>
          </cell>
          <cell r="AT376" t="str">
            <v/>
          </cell>
          <cell r="AV376" t="b">
            <v>0</v>
          </cell>
          <cell r="AW376" t="str">
            <v>call</v>
          </cell>
        </row>
        <row r="377">
          <cell r="S377" t="str">
            <v>DOM GLP GL710</v>
          </cell>
          <cell r="T377" t="str">
            <v>DOM</v>
          </cell>
          <cell r="U377" t="str">
            <v>GLP</v>
          </cell>
          <cell r="V377" t="str">
            <v>GL710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G377" t="str">
            <v/>
          </cell>
          <cell r="AH377" t="str">
            <v/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S377" t="str">
            <v/>
          </cell>
          <cell r="AT377" t="str">
            <v/>
          </cell>
          <cell r="AV377" t="b">
            <v>0</v>
          </cell>
          <cell r="AW377" t="str">
            <v>minute</v>
          </cell>
        </row>
        <row r="378">
          <cell r="S378" t="str">
            <v>DOM GLP GL711</v>
          </cell>
          <cell r="T378" t="str">
            <v>DOM</v>
          </cell>
          <cell r="U378" t="str">
            <v>GLP</v>
          </cell>
          <cell r="V378" t="str">
            <v>GL711</v>
          </cell>
          <cell r="X378">
            <v>0.28199999999999997</v>
          </cell>
          <cell r="Y378">
            <v>0.65800000000000003</v>
          </cell>
          <cell r="Z378">
            <v>0.28199999999999997</v>
          </cell>
          <cell r="AA378">
            <v>0.65800000000000003</v>
          </cell>
          <cell r="AB378">
            <v>0.28199999999999997</v>
          </cell>
          <cell r="AC378">
            <v>0.65800000000000003</v>
          </cell>
          <cell r="AD378">
            <v>0.28199999999999997</v>
          </cell>
          <cell r="AE378">
            <v>0.65800000000000003</v>
          </cell>
          <cell r="AG378" t="str">
            <v/>
          </cell>
          <cell r="AH378" t="str">
            <v/>
          </cell>
          <cell r="AJ378">
            <v>0.28199999999999997</v>
          </cell>
          <cell r="AK378">
            <v>0.65800000000000003</v>
          </cell>
          <cell r="AL378">
            <v>0.28199999999999997</v>
          </cell>
          <cell r="AM378">
            <v>0.65800000000000003</v>
          </cell>
          <cell r="AN378">
            <v>0.28199999999999997</v>
          </cell>
          <cell r="AO378">
            <v>0.65800000000000003</v>
          </cell>
          <cell r="AP378">
            <v>0.28199999999999997</v>
          </cell>
          <cell r="AQ378">
            <v>0.65800000000000003</v>
          </cell>
          <cell r="AS378" t="str">
            <v/>
          </cell>
          <cell r="AT378" t="str">
            <v/>
          </cell>
          <cell r="AV378" t="b">
            <v>0</v>
          </cell>
          <cell r="AW378" t="str">
            <v>minute &amp; call</v>
          </cell>
        </row>
        <row r="379">
          <cell r="S379" t="str">
            <v>DOM GLP GL712</v>
          </cell>
          <cell r="T379" t="str">
            <v>DOM</v>
          </cell>
          <cell r="U379" t="str">
            <v>GLP</v>
          </cell>
          <cell r="V379" t="str">
            <v>GL712</v>
          </cell>
          <cell r="X379">
            <v>0.376</v>
          </cell>
          <cell r="Y379">
            <v>1.222</v>
          </cell>
          <cell r="Z379">
            <v>0.376</v>
          </cell>
          <cell r="AA379">
            <v>1.222</v>
          </cell>
          <cell r="AB379">
            <v>0.376</v>
          </cell>
          <cell r="AC379">
            <v>1.222</v>
          </cell>
          <cell r="AD379">
            <v>0.376</v>
          </cell>
          <cell r="AE379">
            <v>1.222</v>
          </cell>
          <cell r="AG379" t="str">
            <v/>
          </cell>
          <cell r="AH379" t="str">
            <v/>
          </cell>
          <cell r="AJ379">
            <v>0.376</v>
          </cell>
          <cell r="AK379">
            <v>1.222</v>
          </cell>
          <cell r="AL379">
            <v>0.376</v>
          </cell>
          <cell r="AM379">
            <v>1.222</v>
          </cell>
          <cell r="AN379">
            <v>0.376</v>
          </cell>
          <cell r="AO379">
            <v>1.222</v>
          </cell>
          <cell r="AP379">
            <v>0.376</v>
          </cell>
          <cell r="AQ379">
            <v>1.222</v>
          </cell>
          <cell r="AS379" t="str">
            <v/>
          </cell>
          <cell r="AT379" t="str">
            <v/>
          </cell>
          <cell r="AV379" t="b">
            <v>0</v>
          </cell>
          <cell r="AW379" t="str">
            <v>minute &amp; call</v>
          </cell>
        </row>
        <row r="380">
          <cell r="S380" t="str">
            <v>DOM GLP GL888</v>
          </cell>
          <cell r="T380" t="str">
            <v>DOM</v>
          </cell>
          <cell r="U380" t="str">
            <v>GLP</v>
          </cell>
          <cell r="V380" t="str">
            <v>GL888</v>
          </cell>
          <cell r="X380">
            <v>9.4E-2</v>
          </cell>
          <cell r="Y380">
            <v>0.94</v>
          </cell>
          <cell r="Z380">
            <v>9.4E-2</v>
          </cell>
          <cell r="AA380">
            <v>0.94</v>
          </cell>
          <cell r="AB380">
            <v>9.4E-2</v>
          </cell>
          <cell r="AC380">
            <v>0.94</v>
          </cell>
          <cell r="AD380">
            <v>9.4E-2</v>
          </cell>
          <cell r="AE380">
            <v>0.94</v>
          </cell>
          <cell r="AG380" t="str">
            <v/>
          </cell>
          <cell r="AH380" t="str">
            <v/>
          </cell>
          <cell r="AJ380">
            <v>9.4E-2</v>
          </cell>
          <cell r="AK380">
            <v>0.94</v>
          </cell>
          <cell r="AL380">
            <v>9.4E-2</v>
          </cell>
          <cell r="AM380">
            <v>0.94</v>
          </cell>
          <cell r="AN380">
            <v>9.4E-2</v>
          </cell>
          <cell r="AO380">
            <v>0.94</v>
          </cell>
          <cell r="AP380">
            <v>9.4E-2</v>
          </cell>
          <cell r="AQ380">
            <v>0.94</v>
          </cell>
          <cell r="AS380" t="str">
            <v/>
          </cell>
          <cell r="AT380" t="str">
            <v/>
          </cell>
          <cell r="AV380" t="b">
            <v>0</v>
          </cell>
          <cell r="AW380" t="str">
            <v>minute &amp; call</v>
          </cell>
        </row>
        <row r="381">
          <cell r="S381" t="str">
            <v>DOM GLP GLFRE</v>
          </cell>
          <cell r="T381" t="str">
            <v>DOM</v>
          </cell>
          <cell r="U381" t="str">
            <v>GLP</v>
          </cell>
          <cell r="V381" t="str">
            <v>GLFRE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G381" t="str">
            <v/>
          </cell>
          <cell r="AH381" t="str">
            <v/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S381" t="str">
            <v/>
          </cell>
          <cell r="AT381" t="str">
            <v/>
          </cell>
          <cell r="AV381" t="b">
            <v>0</v>
          </cell>
          <cell r="AW381" t="str">
            <v>minute</v>
          </cell>
        </row>
        <row r="382">
          <cell r="S382" t="str">
            <v>DOM GLP GL810</v>
          </cell>
          <cell r="T382" t="str">
            <v>DOM</v>
          </cell>
          <cell r="U382" t="str">
            <v>GLP</v>
          </cell>
          <cell r="V382" t="str">
            <v>GL810</v>
          </cell>
          <cell r="X382">
            <v>2.3E-2</v>
          </cell>
          <cell r="Y382">
            <v>6.5000000000000002E-2</v>
          </cell>
          <cell r="Z382">
            <v>2.3E-2</v>
          </cell>
          <cell r="AA382">
            <v>6.5000000000000002E-2</v>
          </cell>
          <cell r="AB382">
            <v>2.3E-2</v>
          </cell>
          <cell r="AC382">
            <v>6.5000000000000002E-2</v>
          </cell>
          <cell r="AD382">
            <v>2.3E-2</v>
          </cell>
          <cell r="AE382">
            <v>6.5000000000000002E-2</v>
          </cell>
          <cell r="AG382" t="str">
            <v/>
          </cell>
          <cell r="AH382" t="str">
            <v/>
          </cell>
          <cell r="AJ382">
            <v>2.3E-2</v>
          </cell>
          <cell r="AK382">
            <v>6.5000000000000002E-2</v>
          </cell>
          <cell r="AL382">
            <v>2.3E-2</v>
          </cell>
          <cell r="AM382">
            <v>6.5000000000000002E-2</v>
          </cell>
          <cell r="AN382">
            <v>2.3E-2</v>
          </cell>
          <cell r="AO382">
            <v>6.5000000000000002E-2</v>
          </cell>
          <cell r="AP382">
            <v>2.3E-2</v>
          </cell>
          <cell r="AQ382">
            <v>6.5000000000000002E-2</v>
          </cell>
          <cell r="AS382" t="str">
            <v/>
          </cell>
          <cell r="AT382" t="str">
            <v/>
          </cell>
          <cell r="AV382" t="b">
            <v>0</v>
          </cell>
          <cell r="AW382" t="str">
            <v>minute &amp; call</v>
          </cell>
        </row>
        <row r="383">
          <cell r="S383" t="str">
            <v>DOM GUM FIX</v>
          </cell>
          <cell r="T383" t="str">
            <v>DOM</v>
          </cell>
          <cell r="U383" t="str">
            <v>GUM</v>
          </cell>
          <cell r="V383" t="str">
            <v>FIX</v>
          </cell>
          <cell r="X383">
            <v>2.6599999999999999E-2</v>
          </cell>
          <cell r="Y383">
            <v>0</v>
          </cell>
          <cell r="Z383">
            <v>2.3099999999999999E-2</v>
          </cell>
          <cell r="AA383">
            <v>0</v>
          </cell>
          <cell r="AB383">
            <v>2.01E-2</v>
          </cell>
          <cell r="AC383">
            <v>0</v>
          </cell>
          <cell r="AD383">
            <v>1.7500000000000002E-2</v>
          </cell>
          <cell r="AE383">
            <v>0</v>
          </cell>
          <cell r="AG383" t="str">
            <v/>
          </cell>
          <cell r="AH383" t="str">
            <v/>
          </cell>
          <cell r="AJ383">
            <v>2.6599999999999999E-2</v>
          </cell>
          <cell r="AK383">
            <v>0</v>
          </cell>
          <cell r="AL383">
            <v>2.3099999999999999E-2</v>
          </cell>
          <cell r="AM383">
            <v>0</v>
          </cell>
          <cell r="AN383">
            <v>2.01E-2</v>
          </cell>
          <cell r="AO383">
            <v>0</v>
          </cell>
          <cell r="AP383">
            <v>1.7500000000000002E-2</v>
          </cell>
          <cell r="AQ383">
            <v>0</v>
          </cell>
          <cell r="AS383" t="str">
            <v/>
          </cell>
          <cell r="AT383" t="str">
            <v/>
          </cell>
          <cell r="AV383" t="b">
            <v>1</v>
          </cell>
          <cell r="AW383" t="str">
            <v>minute</v>
          </cell>
        </row>
        <row r="384">
          <cell r="S384" t="str">
            <v>DOM HKG MOB</v>
          </cell>
          <cell r="T384" t="str">
            <v>DOM</v>
          </cell>
          <cell r="U384" t="str">
            <v>HKG</v>
          </cell>
          <cell r="V384" t="str">
            <v>MOB</v>
          </cell>
          <cell r="X384">
            <v>2.7199999999999998E-2</v>
          </cell>
          <cell r="Y384">
            <v>0</v>
          </cell>
          <cell r="Z384">
            <v>2.41E-2</v>
          </cell>
          <cell r="AA384">
            <v>0</v>
          </cell>
          <cell r="AB384">
            <v>2.0899999999999998E-2</v>
          </cell>
          <cell r="AC384">
            <v>0</v>
          </cell>
          <cell r="AD384">
            <v>1.9400000000000001E-2</v>
          </cell>
          <cell r="AE384">
            <v>0</v>
          </cell>
          <cell r="AG384" t="str">
            <v/>
          </cell>
          <cell r="AH384" t="str">
            <v/>
          </cell>
          <cell r="AJ384">
            <v>2.7199999999999998E-2</v>
          </cell>
          <cell r="AK384">
            <v>0</v>
          </cell>
          <cell r="AL384">
            <v>2.41E-2</v>
          </cell>
          <cell r="AM384">
            <v>0</v>
          </cell>
          <cell r="AN384">
            <v>2.0899999999999998E-2</v>
          </cell>
          <cell r="AO384">
            <v>0</v>
          </cell>
          <cell r="AP384">
            <v>1.9400000000000001E-2</v>
          </cell>
          <cell r="AQ384">
            <v>0</v>
          </cell>
          <cell r="AS384" t="str">
            <v/>
          </cell>
          <cell r="AT384" t="str">
            <v/>
          </cell>
          <cell r="AV384" t="b">
            <v>1</v>
          </cell>
          <cell r="AW384" t="str">
            <v>minute</v>
          </cell>
        </row>
        <row r="385">
          <cell r="S385" t="str">
            <v>DOM HKG HKG1</v>
          </cell>
          <cell r="T385" t="str">
            <v>DOM</v>
          </cell>
          <cell r="U385" t="str">
            <v>HKG</v>
          </cell>
          <cell r="V385" t="str">
            <v>HKG1</v>
          </cell>
          <cell r="X385">
            <v>2.7199999999999998E-2</v>
          </cell>
          <cell r="Y385">
            <v>0</v>
          </cell>
          <cell r="Z385">
            <v>2.41E-2</v>
          </cell>
          <cell r="AA385">
            <v>0</v>
          </cell>
          <cell r="AB385">
            <v>2.0899999999999998E-2</v>
          </cell>
          <cell r="AC385">
            <v>0</v>
          </cell>
          <cell r="AD385">
            <v>1.9400000000000001E-2</v>
          </cell>
          <cell r="AE385">
            <v>0</v>
          </cell>
          <cell r="AG385" t="str">
            <v/>
          </cell>
          <cell r="AH385" t="str">
            <v/>
          </cell>
          <cell r="AJ385">
            <v>2.7199999999999998E-2</v>
          </cell>
          <cell r="AK385">
            <v>0</v>
          </cell>
          <cell r="AL385">
            <v>2.41E-2</v>
          </cell>
          <cell r="AM385">
            <v>0</v>
          </cell>
          <cell r="AN385">
            <v>2.0899999999999998E-2</v>
          </cell>
          <cell r="AO385">
            <v>0</v>
          </cell>
          <cell r="AP385">
            <v>1.9400000000000001E-2</v>
          </cell>
          <cell r="AQ385">
            <v>0</v>
          </cell>
          <cell r="AS385" t="str">
            <v/>
          </cell>
          <cell r="AT385" t="str">
            <v/>
          </cell>
          <cell r="AV385" t="b">
            <v>1</v>
          </cell>
          <cell r="AW385" t="str">
            <v>minute</v>
          </cell>
        </row>
        <row r="386">
          <cell r="S386" t="str">
            <v>DOM HKG HKACC</v>
          </cell>
          <cell r="T386" t="str">
            <v>DOM</v>
          </cell>
          <cell r="U386" t="str">
            <v>HKG</v>
          </cell>
          <cell r="V386" t="str">
            <v>HKACC</v>
          </cell>
          <cell r="X386">
            <v>1.6799999999999999E-2</v>
          </cell>
          <cell r="Y386">
            <v>0</v>
          </cell>
          <cell r="Z386">
            <v>1.6799999999999999E-2</v>
          </cell>
          <cell r="AA386">
            <v>0</v>
          </cell>
          <cell r="AB386">
            <v>1.6799999999999999E-2</v>
          </cell>
          <cell r="AC386">
            <v>0</v>
          </cell>
          <cell r="AD386">
            <v>1.6799999999999999E-2</v>
          </cell>
          <cell r="AE386">
            <v>0</v>
          </cell>
          <cell r="AG386" t="str">
            <v/>
          </cell>
          <cell r="AH386" t="str">
            <v/>
          </cell>
          <cell r="AJ386">
            <v>1.6799999999999999E-2</v>
          </cell>
          <cell r="AK386">
            <v>0</v>
          </cell>
          <cell r="AL386">
            <v>1.6799999999999999E-2</v>
          </cell>
          <cell r="AM386">
            <v>0</v>
          </cell>
          <cell r="AN386">
            <v>1.6799999999999999E-2</v>
          </cell>
          <cell r="AO386">
            <v>0</v>
          </cell>
          <cell r="AP386">
            <v>1.6799999999999999E-2</v>
          </cell>
          <cell r="AQ386">
            <v>0</v>
          </cell>
          <cell r="AS386" t="str">
            <v/>
          </cell>
          <cell r="AT386" t="str">
            <v/>
          </cell>
          <cell r="AV386" t="b">
            <v>0</v>
          </cell>
          <cell r="AW386" t="str">
            <v>minute</v>
          </cell>
        </row>
        <row r="387">
          <cell r="S387" t="str">
            <v>DOM HKG HKDIR</v>
          </cell>
          <cell r="T387" t="str">
            <v>DOM</v>
          </cell>
          <cell r="U387" t="str">
            <v>HKG</v>
          </cell>
          <cell r="V387" t="str">
            <v>HKDIR</v>
          </cell>
          <cell r="X387">
            <v>2.7199999999999998E-2</v>
          </cell>
          <cell r="Y387">
            <v>0</v>
          </cell>
          <cell r="Z387">
            <v>2.7199999999999998E-2</v>
          </cell>
          <cell r="AA387">
            <v>0</v>
          </cell>
          <cell r="AB387">
            <v>2.7199999999999998E-2</v>
          </cell>
          <cell r="AC387">
            <v>0</v>
          </cell>
          <cell r="AD387">
            <v>2.7199999999999998E-2</v>
          </cell>
          <cell r="AE387">
            <v>0</v>
          </cell>
          <cell r="AG387" t="str">
            <v/>
          </cell>
          <cell r="AH387" t="str">
            <v/>
          </cell>
          <cell r="AJ387">
            <v>2.7199999999999998E-2</v>
          </cell>
          <cell r="AK387">
            <v>0</v>
          </cell>
          <cell r="AL387">
            <v>2.7199999999999998E-2</v>
          </cell>
          <cell r="AM387">
            <v>0</v>
          </cell>
          <cell r="AN387">
            <v>2.7199999999999998E-2</v>
          </cell>
          <cell r="AO387">
            <v>0</v>
          </cell>
          <cell r="AP387">
            <v>2.7199999999999998E-2</v>
          </cell>
          <cell r="AQ387">
            <v>0</v>
          </cell>
          <cell r="AS387" t="str">
            <v/>
          </cell>
          <cell r="AT387" t="str">
            <v/>
          </cell>
          <cell r="AV387" t="b">
            <v>0</v>
          </cell>
          <cell r="AW387" t="str">
            <v>minute</v>
          </cell>
        </row>
        <row r="388">
          <cell r="S388" t="str">
            <v>DOM HKG HKSOS</v>
          </cell>
          <cell r="T388" t="str">
            <v>DOM</v>
          </cell>
          <cell r="U388" t="str">
            <v>HKG</v>
          </cell>
          <cell r="V388" t="str">
            <v>HKSOS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G388" t="str">
            <v/>
          </cell>
          <cell r="AH388" t="str">
            <v/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S388" t="str">
            <v/>
          </cell>
          <cell r="AT388" t="str">
            <v/>
          </cell>
          <cell r="AV388" t="b">
            <v>0</v>
          </cell>
          <cell r="AW388" t="str">
            <v>minute</v>
          </cell>
        </row>
        <row r="389">
          <cell r="S389" t="str">
            <v>DOM HKG HKHLP</v>
          </cell>
          <cell r="T389" t="str">
            <v>DOM</v>
          </cell>
          <cell r="U389" t="str">
            <v>HKG</v>
          </cell>
          <cell r="V389" t="str">
            <v>HKHLP</v>
          </cell>
          <cell r="X389">
            <v>2.7199999999999998E-2</v>
          </cell>
          <cell r="Y389">
            <v>0</v>
          </cell>
          <cell r="Z389">
            <v>2.7199999999999998E-2</v>
          </cell>
          <cell r="AA389">
            <v>0</v>
          </cell>
          <cell r="AB389">
            <v>2.7199999999999998E-2</v>
          </cell>
          <cell r="AC389">
            <v>0</v>
          </cell>
          <cell r="AD389">
            <v>2.7199999999999998E-2</v>
          </cell>
          <cell r="AE389">
            <v>0</v>
          </cell>
          <cell r="AG389" t="str">
            <v/>
          </cell>
          <cell r="AH389" t="str">
            <v/>
          </cell>
          <cell r="AJ389">
            <v>2.7199999999999998E-2</v>
          </cell>
          <cell r="AK389">
            <v>0</v>
          </cell>
          <cell r="AL389">
            <v>2.7199999999999998E-2</v>
          </cell>
          <cell r="AM389">
            <v>0</v>
          </cell>
          <cell r="AN389">
            <v>2.7199999999999998E-2</v>
          </cell>
          <cell r="AO389">
            <v>0</v>
          </cell>
          <cell r="AP389">
            <v>2.7199999999999998E-2</v>
          </cell>
          <cell r="AQ389">
            <v>0</v>
          </cell>
          <cell r="AS389" t="str">
            <v/>
          </cell>
          <cell r="AT389" t="str">
            <v/>
          </cell>
          <cell r="AV389" t="b">
            <v>0</v>
          </cell>
          <cell r="AW389" t="str">
            <v>minute</v>
          </cell>
        </row>
        <row r="390">
          <cell r="S390" t="str">
            <v>DOM HKG HKPAG</v>
          </cell>
          <cell r="T390" t="str">
            <v>DOM</v>
          </cell>
          <cell r="U390" t="str">
            <v>HKG</v>
          </cell>
          <cell r="V390" t="str">
            <v>HKPAG</v>
          </cell>
          <cell r="X390">
            <v>4.3999999999999997E-2</v>
          </cell>
          <cell r="Y390">
            <v>0</v>
          </cell>
          <cell r="Z390">
            <v>3.9800000000000002E-2</v>
          </cell>
          <cell r="AA390">
            <v>0</v>
          </cell>
          <cell r="AB390">
            <v>3.4599999999999999E-2</v>
          </cell>
          <cell r="AC390">
            <v>0</v>
          </cell>
          <cell r="AD390">
            <v>2.93E-2</v>
          </cell>
          <cell r="AE390">
            <v>0</v>
          </cell>
          <cell r="AG390" t="str">
            <v/>
          </cell>
          <cell r="AH390" t="str">
            <v/>
          </cell>
          <cell r="AJ390">
            <v>4.3999999999999997E-2</v>
          </cell>
          <cell r="AK390">
            <v>0</v>
          </cell>
          <cell r="AL390">
            <v>3.9800000000000002E-2</v>
          </cell>
          <cell r="AM390">
            <v>0</v>
          </cell>
          <cell r="AN390">
            <v>3.4599999999999999E-2</v>
          </cell>
          <cell r="AO390">
            <v>0</v>
          </cell>
          <cell r="AP390">
            <v>2.93E-2</v>
          </cell>
          <cell r="AQ390">
            <v>0</v>
          </cell>
          <cell r="AS390" t="str">
            <v/>
          </cell>
          <cell r="AT390" t="str">
            <v/>
          </cell>
          <cell r="AV390" t="b">
            <v>0</v>
          </cell>
          <cell r="AW390" t="str">
            <v>minute</v>
          </cell>
        </row>
        <row r="391">
          <cell r="S391" t="str">
            <v>DOM HKG HKTIM</v>
          </cell>
          <cell r="T391" t="str">
            <v>DOM</v>
          </cell>
          <cell r="U391" t="str">
            <v>HKG</v>
          </cell>
          <cell r="V391" t="str">
            <v>HKTIM</v>
          </cell>
          <cell r="X391">
            <v>2.7199999999999998E-2</v>
          </cell>
          <cell r="Y391">
            <v>0</v>
          </cell>
          <cell r="Z391">
            <v>2.7199999999999998E-2</v>
          </cell>
          <cell r="AA391">
            <v>0</v>
          </cell>
          <cell r="AB391">
            <v>2.7199999999999998E-2</v>
          </cell>
          <cell r="AC391">
            <v>0</v>
          </cell>
          <cell r="AD391">
            <v>2.7199999999999998E-2</v>
          </cell>
          <cell r="AE391">
            <v>0</v>
          </cell>
          <cell r="AG391" t="str">
            <v/>
          </cell>
          <cell r="AH391" t="str">
            <v/>
          </cell>
          <cell r="AJ391">
            <v>2.7199999999999998E-2</v>
          </cell>
          <cell r="AK391">
            <v>0</v>
          </cell>
          <cell r="AL391">
            <v>2.7199999999999998E-2</v>
          </cell>
          <cell r="AM391">
            <v>0</v>
          </cell>
          <cell r="AN391">
            <v>2.7199999999999998E-2</v>
          </cell>
          <cell r="AO391">
            <v>0</v>
          </cell>
          <cell r="AP391">
            <v>2.7199999999999998E-2</v>
          </cell>
          <cell r="AQ391">
            <v>0</v>
          </cell>
          <cell r="AS391" t="str">
            <v/>
          </cell>
          <cell r="AT391" t="str">
            <v/>
          </cell>
          <cell r="AV391" t="b">
            <v>0</v>
          </cell>
          <cell r="AW391" t="str">
            <v>minute</v>
          </cell>
        </row>
        <row r="392">
          <cell r="S392" t="str">
            <v>DOM HKG HKFRE</v>
          </cell>
          <cell r="T392" t="str">
            <v>DOM</v>
          </cell>
          <cell r="U392" t="str">
            <v>HKG</v>
          </cell>
          <cell r="V392" t="str">
            <v>HKFRE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G392" t="str">
            <v/>
          </cell>
          <cell r="AH392" t="str">
            <v/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S392" t="str">
            <v/>
          </cell>
          <cell r="AT392" t="str">
            <v/>
          </cell>
          <cell r="AV392" t="b">
            <v>0</v>
          </cell>
          <cell r="AW392" t="str">
            <v>minute</v>
          </cell>
        </row>
        <row r="393">
          <cell r="S393" t="str">
            <v>DOM HKG HKVAS</v>
          </cell>
          <cell r="T393" t="str">
            <v>DOM</v>
          </cell>
          <cell r="U393" t="str">
            <v>HKG</v>
          </cell>
          <cell r="V393" t="str">
            <v>HKVAS</v>
          </cell>
          <cell r="X393">
            <v>0.52359999999999995</v>
          </cell>
          <cell r="Y393">
            <v>0</v>
          </cell>
          <cell r="Z393">
            <v>0.52359999999999995</v>
          </cell>
          <cell r="AA393">
            <v>0</v>
          </cell>
          <cell r="AB393">
            <v>0.52359999999999995</v>
          </cell>
          <cell r="AC393">
            <v>0</v>
          </cell>
          <cell r="AD393">
            <v>0.52359999999999995</v>
          </cell>
          <cell r="AE393">
            <v>0</v>
          </cell>
          <cell r="AG393" t="str">
            <v/>
          </cell>
          <cell r="AH393" t="str">
            <v/>
          </cell>
          <cell r="AJ393">
            <v>0.52359999999999995</v>
          </cell>
          <cell r="AK393">
            <v>0</v>
          </cell>
          <cell r="AL393">
            <v>0.52359999999999995</v>
          </cell>
          <cell r="AM393">
            <v>0</v>
          </cell>
          <cell r="AN393">
            <v>0.52359999999999995</v>
          </cell>
          <cell r="AO393">
            <v>0</v>
          </cell>
          <cell r="AP393">
            <v>0.52359999999999995</v>
          </cell>
          <cell r="AQ393">
            <v>0</v>
          </cell>
          <cell r="AS393" t="str">
            <v/>
          </cell>
          <cell r="AT393" t="str">
            <v/>
          </cell>
          <cell r="AV393" t="b">
            <v>0</v>
          </cell>
          <cell r="AW393" t="str">
            <v>minute</v>
          </cell>
        </row>
        <row r="394">
          <cell r="S394" t="str">
            <v>DOM HUN MOBIL</v>
          </cell>
          <cell r="T394" t="str">
            <v>DOM</v>
          </cell>
          <cell r="U394" t="str">
            <v>HUN</v>
          </cell>
          <cell r="V394" t="str">
            <v>MOBIL</v>
          </cell>
          <cell r="X394">
            <v>4.0899999999999999E-2</v>
          </cell>
          <cell r="Y394">
            <v>0</v>
          </cell>
          <cell r="Z394">
            <v>3.8300000000000001E-2</v>
          </cell>
          <cell r="AA394">
            <v>0</v>
          </cell>
          <cell r="AB394">
            <v>3.5700000000000003E-2</v>
          </cell>
          <cell r="AC394">
            <v>0</v>
          </cell>
          <cell r="AD394">
            <v>3.3399999999999999E-2</v>
          </cell>
          <cell r="AE394">
            <v>0</v>
          </cell>
          <cell r="AG394" t="str">
            <v/>
          </cell>
          <cell r="AH394" t="str">
            <v/>
          </cell>
          <cell r="AJ394">
            <v>4.0899999999999999E-2</v>
          </cell>
          <cell r="AK394">
            <v>0</v>
          </cell>
          <cell r="AL394">
            <v>3.8300000000000001E-2</v>
          </cell>
          <cell r="AM394">
            <v>0</v>
          </cell>
          <cell r="AN394">
            <v>3.5700000000000003E-2</v>
          </cell>
          <cell r="AO394">
            <v>0</v>
          </cell>
          <cell r="AP394">
            <v>3.3399999999999999E-2</v>
          </cell>
          <cell r="AQ394">
            <v>0</v>
          </cell>
          <cell r="AS394" t="str">
            <v/>
          </cell>
          <cell r="AT394" t="str">
            <v/>
          </cell>
          <cell r="AV394" t="b">
            <v>1</v>
          </cell>
          <cell r="AW394" t="str">
            <v>minute</v>
          </cell>
        </row>
        <row r="395">
          <cell r="S395" t="str">
            <v>DOM HUN HUMT</v>
          </cell>
          <cell r="T395" t="str">
            <v>DOM</v>
          </cell>
          <cell r="U395" t="str">
            <v>HUN</v>
          </cell>
          <cell r="V395" t="str">
            <v>HUMT</v>
          </cell>
          <cell r="X395">
            <v>4.0899999999999999E-2</v>
          </cell>
          <cell r="Y395">
            <v>0</v>
          </cell>
          <cell r="Z395">
            <v>3.8300000000000001E-2</v>
          </cell>
          <cell r="AA395">
            <v>0</v>
          </cell>
          <cell r="AB395">
            <v>3.5700000000000003E-2</v>
          </cell>
          <cell r="AC395">
            <v>0</v>
          </cell>
          <cell r="AD395">
            <v>3.3399999999999999E-2</v>
          </cell>
          <cell r="AE395">
            <v>0</v>
          </cell>
          <cell r="AG395" t="str">
            <v/>
          </cell>
          <cell r="AH395" t="str">
            <v/>
          </cell>
          <cell r="AJ395">
            <v>4.0899999999999999E-2</v>
          </cell>
          <cell r="AK395">
            <v>0</v>
          </cell>
          <cell r="AL395">
            <v>3.8300000000000001E-2</v>
          </cell>
          <cell r="AM395">
            <v>0</v>
          </cell>
          <cell r="AN395">
            <v>3.5700000000000003E-2</v>
          </cell>
          <cell r="AO395">
            <v>0</v>
          </cell>
          <cell r="AP395">
            <v>3.3399999999999999E-2</v>
          </cell>
          <cell r="AQ395">
            <v>0</v>
          </cell>
          <cell r="AS395" t="str">
            <v/>
          </cell>
          <cell r="AT395" t="str">
            <v/>
          </cell>
          <cell r="AV395" t="b">
            <v>1</v>
          </cell>
          <cell r="AW395" t="str">
            <v>minute</v>
          </cell>
        </row>
        <row r="396">
          <cell r="S396" t="str">
            <v>DOM HUN FIX</v>
          </cell>
          <cell r="T396" t="str">
            <v>DOM</v>
          </cell>
          <cell r="U396" t="str">
            <v>HUN</v>
          </cell>
          <cell r="V396" t="str">
            <v>FIX</v>
          </cell>
          <cell r="X396">
            <v>1.24E-2</v>
          </cell>
          <cell r="Y396">
            <v>0</v>
          </cell>
          <cell r="Z396">
            <v>1.1599999999999999E-2</v>
          </cell>
          <cell r="AA396">
            <v>0</v>
          </cell>
          <cell r="AB396">
            <v>1.0800000000000001E-2</v>
          </cell>
          <cell r="AC396">
            <v>0</v>
          </cell>
          <cell r="AD396">
            <v>1.01E-2</v>
          </cell>
          <cell r="AE396">
            <v>0</v>
          </cell>
          <cell r="AG396" t="str">
            <v/>
          </cell>
          <cell r="AH396" t="str">
            <v/>
          </cell>
          <cell r="AJ396">
            <v>1.24E-2</v>
          </cell>
          <cell r="AK396">
            <v>0</v>
          </cell>
          <cell r="AL396">
            <v>1.1599999999999999E-2</v>
          </cell>
          <cell r="AM396">
            <v>0</v>
          </cell>
          <cell r="AN396">
            <v>1.0800000000000001E-2</v>
          </cell>
          <cell r="AO396">
            <v>0</v>
          </cell>
          <cell r="AP396">
            <v>1.01E-2</v>
          </cell>
          <cell r="AQ396">
            <v>0</v>
          </cell>
          <cell r="AS396" t="str">
            <v/>
          </cell>
          <cell r="AT396" t="str">
            <v/>
          </cell>
          <cell r="AV396" t="b">
            <v>1</v>
          </cell>
          <cell r="AW396" t="str">
            <v>minute</v>
          </cell>
        </row>
        <row r="397">
          <cell r="S397" t="str">
            <v>DOM HUN T40</v>
          </cell>
          <cell r="T397" t="str">
            <v>DOM</v>
          </cell>
          <cell r="U397" t="str">
            <v>HUN</v>
          </cell>
          <cell r="V397" t="str">
            <v>T40</v>
          </cell>
          <cell r="X397">
            <v>0.11600000000000001</v>
          </cell>
          <cell r="Y397">
            <v>0</v>
          </cell>
          <cell r="Z397">
            <v>0.11600000000000001</v>
          </cell>
          <cell r="AA397">
            <v>0</v>
          </cell>
          <cell r="AB397">
            <v>0.11600000000000001</v>
          </cell>
          <cell r="AC397">
            <v>0</v>
          </cell>
          <cell r="AD397">
            <v>0.11600000000000001</v>
          </cell>
          <cell r="AE397">
            <v>0</v>
          </cell>
          <cell r="AG397" t="str">
            <v/>
          </cell>
          <cell r="AH397" t="str">
            <v/>
          </cell>
          <cell r="AJ397">
            <v>0.11600000000000001</v>
          </cell>
          <cell r="AK397">
            <v>0</v>
          </cell>
          <cell r="AL397">
            <v>0.11600000000000001</v>
          </cell>
          <cell r="AM397">
            <v>0</v>
          </cell>
          <cell r="AN397">
            <v>0.11600000000000001</v>
          </cell>
          <cell r="AO397">
            <v>0</v>
          </cell>
          <cell r="AP397">
            <v>0.11600000000000001</v>
          </cell>
          <cell r="AQ397">
            <v>0</v>
          </cell>
          <cell r="AS397" t="str">
            <v/>
          </cell>
          <cell r="AT397" t="str">
            <v/>
          </cell>
          <cell r="AV397" t="b">
            <v>0</v>
          </cell>
          <cell r="AW397" t="str">
            <v>minute</v>
          </cell>
        </row>
        <row r="398">
          <cell r="S398" t="str">
            <v>DOM ISL ISLMO</v>
          </cell>
          <cell r="T398" t="str">
            <v>DOM</v>
          </cell>
          <cell r="U398" t="str">
            <v>ISL</v>
          </cell>
          <cell r="V398" t="str">
            <v>ISLMO</v>
          </cell>
          <cell r="X398">
            <v>0.14000000000000001</v>
          </cell>
          <cell r="Y398">
            <v>0</v>
          </cell>
          <cell r="Z398">
            <v>0.1217</v>
          </cell>
          <cell r="AA398">
            <v>0</v>
          </cell>
          <cell r="AB398">
            <v>0.10580000000000001</v>
          </cell>
          <cell r="AC398">
            <v>0</v>
          </cell>
          <cell r="AD398">
            <v>9.1999999999999998E-2</v>
          </cell>
          <cell r="AE398">
            <v>0</v>
          </cell>
          <cell r="AG398" t="str">
            <v/>
          </cell>
          <cell r="AH398" t="str">
            <v/>
          </cell>
          <cell r="AJ398">
            <v>0.14000000000000001</v>
          </cell>
          <cell r="AK398">
            <v>0</v>
          </cell>
          <cell r="AL398">
            <v>0.1217</v>
          </cell>
          <cell r="AM398">
            <v>0</v>
          </cell>
          <cell r="AN398">
            <v>0.10580000000000001</v>
          </cell>
          <cell r="AO398">
            <v>0</v>
          </cell>
          <cell r="AP398">
            <v>9.1999999999999998E-2</v>
          </cell>
          <cell r="AQ398">
            <v>0</v>
          </cell>
          <cell r="AS398" t="str">
            <v/>
          </cell>
          <cell r="AT398" t="str">
            <v/>
          </cell>
          <cell r="AV398" t="b">
            <v>1</v>
          </cell>
          <cell r="AW398" t="str">
            <v>minute</v>
          </cell>
        </row>
        <row r="399">
          <cell r="S399" t="str">
            <v>DOM ISL ISL01</v>
          </cell>
          <cell r="T399" t="str">
            <v>DOM</v>
          </cell>
          <cell r="U399" t="str">
            <v>ISL</v>
          </cell>
          <cell r="V399" t="str">
            <v>ISL01</v>
          </cell>
          <cell r="X399">
            <v>2.7099999999999999E-2</v>
          </cell>
          <cell r="Y399">
            <v>0</v>
          </cell>
          <cell r="Z399">
            <v>2.3599999999999999E-2</v>
          </cell>
          <cell r="AA399">
            <v>0</v>
          </cell>
          <cell r="AB399">
            <v>2.0500000000000001E-2</v>
          </cell>
          <cell r="AC399">
            <v>0</v>
          </cell>
          <cell r="AD399">
            <v>1.78E-2</v>
          </cell>
          <cell r="AE399">
            <v>0</v>
          </cell>
          <cell r="AG399" t="str">
            <v/>
          </cell>
          <cell r="AH399" t="str">
            <v/>
          </cell>
          <cell r="AJ399">
            <v>2.7099999999999999E-2</v>
          </cell>
          <cell r="AK399">
            <v>0</v>
          </cell>
          <cell r="AL399">
            <v>2.3599999999999999E-2</v>
          </cell>
          <cell r="AM399">
            <v>0</v>
          </cell>
          <cell r="AN399">
            <v>2.0500000000000001E-2</v>
          </cell>
          <cell r="AO399">
            <v>0</v>
          </cell>
          <cell r="AP399">
            <v>1.78E-2</v>
          </cell>
          <cell r="AQ399">
            <v>0</v>
          </cell>
          <cell r="AS399" t="str">
            <v/>
          </cell>
          <cell r="AT399" t="str">
            <v/>
          </cell>
          <cell r="AV399" t="b">
            <v>1</v>
          </cell>
          <cell r="AW399" t="str">
            <v>minute</v>
          </cell>
        </row>
        <row r="400">
          <cell r="S400" t="str">
            <v>DOM IRL DUBAR</v>
          </cell>
          <cell r="T400" t="str">
            <v>DOM</v>
          </cell>
          <cell r="U400" t="str">
            <v>IRL</v>
          </cell>
          <cell r="V400" t="str">
            <v>DUBAR</v>
          </cell>
          <cell r="X400">
            <v>1.26E-2</v>
          </cell>
          <cell r="Y400">
            <v>0</v>
          </cell>
          <cell r="Z400">
            <v>1.18E-2</v>
          </cell>
          <cell r="AA400">
            <v>0</v>
          </cell>
          <cell r="AB400">
            <v>1.0999999999999999E-2</v>
          </cell>
          <cell r="AC400">
            <v>0</v>
          </cell>
          <cell r="AD400">
            <v>1.03E-2</v>
          </cell>
          <cell r="AE400">
            <v>0</v>
          </cell>
          <cell r="AG400" t="str">
            <v/>
          </cell>
          <cell r="AH400" t="str">
            <v/>
          </cell>
          <cell r="AJ400">
            <v>1.26E-2</v>
          </cell>
          <cell r="AK400">
            <v>0</v>
          </cell>
          <cell r="AL400">
            <v>1.18E-2</v>
          </cell>
          <cell r="AM400">
            <v>0</v>
          </cell>
          <cell r="AN400">
            <v>1.0999999999999999E-2</v>
          </cell>
          <cell r="AO400">
            <v>0</v>
          </cell>
          <cell r="AP400">
            <v>1.03E-2</v>
          </cell>
          <cell r="AQ400">
            <v>0</v>
          </cell>
          <cell r="AS400" t="str">
            <v/>
          </cell>
          <cell r="AT400" t="str">
            <v/>
          </cell>
          <cell r="AV400" t="b">
            <v>1</v>
          </cell>
          <cell r="AW400" t="str">
            <v>minute</v>
          </cell>
        </row>
        <row r="401">
          <cell r="S401" t="str">
            <v>DOM IRL MOBAR</v>
          </cell>
          <cell r="T401" t="str">
            <v>DOM</v>
          </cell>
          <cell r="U401" t="str">
            <v>IRL</v>
          </cell>
          <cell r="V401" t="str">
            <v>MOBAR</v>
          </cell>
          <cell r="X401">
            <v>5.2200000000000003E-2</v>
          </cell>
          <cell r="Y401">
            <v>0</v>
          </cell>
          <cell r="Z401">
            <v>4.7E-2</v>
          </cell>
          <cell r="AA401">
            <v>0</v>
          </cell>
          <cell r="AB401">
            <v>4.4400000000000002E-2</v>
          </cell>
          <cell r="AC401">
            <v>0</v>
          </cell>
          <cell r="AD401">
            <v>4.1799999999999997E-2</v>
          </cell>
          <cell r="AE401">
            <v>0</v>
          </cell>
          <cell r="AG401" t="str">
            <v/>
          </cell>
          <cell r="AH401" t="str">
            <v/>
          </cell>
          <cell r="AJ401">
            <v>5.2200000000000003E-2</v>
          </cell>
          <cell r="AK401">
            <v>0</v>
          </cell>
          <cell r="AL401">
            <v>4.7E-2</v>
          </cell>
          <cell r="AM401">
            <v>0</v>
          </cell>
          <cell r="AN401">
            <v>4.4400000000000002E-2</v>
          </cell>
          <cell r="AO401">
            <v>0</v>
          </cell>
          <cell r="AP401">
            <v>4.1799999999999997E-2</v>
          </cell>
          <cell r="AQ401">
            <v>0</v>
          </cell>
          <cell r="AS401" t="str">
            <v/>
          </cell>
          <cell r="AT401" t="str">
            <v/>
          </cell>
          <cell r="AV401" t="b">
            <v>1</v>
          </cell>
          <cell r="AW401" t="str">
            <v>minute</v>
          </cell>
        </row>
        <row r="402">
          <cell r="S402" t="str">
            <v>DOM IRL IEMBE</v>
          </cell>
          <cell r="T402" t="str">
            <v>DOM</v>
          </cell>
          <cell r="U402" t="str">
            <v>IRL</v>
          </cell>
          <cell r="V402" t="str">
            <v>IEMBE</v>
          </cell>
          <cell r="X402">
            <v>0.29220000000000002</v>
          </cell>
          <cell r="Y402">
            <v>0</v>
          </cell>
          <cell r="Z402">
            <v>0.26669999999999999</v>
          </cell>
          <cell r="AA402">
            <v>0</v>
          </cell>
          <cell r="AB402">
            <v>0.24610000000000001</v>
          </cell>
          <cell r="AC402">
            <v>0</v>
          </cell>
          <cell r="AD402">
            <v>0.2286</v>
          </cell>
          <cell r="AE402">
            <v>0</v>
          </cell>
          <cell r="AG402" t="str">
            <v/>
          </cell>
          <cell r="AH402" t="str">
            <v/>
          </cell>
          <cell r="AJ402">
            <v>0.29220000000000002</v>
          </cell>
          <cell r="AK402">
            <v>0</v>
          </cell>
          <cell r="AL402">
            <v>0.26669999999999999</v>
          </cell>
          <cell r="AM402">
            <v>0</v>
          </cell>
          <cell r="AN402">
            <v>0.24610000000000001</v>
          </cell>
          <cell r="AO402">
            <v>0</v>
          </cell>
          <cell r="AP402">
            <v>0.2286</v>
          </cell>
          <cell r="AQ402">
            <v>0</v>
          </cell>
          <cell r="AS402" t="str">
            <v/>
          </cell>
          <cell r="AT402" t="str">
            <v/>
          </cell>
          <cell r="AV402" t="b">
            <v>0</v>
          </cell>
          <cell r="AW402" t="str">
            <v>minute</v>
          </cell>
        </row>
        <row r="403">
          <cell r="S403" t="str">
            <v>DOM IRL IECSS</v>
          </cell>
          <cell r="T403" t="str">
            <v>DOM</v>
          </cell>
          <cell r="U403" t="str">
            <v>IRL</v>
          </cell>
          <cell r="V403" t="str">
            <v>IECSS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G403" t="str">
            <v/>
          </cell>
          <cell r="AH403" t="str">
            <v/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S403" t="str">
            <v/>
          </cell>
          <cell r="AT403" t="str">
            <v/>
          </cell>
          <cell r="AV403" t="b">
            <v>0</v>
          </cell>
          <cell r="AW403" t="str">
            <v>minute</v>
          </cell>
        </row>
        <row r="404">
          <cell r="S404" t="str">
            <v>DOM IRL IEDQS</v>
          </cell>
          <cell r="T404" t="str">
            <v>DOM</v>
          </cell>
          <cell r="U404" t="str">
            <v>IRL</v>
          </cell>
          <cell r="V404" t="str">
            <v>IEDQS</v>
          </cell>
          <cell r="X404">
            <v>0.5</v>
          </cell>
          <cell r="Y404">
            <v>1.7282999999999999</v>
          </cell>
          <cell r="Z404">
            <v>0.5</v>
          </cell>
          <cell r="AA404">
            <v>1.7282999999999999</v>
          </cell>
          <cell r="AB404">
            <v>0.5</v>
          </cell>
          <cell r="AC404">
            <v>1.7282999999999999</v>
          </cell>
          <cell r="AD404">
            <v>0.5</v>
          </cell>
          <cell r="AE404">
            <v>1.7282999999999999</v>
          </cell>
          <cell r="AG404" t="str">
            <v/>
          </cell>
          <cell r="AH404" t="str">
            <v/>
          </cell>
          <cell r="AJ404">
            <v>0.5</v>
          </cell>
          <cell r="AK404">
            <v>1.7282999999999999</v>
          </cell>
          <cell r="AL404">
            <v>0.5</v>
          </cell>
          <cell r="AM404">
            <v>1.7282999999999999</v>
          </cell>
          <cell r="AN404">
            <v>0.5</v>
          </cell>
          <cell r="AO404">
            <v>1.7282999999999999</v>
          </cell>
          <cell r="AP404">
            <v>0.5</v>
          </cell>
          <cell r="AQ404">
            <v>1.7282999999999999</v>
          </cell>
          <cell r="AS404" t="str">
            <v/>
          </cell>
          <cell r="AT404" t="str">
            <v/>
          </cell>
          <cell r="AV404" t="b">
            <v>0</v>
          </cell>
          <cell r="AW404" t="str">
            <v>minute &amp; call</v>
          </cell>
        </row>
        <row r="405">
          <cell r="S405" t="str">
            <v>DOM IRL IEEHS</v>
          </cell>
          <cell r="T405" t="str">
            <v>DOM</v>
          </cell>
          <cell r="U405" t="str">
            <v>IRL</v>
          </cell>
          <cell r="V405" t="str">
            <v>IEEHS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G405" t="str">
            <v/>
          </cell>
          <cell r="AH405" t="str">
            <v/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S405" t="str">
            <v/>
          </cell>
          <cell r="AT405" t="str">
            <v/>
          </cell>
          <cell r="AV405" t="b">
            <v>0</v>
          </cell>
          <cell r="AW405" t="str">
            <v>minute</v>
          </cell>
        </row>
        <row r="406">
          <cell r="S406" t="str">
            <v>DOM IRL IEFRE</v>
          </cell>
          <cell r="T406" t="str">
            <v>DOM</v>
          </cell>
          <cell r="U406" t="str">
            <v>IRL</v>
          </cell>
          <cell r="V406" t="str">
            <v>IEFRE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G406" t="str">
            <v/>
          </cell>
          <cell r="AH406" t="str">
            <v/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S406" t="str">
            <v/>
          </cell>
          <cell r="AT406" t="str">
            <v/>
          </cell>
          <cell r="AV406" t="b">
            <v>0</v>
          </cell>
          <cell r="AW406" t="str">
            <v>minute</v>
          </cell>
        </row>
        <row r="407">
          <cell r="S407" t="str">
            <v>DOM IRL IEHHS</v>
          </cell>
          <cell r="T407" t="str">
            <v>DOM</v>
          </cell>
          <cell r="U407" t="str">
            <v>IRL</v>
          </cell>
          <cell r="V407" t="str">
            <v>IEHHS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G407" t="str">
            <v/>
          </cell>
          <cell r="AH407" t="str">
            <v/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S407" t="str">
            <v/>
          </cell>
          <cell r="AT407" t="str">
            <v/>
          </cell>
          <cell r="AV407" t="b">
            <v>0</v>
          </cell>
          <cell r="AW407" t="str">
            <v>minute</v>
          </cell>
        </row>
        <row r="408">
          <cell r="S408" t="str">
            <v>DOM IRL IEPFF</v>
          </cell>
          <cell r="T408" t="str">
            <v>DOM</v>
          </cell>
          <cell r="U408" t="str">
            <v>IRL</v>
          </cell>
          <cell r="V408" t="str">
            <v>IEPFF</v>
          </cell>
          <cell r="X408">
            <v>4.1999999999999997E-3</v>
          </cell>
          <cell r="Y408">
            <v>0</v>
          </cell>
          <cell r="Z408">
            <v>4.1999999999999997E-3</v>
          </cell>
          <cell r="AA408">
            <v>0</v>
          </cell>
          <cell r="AB408">
            <v>4.1999999999999997E-3</v>
          </cell>
          <cell r="AC408">
            <v>0</v>
          </cell>
          <cell r="AD408">
            <v>4.1999999999999997E-3</v>
          </cell>
          <cell r="AE408">
            <v>0</v>
          </cell>
          <cell r="AG408" t="str">
            <v/>
          </cell>
          <cell r="AH408" t="str">
            <v/>
          </cell>
          <cell r="AJ408">
            <v>4.1999999999999997E-3</v>
          </cell>
          <cell r="AK408">
            <v>0</v>
          </cell>
          <cell r="AL408">
            <v>4.1999999999999997E-3</v>
          </cell>
          <cell r="AM408">
            <v>0</v>
          </cell>
          <cell r="AN408">
            <v>4.1999999999999997E-3</v>
          </cell>
          <cell r="AO408">
            <v>0</v>
          </cell>
          <cell r="AP408">
            <v>4.1999999999999997E-3</v>
          </cell>
          <cell r="AQ408">
            <v>0</v>
          </cell>
          <cell r="AS408" t="str">
            <v/>
          </cell>
          <cell r="AT408" t="str">
            <v/>
          </cell>
          <cell r="AV408" t="b">
            <v>0</v>
          </cell>
          <cell r="AW408" t="str">
            <v>minute</v>
          </cell>
        </row>
        <row r="409">
          <cell r="S409" t="str">
            <v>DOM IRL IEILO</v>
          </cell>
          <cell r="T409" t="str">
            <v>DOM</v>
          </cell>
          <cell r="U409" t="str">
            <v>IRL</v>
          </cell>
          <cell r="V409" t="str">
            <v>IEILO</v>
          </cell>
          <cell r="X409">
            <v>2.8500000000000001E-2</v>
          </cell>
          <cell r="Y409">
            <v>0</v>
          </cell>
          <cell r="Z409">
            <v>2.8500000000000001E-2</v>
          </cell>
          <cell r="AA409">
            <v>0</v>
          </cell>
          <cell r="AB409">
            <v>2.8500000000000001E-2</v>
          </cell>
          <cell r="AC409">
            <v>0</v>
          </cell>
          <cell r="AD409">
            <v>2.8500000000000001E-2</v>
          </cell>
          <cell r="AE409">
            <v>0</v>
          </cell>
          <cell r="AG409" t="str">
            <v/>
          </cell>
          <cell r="AH409" t="str">
            <v/>
          </cell>
          <cell r="AJ409">
            <v>2.8500000000000001E-2</v>
          </cell>
          <cell r="AK409">
            <v>0</v>
          </cell>
          <cell r="AL409">
            <v>2.8500000000000001E-2</v>
          </cell>
          <cell r="AM409">
            <v>0</v>
          </cell>
          <cell r="AN409">
            <v>2.8500000000000001E-2</v>
          </cell>
          <cell r="AO409">
            <v>0</v>
          </cell>
          <cell r="AP409">
            <v>2.8500000000000001E-2</v>
          </cell>
          <cell r="AQ409">
            <v>0</v>
          </cell>
          <cell r="AS409" t="str">
            <v/>
          </cell>
          <cell r="AT409" t="str">
            <v/>
          </cell>
          <cell r="AV409" t="b">
            <v>0</v>
          </cell>
          <cell r="AW409" t="str">
            <v>minute</v>
          </cell>
        </row>
        <row r="410">
          <cell r="S410" t="str">
            <v>DOM IRL IEPYG</v>
          </cell>
          <cell r="T410" t="str">
            <v>DOM</v>
          </cell>
          <cell r="U410" t="str">
            <v>IRL</v>
          </cell>
          <cell r="V410" t="str">
            <v>IEPYG</v>
          </cell>
          <cell r="X410">
            <v>6.5600000000000006E-2</v>
          </cell>
          <cell r="Y410">
            <v>0</v>
          </cell>
          <cell r="Z410">
            <v>6.5600000000000006E-2</v>
          </cell>
          <cell r="AA410">
            <v>0</v>
          </cell>
          <cell r="AB410">
            <v>6.5600000000000006E-2</v>
          </cell>
          <cell r="AC410">
            <v>0</v>
          </cell>
          <cell r="AD410">
            <v>6.5600000000000006E-2</v>
          </cell>
          <cell r="AE410">
            <v>0</v>
          </cell>
          <cell r="AG410" t="str">
            <v/>
          </cell>
          <cell r="AH410" t="str">
            <v/>
          </cell>
          <cell r="AJ410">
            <v>6.5600000000000006E-2</v>
          </cell>
          <cell r="AK410">
            <v>0</v>
          </cell>
          <cell r="AL410">
            <v>6.5600000000000006E-2</v>
          </cell>
          <cell r="AM410">
            <v>0</v>
          </cell>
          <cell r="AN410">
            <v>6.5600000000000006E-2</v>
          </cell>
          <cell r="AO410">
            <v>0</v>
          </cell>
          <cell r="AP410">
            <v>6.5600000000000006E-2</v>
          </cell>
          <cell r="AQ410">
            <v>0</v>
          </cell>
          <cell r="AS410" t="str">
            <v/>
          </cell>
          <cell r="AT410" t="str">
            <v/>
          </cell>
          <cell r="AV410" t="b">
            <v>0</v>
          </cell>
          <cell r="AW410" t="str">
            <v>minute</v>
          </cell>
        </row>
        <row r="411">
          <cell r="S411" t="str">
            <v>DOM IRL IEPNS</v>
          </cell>
          <cell r="T411" t="str">
            <v>DOM</v>
          </cell>
          <cell r="U411" t="str">
            <v>IRL</v>
          </cell>
          <cell r="V411" t="str">
            <v>IEPNS</v>
          </cell>
          <cell r="X411">
            <v>0.1095</v>
          </cell>
          <cell r="Y411">
            <v>0</v>
          </cell>
          <cell r="Z411">
            <v>0.1095</v>
          </cell>
          <cell r="AA411">
            <v>0</v>
          </cell>
          <cell r="AB411">
            <v>0.1095</v>
          </cell>
          <cell r="AC411">
            <v>0</v>
          </cell>
          <cell r="AD411">
            <v>0.1095</v>
          </cell>
          <cell r="AE411">
            <v>0</v>
          </cell>
          <cell r="AG411" t="str">
            <v/>
          </cell>
          <cell r="AH411" t="str">
            <v/>
          </cell>
          <cell r="AJ411">
            <v>0.1095</v>
          </cell>
          <cell r="AK411">
            <v>0</v>
          </cell>
          <cell r="AL411">
            <v>0.1095</v>
          </cell>
          <cell r="AM411">
            <v>0</v>
          </cell>
          <cell r="AN411">
            <v>0.1095</v>
          </cell>
          <cell r="AO411">
            <v>0</v>
          </cell>
          <cell r="AP411">
            <v>0.1095</v>
          </cell>
          <cell r="AQ411">
            <v>0</v>
          </cell>
          <cell r="AS411" t="str">
            <v/>
          </cell>
          <cell r="AT411" t="str">
            <v/>
          </cell>
          <cell r="AV411" t="b">
            <v>0</v>
          </cell>
          <cell r="AW411" t="str">
            <v>minute</v>
          </cell>
        </row>
        <row r="412">
          <cell r="S412" t="str">
            <v>DOM IRL IEPC1</v>
          </cell>
          <cell r="T412" t="str">
            <v>DOM</v>
          </cell>
          <cell r="U412" t="str">
            <v>IRL</v>
          </cell>
          <cell r="V412" t="str">
            <v>IEPC1</v>
          </cell>
          <cell r="X412">
            <v>0</v>
          </cell>
          <cell r="Y412">
            <v>0.40649999999999997</v>
          </cell>
          <cell r="Z412">
            <v>0</v>
          </cell>
          <cell r="AA412">
            <v>0.40649999999999997</v>
          </cell>
          <cell r="AB412">
            <v>0</v>
          </cell>
          <cell r="AC412">
            <v>0.40649999999999997</v>
          </cell>
          <cell r="AD412">
            <v>0</v>
          </cell>
          <cell r="AE412">
            <v>0.40649999999999997</v>
          </cell>
          <cell r="AG412" t="str">
            <v/>
          </cell>
          <cell r="AH412" t="str">
            <v/>
          </cell>
          <cell r="AJ412">
            <v>0</v>
          </cell>
          <cell r="AK412">
            <v>0.40649999999999997</v>
          </cell>
          <cell r="AL412">
            <v>0</v>
          </cell>
          <cell r="AM412">
            <v>0.40649999999999997</v>
          </cell>
          <cell r="AN412">
            <v>0</v>
          </cell>
          <cell r="AO412">
            <v>0.40649999999999997</v>
          </cell>
          <cell r="AP412">
            <v>0</v>
          </cell>
          <cell r="AQ412">
            <v>0.40649999999999997</v>
          </cell>
          <cell r="AS412" t="str">
            <v/>
          </cell>
          <cell r="AT412" t="str">
            <v/>
          </cell>
          <cell r="AV412" t="b">
            <v>0</v>
          </cell>
          <cell r="AW412" t="str">
            <v>call</v>
          </cell>
        </row>
        <row r="413">
          <cell r="S413" t="str">
            <v>DOM IRL IEPC2</v>
          </cell>
          <cell r="T413" t="str">
            <v>DOM</v>
          </cell>
          <cell r="U413" t="str">
            <v>IRL</v>
          </cell>
          <cell r="V413" t="str">
            <v>IEPC2</v>
          </cell>
          <cell r="X413">
            <v>0</v>
          </cell>
          <cell r="Y413">
            <v>0.56910000000000005</v>
          </cell>
          <cell r="Z413">
            <v>0</v>
          </cell>
          <cell r="AA413">
            <v>0.56910000000000005</v>
          </cell>
          <cell r="AB413">
            <v>0</v>
          </cell>
          <cell r="AC413">
            <v>0.56910000000000005</v>
          </cell>
          <cell r="AD413">
            <v>0</v>
          </cell>
          <cell r="AE413">
            <v>0.56910000000000005</v>
          </cell>
          <cell r="AG413" t="str">
            <v/>
          </cell>
          <cell r="AH413" t="str">
            <v/>
          </cell>
          <cell r="AJ413">
            <v>0</v>
          </cell>
          <cell r="AK413">
            <v>0.56910000000000005</v>
          </cell>
          <cell r="AL413">
            <v>0</v>
          </cell>
          <cell r="AM413">
            <v>0.56910000000000005</v>
          </cell>
          <cell r="AN413">
            <v>0</v>
          </cell>
          <cell r="AO413">
            <v>0.56910000000000005</v>
          </cell>
          <cell r="AP413">
            <v>0</v>
          </cell>
          <cell r="AQ413">
            <v>0.56910000000000005</v>
          </cell>
          <cell r="AS413" t="str">
            <v/>
          </cell>
          <cell r="AT413" t="str">
            <v/>
          </cell>
          <cell r="AV413" t="b">
            <v>0</v>
          </cell>
          <cell r="AW413" t="str">
            <v>call</v>
          </cell>
        </row>
        <row r="414">
          <cell r="S414" t="str">
            <v>DOM IRL IEPC3</v>
          </cell>
          <cell r="T414" t="str">
            <v>DOM</v>
          </cell>
          <cell r="U414" t="str">
            <v>IRL</v>
          </cell>
          <cell r="V414" t="str">
            <v>IEPC3</v>
          </cell>
          <cell r="X414">
            <v>0</v>
          </cell>
          <cell r="Y414">
            <v>0.73170000000000002</v>
          </cell>
          <cell r="Z414">
            <v>0</v>
          </cell>
          <cell r="AA414">
            <v>0.73170000000000002</v>
          </cell>
          <cell r="AB414">
            <v>0</v>
          </cell>
          <cell r="AC414">
            <v>0.73170000000000002</v>
          </cell>
          <cell r="AD414">
            <v>0</v>
          </cell>
          <cell r="AE414">
            <v>0.73170000000000002</v>
          </cell>
          <cell r="AG414" t="str">
            <v/>
          </cell>
          <cell r="AH414" t="str">
            <v/>
          </cell>
          <cell r="AJ414">
            <v>0</v>
          </cell>
          <cell r="AK414">
            <v>0.73170000000000002</v>
          </cell>
          <cell r="AL414">
            <v>0</v>
          </cell>
          <cell r="AM414">
            <v>0.73170000000000002</v>
          </cell>
          <cell r="AN414">
            <v>0</v>
          </cell>
          <cell r="AO414">
            <v>0.73170000000000002</v>
          </cell>
          <cell r="AP414">
            <v>0</v>
          </cell>
          <cell r="AQ414">
            <v>0.73170000000000002</v>
          </cell>
          <cell r="AS414" t="str">
            <v/>
          </cell>
          <cell r="AT414" t="str">
            <v/>
          </cell>
          <cell r="AV414" t="b">
            <v>0</v>
          </cell>
          <cell r="AW414" t="str">
            <v>call</v>
          </cell>
        </row>
        <row r="415">
          <cell r="S415" t="str">
            <v>DOM IRL IEPC4</v>
          </cell>
          <cell r="T415" t="str">
            <v>DOM</v>
          </cell>
          <cell r="U415" t="str">
            <v>IRL</v>
          </cell>
          <cell r="V415" t="str">
            <v>IEPC4</v>
          </cell>
          <cell r="X415">
            <v>0</v>
          </cell>
          <cell r="Y415">
            <v>0.97560000000000002</v>
          </cell>
          <cell r="Z415">
            <v>0</v>
          </cell>
          <cell r="AA415">
            <v>0.97560000000000002</v>
          </cell>
          <cell r="AB415">
            <v>0</v>
          </cell>
          <cell r="AC415">
            <v>0.97560000000000002</v>
          </cell>
          <cell r="AD415">
            <v>0</v>
          </cell>
          <cell r="AE415">
            <v>0.97560000000000002</v>
          </cell>
          <cell r="AG415" t="str">
            <v/>
          </cell>
          <cell r="AH415" t="str">
            <v/>
          </cell>
          <cell r="AJ415">
            <v>0</v>
          </cell>
          <cell r="AK415">
            <v>0.97560000000000002</v>
          </cell>
          <cell r="AL415">
            <v>0</v>
          </cell>
          <cell r="AM415">
            <v>0.97560000000000002</v>
          </cell>
          <cell r="AN415">
            <v>0</v>
          </cell>
          <cell r="AO415">
            <v>0.97560000000000002</v>
          </cell>
          <cell r="AP415">
            <v>0</v>
          </cell>
          <cell r="AQ415">
            <v>0.97560000000000002</v>
          </cell>
          <cell r="AS415" t="str">
            <v/>
          </cell>
          <cell r="AT415" t="str">
            <v/>
          </cell>
          <cell r="AV415" t="b">
            <v>0</v>
          </cell>
          <cell r="AW415" t="str">
            <v>call</v>
          </cell>
        </row>
        <row r="416">
          <cell r="S416" t="str">
            <v>DOM IRL IEPC5</v>
          </cell>
          <cell r="T416" t="str">
            <v>DOM</v>
          </cell>
          <cell r="U416" t="str">
            <v>IRL</v>
          </cell>
          <cell r="V416" t="str">
            <v>IEPC5</v>
          </cell>
          <cell r="X416">
            <v>0</v>
          </cell>
          <cell r="Y416">
            <v>1.4634</v>
          </cell>
          <cell r="Z416">
            <v>0</v>
          </cell>
          <cell r="AA416">
            <v>1.4634</v>
          </cell>
          <cell r="AB416">
            <v>0</v>
          </cell>
          <cell r="AC416">
            <v>1.4634</v>
          </cell>
          <cell r="AD416">
            <v>0</v>
          </cell>
          <cell r="AE416">
            <v>1.4634</v>
          </cell>
          <cell r="AG416" t="str">
            <v/>
          </cell>
          <cell r="AH416" t="str">
            <v/>
          </cell>
          <cell r="AJ416">
            <v>0</v>
          </cell>
          <cell r="AK416">
            <v>1.4634</v>
          </cell>
          <cell r="AL416">
            <v>0</v>
          </cell>
          <cell r="AM416">
            <v>1.4634</v>
          </cell>
          <cell r="AN416">
            <v>0</v>
          </cell>
          <cell r="AO416">
            <v>1.4634</v>
          </cell>
          <cell r="AP416">
            <v>0</v>
          </cell>
          <cell r="AQ416">
            <v>1.4634</v>
          </cell>
          <cell r="AS416" t="str">
            <v/>
          </cell>
          <cell r="AT416" t="str">
            <v/>
          </cell>
          <cell r="AV416" t="b">
            <v>0</v>
          </cell>
          <cell r="AW416" t="str">
            <v>call</v>
          </cell>
        </row>
        <row r="417">
          <cell r="S417" t="str">
            <v>DOM IRL IEPC6</v>
          </cell>
          <cell r="T417" t="str">
            <v>DOM</v>
          </cell>
          <cell r="U417" t="str">
            <v>IRL</v>
          </cell>
          <cell r="V417" t="str">
            <v>IEPC6</v>
          </cell>
          <cell r="X417">
            <v>0</v>
          </cell>
          <cell r="Y417">
            <v>2.0325000000000002</v>
          </cell>
          <cell r="Z417">
            <v>0</v>
          </cell>
          <cell r="AA417">
            <v>2.0325000000000002</v>
          </cell>
          <cell r="AB417">
            <v>0</v>
          </cell>
          <cell r="AC417">
            <v>2.0325000000000002</v>
          </cell>
          <cell r="AD417">
            <v>0</v>
          </cell>
          <cell r="AE417">
            <v>2.0325000000000002</v>
          </cell>
          <cell r="AG417" t="str">
            <v/>
          </cell>
          <cell r="AH417" t="str">
            <v/>
          </cell>
          <cell r="AJ417">
            <v>0</v>
          </cell>
          <cell r="AK417">
            <v>2.0325000000000002</v>
          </cell>
          <cell r="AL417">
            <v>0</v>
          </cell>
          <cell r="AM417">
            <v>2.0325000000000002</v>
          </cell>
          <cell r="AN417">
            <v>0</v>
          </cell>
          <cell r="AO417">
            <v>2.0325000000000002</v>
          </cell>
          <cell r="AP417">
            <v>0</v>
          </cell>
          <cell r="AQ417">
            <v>2.0325000000000002</v>
          </cell>
          <cell r="AS417" t="str">
            <v/>
          </cell>
          <cell r="AT417" t="str">
            <v/>
          </cell>
          <cell r="AV417" t="b">
            <v>0</v>
          </cell>
          <cell r="AW417" t="str">
            <v>call</v>
          </cell>
        </row>
        <row r="418">
          <cell r="S418" t="str">
            <v>DOM IRL IEPC7</v>
          </cell>
          <cell r="T418" t="str">
            <v>DOM</v>
          </cell>
          <cell r="U418" t="str">
            <v>IRL</v>
          </cell>
          <cell r="V418" t="str">
            <v>IEPC7</v>
          </cell>
          <cell r="X418">
            <v>0</v>
          </cell>
          <cell r="Y418">
            <v>2.8454000000000002</v>
          </cell>
          <cell r="Z418">
            <v>0</v>
          </cell>
          <cell r="AA418">
            <v>2.8454000000000002</v>
          </cell>
          <cell r="AB418">
            <v>0</v>
          </cell>
          <cell r="AC418">
            <v>2.8454000000000002</v>
          </cell>
          <cell r="AD418">
            <v>0</v>
          </cell>
          <cell r="AE418">
            <v>2.8454000000000002</v>
          </cell>
          <cell r="AG418" t="str">
            <v/>
          </cell>
          <cell r="AH418" t="str">
            <v/>
          </cell>
          <cell r="AJ418">
            <v>0</v>
          </cell>
          <cell r="AK418">
            <v>2.8454000000000002</v>
          </cell>
          <cell r="AL418">
            <v>0</v>
          </cell>
          <cell r="AM418">
            <v>2.8454000000000002</v>
          </cell>
          <cell r="AN418">
            <v>0</v>
          </cell>
          <cell r="AO418">
            <v>2.8454000000000002</v>
          </cell>
          <cell r="AP418">
            <v>0</v>
          </cell>
          <cell r="AQ418">
            <v>2.8454000000000002</v>
          </cell>
          <cell r="AS418" t="str">
            <v/>
          </cell>
          <cell r="AT418" t="str">
            <v/>
          </cell>
          <cell r="AV418" t="b">
            <v>0</v>
          </cell>
          <cell r="AW418" t="str">
            <v>call</v>
          </cell>
        </row>
        <row r="419">
          <cell r="S419" t="str">
            <v>DOM IRL IEPM1</v>
          </cell>
          <cell r="T419" t="str">
            <v>DOM</v>
          </cell>
          <cell r="U419" t="str">
            <v>IRL</v>
          </cell>
          <cell r="V419" t="str">
            <v>IEPM1</v>
          </cell>
          <cell r="X419">
            <v>0.24390000000000001</v>
          </cell>
          <cell r="Y419">
            <v>0</v>
          </cell>
          <cell r="Z419">
            <v>0.24390000000000001</v>
          </cell>
          <cell r="AA419">
            <v>0</v>
          </cell>
          <cell r="AB419">
            <v>0.24390000000000001</v>
          </cell>
          <cell r="AC419">
            <v>0</v>
          </cell>
          <cell r="AD419">
            <v>0.24390000000000001</v>
          </cell>
          <cell r="AE419">
            <v>0</v>
          </cell>
          <cell r="AG419" t="str">
            <v/>
          </cell>
          <cell r="AH419" t="str">
            <v/>
          </cell>
          <cell r="AJ419">
            <v>0.24390000000000001</v>
          </cell>
          <cell r="AK419">
            <v>0</v>
          </cell>
          <cell r="AL419">
            <v>0.24390000000000001</v>
          </cell>
          <cell r="AM419">
            <v>0</v>
          </cell>
          <cell r="AN419">
            <v>0.24390000000000001</v>
          </cell>
          <cell r="AO419">
            <v>0</v>
          </cell>
          <cell r="AP419">
            <v>0.24390000000000001</v>
          </cell>
          <cell r="AQ419">
            <v>0</v>
          </cell>
          <cell r="AS419" t="str">
            <v/>
          </cell>
          <cell r="AT419" t="str">
            <v/>
          </cell>
          <cell r="AV419" t="b">
            <v>0</v>
          </cell>
          <cell r="AW419" t="str">
            <v>minute</v>
          </cell>
        </row>
        <row r="420">
          <cell r="S420" t="str">
            <v>DOM IRL IEPM2</v>
          </cell>
          <cell r="T420" t="str">
            <v>DOM</v>
          </cell>
          <cell r="U420" t="str">
            <v>IRL</v>
          </cell>
          <cell r="V420" t="str">
            <v>IEPM2</v>
          </cell>
          <cell r="X420">
            <v>0.40649999999999997</v>
          </cell>
          <cell r="Y420">
            <v>0</v>
          </cell>
          <cell r="Z420">
            <v>0.40649999999999997</v>
          </cell>
          <cell r="AA420">
            <v>0</v>
          </cell>
          <cell r="AB420">
            <v>0.40649999999999997</v>
          </cell>
          <cell r="AC420">
            <v>0</v>
          </cell>
          <cell r="AD420">
            <v>0.40649999999999997</v>
          </cell>
          <cell r="AE420">
            <v>0</v>
          </cell>
          <cell r="AG420" t="str">
            <v/>
          </cell>
          <cell r="AH420" t="str">
            <v/>
          </cell>
          <cell r="AJ420">
            <v>0.40649999999999997</v>
          </cell>
          <cell r="AK420">
            <v>0</v>
          </cell>
          <cell r="AL420">
            <v>0.40649999999999997</v>
          </cell>
          <cell r="AM420">
            <v>0</v>
          </cell>
          <cell r="AN420">
            <v>0.40649999999999997</v>
          </cell>
          <cell r="AO420">
            <v>0</v>
          </cell>
          <cell r="AP420">
            <v>0.40649999999999997</v>
          </cell>
          <cell r="AQ420">
            <v>0</v>
          </cell>
          <cell r="AS420" t="str">
            <v/>
          </cell>
          <cell r="AT420" t="str">
            <v/>
          </cell>
          <cell r="AV420" t="b">
            <v>0</v>
          </cell>
          <cell r="AW420" t="str">
            <v>minute</v>
          </cell>
        </row>
        <row r="421">
          <cell r="S421" t="str">
            <v>DOM IRL IEPM3</v>
          </cell>
          <cell r="T421" t="str">
            <v>DOM</v>
          </cell>
          <cell r="U421" t="str">
            <v>IRL</v>
          </cell>
          <cell r="V421" t="str">
            <v>IEPM3</v>
          </cell>
          <cell r="X421">
            <v>0.56910000000000005</v>
          </cell>
          <cell r="Y421">
            <v>0</v>
          </cell>
          <cell r="Z421">
            <v>0.56910000000000005</v>
          </cell>
          <cell r="AA421">
            <v>0</v>
          </cell>
          <cell r="AB421">
            <v>0.56910000000000005</v>
          </cell>
          <cell r="AC421">
            <v>0</v>
          </cell>
          <cell r="AD421">
            <v>0.56910000000000005</v>
          </cell>
          <cell r="AE421">
            <v>0</v>
          </cell>
          <cell r="AG421" t="str">
            <v/>
          </cell>
          <cell r="AH421" t="str">
            <v/>
          </cell>
          <cell r="AJ421">
            <v>0.56910000000000005</v>
          </cell>
          <cell r="AK421">
            <v>0</v>
          </cell>
          <cell r="AL421">
            <v>0.56910000000000005</v>
          </cell>
          <cell r="AM421">
            <v>0</v>
          </cell>
          <cell r="AN421">
            <v>0.56910000000000005</v>
          </cell>
          <cell r="AO421">
            <v>0</v>
          </cell>
          <cell r="AP421">
            <v>0.56910000000000005</v>
          </cell>
          <cell r="AQ421">
            <v>0</v>
          </cell>
          <cell r="AS421" t="str">
            <v/>
          </cell>
          <cell r="AT421" t="str">
            <v/>
          </cell>
          <cell r="AV421" t="b">
            <v>0</v>
          </cell>
          <cell r="AW421" t="str">
            <v>minute</v>
          </cell>
        </row>
        <row r="422">
          <cell r="S422" t="str">
            <v>DOM IRL IEPM4</v>
          </cell>
          <cell r="T422" t="str">
            <v>DOM</v>
          </cell>
          <cell r="U422" t="str">
            <v>IRL</v>
          </cell>
          <cell r="V422" t="str">
            <v>IEPM4</v>
          </cell>
          <cell r="X422">
            <v>0.97560000000000002</v>
          </cell>
          <cell r="Y422">
            <v>0</v>
          </cell>
          <cell r="Z422">
            <v>0.97560000000000002</v>
          </cell>
          <cell r="AA422">
            <v>0</v>
          </cell>
          <cell r="AB422">
            <v>0.97560000000000002</v>
          </cell>
          <cell r="AC422">
            <v>0</v>
          </cell>
          <cell r="AD422">
            <v>0.97560000000000002</v>
          </cell>
          <cell r="AE422">
            <v>0</v>
          </cell>
          <cell r="AG422" t="str">
            <v/>
          </cell>
          <cell r="AH422" t="str">
            <v/>
          </cell>
          <cell r="AJ422">
            <v>0.97560000000000002</v>
          </cell>
          <cell r="AK422">
            <v>0</v>
          </cell>
          <cell r="AL422">
            <v>0.97560000000000002</v>
          </cell>
          <cell r="AM422">
            <v>0</v>
          </cell>
          <cell r="AN422">
            <v>0.97560000000000002</v>
          </cell>
          <cell r="AO422">
            <v>0</v>
          </cell>
          <cell r="AP422">
            <v>0.97560000000000002</v>
          </cell>
          <cell r="AQ422">
            <v>0</v>
          </cell>
          <cell r="AS422" t="str">
            <v/>
          </cell>
          <cell r="AT422" t="str">
            <v/>
          </cell>
          <cell r="AV422" t="b">
            <v>0</v>
          </cell>
          <cell r="AW422" t="str">
            <v>minute</v>
          </cell>
        </row>
        <row r="423">
          <cell r="S423" t="str">
            <v>DOM IRL IEPM5</v>
          </cell>
          <cell r="T423" t="str">
            <v>DOM</v>
          </cell>
          <cell r="U423" t="str">
            <v>IRL</v>
          </cell>
          <cell r="V423" t="str">
            <v>IEPM5</v>
          </cell>
          <cell r="X423">
            <v>1.4634</v>
          </cell>
          <cell r="Y423">
            <v>0</v>
          </cell>
          <cell r="Z423">
            <v>1.4634</v>
          </cell>
          <cell r="AA423">
            <v>0</v>
          </cell>
          <cell r="AB423">
            <v>1.4634</v>
          </cell>
          <cell r="AC423">
            <v>0</v>
          </cell>
          <cell r="AD423">
            <v>1.4634</v>
          </cell>
          <cell r="AE423">
            <v>0</v>
          </cell>
          <cell r="AG423" t="str">
            <v/>
          </cell>
          <cell r="AH423" t="str">
            <v/>
          </cell>
          <cell r="AJ423">
            <v>1.4634</v>
          </cell>
          <cell r="AK423">
            <v>0</v>
          </cell>
          <cell r="AL423">
            <v>1.4634</v>
          </cell>
          <cell r="AM423">
            <v>0</v>
          </cell>
          <cell r="AN423">
            <v>1.4634</v>
          </cell>
          <cell r="AO423">
            <v>0</v>
          </cell>
          <cell r="AP423">
            <v>1.4634</v>
          </cell>
          <cell r="AQ423">
            <v>0</v>
          </cell>
          <cell r="AS423" t="str">
            <v/>
          </cell>
          <cell r="AT423" t="str">
            <v/>
          </cell>
          <cell r="AV423" t="b">
            <v>0</v>
          </cell>
          <cell r="AW423" t="str">
            <v>minute</v>
          </cell>
        </row>
        <row r="424">
          <cell r="S424" t="str">
            <v>DOM IRL IEPM6</v>
          </cell>
          <cell r="T424" t="str">
            <v>DOM</v>
          </cell>
          <cell r="U424" t="str">
            <v>IRL</v>
          </cell>
          <cell r="V424" t="str">
            <v>IEPM6</v>
          </cell>
          <cell r="X424">
            <v>1.9512</v>
          </cell>
          <cell r="Y424">
            <v>0</v>
          </cell>
          <cell r="Z424">
            <v>1.9512</v>
          </cell>
          <cell r="AA424">
            <v>0</v>
          </cell>
          <cell r="AB424">
            <v>1.9512</v>
          </cell>
          <cell r="AC424">
            <v>0</v>
          </cell>
          <cell r="AD424">
            <v>1.9512</v>
          </cell>
          <cell r="AE424">
            <v>0</v>
          </cell>
          <cell r="AG424" t="str">
            <v/>
          </cell>
          <cell r="AH424" t="str">
            <v/>
          </cell>
          <cell r="AJ424">
            <v>1.9512</v>
          </cell>
          <cell r="AK424">
            <v>0</v>
          </cell>
          <cell r="AL424">
            <v>1.9512</v>
          </cell>
          <cell r="AM424">
            <v>0</v>
          </cell>
          <cell r="AN424">
            <v>1.9512</v>
          </cell>
          <cell r="AO424">
            <v>0</v>
          </cell>
          <cell r="AP424">
            <v>1.9512</v>
          </cell>
          <cell r="AQ424">
            <v>0</v>
          </cell>
          <cell r="AS424" t="str">
            <v/>
          </cell>
          <cell r="AT424" t="str">
            <v/>
          </cell>
          <cell r="AV424" t="b">
            <v>0</v>
          </cell>
          <cell r="AW424" t="str">
            <v>minute</v>
          </cell>
        </row>
        <row r="425">
          <cell r="S425" t="str">
            <v>DOM IRL IEPM7</v>
          </cell>
          <cell r="T425" t="str">
            <v>DOM</v>
          </cell>
          <cell r="U425" t="str">
            <v>IRL</v>
          </cell>
          <cell r="V425" t="str">
            <v>IEPM7</v>
          </cell>
          <cell r="X425">
            <v>2.3982000000000001</v>
          </cell>
          <cell r="Y425">
            <v>0</v>
          </cell>
          <cell r="Z425">
            <v>2.3982000000000001</v>
          </cell>
          <cell r="AA425">
            <v>0</v>
          </cell>
          <cell r="AB425">
            <v>2.3982000000000001</v>
          </cell>
          <cell r="AC425">
            <v>0</v>
          </cell>
          <cell r="AD425">
            <v>2.3982000000000001</v>
          </cell>
          <cell r="AE425">
            <v>0</v>
          </cell>
          <cell r="AG425" t="str">
            <v/>
          </cell>
          <cell r="AH425" t="str">
            <v/>
          </cell>
          <cell r="AJ425">
            <v>2.3982000000000001</v>
          </cell>
          <cell r="AK425">
            <v>0</v>
          </cell>
          <cell r="AL425">
            <v>2.3982000000000001</v>
          </cell>
          <cell r="AM425">
            <v>0</v>
          </cell>
          <cell r="AN425">
            <v>2.3982000000000001</v>
          </cell>
          <cell r="AO425">
            <v>0</v>
          </cell>
          <cell r="AP425">
            <v>2.3982000000000001</v>
          </cell>
          <cell r="AQ425">
            <v>0</v>
          </cell>
          <cell r="AS425" t="str">
            <v/>
          </cell>
          <cell r="AT425" t="str">
            <v/>
          </cell>
          <cell r="AV425" t="b">
            <v>0</v>
          </cell>
          <cell r="AW425" t="str">
            <v>minute</v>
          </cell>
        </row>
        <row r="426">
          <cell r="S426" t="str">
            <v>DOM IRL IEPM8</v>
          </cell>
          <cell r="T426" t="str">
            <v>DOM</v>
          </cell>
          <cell r="U426" t="str">
            <v>IRL</v>
          </cell>
          <cell r="V426" t="str">
            <v>IEPM8</v>
          </cell>
          <cell r="X426">
            <v>2.8454000000000002</v>
          </cell>
          <cell r="Y426">
            <v>0</v>
          </cell>
          <cell r="Z426">
            <v>2.8454000000000002</v>
          </cell>
          <cell r="AA426">
            <v>0</v>
          </cell>
          <cell r="AB426">
            <v>2.8454000000000002</v>
          </cell>
          <cell r="AC426">
            <v>0</v>
          </cell>
          <cell r="AD426">
            <v>2.8454000000000002</v>
          </cell>
          <cell r="AE426">
            <v>0</v>
          </cell>
          <cell r="AG426" t="str">
            <v/>
          </cell>
          <cell r="AH426" t="str">
            <v/>
          </cell>
          <cell r="AJ426">
            <v>2.8454000000000002</v>
          </cell>
          <cell r="AK426">
            <v>0</v>
          </cell>
          <cell r="AL426">
            <v>2.8454000000000002</v>
          </cell>
          <cell r="AM426">
            <v>0</v>
          </cell>
          <cell r="AN426">
            <v>2.8454000000000002</v>
          </cell>
          <cell r="AO426">
            <v>0</v>
          </cell>
          <cell r="AP426">
            <v>2.8454000000000002</v>
          </cell>
          <cell r="AQ426">
            <v>0</v>
          </cell>
          <cell r="AS426" t="str">
            <v/>
          </cell>
          <cell r="AT426" t="str">
            <v/>
          </cell>
          <cell r="AV426" t="b">
            <v>0</v>
          </cell>
          <cell r="AW426" t="str">
            <v>minute</v>
          </cell>
        </row>
        <row r="427">
          <cell r="S427" t="str">
            <v>DOM IRL IESCC</v>
          </cell>
          <cell r="T427" t="str">
            <v>DOM</v>
          </cell>
          <cell r="U427" t="str">
            <v>IRL</v>
          </cell>
          <cell r="V427" t="str">
            <v>IESCC</v>
          </cell>
          <cell r="X427">
            <v>0</v>
          </cell>
          <cell r="Y427">
            <v>5.4300000000000001E-2</v>
          </cell>
          <cell r="Z427">
            <v>0</v>
          </cell>
          <cell r="AA427">
            <v>5.4300000000000001E-2</v>
          </cell>
          <cell r="AB427">
            <v>0</v>
          </cell>
          <cell r="AC427">
            <v>5.4300000000000001E-2</v>
          </cell>
          <cell r="AD427">
            <v>0</v>
          </cell>
          <cell r="AE427">
            <v>5.4300000000000001E-2</v>
          </cell>
          <cell r="AG427" t="str">
            <v/>
          </cell>
          <cell r="AH427" t="str">
            <v/>
          </cell>
          <cell r="AJ427">
            <v>0</v>
          </cell>
          <cell r="AK427">
            <v>5.4300000000000001E-2</v>
          </cell>
          <cell r="AL427">
            <v>0</v>
          </cell>
          <cell r="AM427">
            <v>5.4300000000000001E-2</v>
          </cell>
          <cell r="AN427">
            <v>0</v>
          </cell>
          <cell r="AO427">
            <v>5.4300000000000001E-2</v>
          </cell>
          <cell r="AP427">
            <v>0</v>
          </cell>
          <cell r="AQ427">
            <v>5.4300000000000001E-2</v>
          </cell>
          <cell r="AS427" t="str">
            <v/>
          </cell>
          <cell r="AT427" t="str">
            <v/>
          </cell>
          <cell r="AV427" t="b">
            <v>0</v>
          </cell>
          <cell r="AW427" t="str">
            <v>call</v>
          </cell>
        </row>
        <row r="428">
          <cell r="S428" t="str">
            <v>DOM IRL IESCM</v>
          </cell>
          <cell r="T428" t="str">
            <v>DOM</v>
          </cell>
          <cell r="U428" t="str">
            <v>IRL</v>
          </cell>
          <cell r="V428" t="str">
            <v>IESCM</v>
          </cell>
          <cell r="X428">
            <v>6.6900000000000001E-2</v>
          </cell>
          <cell r="Y428">
            <v>0</v>
          </cell>
          <cell r="Z428">
            <v>6.6900000000000001E-2</v>
          </cell>
          <cell r="AA428">
            <v>0</v>
          </cell>
          <cell r="AB428">
            <v>6.6900000000000001E-2</v>
          </cell>
          <cell r="AC428">
            <v>0</v>
          </cell>
          <cell r="AD428">
            <v>6.6900000000000001E-2</v>
          </cell>
          <cell r="AE428">
            <v>0</v>
          </cell>
          <cell r="AG428" t="str">
            <v/>
          </cell>
          <cell r="AH428" t="str">
            <v/>
          </cell>
          <cell r="AJ428">
            <v>6.6900000000000001E-2</v>
          </cell>
          <cell r="AK428">
            <v>0</v>
          </cell>
          <cell r="AL428">
            <v>6.6900000000000001E-2</v>
          </cell>
          <cell r="AM428">
            <v>0</v>
          </cell>
          <cell r="AN428">
            <v>6.6900000000000001E-2</v>
          </cell>
          <cell r="AO428">
            <v>0</v>
          </cell>
          <cell r="AP428">
            <v>6.6900000000000001E-2</v>
          </cell>
          <cell r="AQ428">
            <v>0</v>
          </cell>
          <cell r="AS428" t="str">
            <v/>
          </cell>
          <cell r="AT428" t="str">
            <v/>
          </cell>
          <cell r="AV428" t="b">
            <v>0</v>
          </cell>
          <cell r="AW428" t="str">
            <v>minute</v>
          </cell>
        </row>
        <row r="429">
          <cell r="S429" t="str">
            <v>DOM IRL IEUAS</v>
          </cell>
          <cell r="T429" t="str">
            <v>DOM</v>
          </cell>
          <cell r="U429" t="str">
            <v>IRL</v>
          </cell>
          <cell r="V429" t="str">
            <v>IEUAS</v>
          </cell>
          <cell r="X429">
            <v>6.6900000000000001E-2</v>
          </cell>
          <cell r="Y429">
            <v>0</v>
          </cell>
          <cell r="Z429">
            <v>6.6900000000000001E-2</v>
          </cell>
          <cell r="AA429">
            <v>0</v>
          </cell>
          <cell r="AB429">
            <v>6.6900000000000001E-2</v>
          </cell>
          <cell r="AC429">
            <v>0</v>
          </cell>
          <cell r="AD429">
            <v>6.6900000000000001E-2</v>
          </cell>
          <cell r="AE429">
            <v>0</v>
          </cell>
          <cell r="AG429" t="str">
            <v/>
          </cell>
          <cell r="AH429" t="str">
            <v/>
          </cell>
          <cell r="AJ429">
            <v>6.6900000000000001E-2</v>
          </cell>
          <cell r="AK429">
            <v>0</v>
          </cell>
          <cell r="AL429">
            <v>6.6900000000000001E-2</v>
          </cell>
          <cell r="AM429">
            <v>0</v>
          </cell>
          <cell r="AN429">
            <v>6.6900000000000001E-2</v>
          </cell>
          <cell r="AO429">
            <v>0</v>
          </cell>
          <cell r="AP429">
            <v>6.6900000000000001E-2</v>
          </cell>
          <cell r="AQ429">
            <v>0</v>
          </cell>
          <cell r="AS429" t="str">
            <v/>
          </cell>
          <cell r="AT429" t="str">
            <v/>
          </cell>
          <cell r="AV429" t="b">
            <v>0</v>
          </cell>
          <cell r="AW429" t="str">
            <v>minute</v>
          </cell>
        </row>
        <row r="430">
          <cell r="S430" t="str">
            <v>DOM IRL IEIPN</v>
          </cell>
          <cell r="T430" t="str">
            <v>DOM</v>
          </cell>
          <cell r="U430" t="str">
            <v>IRL</v>
          </cell>
          <cell r="V430" t="str">
            <v>IEIPN</v>
          </cell>
          <cell r="X430">
            <v>7.4499999999999997E-2</v>
          </cell>
          <cell r="Y430">
            <v>0</v>
          </cell>
          <cell r="Z430">
            <v>7.4499999999999997E-2</v>
          </cell>
          <cell r="AA430">
            <v>0</v>
          </cell>
          <cell r="AB430">
            <v>7.4499999999999997E-2</v>
          </cell>
          <cell r="AC430">
            <v>0</v>
          </cell>
          <cell r="AD430">
            <v>7.4499999999999997E-2</v>
          </cell>
          <cell r="AE430">
            <v>0</v>
          </cell>
          <cell r="AG430" t="str">
            <v/>
          </cell>
          <cell r="AH430" t="str">
            <v/>
          </cell>
          <cell r="AJ430">
            <v>7.4499999999999997E-2</v>
          </cell>
          <cell r="AK430">
            <v>0</v>
          </cell>
          <cell r="AL430">
            <v>7.4499999999999997E-2</v>
          </cell>
          <cell r="AM430">
            <v>0</v>
          </cell>
          <cell r="AN430">
            <v>7.4499999999999997E-2</v>
          </cell>
          <cell r="AO430">
            <v>0</v>
          </cell>
          <cell r="AP430">
            <v>7.4499999999999997E-2</v>
          </cell>
          <cell r="AQ430">
            <v>0</v>
          </cell>
          <cell r="AS430" t="str">
            <v/>
          </cell>
          <cell r="AT430" t="str">
            <v/>
          </cell>
          <cell r="AV430" t="b">
            <v>0</v>
          </cell>
          <cell r="AW430" t="str">
            <v>minute</v>
          </cell>
        </row>
        <row r="431">
          <cell r="S431" t="str">
            <v>DOM ITA REST</v>
          </cell>
          <cell r="T431" t="str">
            <v>DOM</v>
          </cell>
          <cell r="U431" t="str">
            <v>ITA</v>
          </cell>
          <cell r="V431" t="str">
            <v>REST</v>
          </cell>
          <cell r="X431">
            <v>1.37E-2</v>
          </cell>
          <cell r="Y431">
            <v>0</v>
          </cell>
          <cell r="Z431">
            <v>1.2699999999999999E-2</v>
          </cell>
          <cell r="AA431">
            <v>0</v>
          </cell>
          <cell r="AB431">
            <v>1.1900000000000001E-2</v>
          </cell>
          <cell r="AC431">
            <v>0</v>
          </cell>
          <cell r="AD431">
            <v>1.11E-2</v>
          </cell>
          <cell r="AE431">
            <v>0</v>
          </cell>
          <cell r="AG431" t="str">
            <v/>
          </cell>
          <cell r="AH431" t="str">
            <v/>
          </cell>
          <cell r="AJ431">
            <v>1.37E-2</v>
          </cell>
          <cell r="AK431">
            <v>0</v>
          </cell>
          <cell r="AL431">
            <v>1.2699999999999999E-2</v>
          </cell>
          <cell r="AM431">
            <v>0</v>
          </cell>
          <cell r="AN431">
            <v>1.1900000000000001E-2</v>
          </cell>
          <cell r="AO431">
            <v>0</v>
          </cell>
          <cell r="AP431">
            <v>1.11E-2</v>
          </cell>
          <cell r="AQ431">
            <v>0</v>
          </cell>
          <cell r="AS431" t="str">
            <v/>
          </cell>
          <cell r="AT431" t="str">
            <v/>
          </cell>
          <cell r="AV431" t="b">
            <v>1</v>
          </cell>
          <cell r="AW431" t="str">
            <v>minute</v>
          </cell>
        </row>
        <row r="432">
          <cell r="S432" t="str">
            <v>DOM ITA ZITA7</v>
          </cell>
          <cell r="T432" t="str">
            <v>DOM</v>
          </cell>
          <cell r="U432" t="str">
            <v>ITA</v>
          </cell>
          <cell r="V432" t="str">
            <v>ZITA7</v>
          </cell>
          <cell r="X432">
            <v>3.3000000000000002E-2</v>
          </cell>
          <cell r="Y432">
            <v>0</v>
          </cell>
          <cell r="Z432">
            <v>2.9700000000000001E-2</v>
          </cell>
          <cell r="AA432">
            <v>0</v>
          </cell>
          <cell r="AB432">
            <v>2.75E-2</v>
          </cell>
          <cell r="AC432">
            <v>0</v>
          </cell>
          <cell r="AD432">
            <v>2.47E-2</v>
          </cell>
          <cell r="AE432">
            <v>0</v>
          </cell>
          <cell r="AG432" t="str">
            <v/>
          </cell>
          <cell r="AH432" t="str">
            <v/>
          </cell>
          <cell r="AJ432">
            <v>3.3000000000000002E-2</v>
          </cell>
          <cell r="AK432">
            <v>0</v>
          </cell>
          <cell r="AL432">
            <v>2.9700000000000001E-2</v>
          </cell>
          <cell r="AM432">
            <v>0</v>
          </cell>
          <cell r="AN432">
            <v>2.75E-2</v>
          </cell>
          <cell r="AO432">
            <v>0</v>
          </cell>
          <cell r="AP432">
            <v>2.47E-2</v>
          </cell>
          <cell r="AQ432">
            <v>0</v>
          </cell>
          <cell r="AS432" t="str">
            <v/>
          </cell>
          <cell r="AT432" t="str">
            <v/>
          </cell>
          <cell r="AV432" t="b">
            <v>1</v>
          </cell>
          <cell r="AW432" t="str">
            <v>minute</v>
          </cell>
        </row>
        <row r="433">
          <cell r="S433" t="str">
            <v>DOM ITA ZITA9</v>
          </cell>
          <cell r="T433" t="str">
            <v>DOM</v>
          </cell>
          <cell r="U433" t="str">
            <v>ITA</v>
          </cell>
          <cell r="V433" t="str">
            <v>ZITA9</v>
          </cell>
          <cell r="X433">
            <v>2.2800000000000001E-2</v>
          </cell>
          <cell r="Y433">
            <v>0</v>
          </cell>
          <cell r="Z433">
            <v>2.1299999999999999E-2</v>
          </cell>
          <cell r="AA433">
            <v>0</v>
          </cell>
          <cell r="AB433">
            <v>1.9900000000000001E-2</v>
          </cell>
          <cell r="AC433">
            <v>0</v>
          </cell>
          <cell r="AD433">
            <v>1.8599999999999998E-2</v>
          </cell>
          <cell r="AE433">
            <v>0</v>
          </cell>
          <cell r="AG433" t="str">
            <v/>
          </cell>
          <cell r="AH433" t="str">
            <v/>
          </cell>
          <cell r="AJ433">
            <v>2.2800000000000001E-2</v>
          </cell>
          <cell r="AK433">
            <v>0</v>
          </cell>
          <cell r="AL433">
            <v>2.1299999999999999E-2</v>
          </cell>
          <cell r="AM433">
            <v>0</v>
          </cell>
          <cell r="AN433">
            <v>1.9900000000000001E-2</v>
          </cell>
          <cell r="AO433">
            <v>0</v>
          </cell>
          <cell r="AP433">
            <v>1.8599999999999998E-2</v>
          </cell>
          <cell r="AQ433">
            <v>0</v>
          </cell>
          <cell r="AS433" t="str">
            <v/>
          </cell>
          <cell r="AT433" t="str">
            <v/>
          </cell>
          <cell r="AV433" t="b">
            <v>1</v>
          </cell>
          <cell r="AW433" t="str">
            <v>minute</v>
          </cell>
        </row>
        <row r="434">
          <cell r="S434" t="str">
            <v>DOM ITA ZITA8</v>
          </cell>
          <cell r="T434" t="str">
            <v>DOM</v>
          </cell>
          <cell r="U434" t="str">
            <v>ITA</v>
          </cell>
          <cell r="V434" t="str">
            <v>ZITA8</v>
          </cell>
          <cell r="X434">
            <v>2.2800000000000001E-2</v>
          </cell>
          <cell r="Y434">
            <v>0</v>
          </cell>
          <cell r="Z434">
            <v>2.1299999999999999E-2</v>
          </cell>
          <cell r="AA434">
            <v>0</v>
          </cell>
          <cell r="AB434">
            <v>1.9900000000000001E-2</v>
          </cell>
          <cell r="AC434">
            <v>0</v>
          </cell>
          <cell r="AD434">
            <v>1.8599999999999998E-2</v>
          </cell>
          <cell r="AE434">
            <v>0</v>
          </cell>
          <cell r="AG434" t="str">
            <v/>
          </cell>
          <cell r="AH434" t="str">
            <v/>
          </cell>
          <cell r="AJ434">
            <v>2.2800000000000001E-2</v>
          </cell>
          <cell r="AK434">
            <v>0</v>
          </cell>
          <cell r="AL434">
            <v>2.1299999999999999E-2</v>
          </cell>
          <cell r="AM434">
            <v>0</v>
          </cell>
          <cell r="AN434">
            <v>1.9900000000000001E-2</v>
          </cell>
          <cell r="AO434">
            <v>0</v>
          </cell>
          <cell r="AP434">
            <v>1.8599999999999998E-2</v>
          </cell>
          <cell r="AQ434">
            <v>0</v>
          </cell>
          <cell r="AS434" t="str">
            <v/>
          </cell>
          <cell r="AT434" t="str">
            <v/>
          </cell>
          <cell r="AV434" t="b">
            <v>1</v>
          </cell>
          <cell r="AW434" t="str">
            <v>minute</v>
          </cell>
        </row>
        <row r="435">
          <cell r="S435" t="str">
            <v>DOM ITA ZIT10</v>
          </cell>
          <cell r="T435" t="str">
            <v>DOM</v>
          </cell>
          <cell r="U435" t="str">
            <v>ITA</v>
          </cell>
          <cell r="V435" t="str">
            <v>ZIT10</v>
          </cell>
          <cell r="X435">
            <v>2.2800000000000001E-2</v>
          </cell>
          <cell r="Y435">
            <v>0</v>
          </cell>
          <cell r="Z435">
            <v>2.1299999999999999E-2</v>
          </cell>
          <cell r="AA435">
            <v>0</v>
          </cell>
          <cell r="AB435">
            <v>1.9900000000000001E-2</v>
          </cell>
          <cell r="AC435">
            <v>0</v>
          </cell>
          <cell r="AD435">
            <v>1.8599999999999998E-2</v>
          </cell>
          <cell r="AE435">
            <v>0</v>
          </cell>
          <cell r="AG435" t="str">
            <v/>
          </cell>
          <cell r="AH435" t="str">
            <v/>
          </cell>
          <cell r="AJ435">
            <v>2.2800000000000001E-2</v>
          </cell>
          <cell r="AK435">
            <v>0</v>
          </cell>
          <cell r="AL435">
            <v>2.1299999999999999E-2</v>
          </cell>
          <cell r="AM435">
            <v>0</v>
          </cell>
          <cell r="AN435">
            <v>1.9900000000000001E-2</v>
          </cell>
          <cell r="AO435">
            <v>0</v>
          </cell>
          <cell r="AP435">
            <v>1.8599999999999998E-2</v>
          </cell>
          <cell r="AQ435">
            <v>0</v>
          </cell>
          <cell r="AS435" t="str">
            <v/>
          </cell>
          <cell r="AT435" t="str">
            <v/>
          </cell>
          <cell r="AV435" t="b">
            <v>1</v>
          </cell>
          <cell r="AW435" t="str">
            <v>minute</v>
          </cell>
        </row>
        <row r="436">
          <cell r="S436" t="str">
            <v>DOM ITA ITPR5</v>
          </cell>
          <cell r="T436" t="str">
            <v>DOM</v>
          </cell>
          <cell r="U436" t="str">
            <v>ITA</v>
          </cell>
          <cell r="V436" t="str">
            <v>ITPR5</v>
          </cell>
          <cell r="X436">
            <v>1.5</v>
          </cell>
          <cell r="Y436">
            <v>0.3</v>
          </cell>
          <cell r="Z436">
            <v>1.5</v>
          </cell>
          <cell r="AA436">
            <v>0.3</v>
          </cell>
          <cell r="AB436">
            <v>1.5</v>
          </cell>
          <cell r="AC436">
            <v>0.3</v>
          </cell>
          <cell r="AD436">
            <v>1.5</v>
          </cell>
          <cell r="AE436">
            <v>0.3</v>
          </cell>
          <cell r="AG436" t="str">
            <v/>
          </cell>
          <cell r="AH436" t="str">
            <v/>
          </cell>
          <cell r="AJ436">
            <v>1.5</v>
          </cell>
          <cell r="AK436">
            <v>0.3</v>
          </cell>
          <cell r="AL436">
            <v>1.5</v>
          </cell>
          <cell r="AM436">
            <v>0.3</v>
          </cell>
          <cell r="AN436">
            <v>1.5</v>
          </cell>
          <cell r="AO436">
            <v>0.3</v>
          </cell>
          <cell r="AP436">
            <v>1.5</v>
          </cell>
          <cell r="AQ436">
            <v>0.3</v>
          </cell>
          <cell r="AS436" t="str">
            <v/>
          </cell>
          <cell r="AT436" t="str">
            <v/>
          </cell>
          <cell r="AV436" t="b">
            <v>0</v>
          </cell>
          <cell r="AW436" t="str">
            <v>minute &amp; call</v>
          </cell>
        </row>
        <row r="437">
          <cell r="S437" t="str">
            <v>DOM ITA ITCCS</v>
          </cell>
          <cell r="T437" t="str">
            <v>DOM</v>
          </cell>
          <cell r="U437" t="str">
            <v>ITA</v>
          </cell>
          <cell r="V437" t="str">
            <v>ITCCS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G437" t="str">
            <v/>
          </cell>
          <cell r="AH437" t="str">
            <v/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S437" t="str">
            <v/>
          </cell>
          <cell r="AT437" t="str">
            <v/>
          </cell>
          <cell r="AV437" t="b">
            <v>0</v>
          </cell>
          <cell r="AW437" t="str">
            <v>minute</v>
          </cell>
        </row>
        <row r="438">
          <cell r="S438" t="str">
            <v>DOM ITA ITDIR</v>
          </cell>
          <cell r="T438" t="str">
            <v>DOM</v>
          </cell>
          <cell r="U438" t="str">
            <v>ITA</v>
          </cell>
          <cell r="V438" t="str">
            <v>ITDIR</v>
          </cell>
          <cell r="X438">
            <v>1.2</v>
          </cell>
          <cell r="Y438">
            <v>0.3</v>
          </cell>
          <cell r="Z438">
            <v>1.2</v>
          </cell>
          <cell r="AA438">
            <v>0.3</v>
          </cell>
          <cell r="AB438">
            <v>1.2</v>
          </cell>
          <cell r="AC438">
            <v>0.3</v>
          </cell>
          <cell r="AD438">
            <v>1.2</v>
          </cell>
          <cell r="AE438">
            <v>0.3</v>
          </cell>
          <cell r="AG438" t="str">
            <v/>
          </cell>
          <cell r="AH438" t="str">
            <v/>
          </cell>
          <cell r="AJ438">
            <v>1.2</v>
          </cell>
          <cell r="AK438">
            <v>0.3</v>
          </cell>
          <cell r="AL438">
            <v>1.2</v>
          </cell>
          <cell r="AM438">
            <v>0.3</v>
          </cell>
          <cell r="AN438">
            <v>1.2</v>
          </cell>
          <cell r="AO438">
            <v>0.3</v>
          </cell>
          <cell r="AP438">
            <v>1.2</v>
          </cell>
          <cell r="AQ438">
            <v>0.3</v>
          </cell>
          <cell r="AS438" t="str">
            <v/>
          </cell>
          <cell r="AT438" t="str">
            <v/>
          </cell>
          <cell r="AV438" t="b">
            <v>0</v>
          </cell>
          <cell r="AW438" t="str">
            <v>minute &amp; call</v>
          </cell>
        </row>
        <row r="439">
          <cell r="S439" t="str">
            <v>DOM ITA ITSOS</v>
          </cell>
          <cell r="T439" t="str">
            <v>DOM</v>
          </cell>
          <cell r="U439" t="str">
            <v>ITA</v>
          </cell>
          <cell r="V439" t="str">
            <v>ITSOS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G439" t="str">
            <v/>
          </cell>
          <cell r="AH439" t="str">
            <v/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S439" t="str">
            <v/>
          </cell>
          <cell r="AT439" t="str">
            <v/>
          </cell>
          <cell r="AV439" t="b">
            <v>0</v>
          </cell>
          <cell r="AW439" t="str">
            <v>minute</v>
          </cell>
        </row>
        <row r="440">
          <cell r="S440" t="str">
            <v>DOM ITA ITPR7</v>
          </cell>
          <cell r="T440" t="str">
            <v>DOM</v>
          </cell>
          <cell r="U440" t="str">
            <v>ITA</v>
          </cell>
          <cell r="V440" t="str">
            <v>ITPR7</v>
          </cell>
          <cell r="X440">
            <v>1.5</v>
          </cell>
          <cell r="Y440">
            <v>0.3</v>
          </cell>
          <cell r="Z440">
            <v>1.5</v>
          </cell>
          <cell r="AA440">
            <v>0.3</v>
          </cell>
          <cell r="AB440">
            <v>1.5</v>
          </cell>
          <cell r="AC440">
            <v>0.3</v>
          </cell>
          <cell r="AD440">
            <v>1.5</v>
          </cell>
          <cell r="AE440">
            <v>3</v>
          </cell>
          <cell r="AG440" t="str">
            <v/>
          </cell>
          <cell r="AH440" t="str">
            <v/>
          </cell>
          <cell r="AJ440">
            <v>1.5</v>
          </cell>
          <cell r="AK440">
            <v>0.3</v>
          </cell>
          <cell r="AL440">
            <v>1.5</v>
          </cell>
          <cell r="AM440">
            <v>0.3</v>
          </cell>
          <cell r="AN440">
            <v>1.5</v>
          </cell>
          <cell r="AO440">
            <v>0.3</v>
          </cell>
          <cell r="AP440">
            <v>1.5</v>
          </cell>
          <cell r="AQ440">
            <v>3</v>
          </cell>
          <cell r="AS440" t="str">
            <v/>
          </cell>
          <cell r="AT440" t="str">
            <v/>
          </cell>
          <cell r="AV440" t="b">
            <v>0</v>
          </cell>
          <cell r="AW440" t="str">
            <v>minute &amp; call</v>
          </cell>
        </row>
        <row r="441">
          <cell r="S441" t="str">
            <v>DOM ITA ITEUN</v>
          </cell>
          <cell r="T441" t="str">
            <v>DOM</v>
          </cell>
          <cell r="U441" t="str">
            <v>ITA</v>
          </cell>
          <cell r="V441" t="str">
            <v>ITEUN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G441" t="str">
            <v/>
          </cell>
          <cell r="AH441" t="str">
            <v/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S441" t="str">
            <v/>
          </cell>
          <cell r="AT441" t="str">
            <v/>
          </cell>
          <cell r="AV441" t="b">
            <v>0</v>
          </cell>
          <cell r="AW441" t="str">
            <v>minute</v>
          </cell>
        </row>
        <row r="442">
          <cell r="S442" t="str">
            <v>DOM ITA ITIA1</v>
          </cell>
          <cell r="T442" t="str">
            <v>DOM</v>
          </cell>
          <cell r="U442" t="str">
            <v>ITA</v>
          </cell>
          <cell r="V442" t="str">
            <v>ITIA1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G442" t="str">
            <v/>
          </cell>
          <cell r="AH442" t="str">
            <v/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S442" t="str">
            <v/>
          </cell>
          <cell r="AT442" t="str">
            <v/>
          </cell>
          <cell r="AV442" t="b">
            <v>0</v>
          </cell>
          <cell r="AW442" t="str">
            <v>minute</v>
          </cell>
        </row>
        <row r="443">
          <cell r="S443" t="str">
            <v>DOM ITA ITPR4</v>
          </cell>
          <cell r="T443" t="str">
            <v>DOM</v>
          </cell>
          <cell r="U443" t="str">
            <v>ITA</v>
          </cell>
          <cell r="V443" t="str">
            <v>ITPR4</v>
          </cell>
          <cell r="X443">
            <v>1.5</v>
          </cell>
          <cell r="Y443">
            <v>0.3</v>
          </cell>
          <cell r="Z443">
            <v>1.5</v>
          </cell>
          <cell r="AA443">
            <v>0.3</v>
          </cell>
          <cell r="AB443">
            <v>1.5</v>
          </cell>
          <cell r="AC443">
            <v>0.3</v>
          </cell>
          <cell r="AD443">
            <v>1.5</v>
          </cell>
          <cell r="AE443">
            <v>0.3</v>
          </cell>
          <cell r="AG443" t="str">
            <v/>
          </cell>
          <cell r="AH443" t="str">
            <v/>
          </cell>
          <cell r="AJ443">
            <v>1.5</v>
          </cell>
          <cell r="AK443">
            <v>0.3</v>
          </cell>
          <cell r="AL443">
            <v>1.5</v>
          </cell>
          <cell r="AM443">
            <v>0.3</v>
          </cell>
          <cell r="AN443">
            <v>1.5</v>
          </cell>
          <cell r="AO443">
            <v>0.3</v>
          </cell>
          <cell r="AP443">
            <v>1.5</v>
          </cell>
          <cell r="AQ443">
            <v>0.3</v>
          </cell>
          <cell r="AS443" t="str">
            <v/>
          </cell>
          <cell r="AT443" t="str">
            <v/>
          </cell>
          <cell r="AV443" t="b">
            <v>0</v>
          </cell>
          <cell r="AW443" t="str">
            <v>minute &amp; call</v>
          </cell>
        </row>
        <row r="444">
          <cell r="S444" t="str">
            <v>DOM ITA ITPR3</v>
          </cell>
          <cell r="T444" t="str">
            <v>DOM</v>
          </cell>
          <cell r="U444" t="str">
            <v>ITA</v>
          </cell>
          <cell r="V444" t="str">
            <v>ITPR3</v>
          </cell>
          <cell r="X444">
            <v>0.4365</v>
          </cell>
          <cell r="Y444">
            <v>0</v>
          </cell>
          <cell r="Z444">
            <v>0.4365</v>
          </cell>
          <cell r="AA444">
            <v>0</v>
          </cell>
          <cell r="AB444">
            <v>0.4365</v>
          </cell>
          <cell r="AC444">
            <v>0</v>
          </cell>
          <cell r="AD444">
            <v>0.4365</v>
          </cell>
          <cell r="AE444">
            <v>0</v>
          </cell>
          <cell r="AG444" t="str">
            <v/>
          </cell>
          <cell r="AH444" t="str">
            <v/>
          </cell>
          <cell r="AJ444">
            <v>0.4365</v>
          </cell>
          <cell r="AK444">
            <v>0</v>
          </cell>
          <cell r="AL444">
            <v>0.4365</v>
          </cell>
          <cell r="AM444">
            <v>0</v>
          </cell>
          <cell r="AN444">
            <v>0.4365</v>
          </cell>
          <cell r="AO444">
            <v>0</v>
          </cell>
          <cell r="AP444">
            <v>0.4365</v>
          </cell>
          <cell r="AQ444">
            <v>0</v>
          </cell>
          <cell r="AS444" t="str">
            <v/>
          </cell>
          <cell r="AT444" t="str">
            <v/>
          </cell>
          <cell r="AV444" t="b">
            <v>0</v>
          </cell>
          <cell r="AW444" t="str">
            <v>minute</v>
          </cell>
        </row>
        <row r="445">
          <cell r="S445" t="str">
            <v>DOM ITA ITSC3</v>
          </cell>
          <cell r="T445" t="str">
            <v>DOM</v>
          </cell>
          <cell r="U445" t="str">
            <v>ITA</v>
          </cell>
          <cell r="V445" t="str">
            <v>ITSC3</v>
          </cell>
          <cell r="X445">
            <v>0</v>
          </cell>
          <cell r="Y445">
            <v>2</v>
          </cell>
          <cell r="Z445">
            <v>0</v>
          </cell>
          <cell r="AA445">
            <v>2</v>
          </cell>
          <cell r="AB445">
            <v>0</v>
          </cell>
          <cell r="AC445">
            <v>2</v>
          </cell>
          <cell r="AD445">
            <v>0</v>
          </cell>
          <cell r="AE445">
            <v>2</v>
          </cell>
          <cell r="AG445" t="str">
            <v/>
          </cell>
          <cell r="AH445" t="str">
            <v/>
          </cell>
          <cell r="AJ445">
            <v>0</v>
          </cell>
          <cell r="AK445">
            <v>2</v>
          </cell>
          <cell r="AL445">
            <v>0</v>
          </cell>
          <cell r="AM445">
            <v>2</v>
          </cell>
          <cell r="AN445">
            <v>0</v>
          </cell>
          <cell r="AO445">
            <v>2</v>
          </cell>
          <cell r="AP445">
            <v>0</v>
          </cell>
          <cell r="AQ445">
            <v>2</v>
          </cell>
          <cell r="AS445" t="str">
            <v/>
          </cell>
          <cell r="AT445" t="str">
            <v/>
          </cell>
          <cell r="AV445" t="b">
            <v>0</v>
          </cell>
          <cell r="AW445" t="str">
            <v>call</v>
          </cell>
        </row>
        <row r="446">
          <cell r="S446" t="str">
            <v>DOM ITA ITIA2</v>
          </cell>
          <cell r="T446" t="str">
            <v>DOM</v>
          </cell>
          <cell r="U446" t="str">
            <v>ITA</v>
          </cell>
          <cell r="V446" t="str">
            <v>ITIA2</v>
          </cell>
          <cell r="X446">
            <v>1.2E-2</v>
          </cell>
          <cell r="Y446">
            <v>0.1</v>
          </cell>
          <cell r="Z446">
            <v>1.2E-2</v>
          </cell>
          <cell r="AA446">
            <v>0.1</v>
          </cell>
          <cell r="AB446">
            <v>1.2E-2</v>
          </cell>
          <cell r="AC446">
            <v>0.1</v>
          </cell>
          <cell r="AD446">
            <v>1.2E-2</v>
          </cell>
          <cell r="AE446">
            <v>0.1</v>
          </cell>
          <cell r="AG446" t="str">
            <v/>
          </cell>
          <cell r="AH446" t="str">
            <v/>
          </cell>
          <cell r="AJ446">
            <v>1.2E-2</v>
          </cell>
          <cell r="AK446">
            <v>0.1</v>
          </cell>
          <cell r="AL446">
            <v>1.2E-2</v>
          </cell>
          <cell r="AM446">
            <v>0.1</v>
          </cell>
          <cell r="AN446">
            <v>1.2E-2</v>
          </cell>
          <cell r="AO446">
            <v>0.1</v>
          </cell>
          <cell r="AP446">
            <v>1.2E-2</v>
          </cell>
          <cell r="AQ446">
            <v>0.1</v>
          </cell>
          <cell r="AS446" t="str">
            <v/>
          </cell>
          <cell r="AT446" t="str">
            <v/>
          </cell>
          <cell r="AV446" t="b">
            <v>0</v>
          </cell>
          <cell r="AW446" t="str">
            <v>minute &amp; call</v>
          </cell>
        </row>
        <row r="447">
          <cell r="S447" t="str">
            <v>DOM ITA ITIA3</v>
          </cell>
          <cell r="T447" t="str">
            <v>DOM</v>
          </cell>
          <cell r="U447" t="str">
            <v>ITA</v>
          </cell>
          <cell r="V447" t="str">
            <v>ITIA3</v>
          </cell>
          <cell r="X447">
            <v>0.06</v>
          </cell>
          <cell r="Y447">
            <v>0.1</v>
          </cell>
          <cell r="Z447">
            <v>0.06</v>
          </cell>
          <cell r="AA447">
            <v>0.1</v>
          </cell>
          <cell r="AB447">
            <v>0.06</v>
          </cell>
          <cell r="AC447">
            <v>0.1</v>
          </cell>
          <cell r="AD447">
            <v>0.06</v>
          </cell>
          <cell r="AE447">
            <v>0.1</v>
          </cell>
          <cell r="AG447" t="str">
            <v/>
          </cell>
          <cell r="AH447" t="str">
            <v/>
          </cell>
          <cell r="AJ447">
            <v>0.06</v>
          </cell>
          <cell r="AK447">
            <v>0.1</v>
          </cell>
          <cell r="AL447">
            <v>0.06</v>
          </cell>
          <cell r="AM447">
            <v>0.1</v>
          </cell>
          <cell r="AN447">
            <v>0.06</v>
          </cell>
          <cell r="AO447">
            <v>0.1</v>
          </cell>
          <cell r="AP447">
            <v>0.06</v>
          </cell>
          <cell r="AQ447">
            <v>0.1</v>
          </cell>
          <cell r="AS447" t="str">
            <v/>
          </cell>
          <cell r="AT447" t="str">
            <v/>
          </cell>
          <cell r="AV447" t="b">
            <v>0</v>
          </cell>
          <cell r="AW447" t="str">
            <v>minute &amp; call</v>
          </cell>
        </row>
        <row r="448">
          <cell r="S448" t="str">
            <v>DOM ITA ITIA4</v>
          </cell>
          <cell r="T448" t="str">
            <v>DOM</v>
          </cell>
          <cell r="U448" t="str">
            <v>ITA</v>
          </cell>
          <cell r="V448" t="str">
            <v>ITIA4</v>
          </cell>
          <cell r="X448">
            <v>0.15</v>
          </cell>
          <cell r="Y448">
            <v>0</v>
          </cell>
          <cell r="Z448">
            <v>0.15</v>
          </cell>
          <cell r="AA448">
            <v>0</v>
          </cell>
          <cell r="AB448">
            <v>0.15</v>
          </cell>
          <cell r="AC448">
            <v>0</v>
          </cell>
          <cell r="AD448">
            <v>0.15</v>
          </cell>
          <cell r="AE448">
            <v>0</v>
          </cell>
          <cell r="AG448" t="str">
            <v/>
          </cell>
          <cell r="AH448" t="str">
            <v/>
          </cell>
          <cell r="AJ448">
            <v>0.15</v>
          </cell>
          <cell r="AK448">
            <v>0</v>
          </cell>
          <cell r="AL448">
            <v>0.15</v>
          </cell>
          <cell r="AM448">
            <v>0</v>
          </cell>
          <cell r="AN448">
            <v>0.15</v>
          </cell>
          <cell r="AO448">
            <v>0</v>
          </cell>
          <cell r="AP448">
            <v>0.15</v>
          </cell>
          <cell r="AQ448">
            <v>0</v>
          </cell>
          <cell r="AS448" t="str">
            <v/>
          </cell>
          <cell r="AT448" t="str">
            <v/>
          </cell>
          <cell r="AV448" t="b">
            <v>0</v>
          </cell>
          <cell r="AW448" t="str">
            <v>minute</v>
          </cell>
        </row>
        <row r="449">
          <cell r="S449" t="str">
            <v>DOM ITA ITPR6</v>
          </cell>
          <cell r="T449" t="str">
            <v>DOM</v>
          </cell>
          <cell r="U449" t="str">
            <v>ITA</v>
          </cell>
          <cell r="V449" t="str">
            <v>ITPR6</v>
          </cell>
          <cell r="X449">
            <v>0.2293</v>
          </cell>
          <cell r="Y449">
            <v>2</v>
          </cell>
          <cell r="Z449">
            <v>0.2293</v>
          </cell>
          <cell r="AA449">
            <v>2</v>
          </cell>
          <cell r="AB449">
            <v>0.2293</v>
          </cell>
          <cell r="AC449">
            <v>2</v>
          </cell>
          <cell r="AD449">
            <v>0.2293</v>
          </cell>
          <cell r="AE449">
            <v>2</v>
          </cell>
          <cell r="AG449" t="str">
            <v/>
          </cell>
          <cell r="AH449" t="str">
            <v/>
          </cell>
          <cell r="AJ449">
            <v>0.2293</v>
          </cell>
          <cell r="AK449">
            <v>2</v>
          </cell>
          <cell r="AL449">
            <v>0.2293</v>
          </cell>
          <cell r="AM449">
            <v>2</v>
          </cell>
          <cell r="AN449">
            <v>0.2293</v>
          </cell>
          <cell r="AO449">
            <v>2</v>
          </cell>
          <cell r="AP449">
            <v>0.2293</v>
          </cell>
          <cell r="AQ449">
            <v>2</v>
          </cell>
          <cell r="AS449" t="str">
            <v/>
          </cell>
          <cell r="AT449" t="str">
            <v/>
          </cell>
          <cell r="AV449" t="b">
            <v>0</v>
          </cell>
          <cell r="AW449" t="str">
            <v>minute &amp; call</v>
          </cell>
        </row>
        <row r="450">
          <cell r="S450" t="str">
            <v>DOM ITA ITNOM</v>
          </cell>
          <cell r="T450" t="str">
            <v>DOM</v>
          </cell>
          <cell r="U450" t="str">
            <v>ITA</v>
          </cell>
          <cell r="V450" t="str">
            <v>ITNOM</v>
          </cell>
          <cell r="X450">
            <v>1.5100000000000001E-2</v>
          </cell>
          <cell r="Y450">
            <v>0</v>
          </cell>
          <cell r="Z450">
            <v>1.37E-2</v>
          </cell>
          <cell r="AA450">
            <v>0</v>
          </cell>
          <cell r="AB450">
            <v>1.2500000000000001E-2</v>
          </cell>
          <cell r="AC450">
            <v>0</v>
          </cell>
          <cell r="AD450">
            <v>1.1299999999999999E-2</v>
          </cell>
          <cell r="AE450">
            <v>0</v>
          </cell>
          <cell r="AG450" t="str">
            <v/>
          </cell>
          <cell r="AH450" t="str">
            <v/>
          </cell>
          <cell r="AJ450">
            <v>1.5100000000000001E-2</v>
          </cell>
          <cell r="AK450">
            <v>0</v>
          </cell>
          <cell r="AL450">
            <v>1.37E-2</v>
          </cell>
          <cell r="AM450">
            <v>0</v>
          </cell>
          <cell r="AN450">
            <v>1.2500000000000001E-2</v>
          </cell>
          <cell r="AO450">
            <v>0</v>
          </cell>
          <cell r="AP450">
            <v>1.1299999999999999E-2</v>
          </cell>
          <cell r="AQ450">
            <v>0</v>
          </cell>
          <cell r="AS450" t="str">
            <v/>
          </cell>
          <cell r="AT450" t="str">
            <v/>
          </cell>
          <cell r="AV450" t="b">
            <v>0</v>
          </cell>
          <cell r="AW450" t="str">
            <v>minute</v>
          </cell>
        </row>
        <row r="451">
          <cell r="S451" t="str">
            <v>DOM ITA ITPB1</v>
          </cell>
          <cell r="T451" t="str">
            <v>DOM</v>
          </cell>
          <cell r="U451" t="str">
            <v>ITA</v>
          </cell>
          <cell r="V451" t="str">
            <v>ITPB1</v>
          </cell>
          <cell r="X451">
            <v>0.26</v>
          </cell>
          <cell r="Y451">
            <v>0.12</v>
          </cell>
          <cell r="Z451">
            <v>0.26</v>
          </cell>
          <cell r="AA451">
            <v>0.12</v>
          </cell>
          <cell r="AB451">
            <v>0.26</v>
          </cell>
          <cell r="AC451">
            <v>0.12</v>
          </cell>
          <cell r="AD451">
            <v>0.26</v>
          </cell>
          <cell r="AE451">
            <v>0.12</v>
          </cell>
          <cell r="AG451" t="str">
            <v/>
          </cell>
          <cell r="AH451" t="str">
            <v/>
          </cell>
          <cell r="AJ451">
            <v>0.26</v>
          </cell>
          <cell r="AK451">
            <v>0.12</v>
          </cell>
          <cell r="AL451">
            <v>0.26</v>
          </cell>
          <cell r="AM451">
            <v>0.12</v>
          </cell>
          <cell r="AN451">
            <v>0.26</v>
          </cell>
          <cell r="AO451">
            <v>0.12</v>
          </cell>
          <cell r="AP451">
            <v>0.26</v>
          </cell>
          <cell r="AQ451">
            <v>0.12</v>
          </cell>
          <cell r="AS451" t="str">
            <v/>
          </cell>
          <cell r="AT451" t="str">
            <v/>
          </cell>
          <cell r="AV451" t="b">
            <v>0</v>
          </cell>
          <cell r="AW451" t="str">
            <v>minute &amp; call</v>
          </cell>
        </row>
        <row r="452">
          <cell r="S452" t="str">
            <v>DOM ITA ITPRA</v>
          </cell>
          <cell r="T452" t="str">
            <v>DOM</v>
          </cell>
          <cell r="U452" t="str">
            <v>ITA</v>
          </cell>
          <cell r="V452" t="str">
            <v>ITPRA</v>
          </cell>
          <cell r="X452">
            <v>0.2293</v>
          </cell>
          <cell r="Y452">
            <v>6.5600000000000006E-2</v>
          </cell>
          <cell r="Z452">
            <v>0.2293</v>
          </cell>
          <cell r="AA452">
            <v>6.5600000000000006E-2</v>
          </cell>
          <cell r="AB452">
            <v>0.2293</v>
          </cell>
          <cell r="AC452">
            <v>6.5600000000000006E-2</v>
          </cell>
          <cell r="AD452">
            <v>0.2293</v>
          </cell>
          <cell r="AE452">
            <v>6.5600000000000006E-2</v>
          </cell>
          <cell r="AG452" t="str">
            <v/>
          </cell>
          <cell r="AH452" t="str">
            <v/>
          </cell>
          <cell r="AJ452">
            <v>0.2293</v>
          </cell>
          <cell r="AK452">
            <v>6.5600000000000006E-2</v>
          </cell>
          <cell r="AL452">
            <v>0.2293</v>
          </cell>
          <cell r="AM452">
            <v>6.5600000000000006E-2</v>
          </cell>
          <cell r="AN452">
            <v>0.2293</v>
          </cell>
          <cell r="AO452">
            <v>6.5600000000000006E-2</v>
          </cell>
          <cell r="AP452">
            <v>0.2293</v>
          </cell>
          <cell r="AQ452">
            <v>6.5600000000000006E-2</v>
          </cell>
          <cell r="AS452" t="str">
            <v/>
          </cell>
          <cell r="AT452" t="str">
            <v/>
          </cell>
          <cell r="AV452" t="b">
            <v>0</v>
          </cell>
          <cell r="AW452" t="str">
            <v>minute &amp; call</v>
          </cell>
        </row>
        <row r="453">
          <cell r="S453" t="str">
            <v>DOM ITA ITPRB</v>
          </cell>
          <cell r="T453" t="str">
            <v>DOM</v>
          </cell>
          <cell r="U453" t="str">
            <v>ITA</v>
          </cell>
          <cell r="V453" t="str">
            <v>ITPRB</v>
          </cell>
          <cell r="X453">
            <v>0.32790000000000002</v>
          </cell>
          <cell r="Y453">
            <v>6.5600000000000006E-2</v>
          </cell>
          <cell r="Z453">
            <v>0.32790000000000002</v>
          </cell>
          <cell r="AA453">
            <v>6.5600000000000006E-2</v>
          </cell>
          <cell r="AB453">
            <v>0.32790000000000002</v>
          </cell>
          <cell r="AC453">
            <v>6.5600000000000006E-2</v>
          </cell>
          <cell r="AD453">
            <v>0.32790000000000002</v>
          </cell>
          <cell r="AE453">
            <v>6.5600000000000006E-2</v>
          </cell>
          <cell r="AG453" t="str">
            <v/>
          </cell>
          <cell r="AH453" t="str">
            <v/>
          </cell>
          <cell r="AJ453">
            <v>0.32790000000000002</v>
          </cell>
          <cell r="AK453">
            <v>6.5600000000000006E-2</v>
          </cell>
          <cell r="AL453">
            <v>0.32790000000000002</v>
          </cell>
          <cell r="AM453">
            <v>6.5600000000000006E-2</v>
          </cell>
          <cell r="AN453">
            <v>0.32790000000000002</v>
          </cell>
          <cell r="AO453">
            <v>6.5600000000000006E-2</v>
          </cell>
          <cell r="AP453">
            <v>0.32790000000000002</v>
          </cell>
          <cell r="AQ453">
            <v>6.5600000000000006E-2</v>
          </cell>
          <cell r="AS453" t="str">
            <v/>
          </cell>
          <cell r="AT453" t="str">
            <v/>
          </cell>
          <cell r="AV453" t="b">
            <v>0</v>
          </cell>
          <cell r="AW453" t="str">
            <v>minute &amp; call</v>
          </cell>
        </row>
        <row r="454">
          <cell r="S454" t="str">
            <v>DOM ITA ITPRC</v>
          </cell>
          <cell r="T454" t="str">
            <v>DOM</v>
          </cell>
          <cell r="U454" t="str">
            <v>ITA</v>
          </cell>
          <cell r="V454" t="str">
            <v>ITPRC</v>
          </cell>
          <cell r="X454">
            <v>0.49170000000000003</v>
          </cell>
          <cell r="Y454">
            <v>6.5600000000000006E-2</v>
          </cell>
          <cell r="Z454">
            <v>0.49170000000000003</v>
          </cell>
          <cell r="AA454">
            <v>6.5600000000000006E-2</v>
          </cell>
          <cell r="AB454">
            <v>0.49170000000000003</v>
          </cell>
          <cell r="AC454">
            <v>6.5600000000000006E-2</v>
          </cell>
          <cell r="AD454">
            <v>0.49170000000000003</v>
          </cell>
          <cell r="AE454">
            <v>6.5600000000000006E-2</v>
          </cell>
          <cell r="AG454" t="str">
            <v/>
          </cell>
          <cell r="AH454" t="str">
            <v/>
          </cell>
          <cell r="AJ454">
            <v>0.49170000000000003</v>
          </cell>
          <cell r="AK454">
            <v>6.5600000000000006E-2</v>
          </cell>
          <cell r="AL454">
            <v>0.49170000000000003</v>
          </cell>
          <cell r="AM454">
            <v>6.5600000000000006E-2</v>
          </cell>
          <cell r="AN454">
            <v>0.49170000000000003</v>
          </cell>
          <cell r="AO454">
            <v>6.5600000000000006E-2</v>
          </cell>
          <cell r="AP454">
            <v>0.49170000000000003</v>
          </cell>
          <cell r="AQ454">
            <v>6.5600000000000006E-2</v>
          </cell>
          <cell r="AS454" t="str">
            <v/>
          </cell>
          <cell r="AT454" t="str">
            <v/>
          </cell>
          <cell r="AV454" t="b">
            <v>0</v>
          </cell>
          <cell r="AW454" t="str">
            <v>minute &amp; call</v>
          </cell>
        </row>
        <row r="455">
          <cell r="S455" t="str">
            <v>DOM ITA ITPRD</v>
          </cell>
          <cell r="T455" t="str">
            <v>DOM</v>
          </cell>
          <cell r="U455" t="str">
            <v>ITA</v>
          </cell>
          <cell r="V455" t="str">
            <v>ITPRD</v>
          </cell>
          <cell r="X455">
            <v>0.78710000000000002</v>
          </cell>
          <cell r="Y455">
            <v>6.5600000000000006E-2</v>
          </cell>
          <cell r="Z455">
            <v>0.78710000000000002</v>
          </cell>
          <cell r="AA455">
            <v>6.5600000000000006E-2</v>
          </cell>
          <cell r="AB455">
            <v>0.78710000000000002</v>
          </cell>
          <cell r="AC455">
            <v>6.5600000000000006E-2</v>
          </cell>
          <cell r="AD455">
            <v>0.78710000000000002</v>
          </cell>
          <cell r="AE455">
            <v>6.5600000000000006E-2</v>
          </cell>
          <cell r="AG455" t="str">
            <v/>
          </cell>
          <cell r="AH455" t="str">
            <v/>
          </cell>
          <cell r="AJ455">
            <v>0.78710000000000002</v>
          </cell>
          <cell r="AK455">
            <v>6.5600000000000006E-2</v>
          </cell>
          <cell r="AL455">
            <v>0.78710000000000002</v>
          </cell>
          <cell r="AM455">
            <v>6.5600000000000006E-2</v>
          </cell>
          <cell r="AN455">
            <v>0.78710000000000002</v>
          </cell>
          <cell r="AO455">
            <v>6.5600000000000006E-2</v>
          </cell>
          <cell r="AP455">
            <v>0.78710000000000002</v>
          </cell>
          <cell r="AQ455">
            <v>6.5600000000000006E-2</v>
          </cell>
          <cell r="AS455" t="str">
            <v/>
          </cell>
          <cell r="AT455" t="str">
            <v/>
          </cell>
          <cell r="AV455" t="b">
            <v>0</v>
          </cell>
          <cell r="AW455" t="str">
            <v>minute &amp; call</v>
          </cell>
        </row>
        <row r="456">
          <cell r="S456" t="str">
            <v>DOM ITA ITPRE</v>
          </cell>
          <cell r="T456" t="str">
            <v>DOM</v>
          </cell>
          <cell r="U456" t="str">
            <v>ITA</v>
          </cell>
          <cell r="V456" t="str">
            <v>ITPRE</v>
          </cell>
          <cell r="X456">
            <v>1.3118000000000001</v>
          </cell>
          <cell r="Y456">
            <v>6.5600000000000006E-2</v>
          </cell>
          <cell r="Z456">
            <v>1.3118000000000001</v>
          </cell>
          <cell r="AA456">
            <v>6.5600000000000006E-2</v>
          </cell>
          <cell r="AB456">
            <v>1.3118000000000001</v>
          </cell>
          <cell r="AC456">
            <v>6.5600000000000006E-2</v>
          </cell>
          <cell r="AD456">
            <v>1.3118000000000001</v>
          </cell>
          <cell r="AE456">
            <v>6.5600000000000006E-2</v>
          </cell>
          <cell r="AG456" t="str">
            <v/>
          </cell>
          <cell r="AH456" t="str">
            <v/>
          </cell>
          <cell r="AJ456">
            <v>1.3118000000000001</v>
          </cell>
          <cell r="AK456">
            <v>6.5600000000000006E-2</v>
          </cell>
          <cell r="AL456">
            <v>1.3118000000000001</v>
          </cell>
          <cell r="AM456">
            <v>6.5600000000000006E-2</v>
          </cell>
          <cell r="AN456">
            <v>1.3118000000000001</v>
          </cell>
          <cell r="AO456">
            <v>6.5600000000000006E-2</v>
          </cell>
          <cell r="AP456">
            <v>1.3118000000000001</v>
          </cell>
          <cell r="AQ456">
            <v>6.5600000000000006E-2</v>
          </cell>
          <cell r="AS456" t="str">
            <v/>
          </cell>
          <cell r="AT456" t="str">
            <v/>
          </cell>
          <cell r="AV456" t="b">
            <v>0</v>
          </cell>
          <cell r="AW456" t="str">
            <v>minute &amp; call</v>
          </cell>
        </row>
        <row r="457">
          <cell r="S457" t="str">
            <v>DOM ITA ITPRF</v>
          </cell>
          <cell r="T457" t="str">
            <v>DOM</v>
          </cell>
          <cell r="U457" t="str">
            <v>ITA</v>
          </cell>
          <cell r="V457" t="str">
            <v>ITPRF</v>
          </cell>
          <cell r="X457">
            <v>0</v>
          </cell>
          <cell r="Y457">
            <v>10</v>
          </cell>
          <cell r="Z457">
            <v>0</v>
          </cell>
          <cell r="AA457">
            <v>10</v>
          </cell>
          <cell r="AB457">
            <v>0</v>
          </cell>
          <cell r="AC457">
            <v>10</v>
          </cell>
          <cell r="AD457">
            <v>0</v>
          </cell>
          <cell r="AE457">
            <v>10</v>
          </cell>
          <cell r="AG457" t="str">
            <v/>
          </cell>
          <cell r="AH457" t="str">
            <v/>
          </cell>
          <cell r="AJ457">
            <v>0</v>
          </cell>
          <cell r="AK457">
            <v>10</v>
          </cell>
          <cell r="AL457">
            <v>0</v>
          </cell>
          <cell r="AM457">
            <v>10</v>
          </cell>
          <cell r="AN457">
            <v>0</v>
          </cell>
          <cell r="AO457">
            <v>10</v>
          </cell>
          <cell r="AP457">
            <v>0</v>
          </cell>
          <cell r="AQ457">
            <v>10</v>
          </cell>
          <cell r="AS457" t="str">
            <v/>
          </cell>
          <cell r="AT457" t="str">
            <v/>
          </cell>
          <cell r="AV457" t="b">
            <v>0</v>
          </cell>
          <cell r="AW457" t="str">
            <v>call</v>
          </cell>
        </row>
        <row r="458">
          <cell r="S458" t="str">
            <v>DOM ITA ITVPN</v>
          </cell>
          <cell r="T458" t="str">
            <v>DOM</v>
          </cell>
          <cell r="U458" t="str">
            <v>ITA</v>
          </cell>
          <cell r="V458" t="str">
            <v>ITVPN</v>
          </cell>
          <cell r="X458">
            <v>1.5100000000000001E-2</v>
          </cell>
          <cell r="Y458">
            <v>0</v>
          </cell>
          <cell r="Z458">
            <v>1.37E-2</v>
          </cell>
          <cell r="AA458">
            <v>0</v>
          </cell>
          <cell r="AB458">
            <v>1.2500000000000001E-2</v>
          </cell>
          <cell r="AC458">
            <v>0</v>
          </cell>
          <cell r="AD458">
            <v>1.1299999999999999E-2</v>
          </cell>
          <cell r="AE458">
            <v>0</v>
          </cell>
          <cell r="AG458" t="str">
            <v/>
          </cell>
          <cell r="AH458" t="str">
            <v/>
          </cell>
          <cell r="AJ458">
            <v>1.5100000000000001E-2</v>
          </cell>
          <cell r="AK458">
            <v>0</v>
          </cell>
          <cell r="AL458">
            <v>1.37E-2</v>
          </cell>
          <cell r="AM458">
            <v>0</v>
          </cell>
          <cell r="AN458">
            <v>1.2500000000000001E-2</v>
          </cell>
          <cell r="AO458">
            <v>0</v>
          </cell>
          <cell r="AP458">
            <v>1.1299999999999999E-2</v>
          </cell>
          <cell r="AQ458">
            <v>0</v>
          </cell>
          <cell r="AS458" t="str">
            <v/>
          </cell>
          <cell r="AT458" t="str">
            <v/>
          </cell>
          <cell r="AV458" t="b">
            <v>0</v>
          </cell>
          <cell r="AW458" t="str">
            <v>minute</v>
          </cell>
        </row>
        <row r="459">
          <cell r="S459" t="str">
            <v>DOM ITA ITSAT</v>
          </cell>
          <cell r="T459" t="str">
            <v>DOM</v>
          </cell>
          <cell r="U459" t="str">
            <v>ITA</v>
          </cell>
          <cell r="V459" t="str">
            <v>ITSAT</v>
          </cell>
          <cell r="X459">
            <v>0.4985</v>
          </cell>
          <cell r="Y459">
            <v>0</v>
          </cell>
          <cell r="Z459">
            <v>0.4531</v>
          </cell>
          <cell r="AA459">
            <v>0</v>
          </cell>
          <cell r="AB459">
            <v>0.41189999999999999</v>
          </cell>
          <cell r="AC459">
            <v>0</v>
          </cell>
          <cell r="AD459">
            <v>0.3745</v>
          </cell>
          <cell r="AE459">
            <v>0</v>
          </cell>
          <cell r="AG459" t="str">
            <v/>
          </cell>
          <cell r="AH459" t="str">
            <v/>
          </cell>
          <cell r="AJ459">
            <v>0.4985</v>
          </cell>
          <cell r="AK459">
            <v>0</v>
          </cell>
          <cell r="AL459">
            <v>0.4531</v>
          </cell>
          <cell r="AM459">
            <v>0</v>
          </cell>
          <cell r="AN459">
            <v>0.41189999999999999</v>
          </cell>
          <cell r="AO459">
            <v>0</v>
          </cell>
          <cell r="AP459">
            <v>0.3745</v>
          </cell>
          <cell r="AQ459">
            <v>0</v>
          </cell>
          <cell r="AS459" t="str">
            <v/>
          </cell>
          <cell r="AT459" t="str">
            <v/>
          </cell>
          <cell r="AV459" t="b">
            <v>1</v>
          </cell>
          <cell r="AW459" t="str">
            <v>minute</v>
          </cell>
        </row>
        <row r="460">
          <cell r="S460" t="str">
            <v>DOM ITA ITSC1</v>
          </cell>
          <cell r="T460" t="str">
            <v>DOM</v>
          </cell>
          <cell r="U460" t="str">
            <v>ITA</v>
          </cell>
          <cell r="V460" t="str">
            <v>ITSC1</v>
          </cell>
          <cell r="X460">
            <v>1.5100000000000001E-2</v>
          </cell>
          <cell r="Y460">
            <v>0</v>
          </cell>
          <cell r="Z460">
            <v>1.37E-2</v>
          </cell>
          <cell r="AA460">
            <v>0</v>
          </cell>
          <cell r="AB460">
            <v>1.2500000000000001E-2</v>
          </cell>
          <cell r="AC460">
            <v>0</v>
          </cell>
          <cell r="AD460">
            <v>1.1299999999999999E-2</v>
          </cell>
          <cell r="AE460">
            <v>0</v>
          </cell>
          <cell r="AG460" t="str">
            <v/>
          </cell>
          <cell r="AH460" t="str">
            <v/>
          </cell>
          <cell r="AJ460">
            <v>1.5100000000000001E-2</v>
          </cell>
          <cell r="AK460">
            <v>0</v>
          </cell>
          <cell r="AL460">
            <v>1.37E-2</v>
          </cell>
          <cell r="AM460">
            <v>0</v>
          </cell>
          <cell r="AN460">
            <v>1.2500000000000001E-2</v>
          </cell>
          <cell r="AO460">
            <v>0</v>
          </cell>
          <cell r="AP460">
            <v>1.1299999999999999E-2</v>
          </cell>
          <cell r="AQ460">
            <v>0</v>
          </cell>
          <cell r="AS460" t="str">
            <v/>
          </cell>
          <cell r="AT460" t="str">
            <v/>
          </cell>
          <cell r="AV460" t="b">
            <v>1</v>
          </cell>
          <cell r="AW460" t="str">
            <v>minute</v>
          </cell>
        </row>
        <row r="461">
          <cell r="S461" t="str">
            <v>DOM ITA ITSC2</v>
          </cell>
          <cell r="T461" t="str">
            <v>DOM</v>
          </cell>
          <cell r="U461" t="str">
            <v>ITA</v>
          </cell>
          <cell r="V461" t="str">
            <v>ITSC2</v>
          </cell>
          <cell r="X461">
            <v>1</v>
          </cell>
          <cell r="Y461">
            <v>0.3</v>
          </cell>
          <cell r="Z461">
            <v>1</v>
          </cell>
          <cell r="AA461">
            <v>0.3</v>
          </cell>
          <cell r="AB461">
            <v>1</v>
          </cell>
          <cell r="AC461">
            <v>0.3</v>
          </cell>
          <cell r="AD461">
            <v>1</v>
          </cell>
          <cell r="AE461">
            <v>0.3</v>
          </cell>
          <cell r="AG461" t="str">
            <v/>
          </cell>
          <cell r="AH461" t="str">
            <v/>
          </cell>
          <cell r="AJ461">
            <v>1</v>
          </cell>
          <cell r="AK461">
            <v>0.3</v>
          </cell>
          <cell r="AL461">
            <v>1</v>
          </cell>
          <cell r="AM461">
            <v>0.3</v>
          </cell>
          <cell r="AN461">
            <v>1</v>
          </cell>
          <cell r="AO461">
            <v>0.3</v>
          </cell>
          <cell r="AP461">
            <v>1</v>
          </cell>
          <cell r="AQ461">
            <v>0.3</v>
          </cell>
          <cell r="AS461" t="str">
            <v/>
          </cell>
          <cell r="AT461" t="str">
            <v/>
          </cell>
          <cell r="AV461" t="b">
            <v>0</v>
          </cell>
          <cell r="AW461" t="str">
            <v>minute &amp; call</v>
          </cell>
        </row>
        <row r="462">
          <cell r="S462" t="str">
            <v>DOM ITA ITSC4</v>
          </cell>
          <cell r="T462" t="str">
            <v>DOM</v>
          </cell>
          <cell r="U462" t="str">
            <v>ITA</v>
          </cell>
          <cell r="V462" t="str">
            <v>ITSC4</v>
          </cell>
          <cell r="X462">
            <v>0.25</v>
          </cell>
          <cell r="Y462">
            <v>0</v>
          </cell>
          <cell r="Z462">
            <v>0.25</v>
          </cell>
          <cell r="AA462">
            <v>0</v>
          </cell>
          <cell r="AB462">
            <v>0.25</v>
          </cell>
          <cell r="AC462">
            <v>0</v>
          </cell>
          <cell r="AD462">
            <v>0.25</v>
          </cell>
          <cell r="AE462">
            <v>0</v>
          </cell>
          <cell r="AG462" t="str">
            <v/>
          </cell>
          <cell r="AH462" t="str">
            <v/>
          </cell>
          <cell r="AJ462">
            <v>0.25</v>
          </cell>
          <cell r="AK462">
            <v>0</v>
          </cell>
          <cell r="AL462">
            <v>0.25</v>
          </cell>
          <cell r="AM462">
            <v>0</v>
          </cell>
          <cell r="AN462">
            <v>0.25</v>
          </cell>
          <cell r="AO462">
            <v>0</v>
          </cell>
          <cell r="AP462">
            <v>0.25</v>
          </cell>
          <cell r="AQ462">
            <v>0</v>
          </cell>
          <cell r="AS462" t="str">
            <v/>
          </cell>
          <cell r="AT462" t="str">
            <v/>
          </cell>
          <cell r="AV462" t="b">
            <v>0</v>
          </cell>
          <cell r="AW462" t="str">
            <v>minute</v>
          </cell>
        </row>
        <row r="463">
          <cell r="S463" t="str">
            <v>DOM ITA ITSC0</v>
          </cell>
          <cell r="T463" t="str">
            <v>DOM</v>
          </cell>
          <cell r="U463" t="str">
            <v>ITA</v>
          </cell>
          <cell r="V463" t="str">
            <v>ITSC0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G463" t="str">
            <v/>
          </cell>
          <cell r="AH463" t="str">
            <v/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S463" t="str">
            <v/>
          </cell>
          <cell r="AT463" t="str">
            <v/>
          </cell>
          <cell r="AV463" t="b">
            <v>0</v>
          </cell>
          <cell r="AW463" t="str">
            <v>minute</v>
          </cell>
        </row>
        <row r="464">
          <cell r="S464" t="str">
            <v>DOM ITA ITSB1</v>
          </cell>
          <cell r="T464" t="str">
            <v>DOM</v>
          </cell>
          <cell r="U464" t="str">
            <v>ITA</v>
          </cell>
          <cell r="V464" t="str">
            <v>ITSB1</v>
          </cell>
          <cell r="X464">
            <v>0</v>
          </cell>
          <cell r="Y464">
            <v>0.1</v>
          </cell>
          <cell r="Z464">
            <v>0</v>
          </cell>
          <cell r="AA464">
            <v>0.1</v>
          </cell>
          <cell r="AB464">
            <v>0</v>
          </cell>
          <cell r="AC464">
            <v>0.1</v>
          </cell>
          <cell r="AD464">
            <v>0</v>
          </cell>
          <cell r="AE464">
            <v>0.1</v>
          </cell>
          <cell r="AG464" t="str">
            <v/>
          </cell>
          <cell r="AH464" t="str">
            <v/>
          </cell>
          <cell r="AJ464">
            <v>0</v>
          </cell>
          <cell r="AK464">
            <v>0.1</v>
          </cell>
          <cell r="AL464">
            <v>0</v>
          </cell>
          <cell r="AM464">
            <v>0.1</v>
          </cell>
          <cell r="AN464">
            <v>0</v>
          </cell>
          <cell r="AO464">
            <v>0.1</v>
          </cell>
          <cell r="AP464">
            <v>0</v>
          </cell>
          <cell r="AQ464">
            <v>0.1</v>
          </cell>
          <cell r="AS464" t="str">
            <v/>
          </cell>
          <cell r="AT464" t="str">
            <v/>
          </cell>
          <cell r="AV464" t="b">
            <v>0</v>
          </cell>
          <cell r="AW464" t="str">
            <v>call</v>
          </cell>
        </row>
        <row r="465">
          <cell r="S465" t="str">
            <v>DOM ITA ITSB2</v>
          </cell>
          <cell r="T465" t="str">
            <v>DOM</v>
          </cell>
          <cell r="U465" t="str">
            <v>ITA</v>
          </cell>
          <cell r="V465" t="str">
            <v>ITSB2</v>
          </cell>
          <cell r="X465">
            <v>1.4999999999999999E-2</v>
          </cell>
          <cell r="Y465">
            <v>0</v>
          </cell>
          <cell r="Z465">
            <v>1.4999999999999999E-2</v>
          </cell>
          <cell r="AA465">
            <v>0</v>
          </cell>
          <cell r="AB465">
            <v>1.4999999999999999E-2</v>
          </cell>
          <cell r="AC465">
            <v>0</v>
          </cell>
          <cell r="AD465">
            <v>1.4999999999999999E-2</v>
          </cell>
          <cell r="AE465">
            <v>0</v>
          </cell>
          <cell r="AG465" t="str">
            <v/>
          </cell>
          <cell r="AH465" t="str">
            <v/>
          </cell>
          <cell r="AJ465">
            <v>1.4999999999999999E-2</v>
          </cell>
          <cell r="AK465">
            <v>0</v>
          </cell>
          <cell r="AL465">
            <v>1.4999999999999999E-2</v>
          </cell>
          <cell r="AM465">
            <v>0</v>
          </cell>
          <cell r="AN465">
            <v>1.4999999999999999E-2</v>
          </cell>
          <cell r="AO465">
            <v>0</v>
          </cell>
          <cell r="AP465">
            <v>1.4999999999999999E-2</v>
          </cell>
          <cell r="AQ465">
            <v>0</v>
          </cell>
          <cell r="AS465" t="str">
            <v/>
          </cell>
          <cell r="AT465" t="str">
            <v/>
          </cell>
          <cell r="AV465" t="b">
            <v>0</v>
          </cell>
          <cell r="AW465" t="str">
            <v>minute</v>
          </cell>
        </row>
        <row r="466">
          <cell r="S466" t="str">
            <v>DOM ITA ITSSV</v>
          </cell>
          <cell r="T466" t="str">
            <v>DOM</v>
          </cell>
          <cell r="U466" t="str">
            <v>ITA</v>
          </cell>
          <cell r="V466" t="str">
            <v>ITSSV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G466" t="str">
            <v/>
          </cell>
          <cell r="AH466" t="str">
            <v/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S466" t="str">
            <v/>
          </cell>
          <cell r="AT466" t="str">
            <v/>
          </cell>
          <cell r="AV466" t="b">
            <v>0</v>
          </cell>
          <cell r="AW466" t="str">
            <v>minute</v>
          </cell>
        </row>
        <row r="467">
          <cell r="S467" t="str">
            <v>DOM ITA ITFRE</v>
          </cell>
          <cell r="T467" t="str">
            <v>DOM</v>
          </cell>
          <cell r="U467" t="str">
            <v>ITA</v>
          </cell>
          <cell r="V467" t="str">
            <v>ITFRE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G467" t="str">
            <v/>
          </cell>
          <cell r="AH467" t="str">
            <v/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S467" t="str">
            <v/>
          </cell>
          <cell r="AT467" t="str">
            <v/>
          </cell>
          <cell r="AV467" t="b">
            <v>0</v>
          </cell>
          <cell r="AW467" t="str">
            <v>minute</v>
          </cell>
        </row>
        <row r="468">
          <cell r="S468" t="str">
            <v>DOM ITA ITSHN</v>
          </cell>
          <cell r="T468" t="str">
            <v>DOM</v>
          </cell>
          <cell r="U468" t="str">
            <v>ITA</v>
          </cell>
          <cell r="V468" t="str">
            <v>ITSHN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G468" t="str">
            <v/>
          </cell>
          <cell r="AH468" t="str">
            <v/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S468" t="str">
            <v/>
          </cell>
          <cell r="AT468" t="str">
            <v/>
          </cell>
          <cell r="AV468" t="b">
            <v>0</v>
          </cell>
          <cell r="AW468" t="str">
            <v>minute</v>
          </cell>
        </row>
        <row r="469">
          <cell r="S469" t="str">
            <v>DOM JAM MOB</v>
          </cell>
          <cell r="T469" t="str">
            <v>DOM</v>
          </cell>
          <cell r="U469" t="str">
            <v>JAM</v>
          </cell>
          <cell r="V469" t="str">
            <v>MOB</v>
          </cell>
          <cell r="X469">
            <v>0.313</v>
          </cell>
          <cell r="Y469">
            <v>0</v>
          </cell>
          <cell r="Z469">
            <v>0.2722</v>
          </cell>
          <cell r="AA469">
            <v>0</v>
          </cell>
          <cell r="AB469">
            <v>0.23669999999999999</v>
          </cell>
          <cell r="AC469">
            <v>0</v>
          </cell>
          <cell r="AD469">
            <v>0.20580000000000001</v>
          </cell>
          <cell r="AE469">
            <v>0</v>
          </cell>
          <cell r="AG469" t="str">
            <v/>
          </cell>
          <cell r="AH469" t="str">
            <v/>
          </cell>
          <cell r="AJ469">
            <v>0.313</v>
          </cell>
          <cell r="AK469">
            <v>0</v>
          </cell>
          <cell r="AL469">
            <v>0.2722</v>
          </cell>
          <cell r="AM469">
            <v>0</v>
          </cell>
          <cell r="AN469">
            <v>0.23669999999999999</v>
          </cell>
          <cell r="AO469">
            <v>0</v>
          </cell>
          <cell r="AP469">
            <v>0.20580000000000001</v>
          </cell>
          <cell r="AQ469">
            <v>0</v>
          </cell>
          <cell r="AS469" t="str">
            <v/>
          </cell>
          <cell r="AT469" t="str">
            <v/>
          </cell>
          <cell r="AV469" t="b">
            <v>1</v>
          </cell>
          <cell r="AW469" t="str">
            <v>minute</v>
          </cell>
        </row>
        <row r="470">
          <cell r="S470" t="str">
            <v>DOM JAM FIX</v>
          </cell>
          <cell r="T470" t="str">
            <v>DOM</v>
          </cell>
          <cell r="U470" t="str">
            <v>JAM</v>
          </cell>
          <cell r="V470" t="str">
            <v>FIX</v>
          </cell>
          <cell r="X470">
            <v>0.14779999999999999</v>
          </cell>
          <cell r="Y470">
            <v>0</v>
          </cell>
          <cell r="Z470">
            <v>0.1285</v>
          </cell>
          <cell r="AA470">
            <v>0</v>
          </cell>
          <cell r="AB470">
            <v>0.11169999999999999</v>
          </cell>
          <cell r="AC470">
            <v>0</v>
          </cell>
          <cell r="AD470">
            <v>9.7100000000000006E-2</v>
          </cell>
          <cell r="AE470">
            <v>0</v>
          </cell>
          <cell r="AG470" t="str">
            <v/>
          </cell>
          <cell r="AH470" t="str">
            <v/>
          </cell>
          <cell r="AJ470">
            <v>0.14779999999999999</v>
          </cell>
          <cell r="AK470">
            <v>0</v>
          </cell>
          <cell r="AL470">
            <v>0.1285</v>
          </cell>
          <cell r="AM470">
            <v>0</v>
          </cell>
          <cell r="AN470">
            <v>0.11169999999999999</v>
          </cell>
          <cell r="AO470">
            <v>0</v>
          </cell>
          <cell r="AP470">
            <v>9.7100000000000006E-2</v>
          </cell>
          <cell r="AQ470">
            <v>0</v>
          </cell>
          <cell r="AS470" t="str">
            <v/>
          </cell>
          <cell r="AT470" t="str">
            <v/>
          </cell>
          <cell r="AV470" t="b">
            <v>1</v>
          </cell>
          <cell r="AW470" t="str">
            <v>minute</v>
          </cell>
        </row>
        <row r="471">
          <cell r="S471" t="str">
            <v>DOM JPN CJPN3</v>
          </cell>
          <cell r="T471" t="str">
            <v>DOM</v>
          </cell>
          <cell r="U471" t="str">
            <v>JPN</v>
          </cell>
          <cell r="V471" t="str">
            <v>CJPN3</v>
          </cell>
          <cell r="X471">
            <v>0.1714</v>
          </cell>
          <cell r="Y471">
            <v>0</v>
          </cell>
          <cell r="Z471">
            <v>0.14899999999999999</v>
          </cell>
          <cell r="AA471">
            <v>0</v>
          </cell>
          <cell r="AB471">
            <v>0.12959999999999999</v>
          </cell>
          <cell r="AC471">
            <v>0</v>
          </cell>
          <cell r="AD471">
            <v>0.11269999999999999</v>
          </cell>
          <cell r="AE471">
            <v>0</v>
          </cell>
          <cell r="AG471" t="str">
            <v/>
          </cell>
          <cell r="AH471" t="str">
            <v/>
          </cell>
          <cell r="AJ471">
            <v>0.1714</v>
          </cell>
          <cell r="AK471">
            <v>0</v>
          </cell>
          <cell r="AL471">
            <v>0.14899999999999999</v>
          </cell>
          <cell r="AM471">
            <v>0</v>
          </cell>
          <cell r="AN471">
            <v>0.12959999999999999</v>
          </cell>
          <cell r="AO471">
            <v>0</v>
          </cell>
          <cell r="AP471">
            <v>0.11269999999999999</v>
          </cell>
          <cell r="AQ471">
            <v>0</v>
          </cell>
          <cell r="AS471" t="str">
            <v/>
          </cell>
          <cell r="AT471" t="str">
            <v/>
          </cell>
          <cell r="AV471" t="b">
            <v>1</v>
          </cell>
          <cell r="AW471" t="str">
            <v>minute</v>
          </cell>
        </row>
        <row r="472">
          <cell r="S472" t="str">
            <v>DOM JPN OPAR</v>
          </cell>
          <cell r="T472" t="str">
            <v>DOM</v>
          </cell>
          <cell r="U472" t="str">
            <v>JPN</v>
          </cell>
          <cell r="V472" t="str">
            <v>OPAR</v>
          </cell>
          <cell r="X472">
            <v>6.4899999999999999E-2</v>
          </cell>
          <cell r="Y472">
            <v>0</v>
          </cell>
          <cell r="Z472">
            <v>5.8400000000000001E-2</v>
          </cell>
          <cell r="AA472">
            <v>0</v>
          </cell>
          <cell r="AB472">
            <v>5.5199999999999999E-2</v>
          </cell>
          <cell r="AC472">
            <v>0</v>
          </cell>
          <cell r="AD472">
            <v>5.1900000000000002E-2</v>
          </cell>
          <cell r="AE472">
            <v>0</v>
          </cell>
          <cell r="AG472" t="str">
            <v/>
          </cell>
          <cell r="AH472" t="str">
            <v/>
          </cell>
          <cell r="AJ472">
            <v>6.4899999999999999E-2</v>
          </cell>
          <cell r="AK472">
            <v>0</v>
          </cell>
          <cell r="AL472">
            <v>5.8400000000000001E-2</v>
          </cell>
          <cell r="AM472">
            <v>0</v>
          </cell>
          <cell r="AN472">
            <v>5.5199999999999999E-2</v>
          </cell>
          <cell r="AO472">
            <v>0</v>
          </cell>
          <cell r="AP472">
            <v>5.1900000000000002E-2</v>
          </cell>
          <cell r="AQ472">
            <v>0</v>
          </cell>
          <cell r="AS472" t="str">
            <v/>
          </cell>
          <cell r="AT472" t="str">
            <v/>
          </cell>
          <cell r="AV472" t="b">
            <v>1</v>
          </cell>
          <cell r="AW472" t="str">
            <v>minute</v>
          </cell>
        </row>
        <row r="473">
          <cell r="S473" t="str">
            <v>DOM KEN KEFIX</v>
          </cell>
          <cell r="T473" t="str">
            <v>DOM</v>
          </cell>
          <cell r="U473" t="str">
            <v>KEN</v>
          </cell>
          <cell r="V473" t="str">
            <v>KEFIX</v>
          </cell>
          <cell r="X473">
            <v>9.0399999999999994E-2</v>
          </cell>
          <cell r="Y473">
            <v>0</v>
          </cell>
          <cell r="Z473">
            <v>8.2100000000000006E-2</v>
          </cell>
          <cell r="AA473">
            <v>0</v>
          </cell>
          <cell r="AB473">
            <v>7.4700000000000003E-2</v>
          </cell>
          <cell r="AC473">
            <v>0</v>
          </cell>
          <cell r="AD473">
            <v>6.7900000000000002E-2</v>
          </cell>
          <cell r="AE473">
            <v>0</v>
          </cell>
          <cell r="AG473" t="str">
            <v/>
          </cell>
          <cell r="AH473" t="str">
            <v/>
          </cell>
          <cell r="AJ473">
            <v>9.0399999999999994E-2</v>
          </cell>
          <cell r="AK473">
            <v>0</v>
          </cell>
          <cell r="AL473">
            <v>8.2100000000000006E-2</v>
          </cell>
          <cell r="AM473">
            <v>0</v>
          </cell>
          <cell r="AN473">
            <v>7.4700000000000003E-2</v>
          </cell>
          <cell r="AO473">
            <v>0</v>
          </cell>
          <cell r="AP473">
            <v>6.7900000000000002E-2</v>
          </cell>
          <cell r="AQ473">
            <v>0</v>
          </cell>
          <cell r="AS473" t="str">
            <v/>
          </cell>
          <cell r="AT473" t="str">
            <v/>
          </cell>
          <cell r="AV473" t="b">
            <v>1</v>
          </cell>
          <cell r="AW473" t="str">
            <v>minute</v>
          </cell>
        </row>
        <row r="474">
          <cell r="S474" t="str">
            <v>DOM KEN KEMOB</v>
          </cell>
          <cell r="T474" t="str">
            <v>DOM</v>
          </cell>
          <cell r="U474" t="str">
            <v>KEN</v>
          </cell>
          <cell r="V474" t="str">
            <v>KEMOB</v>
          </cell>
          <cell r="X474">
            <v>0.121</v>
          </cell>
          <cell r="Y474">
            <v>0</v>
          </cell>
          <cell r="Z474">
            <v>0.11</v>
          </cell>
          <cell r="AA474">
            <v>0</v>
          </cell>
          <cell r="AB474">
            <v>0.1</v>
          </cell>
          <cell r="AC474">
            <v>0</v>
          </cell>
          <cell r="AD474">
            <v>9.0899999999999995E-2</v>
          </cell>
          <cell r="AE474">
            <v>0</v>
          </cell>
          <cell r="AG474" t="str">
            <v/>
          </cell>
          <cell r="AH474" t="str">
            <v/>
          </cell>
          <cell r="AJ474">
            <v>0.121</v>
          </cell>
          <cell r="AK474">
            <v>0</v>
          </cell>
          <cell r="AL474">
            <v>0.11</v>
          </cell>
          <cell r="AM474">
            <v>0</v>
          </cell>
          <cell r="AN474">
            <v>0.1</v>
          </cell>
          <cell r="AO474">
            <v>0</v>
          </cell>
          <cell r="AP474">
            <v>9.0899999999999995E-2</v>
          </cell>
          <cell r="AQ474">
            <v>0</v>
          </cell>
          <cell r="AS474" t="str">
            <v/>
          </cell>
          <cell r="AT474" t="str">
            <v/>
          </cell>
          <cell r="AV474" t="b">
            <v>1</v>
          </cell>
          <cell r="AW474" t="str">
            <v>minute</v>
          </cell>
        </row>
        <row r="475">
          <cell r="S475" t="str">
            <v>DOM KOR KMOB</v>
          </cell>
          <cell r="T475" t="str">
            <v>DOM</v>
          </cell>
          <cell r="U475" t="str">
            <v>KOR</v>
          </cell>
          <cell r="V475" t="str">
            <v>KMOB</v>
          </cell>
          <cell r="X475">
            <v>4.8599999999999997E-2</v>
          </cell>
          <cell r="Y475">
            <v>0</v>
          </cell>
          <cell r="Z475">
            <v>4.3799999999999999E-2</v>
          </cell>
          <cell r="AA475">
            <v>0</v>
          </cell>
          <cell r="AB475">
            <v>4.1300000000000003E-2</v>
          </cell>
          <cell r="AC475">
            <v>0</v>
          </cell>
          <cell r="AD475">
            <v>3.8899999999999997E-2</v>
          </cell>
          <cell r="AE475">
            <v>0</v>
          </cell>
          <cell r="AG475" t="str">
            <v/>
          </cell>
          <cell r="AH475" t="str">
            <v/>
          </cell>
          <cell r="AJ475">
            <v>4.8599999999999997E-2</v>
          </cell>
          <cell r="AK475">
            <v>0</v>
          </cell>
          <cell r="AL475">
            <v>4.3799999999999999E-2</v>
          </cell>
          <cell r="AM475">
            <v>0</v>
          </cell>
          <cell r="AN475">
            <v>4.1300000000000003E-2</v>
          </cell>
          <cell r="AO475">
            <v>0</v>
          </cell>
          <cell r="AP475">
            <v>3.8899999999999997E-2</v>
          </cell>
          <cell r="AQ475">
            <v>0</v>
          </cell>
          <cell r="AS475" t="str">
            <v/>
          </cell>
          <cell r="AT475" t="str">
            <v/>
          </cell>
          <cell r="AV475" t="b">
            <v>1</v>
          </cell>
          <cell r="AW475" t="str">
            <v>minute</v>
          </cell>
        </row>
        <row r="476">
          <cell r="S476" t="str">
            <v>DOM KOR SKOR</v>
          </cell>
          <cell r="T476" t="str">
            <v>DOM</v>
          </cell>
          <cell r="U476" t="str">
            <v>KOR</v>
          </cell>
          <cell r="V476" t="str">
            <v>SKOR</v>
          </cell>
          <cell r="X476">
            <v>3.2099999999999997E-2</v>
          </cell>
          <cell r="Y476">
            <v>0</v>
          </cell>
          <cell r="Z476">
            <v>2.8899999999999999E-2</v>
          </cell>
          <cell r="AA476">
            <v>0</v>
          </cell>
          <cell r="AB476">
            <v>2.7300000000000001E-2</v>
          </cell>
          <cell r="AC476">
            <v>0</v>
          </cell>
          <cell r="AD476">
            <v>2.5600000000000001E-2</v>
          </cell>
          <cell r="AE476">
            <v>0</v>
          </cell>
          <cell r="AG476" t="str">
            <v/>
          </cell>
          <cell r="AH476" t="str">
            <v/>
          </cell>
          <cell r="AJ476">
            <v>3.2099999999999997E-2</v>
          </cell>
          <cell r="AK476">
            <v>0</v>
          </cell>
          <cell r="AL476">
            <v>2.8899999999999999E-2</v>
          </cell>
          <cell r="AM476">
            <v>0</v>
          </cell>
          <cell r="AN476">
            <v>2.7300000000000001E-2</v>
          </cell>
          <cell r="AO476">
            <v>0</v>
          </cell>
          <cell r="AP476">
            <v>2.5600000000000001E-2</v>
          </cell>
          <cell r="AQ476">
            <v>0</v>
          </cell>
          <cell r="AS476" t="str">
            <v/>
          </cell>
          <cell r="AT476" t="str">
            <v/>
          </cell>
          <cell r="AV476" t="b">
            <v>1</v>
          </cell>
          <cell r="AW476" t="str">
            <v>minute</v>
          </cell>
        </row>
        <row r="477">
          <cell r="S477" t="str">
            <v>DOM LVA MOB</v>
          </cell>
          <cell r="T477" t="str">
            <v>DOM</v>
          </cell>
          <cell r="U477" t="str">
            <v>LVA</v>
          </cell>
          <cell r="V477" t="str">
            <v>MOB</v>
          </cell>
          <cell r="X477">
            <v>4.5499999999999999E-2</v>
          </cell>
          <cell r="Y477">
            <v>0</v>
          </cell>
          <cell r="Z477">
            <v>4.1000000000000002E-2</v>
          </cell>
          <cell r="AA477">
            <v>0</v>
          </cell>
          <cell r="AB477">
            <v>3.8699999999999998E-2</v>
          </cell>
          <cell r="AC477">
            <v>0</v>
          </cell>
          <cell r="AD477">
            <v>3.6400000000000002E-2</v>
          </cell>
          <cell r="AE477">
            <v>0</v>
          </cell>
          <cell r="AG477" t="str">
            <v/>
          </cell>
          <cell r="AH477" t="str">
            <v/>
          </cell>
          <cell r="AJ477">
            <v>4.5499999999999999E-2</v>
          </cell>
          <cell r="AK477">
            <v>0</v>
          </cell>
          <cell r="AL477">
            <v>4.1000000000000002E-2</v>
          </cell>
          <cell r="AM477">
            <v>0</v>
          </cell>
          <cell r="AN477">
            <v>3.8699999999999998E-2</v>
          </cell>
          <cell r="AO477">
            <v>0</v>
          </cell>
          <cell r="AP477">
            <v>3.6400000000000002E-2</v>
          </cell>
          <cell r="AQ477">
            <v>0</v>
          </cell>
          <cell r="AS477" t="str">
            <v/>
          </cell>
          <cell r="AT477" t="str">
            <v/>
          </cell>
          <cell r="AV477" t="b">
            <v>1</v>
          </cell>
          <cell r="AW477" t="str">
            <v>minute</v>
          </cell>
        </row>
        <row r="478">
          <cell r="S478" t="str">
            <v>DOM LVA LVMLM</v>
          </cell>
          <cell r="T478" t="str">
            <v>DOM</v>
          </cell>
          <cell r="U478" t="str">
            <v>LVA</v>
          </cell>
          <cell r="V478" t="str">
            <v>LVMLM</v>
          </cell>
          <cell r="X478">
            <v>4.5499999999999999E-2</v>
          </cell>
          <cell r="Y478">
            <v>0</v>
          </cell>
          <cell r="Z478">
            <v>4.1000000000000002E-2</v>
          </cell>
          <cell r="AA478">
            <v>0</v>
          </cell>
          <cell r="AB478">
            <v>3.8699999999999998E-2</v>
          </cell>
          <cell r="AC478">
            <v>0</v>
          </cell>
          <cell r="AD478">
            <v>3.6400000000000002E-2</v>
          </cell>
          <cell r="AE478">
            <v>0</v>
          </cell>
          <cell r="AG478" t="str">
            <v/>
          </cell>
          <cell r="AH478" t="str">
            <v/>
          </cell>
          <cell r="AJ478">
            <v>4.5499999999999999E-2</v>
          </cell>
          <cell r="AK478">
            <v>0</v>
          </cell>
          <cell r="AL478">
            <v>4.1000000000000002E-2</v>
          </cell>
          <cell r="AM478">
            <v>0</v>
          </cell>
          <cell r="AN478">
            <v>3.8699999999999998E-2</v>
          </cell>
          <cell r="AO478">
            <v>0</v>
          </cell>
          <cell r="AP478">
            <v>3.6400000000000002E-2</v>
          </cell>
          <cell r="AQ478">
            <v>0</v>
          </cell>
          <cell r="AS478" t="str">
            <v/>
          </cell>
          <cell r="AT478" t="str">
            <v/>
          </cell>
          <cell r="AV478" t="b">
            <v>1</v>
          </cell>
          <cell r="AW478" t="str">
            <v>minute</v>
          </cell>
        </row>
        <row r="479">
          <cell r="S479" t="str">
            <v>DOM LVA FIX</v>
          </cell>
          <cell r="T479" t="str">
            <v>DOM</v>
          </cell>
          <cell r="U479" t="str">
            <v>LVA</v>
          </cell>
          <cell r="V479" t="str">
            <v>FIX</v>
          </cell>
          <cell r="X479">
            <v>3.5000000000000003E-2</v>
          </cell>
          <cell r="Y479">
            <v>0</v>
          </cell>
          <cell r="Z479">
            <v>3.15E-2</v>
          </cell>
          <cell r="AA479">
            <v>0</v>
          </cell>
          <cell r="AB479">
            <v>2.98E-2</v>
          </cell>
          <cell r="AC479">
            <v>0</v>
          </cell>
          <cell r="AD479">
            <v>2.8000000000000001E-2</v>
          </cell>
          <cell r="AE479">
            <v>0</v>
          </cell>
          <cell r="AG479" t="str">
            <v/>
          </cell>
          <cell r="AH479" t="str">
            <v/>
          </cell>
          <cell r="AJ479">
            <v>3.5000000000000003E-2</v>
          </cell>
          <cell r="AK479">
            <v>0</v>
          </cell>
          <cell r="AL479">
            <v>3.15E-2</v>
          </cell>
          <cell r="AM479">
            <v>0</v>
          </cell>
          <cell r="AN479">
            <v>2.98E-2</v>
          </cell>
          <cell r="AO479">
            <v>0</v>
          </cell>
          <cell r="AP479">
            <v>2.8000000000000001E-2</v>
          </cell>
          <cell r="AQ479">
            <v>0</v>
          </cell>
          <cell r="AS479" t="str">
            <v/>
          </cell>
          <cell r="AT479" t="str">
            <v/>
          </cell>
          <cell r="AV479" t="b">
            <v>1</v>
          </cell>
          <cell r="AW479" t="str">
            <v>minute</v>
          </cell>
        </row>
        <row r="480">
          <cell r="S480" t="str">
            <v>DOM LIE MOB</v>
          </cell>
          <cell r="T480" t="str">
            <v>DOM</v>
          </cell>
          <cell r="U480" t="str">
            <v>LIE</v>
          </cell>
          <cell r="V480" t="str">
            <v>MOB</v>
          </cell>
          <cell r="X480">
            <v>0.441</v>
          </cell>
          <cell r="Y480">
            <v>0</v>
          </cell>
          <cell r="Z480">
            <v>0.38350000000000001</v>
          </cell>
          <cell r="AA480">
            <v>0</v>
          </cell>
          <cell r="AB480">
            <v>0.33350000000000002</v>
          </cell>
          <cell r="AC480">
            <v>0</v>
          </cell>
          <cell r="AD480">
            <v>0.28999999999999998</v>
          </cell>
          <cell r="AE480">
            <v>0</v>
          </cell>
          <cell r="AG480" t="str">
            <v/>
          </cell>
          <cell r="AH480" t="str">
            <v/>
          </cell>
          <cell r="AJ480">
            <v>0.441</v>
          </cell>
          <cell r="AK480">
            <v>0</v>
          </cell>
          <cell r="AL480">
            <v>0.38350000000000001</v>
          </cell>
          <cell r="AM480">
            <v>0</v>
          </cell>
          <cell r="AN480">
            <v>0.33350000000000002</v>
          </cell>
          <cell r="AO480">
            <v>0</v>
          </cell>
          <cell r="AP480">
            <v>0.28999999999999998</v>
          </cell>
          <cell r="AQ480">
            <v>0</v>
          </cell>
          <cell r="AS480" t="str">
            <v/>
          </cell>
          <cell r="AT480" t="str">
            <v/>
          </cell>
          <cell r="AV480" t="b">
            <v>1</v>
          </cell>
          <cell r="AW480" t="str">
            <v>minute</v>
          </cell>
        </row>
        <row r="481">
          <cell r="S481" t="str">
            <v>DOM LIE LIMOR</v>
          </cell>
          <cell r="T481" t="str">
            <v>DOM</v>
          </cell>
          <cell r="U481" t="str">
            <v>LIE</v>
          </cell>
          <cell r="V481" t="str">
            <v>LIMOR</v>
          </cell>
          <cell r="X481">
            <v>0.441</v>
          </cell>
          <cell r="Y481">
            <v>0</v>
          </cell>
          <cell r="Z481">
            <v>0.38350000000000001</v>
          </cell>
          <cell r="AA481">
            <v>0</v>
          </cell>
          <cell r="AB481">
            <v>0.33350000000000002</v>
          </cell>
          <cell r="AC481">
            <v>0</v>
          </cell>
          <cell r="AD481">
            <v>0.28999999999999998</v>
          </cell>
          <cell r="AE481">
            <v>0</v>
          </cell>
          <cell r="AG481" t="str">
            <v/>
          </cell>
          <cell r="AH481" t="str">
            <v/>
          </cell>
          <cell r="AJ481">
            <v>0.441</v>
          </cell>
          <cell r="AK481">
            <v>0</v>
          </cell>
          <cell r="AL481">
            <v>0.38350000000000001</v>
          </cell>
          <cell r="AM481">
            <v>0</v>
          </cell>
          <cell r="AN481">
            <v>0.33350000000000002</v>
          </cell>
          <cell r="AO481">
            <v>0</v>
          </cell>
          <cell r="AP481">
            <v>0.28999999999999998</v>
          </cell>
          <cell r="AQ481">
            <v>0</v>
          </cell>
          <cell r="AS481" t="str">
            <v/>
          </cell>
          <cell r="AT481" t="str">
            <v/>
          </cell>
          <cell r="AV481" t="b">
            <v>1</v>
          </cell>
          <cell r="AW481" t="str">
            <v>minute</v>
          </cell>
        </row>
        <row r="482">
          <cell r="S482" t="str">
            <v>DOM LIE FIX</v>
          </cell>
          <cell r="T482" t="str">
            <v>DOM</v>
          </cell>
          <cell r="U482" t="str">
            <v>LIE</v>
          </cell>
          <cell r="V482" t="str">
            <v>FIX</v>
          </cell>
          <cell r="X482">
            <v>0.11219999999999999</v>
          </cell>
          <cell r="Y482">
            <v>0</v>
          </cell>
          <cell r="Z482">
            <v>9.7600000000000006E-2</v>
          </cell>
          <cell r="AA482">
            <v>0</v>
          </cell>
          <cell r="AB482">
            <v>8.4900000000000003E-2</v>
          </cell>
          <cell r="AC482">
            <v>0</v>
          </cell>
          <cell r="AD482">
            <v>7.3800000000000004E-2</v>
          </cell>
          <cell r="AE482">
            <v>0</v>
          </cell>
          <cell r="AG482" t="str">
            <v/>
          </cell>
          <cell r="AH482" t="str">
            <v/>
          </cell>
          <cell r="AJ482">
            <v>0.11219999999999999</v>
          </cell>
          <cell r="AK482">
            <v>0</v>
          </cell>
          <cell r="AL482">
            <v>9.7600000000000006E-2</v>
          </cell>
          <cell r="AM482">
            <v>0</v>
          </cell>
          <cell r="AN482">
            <v>8.4900000000000003E-2</v>
          </cell>
          <cell r="AO482">
            <v>0</v>
          </cell>
          <cell r="AP482">
            <v>7.3800000000000004E-2</v>
          </cell>
          <cell r="AQ482">
            <v>0</v>
          </cell>
          <cell r="AS482" t="str">
            <v/>
          </cell>
          <cell r="AT482" t="str">
            <v/>
          </cell>
          <cell r="AV482" t="b">
            <v>1</v>
          </cell>
          <cell r="AW482" t="str">
            <v>minute</v>
          </cell>
        </row>
        <row r="483">
          <cell r="S483" t="str">
            <v>DOM LTU MOB</v>
          </cell>
          <cell r="T483" t="str">
            <v>DOM</v>
          </cell>
          <cell r="U483" t="str">
            <v>LTU</v>
          </cell>
          <cell r="V483" t="str">
            <v>MOB</v>
          </cell>
          <cell r="X483">
            <v>5.5199999999999999E-2</v>
          </cell>
          <cell r="Y483">
            <v>0</v>
          </cell>
          <cell r="Z483">
            <v>4.8000000000000001E-2</v>
          </cell>
          <cell r="AA483">
            <v>0</v>
          </cell>
          <cell r="AB483">
            <v>4.1700000000000001E-2</v>
          </cell>
          <cell r="AC483">
            <v>0</v>
          </cell>
          <cell r="AD483">
            <v>3.6299999999999999E-2</v>
          </cell>
          <cell r="AE483">
            <v>0</v>
          </cell>
          <cell r="AG483" t="str">
            <v/>
          </cell>
          <cell r="AH483" t="str">
            <v/>
          </cell>
          <cell r="AJ483">
            <v>5.5199999999999999E-2</v>
          </cell>
          <cell r="AK483">
            <v>0</v>
          </cell>
          <cell r="AL483">
            <v>4.8000000000000001E-2</v>
          </cell>
          <cell r="AM483">
            <v>0</v>
          </cell>
          <cell r="AN483">
            <v>4.1700000000000001E-2</v>
          </cell>
          <cell r="AO483">
            <v>0</v>
          </cell>
          <cell r="AP483">
            <v>3.6299999999999999E-2</v>
          </cell>
          <cell r="AQ483">
            <v>0</v>
          </cell>
          <cell r="AS483" t="str">
            <v/>
          </cell>
          <cell r="AT483" t="str">
            <v/>
          </cell>
          <cell r="AV483" t="b">
            <v>1</v>
          </cell>
          <cell r="AW483" t="str">
            <v>minute</v>
          </cell>
        </row>
        <row r="484">
          <cell r="S484" t="str">
            <v>DOM LTU LTMOM</v>
          </cell>
          <cell r="T484" t="str">
            <v>DOM</v>
          </cell>
          <cell r="U484" t="str">
            <v>LTU</v>
          </cell>
          <cell r="V484" t="str">
            <v>LTMOM</v>
          </cell>
          <cell r="X484">
            <v>5.5199999999999999E-2</v>
          </cell>
          <cell r="Y484">
            <v>0</v>
          </cell>
          <cell r="Z484">
            <v>4.8000000000000001E-2</v>
          </cell>
          <cell r="AA484">
            <v>0</v>
          </cell>
          <cell r="AB484">
            <v>4.1700000000000001E-2</v>
          </cell>
          <cell r="AC484">
            <v>0</v>
          </cell>
          <cell r="AD484">
            <v>3.6299999999999999E-2</v>
          </cell>
          <cell r="AE484">
            <v>0</v>
          </cell>
          <cell r="AG484" t="str">
            <v/>
          </cell>
          <cell r="AH484" t="str">
            <v/>
          </cell>
          <cell r="AJ484">
            <v>5.5199999999999999E-2</v>
          </cell>
          <cell r="AK484">
            <v>0</v>
          </cell>
          <cell r="AL484">
            <v>4.8000000000000001E-2</v>
          </cell>
          <cell r="AM484">
            <v>0</v>
          </cell>
          <cell r="AN484">
            <v>4.1700000000000001E-2</v>
          </cell>
          <cell r="AO484">
            <v>0</v>
          </cell>
          <cell r="AP484">
            <v>3.6299999999999999E-2</v>
          </cell>
          <cell r="AQ484">
            <v>0</v>
          </cell>
          <cell r="AS484" t="str">
            <v/>
          </cell>
          <cell r="AT484" t="str">
            <v/>
          </cell>
          <cell r="AV484" t="b">
            <v>1</v>
          </cell>
          <cell r="AW484" t="str">
            <v>minute</v>
          </cell>
        </row>
        <row r="485">
          <cell r="S485" t="str">
            <v>DOM LTU FIX</v>
          </cell>
          <cell r="T485" t="str">
            <v>DOM</v>
          </cell>
          <cell r="U485" t="str">
            <v>LTU</v>
          </cell>
          <cell r="V485" t="str">
            <v>FIX</v>
          </cell>
          <cell r="X485">
            <v>2.7099999999999999E-2</v>
          </cell>
          <cell r="Y485">
            <v>0</v>
          </cell>
          <cell r="Z485">
            <v>2.3599999999999999E-2</v>
          </cell>
          <cell r="AA485">
            <v>0</v>
          </cell>
          <cell r="AB485">
            <v>2.0500000000000001E-2</v>
          </cell>
          <cell r="AC485">
            <v>0</v>
          </cell>
          <cell r="AD485">
            <v>1.78E-2</v>
          </cell>
          <cell r="AE485">
            <v>0</v>
          </cell>
          <cell r="AG485" t="str">
            <v/>
          </cell>
          <cell r="AH485" t="str">
            <v/>
          </cell>
          <cell r="AJ485">
            <v>2.7099999999999999E-2</v>
          </cell>
          <cell r="AK485">
            <v>0</v>
          </cell>
          <cell r="AL485">
            <v>2.3599999999999999E-2</v>
          </cell>
          <cell r="AM485">
            <v>0</v>
          </cell>
          <cell r="AN485">
            <v>2.0500000000000001E-2</v>
          </cell>
          <cell r="AO485">
            <v>0</v>
          </cell>
          <cell r="AP485">
            <v>1.78E-2</v>
          </cell>
          <cell r="AQ485">
            <v>0</v>
          </cell>
          <cell r="AS485" t="str">
            <v/>
          </cell>
          <cell r="AT485" t="str">
            <v/>
          </cell>
          <cell r="AV485" t="b">
            <v>1</v>
          </cell>
          <cell r="AW485" t="str">
            <v>minute</v>
          </cell>
        </row>
        <row r="486">
          <cell r="S486" t="str">
            <v>DOM LUX AREA1</v>
          </cell>
          <cell r="T486" t="str">
            <v>DOM</v>
          </cell>
          <cell r="U486" t="str">
            <v>LUX</v>
          </cell>
          <cell r="V486" t="str">
            <v>AREA1</v>
          </cell>
          <cell r="X486">
            <v>1.4200000000000001E-2</v>
          </cell>
          <cell r="Y486">
            <v>0</v>
          </cell>
          <cell r="Z486">
            <v>1.3899999999999999E-2</v>
          </cell>
          <cell r="AA486">
            <v>0</v>
          </cell>
          <cell r="AB486">
            <v>1.3599999999999999E-2</v>
          </cell>
          <cell r="AC486">
            <v>0</v>
          </cell>
          <cell r="AD486">
            <v>1.3299999999999999E-2</v>
          </cell>
          <cell r="AE486">
            <v>0</v>
          </cell>
          <cell r="AG486" t="str">
            <v/>
          </cell>
          <cell r="AH486" t="str">
            <v/>
          </cell>
          <cell r="AJ486">
            <v>1.4200000000000001E-2</v>
          </cell>
          <cell r="AK486">
            <v>0</v>
          </cell>
          <cell r="AL486">
            <v>1.3899999999999999E-2</v>
          </cell>
          <cell r="AM486">
            <v>0</v>
          </cell>
          <cell r="AN486">
            <v>1.3599999999999999E-2</v>
          </cell>
          <cell r="AO486">
            <v>0</v>
          </cell>
          <cell r="AP486">
            <v>1.3299999999999999E-2</v>
          </cell>
          <cell r="AQ486">
            <v>0</v>
          </cell>
          <cell r="AS486" t="str">
            <v/>
          </cell>
          <cell r="AT486" t="str">
            <v/>
          </cell>
          <cell r="AV486" t="b">
            <v>1</v>
          </cell>
          <cell r="AW486" t="str">
            <v>minute</v>
          </cell>
        </row>
        <row r="487">
          <cell r="S487" t="str">
            <v>DOM LUX AREA6</v>
          </cell>
          <cell r="T487" t="str">
            <v>DOM</v>
          </cell>
          <cell r="U487" t="str">
            <v>LUX</v>
          </cell>
          <cell r="V487" t="str">
            <v>AREA6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 t="str">
            <v/>
          </cell>
          <cell r="AH487" t="str">
            <v/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S487" t="str">
            <v/>
          </cell>
          <cell r="AT487" t="str">
            <v/>
          </cell>
          <cell r="AV487" t="b">
            <v>0</v>
          </cell>
          <cell r="AW487" t="str">
            <v>minute</v>
          </cell>
        </row>
        <row r="488">
          <cell r="S488" t="str">
            <v>DOM LUX LXNS2</v>
          </cell>
          <cell r="T488" t="str">
            <v>DOM</v>
          </cell>
          <cell r="U488" t="str">
            <v>LUX</v>
          </cell>
          <cell r="V488" t="str">
            <v>LXNS2</v>
          </cell>
          <cell r="X488">
            <v>1.67E-2</v>
          </cell>
          <cell r="Y488">
            <v>0</v>
          </cell>
          <cell r="Z488">
            <v>1.67E-2</v>
          </cell>
          <cell r="AA488">
            <v>0</v>
          </cell>
          <cell r="AB488">
            <v>1.67E-2</v>
          </cell>
          <cell r="AC488">
            <v>0</v>
          </cell>
          <cell r="AD488">
            <v>1.67E-2</v>
          </cell>
          <cell r="AE488">
            <v>0</v>
          </cell>
          <cell r="AG488" t="str">
            <v/>
          </cell>
          <cell r="AH488" t="str">
            <v/>
          </cell>
          <cell r="AJ488">
            <v>1.67E-2</v>
          </cell>
          <cell r="AK488">
            <v>0</v>
          </cell>
          <cell r="AL488">
            <v>1.67E-2</v>
          </cell>
          <cell r="AM488">
            <v>0</v>
          </cell>
          <cell r="AN488">
            <v>1.67E-2</v>
          </cell>
          <cell r="AO488">
            <v>0</v>
          </cell>
          <cell r="AP488">
            <v>1.67E-2</v>
          </cell>
          <cell r="AQ488">
            <v>0</v>
          </cell>
          <cell r="AS488" t="str">
            <v/>
          </cell>
          <cell r="AT488" t="str">
            <v/>
          </cell>
          <cell r="AV488" t="b">
            <v>0</v>
          </cell>
          <cell r="AW488" t="str">
            <v>minute</v>
          </cell>
        </row>
        <row r="489">
          <cell r="S489" t="str">
            <v>DOM LUX AREA2</v>
          </cell>
          <cell r="T489" t="str">
            <v>DOM</v>
          </cell>
          <cell r="U489" t="str">
            <v>LUX</v>
          </cell>
          <cell r="V489" t="str">
            <v>AREA2</v>
          </cell>
          <cell r="X489">
            <v>0.12479999999999999</v>
          </cell>
          <cell r="Y489">
            <v>0</v>
          </cell>
          <cell r="Z489">
            <v>0.12180000000000001</v>
          </cell>
          <cell r="AA489">
            <v>0</v>
          </cell>
          <cell r="AB489">
            <v>0.1188</v>
          </cell>
          <cell r="AC489">
            <v>0</v>
          </cell>
          <cell r="AD489">
            <v>0.1159</v>
          </cell>
          <cell r="AE489">
            <v>0</v>
          </cell>
          <cell r="AG489" t="str">
            <v/>
          </cell>
          <cell r="AH489" t="str">
            <v/>
          </cell>
          <cell r="AJ489">
            <v>0.12479999999999999</v>
          </cell>
          <cell r="AK489">
            <v>0</v>
          </cell>
          <cell r="AL489">
            <v>0.12180000000000001</v>
          </cell>
          <cell r="AM489">
            <v>0</v>
          </cell>
          <cell r="AN489">
            <v>0.1188</v>
          </cell>
          <cell r="AO489">
            <v>0</v>
          </cell>
          <cell r="AP489">
            <v>0.1159</v>
          </cell>
          <cell r="AQ489">
            <v>0</v>
          </cell>
          <cell r="AS489" t="str">
            <v/>
          </cell>
          <cell r="AT489" t="str">
            <v/>
          </cell>
          <cell r="AV489" t="b">
            <v>1</v>
          </cell>
          <cell r="AW489" t="str">
            <v>minute</v>
          </cell>
        </row>
        <row r="490">
          <cell r="S490" t="str">
            <v>DOM LUX LXMJO</v>
          </cell>
          <cell r="T490" t="str">
            <v>DOM</v>
          </cell>
          <cell r="U490" t="str">
            <v>LUX</v>
          </cell>
          <cell r="V490" t="str">
            <v>LXMJO</v>
          </cell>
          <cell r="X490">
            <v>0.12479999999999999</v>
          </cell>
          <cell r="Y490">
            <v>0</v>
          </cell>
          <cell r="Z490">
            <v>0.12180000000000001</v>
          </cell>
          <cell r="AA490">
            <v>0</v>
          </cell>
          <cell r="AB490">
            <v>0.1188</v>
          </cell>
          <cell r="AC490">
            <v>0</v>
          </cell>
          <cell r="AD490">
            <v>0.1159</v>
          </cell>
          <cell r="AE490">
            <v>0</v>
          </cell>
          <cell r="AG490" t="str">
            <v/>
          </cell>
          <cell r="AH490" t="str">
            <v/>
          </cell>
          <cell r="AJ490">
            <v>0.12479999999999999</v>
          </cell>
          <cell r="AK490">
            <v>0</v>
          </cell>
          <cell r="AL490">
            <v>0.12180000000000001</v>
          </cell>
          <cell r="AM490">
            <v>0</v>
          </cell>
          <cell r="AN490">
            <v>0.1188</v>
          </cell>
          <cell r="AO490">
            <v>0</v>
          </cell>
          <cell r="AP490">
            <v>0.1159</v>
          </cell>
          <cell r="AQ490">
            <v>0</v>
          </cell>
          <cell r="AS490" t="str">
            <v/>
          </cell>
          <cell r="AT490" t="str">
            <v/>
          </cell>
          <cell r="AV490" t="b">
            <v>1</v>
          </cell>
          <cell r="AW490" t="str">
            <v>minute</v>
          </cell>
        </row>
        <row r="491">
          <cell r="S491" t="str">
            <v>DOM LUX LXMVO</v>
          </cell>
          <cell r="T491" t="str">
            <v>DOM</v>
          </cell>
          <cell r="U491" t="str">
            <v>LUX</v>
          </cell>
          <cell r="V491" t="str">
            <v>LXMVO</v>
          </cell>
          <cell r="X491">
            <v>0.12479999999999999</v>
          </cell>
          <cell r="Y491">
            <v>0</v>
          </cell>
          <cell r="Z491">
            <v>0.12180000000000001</v>
          </cell>
          <cell r="AA491">
            <v>0</v>
          </cell>
          <cell r="AB491">
            <v>0.1188</v>
          </cell>
          <cell r="AC491">
            <v>0</v>
          </cell>
          <cell r="AD491">
            <v>0.1159</v>
          </cell>
          <cell r="AE491">
            <v>0</v>
          </cell>
          <cell r="AG491" t="str">
            <v/>
          </cell>
          <cell r="AH491" t="str">
            <v/>
          </cell>
          <cell r="AJ491">
            <v>0.12479999999999999</v>
          </cell>
          <cell r="AK491">
            <v>0</v>
          </cell>
          <cell r="AL491">
            <v>0.12180000000000001</v>
          </cell>
          <cell r="AM491">
            <v>0</v>
          </cell>
          <cell r="AN491">
            <v>0.1188</v>
          </cell>
          <cell r="AO491">
            <v>0</v>
          </cell>
          <cell r="AP491">
            <v>0.1159</v>
          </cell>
          <cell r="AQ491">
            <v>0</v>
          </cell>
          <cell r="AS491" t="str">
            <v/>
          </cell>
          <cell r="AT491" t="str">
            <v/>
          </cell>
          <cell r="AV491" t="b">
            <v>1</v>
          </cell>
          <cell r="AW491" t="str">
            <v>minute</v>
          </cell>
        </row>
        <row r="492">
          <cell r="S492" t="str">
            <v>DOM LUX LXMTA</v>
          </cell>
          <cell r="T492" t="str">
            <v>DOM</v>
          </cell>
          <cell r="U492" t="str">
            <v>LUX</v>
          </cell>
          <cell r="V492" t="str">
            <v>LXMTA</v>
          </cell>
          <cell r="X492">
            <v>0.12479999999999999</v>
          </cell>
          <cell r="Y492">
            <v>0</v>
          </cell>
          <cell r="Z492">
            <v>0.12180000000000001</v>
          </cell>
          <cell r="AA492">
            <v>0</v>
          </cell>
          <cell r="AB492">
            <v>0.1188</v>
          </cell>
          <cell r="AC492">
            <v>0</v>
          </cell>
          <cell r="AD492">
            <v>0.1159</v>
          </cell>
          <cell r="AE492">
            <v>0</v>
          </cell>
          <cell r="AG492" t="str">
            <v/>
          </cell>
          <cell r="AH492" t="str">
            <v/>
          </cell>
          <cell r="AJ492">
            <v>0.12479999999999999</v>
          </cell>
          <cell r="AK492">
            <v>0</v>
          </cell>
          <cell r="AL492">
            <v>0.12180000000000001</v>
          </cell>
          <cell r="AM492">
            <v>0</v>
          </cell>
          <cell r="AN492">
            <v>0.1188</v>
          </cell>
          <cell r="AO492">
            <v>0</v>
          </cell>
          <cell r="AP492">
            <v>0.1159</v>
          </cell>
          <cell r="AQ492">
            <v>0</v>
          </cell>
          <cell r="AS492" t="str">
            <v/>
          </cell>
          <cell r="AT492" t="str">
            <v/>
          </cell>
          <cell r="AV492" t="b">
            <v>1</v>
          </cell>
          <cell r="AW492" t="str">
            <v>minute</v>
          </cell>
        </row>
        <row r="493">
          <cell r="S493" t="str">
            <v>DOM LUX CLOCK</v>
          </cell>
          <cell r="T493" t="str">
            <v>DOM</v>
          </cell>
          <cell r="U493" t="str">
            <v>LUX</v>
          </cell>
          <cell r="V493" t="str">
            <v>CLOCK</v>
          </cell>
          <cell r="X493">
            <v>2.7E-2</v>
          </cell>
          <cell r="Y493">
            <v>0</v>
          </cell>
          <cell r="Z493">
            <v>2.7E-2</v>
          </cell>
          <cell r="AA493">
            <v>0</v>
          </cell>
          <cell r="AB493">
            <v>2.7E-2</v>
          </cell>
          <cell r="AC493">
            <v>0</v>
          </cell>
          <cell r="AD493">
            <v>2.7E-2</v>
          </cell>
          <cell r="AE493">
            <v>0</v>
          </cell>
          <cell r="AG493" t="str">
            <v/>
          </cell>
          <cell r="AH493" t="str">
            <v/>
          </cell>
          <cell r="AJ493">
            <v>2.7E-2</v>
          </cell>
          <cell r="AK493">
            <v>0</v>
          </cell>
          <cell r="AL493">
            <v>2.7E-2</v>
          </cell>
          <cell r="AM493">
            <v>0</v>
          </cell>
          <cell r="AN493">
            <v>2.7E-2</v>
          </cell>
          <cell r="AO493">
            <v>0</v>
          </cell>
          <cell r="AP493">
            <v>2.7E-2</v>
          </cell>
          <cell r="AQ493">
            <v>0</v>
          </cell>
          <cell r="AS493" t="str">
            <v/>
          </cell>
          <cell r="AT493" t="str">
            <v/>
          </cell>
          <cell r="AV493" t="b">
            <v>0</v>
          </cell>
          <cell r="AW493" t="str">
            <v>minute</v>
          </cell>
        </row>
        <row r="494">
          <cell r="S494" t="str">
            <v>DOM LUX LXCSV</v>
          </cell>
          <cell r="T494" t="str">
            <v>DOM</v>
          </cell>
          <cell r="U494" t="str">
            <v>LUX</v>
          </cell>
          <cell r="V494" t="str">
            <v>LXCSV</v>
          </cell>
          <cell r="X494">
            <v>1.37E-2</v>
          </cell>
          <cell r="Y494">
            <v>0</v>
          </cell>
          <cell r="Z494">
            <v>1.37E-2</v>
          </cell>
          <cell r="AA494">
            <v>0</v>
          </cell>
          <cell r="AB494">
            <v>1.37E-2</v>
          </cell>
          <cell r="AC494">
            <v>0</v>
          </cell>
          <cell r="AD494">
            <v>1.37E-2</v>
          </cell>
          <cell r="AE494">
            <v>0</v>
          </cell>
          <cell r="AG494" t="str">
            <v/>
          </cell>
          <cell r="AH494" t="str">
            <v/>
          </cell>
          <cell r="AJ494">
            <v>1.37E-2</v>
          </cell>
          <cell r="AK494">
            <v>0</v>
          </cell>
          <cell r="AL494">
            <v>1.37E-2</v>
          </cell>
          <cell r="AM494">
            <v>0</v>
          </cell>
          <cell r="AN494">
            <v>1.37E-2</v>
          </cell>
          <cell r="AO494">
            <v>0</v>
          </cell>
          <cell r="AP494">
            <v>1.37E-2</v>
          </cell>
          <cell r="AQ494">
            <v>0</v>
          </cell>
          <cell r="AS494" t="str">
            <v/>
          </cell>
          <cell r="AT494" t="str">
            <v/>
          </cell>
          <cell r="AV494" t="b">
            <v>0</v>
          </cell>
          <cell r="AW494" t="str">
            <v>minute</v>
          </cell>
        </row>
        <row r="495">
          <cell r="S495" t="str">
            <v>DOM LUX LXDIN</v>
          </cell>
          <cell r="T495" t="str">
            <v>DOM</v>
          </cell>
          <cell r="U495" t="str">
            <v>LUX</v>
          </cell>
          <cell r="V495" t="str">
            <v>LXDIN</v>
          </cell>
          <cell r="X495">
            <v>0.64680000000000004</v>
          </cell>
          <cell r="Y495">
            <v>0</v>
          </cell>
          <cell r="Z495">
            <v>0.64680000000000004</v>
          </cell>
          <cell r="AA495">
            <v>0</v>
          </cell>
          <cell r="AB495">
            <v>0.64680000000000004</v>
          </cell>
          <cell r="AC495">
            <v>0</v>
          </cell>
          <cell r="AD495">
            <v>0.64680000000000004</v>
          </cell>
          <cell r="AE495">
            <v>0</v>
          </cell>
          <cell r="AG495" t="str">
            <v/>
          </cell>
          <cell r="AH495" t="str">
            <v/>
          </cell>
          <cell r="AJ495">
            <v>0.64680000000000004</v>
          </cell>
          <cell r="AK495">
            <v>0</v>
          </cell>
          <cell r="AL495">
            <v>0.64680000000000004</v>
          </cell>
          <cell r="AM495">
            <v>0</v>
          </cell>
          <cell r="AN495">
            <v>0.64680000000000004</v>
          </cell>
          <cell r="AO495">
            <v>0</v>
          </cell>
          <cell r="AP495">
            <v>0.64680000000000004</v>
          </cell>
          <cell r="AQ495">
            <v>0</v>
          </cell>
          <cell r="AS495" t="str">
            <v/>
          </cell>
          <cell r="AT495" t="str">
            <v/>
          </cell>
          <cell r="AV495" t="b">
            <v>0</v>
          </cell>
          <cell r="AW495" t="str">
            <v>minute</v>
          </cell>
        </row>
        <row r="496">
          <cell r="S496" t="str">
            <v>DOM LUX AREA7</v>
          </cell>
          <cell r="T496" t="str">
            <v>DOM</v>
          </cell>
          <cell r="U496" t="str">
            <v>LUX</v>
          </cell>
          <cell r="V496" t="str">
            <v>AREA7</v>
          </cell>
          <cell r="X496">
            <v>0.42120000000000002</v>
          </cell>
          <cell r="Y496">
            <v>0</v>
          </cell>
          <cell r="Z496">
            <v>0.42120000000000002</v>
          </cell>
          <cell r="AA496">
            <v>0</v>
          </cell>
          <cell r="AB496">
            <v>0.42120000000000002</v>
          </cell>
          <cell r="AC496">
            <v>0</v>
          </cell>
          <cell r="AD496">
            <v>0.42120000000000002</v>
          </cell>
          <cell r="AE496">
            <v>0</v>
          </cell>
          <cell r="AG496" t="str">
            <v/>
          </cell>
          <cell r="AH496" t="str">
            <v/>
          </cell>
          <cell r="AJ496">
            <v>0.42120000000000002</v>
          </cell>
          <cell r="AK496">
            <v>0</v>
          </cell>
          <cell r="AL496">
            <v>0.42120000000000002</v>
          </cell>
          <cell r="AM496">
            <v>0</v>
          </cell>
          <cell r="AN496">
            <v>0.42120000000000002</v>
          </cell>
          <cell r="AO496">
            <v>0</v>
          </cell>
          <cell r="AP496">
            <v>0.42120000000000002</v>
          </cell>
          <cell r="AQ496">
            <v>0</v>
          </cell>
          <cell r="AS496" t="str">
            <v/>
          </cell>
          <cell r="AT496" t="str">
            <v/>
          </cell>
          <cell r="AV496" t="b">
            <v>0</v>
          </cell>
          <cell r="AW496" t="str">
            <v>minute</v>
          </cell>
        </row>
        <row r="497">
          <cell r="S497" t="str">
            <v>DOM LUX LXEMS</v>
          </cell>
          <cell r="T497" t="str">
            <v>DOM</v>
          </cell>
          <cell r="U497" t="str">
            <v>LUX</v>
          </cell>
          <cell r="V497" t="str">
            <v>LXEMS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 t="str">
            <v/>
          </cell>
          <cell r="AH497" t="str">
            <v/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S497" t="str">
            <v/>
          </cell>
          <cell r="AT497" t="str">
            <v/>
          </cell>
          <cell r="AV497" t="b">
            <v>0</v>
          </cell>
          <cell r="AW497" t="str">
            <v>minute</v>
          </cell>
        </row>
        <row r="498">
          <cell r="S498" t="str">
            <v>DOM LUX LXEUH</v>
          </cell>
          <cell r="T498" t="str">
            <v>DOM</v>
          </cell>
          <cell r="U498" t="str">
            <v>LUX</v>
          </cell>
          <cell r="V498" t="str">
            <v>LXEUH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 t="str">
            <v/>
          </cell>
          <cell r="AH498" t="str">
            <v/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S498" t="str">
            <v/>
          </cell>
          <cell r="AT498" t="str">
            <v/>
          </cell>
          <cell r="AV498" t="b">
            <v>0</v>
          </cell>
          <cell r="AW498" t="str">
            <v>minute</v>
          </cell>
        </row>
        <row r="499">
          <cell r="S499" t="str">
            <v>DOM LUX LXIS1</v>
          </cell>
          <cell r="T499" t="str">
            <v>DOM</v>
          </cell>
          <cell r="U499" t="str">
            <v>LUX</v>
          </cell>
          <cell r="V499" t="str">
            <v>LXIS1</v>
          </cell>
          <cell r="X499">
            <v>1.77E-2</v>
          </cell>
          <cell r="Y499">
            <v>0</v>
          </cell>
          <cell r="Z499">
            <v>1.77E-2</v>
          </cell>
          <cell r="AA499">
            <v>0</v>
          </cell>
          <cell r="AB499">
            <v>1.77E-2</v>
          </cell>
          <cell r="AC499">
            <v>0</v>
          </cell>
          <cell r="AD499">
            <v>1.77E-2</v>
          </cell>
          <cell r="AE499">
            <v>0</v>
          </cell>
          <cell r="AG499" t="str">
            <v/>
          </cell>
          <cell r="AH499" t="str">
            <v/>
          </cell>
          <cell r="AJ499">
            <v>1.77E-2</v>
          </cell>
          <cell r="AK499">
            <v>0</v>
          </cell>
          <cell r="AL499">
            <v>1.77E-2</v>
          </cell>
          <cell r="AM499">
            <v>0</v>
          </cell>
          <cell r="AN499">
            <v>1.77E-2</v>
          </cell>
          <cell r="AO499">
            <v>0</v>
          </cell>
          <cell r="AP499">
            <v>1.77E-2</v>
          </cell>
          <cell r="AQ499">
            <v>0</v>
          </cell>
          <cell r="AS499" t="str">
            <v/>
          </cell>
          <cell r="AT499" t="str">
            <v/>
          </cell>
          <cell r="AV499" t="b">
            <v>0</v>
          </cell>
          <cell r="AW499" t="str">
            <v>minute</v>
          </cell>
        </row>
        <row r="500">
          <cell r="S500" t="str">
            <v>DOM LUX LXIS2</v>
          </cell>
          <cell r="T500" t="str">
            <v>DOM</v>
          </cell>
          <cell r="U500" t="str">
            <v>LUX</v>
          </cell>
          <cell r="V500" t="str">
            <v>LXIS2</v>
          </cell>
          <cell r="X500">
            <v>3.61E-2</v>
          </cell>
          <cell r="Y500">
            <v>0</v>
          </cell>
          <cell r="Z500">
            <v>3.61E-2</v>
          </cell>
          <cell r="AA500">
            <v>0</v>
          </cell>
          <cell r="AB500">
            <v>3.61E-2</v>
          </cell>
          <cell r="AC500">
            <v>0</v>
          </cell>
          <cell r="AD500">
            <v>3.61E-2</v>
          </cell>
          <cell r="AE500">
            <v>0</v>
          </cell>
          <cell r="AG500" t="str">
            <v/>
          </cell>
          <cell r="AH500" t="str">
            <v/>
          </cell>
          <cell r="AJ500">
            <v>3.61E-2</v>
          </cell>
          <cell r="AK500">
            <v>0</v>
          </cell>
          <cell r="AL500">
            <v>3.61E-2</v>
          </cell>
          <cell r="AM500">
            <v>0</v>
          </cell>
          <cell r="AN500">
            <v>3.61E-2</v>
          </cell>
          <cell r="AO500">
            <v>0</v>
          </cell>
          <cell r="AP500">
            <v>3.61E-2</v>
          </cell>
          <cell r="AQ500">
            <v>0</v>
          </cell>
          <cell r="AS500" t="str">
            <v/>
          </cell>
          <cell r="AT500" t="str">
            <v/>
          </cell>
          <cell r="AV500" t="b">
            <v>0</v>
          </cell>
          <cell r="AW500" t="str">
            <v>minute</v>
          </cell>
        </row>
        <row r="501">
          <cell r="S501" t="str">
            <v>DOM LUX LXIS3</v>
          </cell>
          <cell r="T501" t="str">
            <v>DOM</v>
          </cell>
          <cell r="U501" t="str">
            <v>LUX</v>
          </cell>
          <cell r="V501" t="str">
            <v>LXIS3</v>
          </cell>
          <cell r="X501">
            <v>5.96E-2</v>
          </cell>
          <cell r="Y501">
            <v>0</v>
          </cell>
          <cell r="Z501">
            <v>5.96E-2</v>
          </cell>
          <cell r="AA501">
            <v>0</v>
          </cell>
          <cell r="AB501">
            <v>5.96E-2</v>
          </cell>
          <cell r="AC501">
            <v>0</v>
          </cell>
          <cell r="AD501">
            <v>5.96E-2</v>
          </cell>
          <cell r="AE501">
            <v>0</v>
          </cell>
          <cell r="AG501" t="str">
            <v/>
          </cell>
          <cell r="AH501" t="str">
            <v/>
          </cell>
          <cell r="AJ501">
            <v>5.96E-2</v>
          </cell>
          <cell r="AK501">
            <v>0</v>
          </cell>
          <cell r="AL501">
            <v>5.96E-2</v>
          </cell>
          <cell r="AM501">
            <v>0</v>
          </cell>
          <cell r="AN501">
            <v>5.96E-2</v>
          </cell>
          <cell r="AO501">
            <v>0</v>
          </cell>
          <cell r="AP501">
            <v>5.96E-2</v>
          </cell>
          <cell r="AQ501">
            <v>0</v>
          </cell>
          <cell r="AS501" t="str">
            <v/>
          </cell>
          <cell r="AT501" t="str">
            <v/>
          </cell>
          <cell r="AV501" t="b">
            <v>0</v>
          </cell>
          <cell r="AW501" t="str">
            <v>minute</v>
          </cell>
        </row>
        <row r="502">
          <cell r="S502" t="str">
            <v>DOM LUX LXOTS</v>
          </cell>
          <cell r="T502" t="str">
            <v>DOM</v>
          </cell>
          <cell r="U502" t="str">
            <v>LUX</v>
          </cell>
          <cell r="V502" t="str">
            <v>LXOTS</v>
          </cell>
          <cell r="X502">
            <v>4.1999999999999997E-3</v>
          </cell>
          <cell r="Y502">
            <v>0</v>
          </cell>
          <cell r="Z502">
            <v>4.1999999999999997E-3</v>
          </cell>
          <cell r="AA502">
            <v>0</v>
          </cell>
          <cell r="AB502">
            <v>4.1999999999999997E-3</v>
          </cell>
          <cell r="AC502">
            <v>0</v>
          </cell>
          <cell r="AD502">
            <v>4.1999999999999997E-3</v>
          </cell>
          <cell r="AE502">
            <v>0</v>
          </cell>
          <cell r="AG502" t="str">
            <v/>
          </cell>
          <cell r="AH502" t="str">
            <v/>
          </cell>
          <cell r="AJ502">
            <v>4.1999999999999997E-3</v>
          </cell>
          <cell r="AK502">
            <v>0</v>
          </cell>
          <cell r="AL502">
            <v>4.1999999999999997E-3</v>
          </cell>
          <cell r="AM502">
            <v>0</v>
          </cell>
          <cell r="AN502">
            <v>4.1999999999999997E-3</v>
          </cell>
          <cell r="AO502">
            <v>0</v>
          </cell>
          <cell r="AP502">
            <v>4.1999999999999997E-3</v>
          </cell>
          <cell r="AQ502">
            <v>0</v>
          </cell>
          <cell r="AS502" t="str">
            <v/>
          </cell>
          <cell r="AT502" t="str">
            <v/>
          </cell>
          <cell r="AV502" t="b">
            <v>0</v>
          </cell>
          <cell r="AW502" t="str">
            <v>minute</v>
          </cell>
        </row>
        <row r="503">
          <cell r="S503" t="str">
            <v>DOM LUX LXP1C</v>
          </cell>
          <cell r="T503" t="str">
            <v>DOM</v>
          </cell>
          <cell r="U503" t="str">
            <v>LUX</v>
          </cell>
          <cell r="V503" t="str">
            <v>LXP1C</v>
          </cell>
          <cell r="X503">
            <v>0</v>
          </cell>
          <cell r="Y503">
            <v>0.1087</v>
          </cell>
          <cell r="Z503">
            <v>0</v>
          </cell>
          <cell r="AA503">
            <v>0.1087</v>
          </cell>
          <cell r="AB503">
            <v>0</v>
          </cell>
          <cell r="AC503">
            <v>0.1087</v>
          </cell>
          <cell r="AD503">
            <v>0</v>
          </cell>
          <cell r="AE503">
            <v>0.1087</v>
          </cell>
          <cell r="AG503" t="str">
            <v/>
          </cell>
          <cell r="AH503" t="str">
            <v/>
          </cell>
          <cell r="AJ503">
            <v>0</v>
          </cell>
          <cell r="AK503">
            <v>0.1087</v>
          </cell>
          <cell r="AL503">
            <v>0</v>
          </cell>
          <cell r="AM503">
            <v>0.1087</v>
          </cell>
          <cell r="AN503">
            <v>0</v>
          </cell>
          <cell r="AO503">
            <v>0.1087</v>
          </cell>
          <cell r="AP503">
            <v>0</v>
          </cell>
          <cell r="AQ503">
            <v>0.1087</v>
          </cell>
          <cell r="AS503" t="str">
            <v/>
          </cell>
          <cell r="AT503" t="str">
            <v/>
          </cell>
          <cell r="AV503" t="b">
            <v>0</v>
          </cell>
          <cell r="AW503" t="str">
            <v>call</v>
          </cell>
        </row>
        <row r="504">
          <cell r="S504" t="str">
            <v>DOM LUX LXP1M</v>
          </cell>
          <cell r="T504" t="str">
            <v>DOM</v>
          </cell>
          <cell r="U504" t="str">
            <v>LUX</v>
          </cell>
          <cell r="V504" t="str">
            <v>LXP1M</v>
          </cell>
          <cell r="X504">
            <v>2.6100000000000002E-2</v>
          </cell>
          <cell r="Y504">
            <v>0</v>
          </cell>
          <cell r="Z504">
            <v>2.6100000000000002E-2</v>
          </cell>
          <cell r="AA504">
            <v>0</v>
          </cell>
          <cell r="AB504">
            <v>2.6100000000000002E-2</v>
          </cell>
          <cell r="AC504">
            <v>0</v>
          </cell>
          <cell r="AD504">
            <v>2.6100000000000002E-2</v>
          </cell>
          <cell r="AE504">
            <v>0</v>
          </cell>
          <cell r="AG504" t="str">
            <v/>
          </cell>
          <cell r="AH504" t="str">
            <v/>
          </cell>
          <cell r="AJ504">
            <v>2.6100000000000002E-2</v>
          </cell>
          <cell r="AK504">
            <v>0</v>
          </cell>
          <cell r="AL504">
            <v>2.6100000000000002E-2</v>
          </cell>
          <cell r="AM504">
            <v>0</v>
          </cell>
          <cell r="AN504">
            <v>2.6100000000000002E-2</v>
          </cell>
          <cell r="AO504">
            <v>0</v>
          </cell>
          <cell r="AP504">
            <v>2.6100000000000002E-2</v>
          </cell>
          <cell r="AQ504">
            <v>0</v>
          </cell>
          <cell r="AS504" t="str">
            <v/>
          </cell>
          <cell r="AT504" t="str">
            <v/>
          </cell>
          <cell r="AV504" t="b">
            <v>0</v>
          </cell>
          <cell r="AW504" t="str">
            <v>minute</v>
          </cell>
        </row>
        <row r="505">
          <cell r="S505" t="str">
            <v>DOM LUX LXP2C</v>
          </cell>
          <cell r="T505" t="str">
            <v>DOM</v>
          </cell>
          <cell r="U505" t="str">
            <v>LUX</v>
          </cell>
          <cell r="V505" t="str">
            <v>LXP2C</v>
          </cell>
          <cell r="X505">
            <v>0</v>
          </cell>
          <cell r="Y505">
            <v>0.21740000000000001</v>
          </cell>
          <cell r="Z505">
            <v>0</v>
          </cell>
          <cell r="AA505">
            <v>0.21740000000000001</v>
          </cell>
          <cell r="AB505">
            <v>0</v>
          </cell>
          <cell r="AC505">
            <v>0.21740000000000001</v>
          </cell>
          <cell r="AD505">
            <v>0</v>
          </cell>
          <cell r="AE505">
            <v>0.21740000000000001</v>
          </cell>
          <cell r="AG505" t="str">
            <v/>
          </cell>
          <cell r="AH505" t="str">
            <v/>
          </cell>
          <cell r="AJ505">
            <v>0</v>
          </cell>
          <cell r="AK505">
            <v>0.21740000000000001</v>
          </cell>
          <cell r="AL505">
            <v>0</v>
          </cell>
          <cell r="AM505">
            <v>0.21740000000000001</v>
          </cell>
          <cell r="AN505">
            <v>0</v>
          </cell>
          <cell r="AO505">
            <v>0.21740000000000001</v>
          </cell>
          <cell r="AP505">
            <v>0</v>
          </cell>
          <cell r="AQ505">
            <v>0.21740000000000001</v>
          </cell>
          <cell r="AS505" t="str">
            <v/>
          </cell>
          <cell r="AT505" t="str">
            <v/>
          </cell>
          <cell r="AV505" t="b">
            <v>0</v>
          </cell>
          <cell r="AW505" t="str">
            <v>call</v>
          </cell>
        </row>
        <row r="506">
          <cell r="S506" t="str">
            <v>DOM LUX LXP2M</v>
          </cell>
          <cell r="T506" t="str">
            <v>DOM</v>
          </cell>
          <cell r="U506" t="str">
            <v>LUX</v>
          </cell>
          <cell r="V506" t="str">
            <v>LXP2M</v>
          </cell>
          <cell r="X506">
            <v>0.1303</v>
          </cell>
          <cell r="Y506">
            <v>0</v>
          </cell>
          <cell r="Z506">
            <v>0.1303</v>
          </cell>
          <cell r="AA506">
            <v>0</v>
          </cell>
          <cell r="AB506">
            <v>0.1303</v>
          </cell>
          <cell r="AC506">
            <v>0</v>
          </cell>
          <cell r="AD506">
            <v>0.1303</v>
          </cell>
          <cell r="AE506">
            <v>0</v>
          </cell>
          <cell r="AG506" t="str">
            <v/>
          </cell>
          <cell r="AH506" t="str">
            <v/>
          </cell>
          <cell r="AJ506">
            <v>0.1303</v>
          </cell>
          <cell r="AK506">
            <v>0</v>
          </cell>
          <cell r="AL506">
            <v>0.1303</v>
          </cell>
          <cell r="AM506">
            <v>0</v>
          </cell>
          <cell r="AN506">
            <v>0.1303</v>
          </cell>
          <cell r="AO506">
            <v>0</v>
          </cell>
          <cell r="AP506">
            <v>0.1303</v>
          </cell>
          <cell r="AQ506">
            <v>0</v>
          </cell>
          <cell r="AS506" t="str">
            <v/>
          </cell>
          <cell r="AT506" t="str">
            <v/>
          </cell>
          <cell r="AV506" t="b">
            <v>0</v>
          </cell>
          <cell r="AW506" t="str">
            <v>minute</v>
          </cell>
        </row>
        <row r="507">
          <cell r="S507" t="str">
            <v>DOM LUX LXP3C</v>
          </cell>
          <cell r="T507" t="str">
            <v>DOM</v>
          </cell>
          <cell r="U507" t="str">
            <v>LUX</v>
          </cell>
          <cell r="V507" t="str">
            <v>LXP3C</v>
          </cell>
          <cell r="X507">
            <v>0</v>
          </cell>
          <cell r="Y507">
            <v>0.43480000000000002</v>
          </cell>
          <cell r="Z507">
            <v>0</v>
          </cell>
          <cell r="AA507">
            <v>0.43480000000000002</v>
          </cell>
          <cell r="AB507">
            <v>0</v>
          </cell>
          <cell r="AC507">
            <v>0.43480000000000002</v>
          </cell>
          <cell r="AD507">
            <v>0</v>
          </cell>
          <cell r="AE507">
            <v>0.43480000000000002</v>
          </cell>
          <cell r="AG507" t="str">
            <v/>
          </cell>
          <cell r="AH507" t="str">
            <v/>
          </cell>
          <cell r="AJ507">
            <v>0</v>
          </cell>
          <cell r="AK507">
            <v>0.43480000000000002</v>
          </cell>
          <cell r="AL507">
            <v>0</v>
          </cell>
          <cell r="AM507">
            <v>0.43480000000000002</v>
          </cell>
          <cell r="AN507">
            <v>0</v>
          </cell>
          <cell r="AO507">
            <v>0.43480000000000002</v>
          </cell>
          <cell r="AP507">
            <v>0</v>
          </cell>
          <cell r="AQ507">
            <v>0.43480000000000002</v>
          </cell>
          <cell r="AS507" t="str">
            <v/>
          </cell>
          <cell r="AT507" t="str">
            <v/>
          </cell>
          <cell r="AV507" t="b">
            <v>0</v>
          </cell>
          <cell r="AW507" t="str">
            <v>call</v>
          </cell>
        </row>
        <row r="508">
          <cell r="S508" t="str">
            <v>DOM LUX LXP3M</v>
          </cell>
          <cell r="T508" t="str">
            <v>DOM</v>
          </cell>
          <cell r="U508" t="str">
            <v>LUX</v>
          </cell>
          <cell r="V508" t="str">
            <v>LXP3M</v>
          </cell>
          <cell r="X508">
            <v>0.21740000000000001</v>
          </cell>
          <cell r="Y508">
            <v>0</v>
          </cell>
          <cell r="Z508">
            <v>0.21740000000000001</v>
          </cell>
          <cell r="AA508">
            <v>0</v>
          </cell>
          <cell r="AB508">
            <v>0.21740000000000001</v>
          </cell>
          <cell r="AC508">
            <v>0</v>
          </cell>
          <cell r="AD508">
            <v>0.21740000000000001</v>
          </cell>
          <cell r="AE508">
            <v>0</v>
          </cell>
          <cell r="AG508" t="str">
            <v/>
          </cell>
          <cell r="AH508" t="str">
            <v/>
          </cell>
          <cell r="AJ508">
            <v>0.21740000000000001</v>
          </cell>
          <cell r="AK508">
            <v>0</v>
          </cell>
          <cell r="AL508">
            <v>0.21740000000000001</v>
          </cell>
          <cell r="AM508">
            <v>0</v>
          </cell>
          <cell r="AN508">
            <v>0.21740000000000001</v>
          </cell>
          <cell r="AO508">
            <v>0</v>
          </cell>
          <cell r="AP508">
            <v>0.21740000000000001</v>
          </cell>
          <cell r="AQ508">
            <v>0</v>
          </cell>
          <cell r="AS508" t="str">
            <v/>
          </cell>
          <cell r="AT508" t="str">
            <v/>
          </cell>
          <cell r="AV508" t="b">
            <v>0</v>
          </cell>
          <cell r="AW508" t="str">
            <v>minute</v>
          </cell>
        </row>
        <row r="509">
          <cell r="S509" t="str">
            <v>DOM LUX LXP4C</v>
          </cell>
          <cell r="T509" t="str">
            <v>DOM</v>
          </cell>
          <cell r="U509" t="str">
            <v>LUX</v>
          </cell>
          <cell r="V509" t="str">
            <v>LXP4C</v>
          </cell>
          <cell r="X509">
            <v>0</v>
          </cell>
          <cell r="Y509">
            <v>0.6522</v>
          </cell>
          <cell r="Z509">
            <v>0</v>
          </cell>
          <cell r="AA509">
            <v>0.6522</v>
          </cell>
          <cell r="AB509">
            <v>0</v>
          </cell>
          <cell r="AC509">
            <v>0.6522</v>
          </cell>
          <cell r="AD509">
            <v>0</v>
          </cell>
          <cell r="AE509">
            <v>0.6522</v>
          </cell>
          <cell r="AG509" t="str">
            <v/>
          </cell>
          <cell r="AH509" t="str">
            <v/>
          </cell>
          <cell r="AJ509">
            <v>0</v>
          </cell>
          <cell r="AK509">
            <v>0.6522</v>
          </cell>
          <cell r="AL509">
            <v>0</v>
          </cell>
          <cell r="AM509">
            <v>0.6522</v>
          </cell>
          <cell r="AN509">
            <v>0</v>
          </cell>
          <cell r="AO509">
            <v>0.6522</v>
          </cell>
          <cell r="AP509">
            <v>0</v>
          </cell>
          <cell r="AQ509">
            <v>0.6522</v>
          </cell>
          <cell r="AS509" t="str">
            <v/>
          </cell>
          <cell r="AT509" t="str">
            <v/>
          </cell>
          <cell r="AV509" t="b">
            <v>0</v>
          </cell>
          <cell r="AW509" t="str">
            <v>call</v>
          </cell>
        </row>
        <row r="510">
          <cell r="S510" t="str">
            <v>DOM LUX LXP4M</v>
          </cell>
          <cell r="T510" t="str">
            <v>DOM</v>
          </cell>
          <cell r="U510" t="str">
            <v>LUX</v>
          </cell>
          <cell r="V510" t="str">
            <v>LXP4M</v>
          </cell>
          <cell r="X510">
            <v>0.3478</v>
          </cell>
          <cell r="Y510">
            <v>0</v>
          </cell>
          <cell r="Z510">
            <v>0.3478</v>
          </cell>
          <cell r="AA510">
            <v>0</v>
          </cell>
          <cell r="AB510">
            <v>0.3478</v>
          </cell>
          <cell r="AC510">
            <v>0</v>
          </cell>
          <cell r="AD510">
            <v>0.3478</v>
          </cell>
          <cell r="AE510">
            <v>0</v>
          </cell>
          <cell r="AG510" t="str">
            <v/>
          </cell>
          <cell r="AH510" t="str">
            <v/>
          </cell>
          <cell r="AJ510">
            <v>0.3478</v>
          </cell>
          <cell r="AK510">
            <v>0</v>
          </cell>
          <cell r="AL510">
            <v>0.3478</v>
          </cell>
          <cell r="AM510">
            <v>0</v>
          </cell>
          <cell r="AN510">
            <v>0.3478</v>
          </cell>
          <cell r="AO510">
            <v>0</v>
          </cell>
          <cell r="AP510">
            <v>0.3478</v>
          </cell>
          <cell r="AQ510">
            <v>0</v>
          </cell>
          <cell r="AS510" t="str">
            <v/>
          </cell>
          <cell r="AT510" t="str">
            <v/>
          </cell>
          <cell r="AV510" t="b">
            <v>0</v>
          </cell>
          <cell r="AW510" t="str">
            <v>minute</v>
          </cell>
        </row>
        <row r="511">
          <cell r="S511" t="str">
            <v>DOM LUX LXP5C</v>
          </cell>
          <cell r="T511" t="str">
            <v>DOM</v>
          </cell>
          <cell r="U511" t="str">
            <v>LUX</v>
          </cell>
          <cell r="V511" t="str">
            <v>LXP5C</v>
          </cell>
          <cell r="X511">
            <v>0</v>
          </cell>
          <cell r="Y511">
            <v>1.3043</v>
          </cell>
          <cell r="Z511">
            <v>0</v>
          </cell>
          <cell r="AA511">
            <v>1.3043</v>
          </cell>
          <cell r="AB511">
            <v>0</v>
          </cell>
          <cell r="AC511">
            <v>1.3043</v>
          </cell>
          <cell r="AD511">
            <v>0</v>
          </cell>
          <cell r="AE511">
            <v>1.3043</v>
          </cell>
          <cell r="AG511" t="str">
            <v/>
          </cell>
          <cell r="AH511" t="str">
            <v/>
          </cell>
          <cell r="AJ511">
            <v>0</v>
          </cell>
          <cell r="AK511">
            <v>1.3043</v>
          </cell>
          <cell r="AL511">
            <v>0</v>
          </cell>
          <cell r="AM511">
            <v>1.3043</v>
          </cell>
          <cell r="AN511">
            <v>0</v>
          </cell>
          <cell r="AO511">
            <v>1.3043</v>
          </cell>
          <cell r="AP511">
            <v>0</v>
          </cell>
          <cell r="AQ511">
            <v>1.3043</v>
          </cell>
          <cell r="AS511" t="str">
            <v/>
          </cell>
          <cell r="AT511" t="str">
            <v/>
          </cell>
          <cell r="AV511" t="b">
            <v>0</v>
          </cell>
          <cell r="AW511" t="str">
            <v>call</v>
          </cell>
        </row>
        <row r="512">
          <cell r="S512" t="str">
            <v>DOM LUX LXP5M</v>
          </cell>
          <cell r="T512" t="str">
            <v>DOM</v>
          </cell>
          <cell r="U512" t="str">
            <v>LUX</v>
          </cell>
          <cell r="V512" t="str">
            <v>LXP5M</v>
          </cell>
          <cell r="X512">
            <v>0.56520000000000004</v>
          </cell>
          <cell r="Y512">
            <v>0</v>
          </cell>
          <cell r="Z512">
            <v>0.56520000000000004</v>
          </cell>
          <cell r="AA512">
            <v>0</v>
          </cell>
          <cell r="AB512">
            <v>0.56520000000000004</v>
          </cell>
          <cell r="AC512">
            <v>0</v>
          </cell>
          <cell r="AD512">
            <v>0.56520000000000004</v>
          </cell>
          <cell r="AE512">
            <v>0</v>
          </cell>
          <cell r="AG512" t="str">
            <v/>
          </cell>
          <cell r="AH512" t="str">
            <v/>
          </cell>
          <cell r="AJ512">
            <v>0.56520000000000004</v>
          </cell>
          <cell r="AK512">
            <v>0</v>
          </cell>
          <cell r="AL512">
            <v>0.56520000000000004</v>
          </cell>
          <cell r="AM512">
            <v>0</v>
          </cell>
          <cell r="AN512">
            <v>0.56520000000000004</v>
          </cell>
          <cell r="AO512">
            <v>0</v>
          </cell>
          <cell r="AP512">
            <v>0.56520000000000004</v>
          </cell>
          <cell r="AQ512">
            <v>0</v>
          </cell>
          <cell r="AS512" t="str">
            <v/>
          </cell>
          <cell r="AT512" t="str">
            <v/>
          </cell>
          <cell r="AV512" t="b">
            <v>0</v>
          </cell>
          <cell r="AW512" t="str">
            <v>minute</v>
          </cell>
        </row>
        <row r="513">
          <cell r="S513" t="str">
            <v>DOM LUX LXP6C</v>
          </cell>
          <cell r="T513" t="str">
            <v>DOM</v>
          </cell>
          <cell r="U513" t="str">
            <v>LUX</v>
          </cell>
          <cell r="V513" t="str">
            <v>LXP6C</v>
          </cell>
          <cell r="X513">
            <v>0</v>
          </cell>
          <cell r="Y513">
            <v>1.9560999999999999</v>
          </cell>
          <cell r="Z513">
            <v>0</v>
          </cell>
          <cell r="AA513">
            <v>1.9560999999999999</v>
          </cell>
          <cell r="AB513">
            <v>0</v>
          </cell>
          <cell r="AC513">
            <v>1.9560999999999999</v>
          </cell>
          <cell r="AD513">
            <v>0</v>
          </cell>
          <cell r="AE513">
            <v>1.9560999999999999</v>
          </cell>
          <cell r="AG513" t="str">
            <v/>
          </cell>
          <cell r="AH513" t="str">
            <v/>
          </cell>
          <cell r="AJ513">
            <v>0</v>
          </cell>
          <cell r="AK513">
            <v>1.9560999999999999</v>
          </cell>
          <cell r="AL513">
            <v>0</v>
          </cell>
          <cell r="AM513">
            <v>1.9560999999999999</v>
          </cell>
          <cell r="AN513">
            <v>0</v>
          </cell>
          <cell r="AO513">
            <v>1.9560999999999999</v>
          </cell>
          <cell r="AP513">
            <v>0</v>
          </cell>
          <cell r="AQ513">
            <v>1.9560999999999999</v>
          </cell>
          <cell r="AS513" t="str">
            <v/>
          </cell>
          <cell r="AT513" t="str">
            <v/>
          </cell>
          <cell r="AV513" t="b">
            <v>0</v>
          </cell>
          <cell r="AW513" t="str">
            <v>call</v>
          </cell>
        </row>
        <row r="514">
          <cell r="S514" t="str">
            <v>DOM LUX LXP6M</v>
          </cell>
          <cell r="T514" t="str">
            <v>DOM</v>
          </cell>
          <cell r="U514" t="str">
            <v>LUX</v>
          </cell>
          <cell r="V514" t="str">
            <v>LXP6M</v>
          </cell>
          <cell r="X514">
            <v>0.73909999999999998</v>
          </cell>
          <cell r="Y514">
            <v>0</v>
          </cell>
          <cell r="Z514">
            <v>0.73909999999999998</v>
          </cell>
          <cell r="AA514">
            <v>0</v>
          </cell>
          <cell r="AB514">
            <v>0.73909999999999998</v>
          </cell>
          <cell r="AC514">
            <v>0</v>
          </cell>
          <cell r="AD514">
            <v>0.73909999999999998</v>
          </cell>
          <cell r="AE514">
            <v>0</v>
          </cell>
          <cell r="AG514" t="str">
            <v/>
          </cell>
          <cell r="AH514" t="str">
            <v/>
          </cell>
          <cell r="AJ514">
            <v>0.73909999999999998</v>
          </cell>
          <cell r="AK514">
            <v>0</v>
          </cell>
          <cell r="AL514">
            <v>0.73909999999999998</v>
          </cell>
          <cell r="AM514">
            <v>0</v>
          </cell>
          <cell r="AN514">
            <v>0.73909999999999998</v>
          </cell>
          <cell r="AO514">
            <v>0</v>
          </cell>
          <cell r="AP514">
            <v>0.73909999999999998</v>
          </cell>
          <cell r="AQ514">
            <v>0</v>
          </cell>
          <cell r="AS514" t="str">
            <v/>
          </cell>
          <cell r="AT514" t="str">
            <v/>
          </cell>
          <cell r="AV514" t="b">
            <v>0</v>
          </cell>
          <cell r="AW514" t="str">
            <v>minute</v>
          </cell>
        </row>
        <row r="515">
          <cell r="S515" t="str">
            <v>DOM LUX LXP7C</v>
          </cell>
          <cell r="T515" t="str">
            <v>DOM</v>
          </cell>
          <cell r="U515" t="str">
            <v>LUX</v>
          </cell>
          <cell r="V515" t="str">
            <v>LXP7C</v>
          </cell>
          <cell r="X515">
            <v>0</v>
          </cell>
          <cell r="Y515">
            <v>2.6086</v>
          </cell>
          <cell r="Z515">
            <v>0</v>
          </cell>
          <cell r="AA515">
            <v>2.6086</v>
          </cell>
          <cell r="AB515">
            <v>0</v>
          </cell>
          <cell r="AC515">
            <v>2.6086</v>
          </cell>
          <cell r="AD515">
            <v>0</v>
          </cell>
          <cell r="AE515">
            <v>2.6086</v>
          </cell>
          <cell r="AG515" t="str">
            <v/>
          </cell>
          <cell r="AH515" t="str">
            <v/>
          </cell>
          <cell r="AJ515">
            <v>0</v>
          </cell>
          <cell r="AK515">
            <v>2.6086</v>
          </cell>
          <cell r="AL515">
            <v>0</v>
          </cell>
          <cell r="AM515">
            <v>2.6086</v>
          </cell>
          <cell r="AN515">
            <v>0</v>
          </cell>
          <cell r="AO515">
            <v>2.6086</v>
          </cell>
          <cell r="AP515">
            <v>0</v>
          </cell>
          <cell r="AQ515">
            <v>2.6086</v>
          </cell>
          <cell r="AS515" t="str">
            <v/>
          </cell>
          <cell r="AT515" t="str">
            <v/>
          </cell>
          <cell r="AV515" t="b">
            <v>0</v>
          </cell>
          <cell r="AW515" t="str">
            <v>call</v>
          </cell>
        </row>
        <row r="516">
          <cell r="S516" t="str">
            <v>DOM LUX LXP7M</v>
          </cell>
          <cell r="T516" t="str">
            <v>DOM</v>
          </cell>
          <cell r="U516" t="str">
            <v>LUX</v>
          </cell>
          <cell r="V516" t="str">
            <v>LXP7M</v>
          </cell>
          <cell r="X516">
            <v>1</v>
          </cell>
          <cell r="Y516">
            <v>0</v>
          </cell>
          <cell r="Z516">
            <v>1</v>
          </cell>
          <cell r="AA516">
            <v>0</v>
          </cell>
          <cell r="AB516">
            <v>1</v>
          </cell>
          <cell r="AC516">
            <v>0</v>
          </cell>
          <cell r="AD516">
            <v>1</v>
          </cell>
          <cell r="AE516">
            <v>0</v>
          </cell>
          <cell r="AG516" t="str">
            <v/>
          </cell>
          <cell r="AH516" t="str">
            <v/>
          </cell>
          <cell r="AJ516">
            <v>1</v>
          </cell>
          <cell r="AK516">
            <v>0</v>
          </cell>
          <cell r="AL516">
            <v>1</v>
          </cell>
          <cell r="AM516">
            <v>0</v>
          </cell>
          <cell r="AN516">
            <v>1</v>
          </cell>
          <cell r="AO516">
            <v>0</v>
          </cell>
          <cell r="AP516">
            <v>1</v>
          </cell>
          <cell r="AQ516">
            <v>0</v>
          </cell>
          <cell r="AS516" t="str">
            <v/>
          </cell>
          <cell r="AT516" t="str">
            <v/>
          </cell>
          <cell r="AV516" t="b">
            <v>0</v>
          </cell>
          <cell r="AW516" t="str">
            <v>minute</v>
          </cell>
        </row>
        <row r="517">
          <cell r="S517" t="str">
            <v>DOM LUX LXP8C</v>
          </cell>
          <cell r="T517" t="str">
            <v>DOM</v>
          </cell>
          <cell r="U517" t="str">
            <v>LUX</v>
          </cell>
          <cell r="V517" t="str">
            <v>LXP8C</v>
          </cell>
          <cell r="X517">
            <v>0</v>
          </cell>
          <cell r="Y517">
            <v>5.2172000000000001</v>
          </cell>
          <cell r="Z517">
            <v>0</v>
          </cell>
          <cell r="AA517">
            <v>5.2172000000000001</v>
          </cell>
          <cell r="AB517">
            <v>0</v>
          </cell>
          <cell r="AC517">
            <v>5.2172000000000001</v>
          </cell>
          <cell r="AD517">
            <v>0</v>
          </cell>
          <cell r="AE517">
            <v>5.2172000000000001</v>
          </cell>
          <cell r="AG517" t="str">
            <v/>
          </cell>
          <cell r="AH517" t="str">
            <v/>
          </cell>
          <cell r="AJ517">
            <v>0</v>
          </cell>
          <cell r="AK517">
            <v>5.2172000000000001</v>
          </cell>
          <cell r="AL517">
            <v>0</v>
          </cell>
          <cell r="AM517">
            <v>5.2172000000000001</v>
          </cell>
          <cell r="AN517">
            <v>0</v>
          </cell>
          <cell r="AO517">
            <v>5.2172000000000001</v>
          </cell>
          <cell r="AP517">
            <v>0</v>
          </cell>
          <cell r="AQ517">
            <v>5.2172000000000001</v>
          </cell>
          <cell r="AS517" t="str">
            <v/>
          </cell>
          <cell r="AT517" t="str">
            <v/>
          </cell>
          <cell r="AV517" t="b">
            <v>0</v>
          </cell>
          <cell r="AW517" t="str">
            <v>call</v>
          </cell>
        </row>
        <row r="518">
          <cell r="S518" t="str">
            <v>DOM LUX LXP8M</v>
          </cell>
          <cell r="T518" t="str">
            <v>DOM</v>
          </cell>
          <cell r="U518" t="str">
            <v>LUX</v>
          </cell>
          <cell r="V518" t="str">
            <v>LXP8M</v>
          </cell>
          <cell r="X518">
            <v>1.7391000000000001</v>
          </cell>
          <cell r="Y518">
            <v>0</v>
          </cell>
          <cell r="Z518">
            <v>1.7391000000000001</v>
          </cell>
          <cell r="AA518">
            <v>0</v>
          </cell>
          <cell r="AB518">
            <v>1.7391000000000001</v>
          </cell>
          <cell r="AC518">
            <v>0</v>
          </cell>
          <cell r="AD518">
            <v>1.7391000000000001</v>
          </cell>
          <cell r="AE518">
            <v>0</v>
          </cell>
          <cell r="AG518" t="str">
            <v/>
          </cell>
          <cell r="AH518" t="str">
            <v/>
          </cell>
          <cell r="AJ518">
            <v>1.7391000000000001</v>
          </cell>
          <cell r="AK518">
            <v>0</v>
          </cell>
          <cell r="AL518">
            <v>1.7391000000000001</v>
          </cell>
          <cell r="AM518">
            <v>0</v>
          </cell>
          <cell r="AN518">
            <v>1.7391000000000001</v>
          </cell>
          <cell r="AO518">
            <v>0</v>
          </cell>
          <cell r="AP518">
            <v>1.7391000000000001</v>
          </cell>
          <cell r="AQ518">
            <v>0</v>
          </cell>
          <cell r="AS518" t="str">
            <v/>
          </cell>
          <cell r="AT518" t="str">
            <v/>
          </cell>
          <cell r="AV518" t="b">
            <v>0</v>
          </cell>
          <cell r="AW518" t="str">
            <v>minute</v>
          </cell>
        </row>
        <row r="519">
          <cell r="S519" t="str">
            <v>DOM LUX LXSC1</v>
          </cell>
          <cell r="T519" t="str">
            <v>DOM</v>
          </cell>
          <cell r="U519" t="str">
            <v>LUX</v>
          </cell>
          <cell r="V519" t="str">
            <v>LXSC1</v>
          </cell>
          <cell r="X519">
            <v>1.67E-2</v>
          </cell>
          <cell r="Y519">
            <v>0</v>
          </cell>
          <cell r="Z519">
            <v>1.67E-2</v>
          </cell>
          <cell r="AA519">
            <v>0</v>
          </cell>
          <cell r="AB519">
            <v>1.67E-2</v>
          </cell>
          <cell r="AC519">
            <v>0</v>
          </cell>
          <cell r="AD519">
            <v>1.67E-2</v>
          </cell>
          <cell r="AE519">
            <v>0</v>
          </cell>
          <cell r="AG519" t="str">
            <v/>
          </cell>
          <cell r="AH519" t="str">
            <v/>
          </cell>
          <cell r="AJ519">
            <v>1.67E-2</v>
          </cell>
          <cell r="AK519">
            <v>0</v>
          </cell>
          <cell r="AL519">
            <v>1.67E-2</v>
          </cell>
          <cell r="AM519">
            <v>0</v>
          </cell>
          <cell r="AN519">
            <v>1.67E-2</v>
          </cell>
          <cell r="AO519">
            <v>0</v>
          </cell>
          <cell r="AP519">
            <v>1.67E-2</v>
          </cell>
          <cell r="AQ519">
            <v>0</v>
          </cell>
          <cell r="AS519" t="str">
            <v/>
          </cell>
          <cell r="AT519" t="str">
            <v/>
          </cell>
          <cell r="AV519" t="b">
            <v>0</v>
          </cell>
          <cell r="AW519" t="str">
            <v>minute</v>
          </cell>
        </row>
        <row r="520">
          <cell r="S520" t="str">
            <v>DOM LUX LXTS</v>
          </cell>
          <cell r="T520" t="str">
            <v>DOM</v>
          </cell>
          <cell r="U520" t="str">
            <v>LUX</v>
          </cell>
          <cell r="V520" t="str">
            <v>LXTS</v>
          </cell>
          <cell r="X520">
            <v>0</v>
          </cell>
          <cell r="Y520">
            <v>0.1043</v>
          </cell>
          <cell r="Z520">
            <v>0</v>
          </cell>
          <cell r="AA520">
            <v>0.1043</v>
          </cell>
          <cell r="AB520">
            <v>0</v>
          </cell>
          <cell r="AC520">
            <v>0.1043</v>
          </cell>
          <cell r="AD520">
            <v>0</v>
          </cell>
          <cell r="AE520">
            <v>0.1043</v>
          </cell>
          <cell r="AG520" t="str">
            <v/>
          </cell>
          <cell r="AH520" t="str">
            <v/>
          </cell>
          <cell r="AJ520">
            <v>0</v>
          </cell>
          <cell r="AK520">
            <v>0.1043</v>
          </cell>
          <cell r="AL520">
            <v>0</v>
          </cell>
          <cell r="AM520">
            <v>0.1043</v>
          </cell>
          <cell r="AN520">
            <v>0</v>
          </cell>
          <cell r="AO520">
            <v>0.1043</v>
          </cell>
          <cell r="AP520">
            <v>0</v>
          </cell>
          <cell r="AQ520">
            <v>0.1043</v>
          </cell>
          <cell r="AS520" t="str">
            <v/>
          </cell>
          <cell r="AT520" t="str">
            <v/>
          </cell>
          <cell r="AV520" t="b">
            <v>0</v>
          </cell>
          <cell r="AW520" t="str">
            <v>call</v>
          </cell>
        </row>
        <row r="521">
          <cell r="S521" t="str">
            <v>DOM LUX LXTF</v>
          </cell>
          <cell r="T521" t="str">
            <v>DOM</v>
          </cell>
          <cell r="U521" t="str">
            <v>LUX</v>
          </cell>
          <cell r="V521" t="str">
            <v>LXTF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G521" t="str">
            <v/>
          </cell>
          <cell r="AH521" t="str">
            <v/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S521" t="str">
            <v/>
          </cell>
          <cell r="AT521" t="str">
            <v/>
          </cell>
          <cell r="AV521" t="b">
            <v>0</v>
          </cell>
          <cell r="AW521" t="str">
            <v>minute</v>
          </cell>
        </row>
        <row r="522">
          <cell r="S522" t="str">
            <v>DOM MYS MMOB</v>
          </cell>
          <cell r="T522" t="str">
            <v>DOM</v>
          </cell>
          <cell r="U522" t="str">
            <v>MYS</v>
          </cell>
          <cell r="V522" t="str">
            <v>MMOB</v>
          </cell>
          <cell r="X522">
            <v>3.3099999999999997E-2</v>
          </cell>
          <cell r="Y522">
            <v>0</v>
          </cell>
          <cell r="Z522">
            <v>2.8799999999999999E-2</v>
          </cell>
          <cell r="AA522">
            <v>0</v>
          </cell>
          <cell r="AB522">
            <v>2.5000000000000001E-2</v>
          </cell>
          <cell r="AC522">
            <v>0</v>
          </cell>
          <cell r="AD522">
            <v>2.18E-2</v>
          </cell>
          <cell r="AE522">
            <v>0</v>
          </cell>
          <cell r="AG522" t="str">
            <v/>
          </cell>
          <cell r="AH522" t="str">
            <v/>
          </cell>
          <cell r="AJ522">
            <v>3.3099999999999997E-2</v>
          </cell>
          <cell r="AK522">
            <v>0</v>
          </cell>
          <cell r="AL522">
            <v>2.8799999999999999E-2</v>
          </cell>
          <cell r="AM522">
            <v>0</v>
          </cell>
          <cell r="AN522">
            <v>2.5000000000000001E-2</v>
          </cell>
          <cell r="AO522">
            <v>0</v>
          </cell>
          <cell r="AP522">
            <v>2.18E-2</v>
          </cell>
          <cell r="AQ522">
            <v>0</v>
          </cell>
          <cell r="AS522" t="str">
            <v/>
          </cell>
          <cell r="AT522" t="str">
            <v/>
          </cell>
          <cell r="AV522" t="b">
            <v>1</v>
          </cell>
          <cell r="AW522" t="str">
            <v>minute</v>
          </cell>
        </row>
        <row r="523">
          <cell r="S523" t="str">
            <v>DOM MYS MALA</v>
          </cell>
          <cell r="T523" t="str">
            <v>DOM</v>
          </cell>
          <cell r="U523" t="str">
            <v>MYS</v>
          </cell>
          <cell r="V523" t="str">
            <v>MALA</v>
          </cell>
          <cell r="X523">
            <v>3.1899999999999998E-2</v>
          </cell>
          <cell r="Y523">
            <v>0</v>
          </cell>
          <cell r="Z523">
            <v>2.7799999999999998E-2</v>
          </cell>
          <cell r="AA523">
            <v>0</v>
          </cell>
          <cell r="AB523">
            <v>2.41E-2</v>
          </cell>
          <cell r="AC523">
            <v>0</v>
          </cell>
          <cell r="AD523">
            <v>2.1000000000000001E-2</v>
          </cell>
          <cell r="AE523">
            <v>0</v>
          </cell>
          <cell r="AG523" t="str">
            <v/>
          </cell>
          <cell r="AH523" t="str">
            <v/>
          </cell>
          <cell r="AJ523">
            <v>3.1899999999999998E-2</v>
          </cell>
          <cell r="AK523">
            <v>0</v>
          </cell>
          <cell r="AL523">
            <v>2.7799999999999998E-2</v>
          </cell>
          <cell r="AM523">
            <v>0</v>
          </cell>
          <cell r="AN523">
            <v>2.41E-2</v>
          </cell>
          <cell r="AO523">
            <v>0</v>
          </cell>
          <cell r="AP523">
            <v>2.1000000000000001E-2</v>
          </cell>
          <cell r="AQ523">
            <v>0</v>
          </cell>
          <cell r="AS523" t="str">
            <v/>
          </cell>
          <cell r="AT523" t="str">
            <v/>
          </cell>
          <cell r="AV523" t="b">
            <v>1</v>
          </cell>
          <cell r="AW523" t="str">
            <v>minute</v>
          </cell>
        </row>
        <row r="524">
          <cell r="S524" t="str">
            <v>DOM MLT MOB</v>
          </cell>
          <cell r="T524" t="str">
            <v>DOM</v>
          </cell>
          <cell r="U524" t="str">
            <v>MLT</v>
          </cell>
          <cell r="V524" t="str">
            <v>MOB</v>
          </cell>
          <cell r="X524">
            <v>7.8100000000000003E-2</v>
          </cell>
          <cell r="Y524">
            <v>0</v>
          </cell>
          <cell r="Z524">
            <v>6.7900000000000002E-2</v>
          </cell>
          <cell r="AA524">
            <v>0</v>
          </cell>
          <cell r="AB524">
            <v>5.8999999999999997E-2</v>
          </cell>
          <cell r="AC524">
            <v>0</v>
          </cell>
          <cell r="AD524">
            <v>5.1299999999999998E-2</v>
          </cell>
          <cell r="AE524">
            <v>0</v>
          </cell>
          <cell r="AG524" t="str">
            <v/>
          </cell>
          <cell r="AH524" t="str">
            <v/>
          </cell>
          <cell r="AJ524">
            <v>7.8100000000000003E-2</v>
          </cell>
          <cell r="AK524">
            <v>0</v>
          </cell>
          <cell r="AL524">
            <v>6.7900000000000002E-2</v>
          </cell>
          <cell r="AM524">
            <v>0</v>
          </cell>
          <cell r="AN524">
            <v>5.8999999999999997E-2</v>
          </cell>
          <cell r="AO524">
            <v>0</v>
          </cell>
          <cell r="AP524">
            <v>5.1299999999999998E-2</v>
          </cell>
          <cell r="AQ524">
            <v>0</v>
          </cell>
          <cell r="AS524" t="str">
            <v/>
          </cell>
          <cell r="AT524" t="str">
            <v/>
          </cell>
          <cell r="AV524" t="b">
            <v>1</v>
          </cell>
          <cell r="AW524" t="str">
            <v>minute</v>
          </cell>
        </row>
        <row r="525">
          <cell r="S525" t="str">
            <v>DOM MLT FIX</v>
          </cell>
          <cell r="T525" t="str">
            <v>DOM</v>
          </cell>
          <cell r="U525" t="str">
            <v>MLT</v>
          </cell>
          <cell r="V525" t="str">
            <v>FIX</v>
          </cell>
          <cell r="X525">
            <v>2.5600000000000001E-2</v>
          </cell>
          <cell r="Y525">
            <v>0</v>
          </cell>
          <cell r="Z525">
            <v>2.23E-2</v>
          </cell>
          <cell r="AA525">
            <v>0</v>
          </cell>
          <cell r="AB525">
            <v>1.9400000000000001E-2</v>
          </cell>
          <cell r="AC525">
            <v>0</v>
          </cell>
          <cell r="AD525">
            <v>1.6899999999999998E-2</v>
          </cell>
          <cell r="AE525">
            <v>0</v>
          </cell>
          <cell r="AG525" t="str">
            <v/>
          </cell>
          <cell r="AH525" t="str">
            <v/>
          </cell>
          <cell r="AJ525">
            <v>2.5600000000000001E-2</v>
          </cell>
          <cell r="AK525">
            <v>0</v>
          </cell>
          <cell r="AL525">
            <v>2.23E-2</v>
          </cell>
          <cell r="AM525">
            <v>0</v>
          </cell>
          <cell r="AN525">
            <v>1.9400000000000001E-2</v>
          </cell>
          <cell r="AO525">
            <v>0</v>
          </cell>
          <cell r="AP525">
            <v>1.6899999999999998E-2</v>
          </cell>
          <cell r="AQ525">
            <v>0</v>
          </cell>
          <cell r="AS525" t="str">
            <v/>
          </cell>
          <cell r="AT525" t="str">
            <v/>
          </cell>
          <cell r="AV525" t="b">
            <v>1</v>
          </cell>
          <cell r="AW525" t="str">
            <v>minute</v>
          </cell>
        </row>
        <row r="526">
          <cell r="S526" t="str">
            <v>DOM MTQ MOB</v>
          </cell>
          <cell r="T526" t="str">
            <v>DOM</v>
          </cell>
          <cell r="U526" t="str">
            <v>MTQ</v>
          </cell>
          <cell r="V526" t="str">
            <v>MOB</v>
          </cell>
          <cell r="X526">
            <v>3.7699999999999997E-2</v>
          </cell>
          <cell r="Y526">
            <v>0</v>
          </cell>
          <cell r="Z526">
            <v>3.39E-2</v>
          </cell>
          <cell r="AA526">
            <v>0</v>
          </cell>
          <cell r="AB526">
            <v>3.2000000000000001E-2</v>
          </cell>
          <cell r="AC526">
            <v>0</v>
          </cell>
          <cell r="AD526">
            <v>3.0099999999999998E-2</v>
          </cell>
          <cell r="AE526">
            <v>0</v>
          </cell>
          <cell r="AG526" t="str">
            <v/>
          </cell>
          <cell r="AH526" t="str">
            <v/>
          </cell>
          <cell r="AJ526">
            <v>3.7699999999999997E-2</v>
          </cell>
          <cell r="AK526">
            <v>0</v>
          </cell>
          <cell r="AL526">
            <v>3.39E-2</v>
          </cell>
          <cell r="AM526">
            <v>0</v>
          </cell>
          <cell r="AN526">
            <v>3.2000000000000001E-2</v>
          </cell>
          <cell r="AO526">
            <v>0</v>
          </cell>
          <cell r="AP526">
            <v>3.0099999999999998E-2</v>
          </cell>
          <cell r="AQ526">
            <v>0</v>
          </cell>
          <cell r="AS526" t="str">
            <v/>
          </cell>
          <cell r="AT526" t="str">
            <v/>
          </cell>
          <cell r="AV526" t="b">
            <v>1</v>
          </cell>
          <cell r="AW526" t="str">
            <v>minute</v>
          </cell>
        </row>
        <row r="527">
          <cell r="S527" t="str">
            <v>DOM MTQ FIX</v>
          </cell>
          <cell r="T527" t="str">
            <v>DOM</v>
          </cell>
          <cell r="U527" t="str">
            <v>MTQ</v>
          </cell>
          <cell r="V527" t="str">
            <v>FIX</v>
          </cell>
          <cell r="X527">
            <v>1.7999999999999999E-2</v>
          </cell>
          <cell r="Y527">
            <v>0</v>
          </cell>
          <cell r="Z527">
            <v>1.6500000000000001E-2</v>
          </cell>
          <cell r="AA527">
            <v>0</v>
          </cell>
          <cell r="AB527">
            <v>1.4999999999999999E-2</v>
          </cell>
          <cell r="AC527">
            <v>0</v>
          </cell>
          <cell r="AD527">
            <v>1.4E-2</v>
          </cell>
          <cell r="AE527">
            <v>0</v>
          </cell>
          <cell r="AG527" t="str">
            <v/>
          </cell>
          <cell r="AH527" t="str">
            <v/>
          </cell>
          <cell r="AJ527">
            <v>1.7999999999999999E-2</v>
          </cell>
          <cell r="AK527">
            <v>0</v>
          </cell>
          <cell r="AL527">
            <v>1.6500000000000001E-2</v>
          </cell>
          <cell r="AM527">
            <v>0</v>
          </cell>
          <cell r="AN527">
            <v>1.4999999999999999E-2</v>
          </cell>
          <cell r="AO527">
            <v>0</v>
          </cell>
          <cell r="AP527">
            <v>1.4E-2</v>
          </cell>
          <cell r="AQ527">
            <v>0</v>
          </cell>
          <cell r="AS527" t="str">
            <v/>
          </cell>
          <cell r="AT527" t="str">
            <v/>
          </cell>
          <cell r="AV527" t="b">
            <v>1</v>
          </cell>
          <cell r="AW527" t="str">
            <v>minute</v>
          </cell>
        </row>
        <row r="528">
          <cell r="S528" t="str">
            <v>DOM MTQ MQ1FR</v>
          </cell>
          <cell r="T528" t="str">
            <v>DOM</v>
          </cell>
          <cell r="U528" t="str">
            <v>MTQ</v>
          </cell>
          <cell r="V528" t="str">
            <v>MQ1FR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G528" t="str">
            <v/>
          </cell>
          <cell r="AH528" t="str">
            <v/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S528" t="str">
            <v/>
          </cell>
          <cell r="AT528" t="str">
            <v/>
          </cell>
          <cell r="AV528" t="b">
            <v>0</v>
          </cell>
          <cell r="AW528" t="str">
            <v>minute</v>
          </cell>
        </row>
        <row r="529">
          <cell r="S529" t="str">
            <v>DOM MTQ MQ1TS</v>
          </cell>
          <cell r="T529" t="str">
            <v>DOM</v>
          </cell>
          <cell r="U529" t="str">
            <v>MTQ</v>
          </cell>
          <cell r="V529" t="str">
            <v>MQ1TS</v>
          </cell>
          <cell r="X529">
            <v>2.3E-2</v>
          </cell>
          <cell r="Y529">
            <v>6.5000000000000002E-2</v>
          </cell>
          <cell r="Z529">
            <v>2.3E-2</v>
          </cell>
          <cell r="AA529">
            <v>6.5000000000000002E-2</v>
          </cell>
          <cell r="AB529">
            <v>2.3E-2</v>
          </cell>
          <cell r="AC529">
            <v>6.5000000000000002E-2</v>
          </cell>
          <cell r="AD529">
            <v>2.3E-2</v>
          </cell>
          <cell r="AE529">
            <v>6.5000000000000002E-2</v>
          </cell>
          <cell r="AG529" t="str">
            <v/>
          </cell>
          <cell r="AH529" t="str">
            <v/>
          </cell>
          <cell r="AJ529">
            <v>2.3E-2</v>
          </cell>
          <cell r="AK529">
            <v>6.5000000000000002E-2</v>
          </cell>
          <cell r="AL529">
            <v>2.3E-2</v>
          </cell>
          <cell r="AM529">
            <v>6.5000000000000002E-2</v>
          </cell>
          <cell r="AN529">
            <v>2.3E-2</v>
          </cell>
          <cell r="AO529">
            <v>6.5000000000000002E-2</v>
          </cell>
          <cell r="AP529">
            <v>2.3E-2</v>
          </cell>
          <cell r="AQ529">
            <v>6.5000000000000002E-2</v>
          </cell>
          <cell r="AS529" t="str">
            <v/>
          </cell>
          <cell r="AT529" t="str">
            <v/>
          </cell>
          <cell r="AV529" t="b">
            <v>0</v>
          </cell>
          <cell r="AW529" t="str">
            <v>minute &amp; call</v>
          </cell>
        </row>
        <row r="530">
          <cell r="S530" t="str">
            <v>DOM MTQ MQ300</v>
          </cell>
          <cell r="T530" t="str">
            <v>DOM</v>
          </cell>
          <cell r="U530" t="str">
            <v>MTQ</v>
          </cell>
          <cell r="V530" t="str">
            <v>MQ300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G530" t="str">
            <v/>
          </cell>
          <cell r="AH530" t="str">
            <v/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S530" t="str">
            <v/>
          </cell>
          <cell r="AT530" t="str">
            <v/>
          </cell>
          <cell r="AV530" t="b">
            <v>0</v>
          </cell>
          <cell r="AW530" t="str">
            <v>minute</v>
          </cell>
        </row>
        <row r="531">
          <cell r="S531" t="str">
            <v>DOM MTQ MQ301</v>
          </cell>
          <cell r="T531" t="str">
            <v>DOM</v>
          </cell>
          <cell r="U531" t="str">
            <v>MTQ</v>
          </cell>
          <cell r="V531" t="str">
            <v>MQ301</v>
          </cell>
          <cell r="X531">
            <v>5.04E-2</v>
          </cell>
          <cell r="Y531">
            <v>0</v>
          </cell>
          <cell r="Z531">
            <v>5.04E-2</v>
          </cell>
          <cell r="AA531">
            <v>0</v>
          </cell>
          <cell r="AB531">
            <v>5.04E-2</v>
          </cell>
          <cell r="AC531">
            <v>0</v>
          </cell>
          <cell r="AD531">
            <v>5.04E-2</v>
          </cell>
          <cell r="AE531">
            <v>0</v>
          </cell>
          <cell r="AG531" t="str">
            <v/>
          </cell>
          <cell r="AH531" t="str">
            <v/>
          </cell>
          <cell r="AJ531">
            <v>5.04E-2</v>
          </cell>
          <cell r="AK531">
            <v>0</v>
          </cell>
          <cell r="AL531">
            <v>5.04E-2</v>
          </cell>
          <cell r="AM531">
            <v>0</v>
          </cell>
          <cell r="AN531">
            <v>5.04E-2</v>
          </cell>
          <cell r="AO531">
            <v>0</v>
          </cell>
          <cell r="AP531">
            <v>5.04E-2</v>
          </cell>
          <cell r="AQ531">
            <v>0</v>
          </cell>
          <cell r="AS531" t="str">
            <v/>
          </cell>
          <cell r="AT531" t="str">
            <v/>
          </cell>
          <cell r="AV531" t="b">
            <v>0</v>
          </cell>
          <cell r="AW531" t="str">
            <v>minute</v>
          </cell>
        </row>
        <row r="532">
          <cell r="S532" t="str">
            <v>DOM MTQ MQ302</v>
          </cell>
          <cell r="T532" t="str">
            <v>DOM</v>
          </cell>
          <cell r="U532" t="str">
            <v>MTQ</v>
          </cell>
          <cell r="V532" t="str">
            <v>MQ302</v>
          </cell>
          <cell r="X532">
            <v>5.9400000000000001E-2</v>
          </cell>
          <cell r="Y532">
            <v>0</v>
          </cell>
          <cell r="Z532">
            <v>5.9400000000000001E-2</v>
          </cell>
          <cell r="AA532">
            <v>0</v>
          </cell>
          <cell r="AB532">
            <v>5.9400000000000001E-2</v>
          </cell>
          <cell r="AC532">
            <v>0</v>
          </cell>
          <cell r="AD532">
            <v>5.9400000000000001E-2</v>
          </cell>
          <cell r="AE532">
            <v>0</v>
          </cell>
          <cell r="AG532" t="str">
            <v/>
          </cell>
          <cell r="AH532" t="str">
            <v/>
          </cell>
          <cell r="AJ532">
            <v>5.9400000000000001E-2</v>
          </cell>
          <cell r="AK532">
            <v>0</v>
          </cell>
          <cell r="AL532">
            <v>5.9400000000000001E-2</v>
          </cell>
          <cell r="AM532">
            <v>0</v>
          </cell>
          <cell r="AN532">
            <v>5.9400000000000001E-2</v>
          </cell>
          <cell r="AO532">
            <v>0</v>
          </cell>
          <cell r="AP532">
            <v>5.9400000000000001E-2</v>
          </cell>
          <cell r="AQ532">
            <v>0</v>
          </cell>
          <cell r="AS532" t="str">
            <v/>
          </cell>
          <cell r="AT532" t="str">
            <v/>
          </cell>
          <cell r="AV532" t="b">
            <v>0</v>
          </cell>
          <cell r="AW532" t="str">
            <v>minute</v>
          </cell>
        </row>
        <row r="533">
          <cell r="S533" t="str">
            <v>DOM MTQ MQ303</v>
          </cell>
          <cell r="T533" t="str">
            <v>DOM</v>
          </cell>
          <cell r="U533" t="str">
            <v>MTQ</v>
          </cell>
          <cell r="V533" t="str">
            <v>MQ303</v>
          </cell>
          <cell r="X533">
            <v>9.4E-2</v>
          </cell>
          <cell r="Y533">
            <v>0</v>
          </cell>
          <cell r="Z533">
            <v>9.4E-2</v>
          </cell>
          <cell r="AA533">
            <v>0</v>
          </cell>
          <cell r="AB533">
            <v>9.4E-2</v>
          </cell>
          <cell r="AC533">
            <v>0</v>
          </cell>
          <cell r="AD533">
            <v>9.4E-2</v>
          </cell>
          <cell r="AE533">
            <v>0</v>
          </cell>
          <cell r="AG533" t="str">
            <v/>
          </cell>
          <cell r="AH533" t="str">
            <v/>
          </cell>
          <cell r="AJ533">
            <v>9.4E-2</v>
          </cell>
          <cell r="AK533">
            <v>0</v>
          </cell>
          <cell r="AL533">
            <v>9.4E-2</v>
          </cell>
          <cell r="AM533">
            <v>0</v>
          </cell>
          <cell r="AN533">
            <v>9.4E-2</v>
          </cell>
          <cell r="AO533">
            <v>0</v>
          </cell>
          <cell r="AP533">
            <v>9.4E-2</v>
          </cell>
          <cell r="AQ533">
            <v>0</v>
          </cell>
          <cell r="AS533" t="str">
            <v/>
          </cell>
          <cell r="AT533" t="str">
            <v/>
          </cell>
          <cell r="AV533" t="b">
            <v>0</v>
          </cell>
          <cell r="AW533" t="str">
            <v>minute</v>
          </cell>
        </row>
        <row r="534">
          <cell r="S534" t="str">
            <v>DOM MTQ MQ304</v>
          </cell>
          <cell r="T534" t="str">
            <v>DOM</v>
          </cell>
          <cell r="U534" t="str">
            <v>MTQ</v>
          </cell>
          <cell r="V534" t="str">
            <v>MQ304</v>
          </cell>
          <cell r="X534">
            <v>0.125</v>
          </cell>
          <cell r="Y534">
            <v>0</v>
          </cell>
          <cell r="Z534">
            <v>0.125</v>
          </cell>
          <cell r="AA534">
            <v>0</v>
          </cell>
          <cell r="AB534">
            <v>0.125</v>
          </cell>
          <cell r="AC534">
            <v>0</v>
          </cell>
          <cell r="AD534">
            <v>0.125</v>
          </cell>
          <cell r="AE534">
            <v>0</v>
          </cell>
          <cell r="AG534" t="str">
            <v/>
          </cell>
          <cell r="AH534" t="str">
            <v/>
          </cell>
          <cell r="AJ534">
            <v>0.125</v>
          </cell>
          <cell r="AK534">
            <v>0</v>
          </cell>
          <cell r="AL534">
            <v>0.125</v>
          </cell>
          <cell r="AM534">
            <v>0</v>
          </cell>
          <cell r="AN534">
            <v>0.125</v>
          </cell>
          <cell r="AO534">
            <v>0</v>
          </cell>
          <cell r="AP534">
            <v>0.125</v>
          </cell>
          <cell r="AQ534">
            <v>0</v>
          </cell>
          <cell r="AS534" t="str">
            <v/>
          </cell>
          <cell r="AT534" t="str">
            <v/>
          </cell>
          <cell r="AV534" t="b">
            <v>0</v>
          </cell>
          <cell r="AW534" t="str">
            <v>minute</v>
          </cell>
        </row>
        <row r="535">
          <cell r="S535" t="str">
            <v>DOM MTQ MQ305</v>
          </cell>
          <cell r="T535" t="str">
            <v>DOM</v>
          </cell>
          <cell r="U535" t="str">
            <v>MTQ</v>
          </cell>
          <cell r="V535" t="str">
            <v>MQ305</v>
          </cell>
          <cell r="X535">
            <v>0.17630000000000001</v>
          </cell>
          <cell r="Y535">
            <v>0</v>
          </cell>
          <cell r="Z535">
            <v>0.17630000000000001</v>
          </cell>
          <cell r="AA535">
            <v>0</v>
          </cell>
          <cell r="AB535">
            <v>0.17630000000000001</v>
          </cell>
          <cell r="AC535">
            <v>0</v>
          </cell>
          <cell r="AD535">
            <v>0.17630000000000001</v>
          </cell>
          <cell r="AE535">
            <v>0</v>
          </cell>
          <cell r="AG535" t="str">
            <v/>
          </cell>
          <cell r="AH535" t="str">
            <v/>
          </cell>
          <cell r="AJ535">
            <v>0.17630000000000001</v>
          </cell>
          <cell r="AK535">
            <v>0</v>
          </cell>
          <cell r="AL535">
            <v>0.17630000000000001</v>
          </cell>
          <cell r="AM535">
            <v>0</v>
          </cell>
          <cell r="AN535">
            <v>0.17630000000000001</v>
          </cell>
          <cell r="AO535">
            <v>0</v>
          </cell>
          <cell r="AP535">
            <v>0.17630000000000001</v>
          </cell>
          <cell r="AQ535">
            <v>0</v>
          </cell>
          <cell r="AS535" t="str">
            <v/>
          </cell>
          <cell r="AT535" t="str">
            <v/>
          </cell>
          <cell r="AV535" t="b">
            <v>0</v>
          </cell>
          <cell r="AW535" t="str">
            <v>minute</v>
          </cell>
        </row>
        <row r="536">
          <cell r="S536" t="str">
            <v>DOM MTQ MQ306</v>
          </cell>
          <cell r="T536" t="str">
            <v>DOM</v>
          </cell>
          <cell r="U536" t="str">
            <v>MTQ</v>
          </cell>
          <cell r="V536" t="str">
            <v>MQ306</v>
          </cell>
          <cell r="X536">
            <v>0.188</v>
          </cell>
          <cell r="Y536">
            <v>0</v>
          </cell>
          <cell r="Z536">
            <v>0.188</v>
          </cell>
          <cell r="AA536">
            <v>0</v>
          </cell>
          <cell r="AB536">
            <v>0.188</v>
          </cell>
          <cell r="AC536">
            <v>0</v>
          </cell>
          <cell r="AD536">
            <v>0.188</v>
          </cell>
          <cell r="AE536">
            <v>0</v>
          </cell>
          <cell r="AG536" t="str">
            <v/>
          </cell>
          <cell r="AH536" t="str">
            <v/>
          </cell>
          <cell r="AJ536">
            <v>0.188</v>
          </cell>
          <cell r="AK536">
            <v>0</v>
          </cell>
          <cell r="AL536">
            <v>0.188</v>
          </cell>
          <cell r="AM536">
            <v>0</v>
          </cell>
          <cell r="AN536">
            <v>0.188</v>
          </cell>
          <cell r="AO536">
            <v>0</v>
          </cell>
          <cell r="AP536">
            <v>0.188</v>
          </cell>
          <cell r="AQ536">
            <v>0</v>
          </cell>
          <cell r="AS536" t="str">
            <v/>
          </cell>
          <cell r="AT536" t="str">
            <v/>
          </cell>
          <cell r="AV536" t="b">
            <v>0</v>
          </cell>
          <cell r="AW536" t="str">
            <v>minute</v>
          </cell>
        </row>
        <row r="537">
          <cell r="S537" t="str">
            <v>DOM MTQ MQ307</v>
          </cell>
          <cell r="T537" t="str">
            <v>DOM</v>
          </cell>
          <cell r="U537" t="str">
            <v>MTQ</v>
          </cell>
          <cell r="V537" t="str">
            <v>MQ307</v>
          </cell>
          <cell r="X537">
            <v>0.28100000000000003</v>
          </cell>
          <cell r="Y537">
            <v>0</v>
          </cell>
          <cell r="Z537">
            <v>0.28100000000000003</v>
          </cell>
          <cell r="AA537">
            <v>0</v>
          </cell>
          <cell r="AB537">
            <v>0.28100000000000003</v>
          </cell>
          <cell r="AC537">
            <v>0</v>
          </cell>
          <cell r="AD537">
            <v>0.28100000000000003</v>
          </cell>
          <cell r="AE537">
            <v>0</v>
          </cell>
          <cell r="AG537" t="str">
            <v/>
          </cell>
          <cell r="AH537" t="str">
            <v/>
          </cell>
          <cell r="AJ537">
            <v>0.28100000000000003</v>
          </cell>
          <cell r="AK537">
            <v>0</v>
          </cell>
          <cell r="AL537">
            <v>0.28100000000000003</v>
          </cell>
          <cell r="AM537">
            <v>0</v>
          </cell>
          <cell r="AN537">
            <v>0.28100000000000003</v>
          </cell>
          <cell r="AO537">
            <v>0</v>
          </cell>
          <cell r="AP537">
            <v>0.28100000000000003</v>
          </cell>
          <cell r="AQ537">
            <v>0</v>
          </cell>
          <cell r="AS537" t="str">
            <v/>
          </cell>
          <cell r="AT537" t="str">
            <v/>
          </cell>
          <cell r="AV537" t="b">
            <v>0</v>
          </cell>
          <cell r="AW537" t="str">
            <v>minute</v>
          </cell>
        </row>
        <row r="538">
          <cell r="S538" t="str">
            <v>DOM MTQ MQ308</v>
          </cell>
          <cell r="T538" t="str">
            <v>DOM</v>
          </cell>
          <cell r="U538" t="str">
            <v>MTQ</v>
          </cell>
          <cell r="V538" t="str">
            <v>MQ308</v>
          </cell>
          <cell r="X538">
            <v>0.29680000000000001</v>
          </cell>
          <cell r="Y538">
            <v>0</v>
          </cell>
          <cell r="Z538">
            <v>0.29680000000000001</v>
          </cell>
          <cell r="AA538">
            <v>0</v>
          </cell>
          <cell r="AB538">
            <v>0.29680000000000001</v>
          </cell>
          <cell r="AC538">
            <v>0</v>
          </cell>
          <cell r="AD538">
            <v>0.29680000000000001</v>
          </cell>
          <cell r="AE538">
            <v>0</v>
          </cell>
          <cell r="AG538" t="str">
            <v/>
          </cell>
          <cell r="AH538" t="str">
            <v/>
          </cell>
          <cell r="AJ538">
            <v>0.29680000000000001</v>
          </cell>
          <cell r="AK538">
            <v>0</v>
          </cell>
          <cell r="AL538">
            <v>0.29680000000000001</v>
          </cell>
          <cell r="AM538">
            <v>0</v>
          </cell>
          <cell r="AN538">
            <v>0.29680000000000001</v>
          </cell>
          <cell r="AO538">
            <v>0</v>
          </cell>
          <cell r="AP538">
            <v>0.29680000000000001</v>
          </cell>
          <cell r="AQ538">
            <v>0</v>
          </cell>
          <cell r="AS538" t="str">
            <v/>
          </cell>
          <cell r="AT538" t="str">
            <v/>
          </cell>
          <cell r="AV538" t="b">
            <v>0</v>
          </cell>
          <cell r="AW538" t="str">
            <v>minute</v>
          </cell>
        </row>
        <row r="539">
          <cell r="S539" t="str">
            <v>DOM MTQ MQ309</v>
          </cell>
          <cell r="T539" t="str">
            <v>DOM</v>
          </cell>
          <cell r="U539" t="str">
            <v>MTQ</v>
          </cell>
          <cell r="V539" t="str">
            <v>MQ309</v>
          </cell>
          <cell r="X539">
            <v>0.34499999999999997</v>
          </cell>
          <cell r="Y539">
            <v>0</v>
          </cell>
          <cell r="Z539">
            <v>0.34499999999999997</v>
          </cell>
          <cell r="AA539">
            <v>0</v>
          </cell>
          <cell r="AB539">
            <v>0.34499999999999997</v>
          </cell>
          <cell r="AC539">
            <v>0</v>
          </cell>
          <cell r="AD539">
            <v>0.34499999999999997</v>
          </cell>
          <cell r="AE539">
            <v>0</v>
          </cell>
          <cell r="AG539" t="str">
            <v/>
          </cell>
          <cell r="AH539" t="str">
            <v/>
          </cell>
          <cell r="AJ539">
            <v>0.34499999999999997</v>
          </cell>
          <cell r="AK539">
            <v>0</v>
          </cell>
          <cell r="AL539">
            <v>0.34499999999999997</v>
          </cell>
          <cell r="AM539">
            <v>0</v>
          </cell>
          <cell r="AN539">
            <v>0.34499999999999997</v>
          </cell>
          <cell r="AO539">
            <v>0</v>
          </cell>
          <cell r="AP539">
            <v>0.34499999999999997</v>
          </cell>
          <cell r="AQ539">
            <v>0</v>
          </cell>
          <cell r="AS539" t="str">
            <v/>
          </cell>
          <cell r="AT539" t="str">
            <v/>
          </cell>
          <cell r="AV539" t="b">
            <v>0</v>
          </cell>
          <cell r="AW539" t="str">
            <v>minute</v>
          </cell>
        </row>
        <row r="540">
          <cell r="S540" t="str">
            <v>DOM MTQ MQ310</v>
          </cell>
          <cell r="T540" t="str">
            <v>DOM</v>
          </cell>
          <cell r="U540" t="str">
            <v>MTQ</v>
          </cell>
          <cell r="V540" t="str">
            <v>MQ310</v>
          </cell>
          <cell r="X540">
            <v>0.72309999999999997</v>
          </cell>
          <cell r="Y540">
            <v>0</v>
          </cell>
          <cell r="Z540">
            <v>0.72309999999999997</v>
          </cell>
          <cell r="AA540">
            <v>0</v>
          </cell>
          <cell r="AB540">
            <v>0.72309999999999997</v>
          </cell>
          <cell r="AC540">
            <v>0</v>
          </cell>
          <cell r="AD540">
            <v>0.72309999999999997</v>
          </cell>
          <cell r="AE540">
            <v>0</v>
          </cell>
          <cell r="AG540" t="str">
            <v/>
          </cell>
          <cell r="AH540" t="str">
            <v/>
          </cell>
          <cell r="AJ540">
            <v>0.72309999999999997</v>
          </cell>
          <cell r="AK540">
            <v>0</v>
          </cell>
          <cell r="AL540">
            <v>0.72309999999999997</v>
          </cell>
          <cell r="AM540">
            <v>0</v>
          </cell>
          <cell r="AN540">
            <v>0.72309999999999997</v>
          </cell>
          <cell r="AO540">
            <v>0</v>
          </cell>
          <cell r="AP540">
            <v>0.72309999999999997</v>
          </cell>
          <cell r="AQ540">
            <v>0</v>
          </cell>
          <cell r="AS540" t="str">
            <v/>
          </cell>
          <cell r="AT540" t="str">
            <v/>
          </cell>
          <cell r="AV540" t="b">
            <v>0</v>
          </cell>
          <cell r="AW540" t="str">
            <v>minute</v>
          </cell>
        </row>
        <row r="541">
          <cell r="S541" t="str">
            <v>DOM MTQ MQ311</v>
          </cell>
          <cell r="T541" t="str">
            <v>DOM</v>
          </cell>
          <cell r="U541" t="str">
            <v>MTQ</v>
          </cell>
          <cell r="V541" t="str">
            <v>MQ311</v>
          </cell>
          <cell r="X541">
            <v>1.1279999999999999</v>
          </cell>
          <cell r="Y541">
            <v>0</v>
          </cell>
          <cell r="Z541">
            <v>1.1279999999999999</v>
          </cell>
          <cell r="AA541">
            <v>0</v>
          </cell>
          <cell r="AB541">
            <v>1.1279999999999999</v>
          </cell>
          <cell r="AC541">
            <v>0</v>
          </cell>
          <cell r="AD541">
            <v>1.1279999999999999</v>
          </cell>
          <cell r="AE541">
            <v>0</v>
          </cell>
          <cell r="AG541" t="str">
            <v/>
          </cell>
          <cell r="AH541" t="str">
            <v/>
          </cell>
          <cell r="AJ541">
            <v>1.1279999999999999</v>
          </cell>
          <cell r="AK541">
            <v>0</v>
          </cell>
          <cell r="AL541">
            <v>1.1279999999999999</v>
          </cell>
          <cell r="AM541">
            <v>0</v>
          </cell>
          <cell r="AN541">
            <v>1.1279999999999999</v>
          </cell>
          <cell r="AO541">
            <v>0</v>
          </cell>
          <cell r="AP541">
            <v>1.1279999999999999</v>
          </cell>
          <cell r="AQ541">
            <v>0</v>
          </cell>
          <cell r="AS541" t="str">
            <v/>
          </cell>
          <cell r="AT541" t="str">
            <v/>
          </cell>
          <cell r="AV541" t="b">
            <v>0</v>
          </cell>
          <cell r="AW541" t="str">
            <v>minute</v>
          </cell>
        </row>
        <row r="542">
          <cell r="S542" t="str">
            <v>DOM MTQ MQ312</v>
          </cell>
          <cell r="T542" t="str">
            <v>DOM</v>
          </cell>
          <cell r="U542" t="str">
            <v>MTQ</v>
          </cell>
          <cell r="V542" t="str">
            <v>MQ312</v>
          </cell>
          <cell r="X542">
            <v>9.9000000000000005E-2</v>
          </cell>
          <cell r="Y542">
            <v>2E-3</v>
          </cell>
          <cell r="Z542">
            <v>9.9000000000000005E-2</v>
          </cell>
          <cell r="AA542">
            <v>2E-3</v>
          </cell>
          <cell r="AB542">
            <v>9.9000000000000005E-2</v>
          </cell>
          <cell r="AC542">
            <v>2E-3</v>
          </cell>
          <cell r="AD542">
            <v>9.9000000000000005E-2</v>
          </cell>
          <cell r="AE542">
            <v>2E-3</v>
          </cell>
          <cell r="AG542" t="str">
            <v/>
          </cell>
          <cell r="AH542" t="str">
            <v/>
          </cell>
          <cell r="AJ542">
            <v>9.9000000000000005E-2</v>
          </cell>
          <cell r="AK542">
            <v>2E-3</v>
          </cell>
          <cell r="AL542">
            <v>9.9000000000000005E-2</v>
          </cell>
          <cell r="AM542">
            <v>2E-3</v>
          </cell>
          <cell r="AN542">
            <v>9.9000000000000005E-2</v>
          </cell>
          <cell r="AO542">
            <v>2E-3</v>
          </cell>
          <cell r="AP542">
            <v>9.9000000000000005E-2</v>
          </cell>
          <cell r="AQ542">
            <v>2E-3</v>
          </cell>
          <cell r="AS542" t="str">
            <v/>
          </cell>
          <cell r="AT542" t="str">
            <v/>
          </cell>
          <cell r="AV542" t="b">
            <v>0</v>
          </cell>
          <cell r="AW542" t="str">
            <v>minute &amp; call</v>
          </cell>
        </row>
        <row r="543">
          <cell r="S543" t="str">
            <v>DOM MTQ MQ313</v>
          </cell>
          <cell r="T543" t="str">
            <v>DOM</v>
          </cell>
          <cell r="U543" t="str">
            <v>MTQ</v>
          </cell>
          <cell r="V543" t="str">
            <v>MQ313</v>
          </cell>
          <cell r="X543">
            <v>6.7100000000000007E-2</v>
          </cell>
          <cell r="Y543">
            <v>1.7000000000000001E-2</v>
          </cell>
          <cell r="Z543">
            <v>6.7100000000000007E-2</v>
          </cell>
          <cell r="AA543">
            <v>1.7000000000000001E-2</v>
          </cell>
          <cell r="AB543">
            <v>6.7100000000000007E-2</v>
          </cell>
          <cell r="AC543">
            <v>1.7000000000000001E-2</v>
          </cell>
          <cell r="AD543">
            <v>6.7100000000000007E-2</v>
          </cell>
          <cell r="AE543">
            <v>1.7000000000000001E-2</v>
          </cell>
          <cell r="AG543" t="str">
            <v/>
          </cell>
          <cell r="AH543" t="str">
            <v/>
          </cell>
          <cell r="AJ543">
            <v>6.7100000000000007E-2</v>
          </cell>
          <cell r="AK543">
            <v>1.7000000000000001E-2</v>
          </cell>
          <cell r="AL543">
            <v>6.7100000000000007E-2</v>
          </cell>
          <cell r="AM543">
            <v>1.7000000000000001E-2</v>
          </cell>
          <cell r="AN543">
            <v>6.7100000000000007E-2</v>
          </cell>
          <cell r="AO543">
            <v>1.7000000000000001E-2</v>
          </cell>
          <cell r="AP543">
            <v>6.7100000000000007E-2</v>
          </cell>
          <cell r="AQ543">
            <v>1.7000000000000001E-2</v>
          </cell>
          <cell r="AS543" t="str">
            <v/>
          </cell>
          <cell r="AT543" t="str">
            <v/>
          </cell>
          <cell r="AV543" t="b">
            <v>0</v>
          </cell>
          <cell r="AW543" t="str">
            <v>minute &amp; call</v>
          </cell>
        </row>
        <row r="544">
          <cell r="S544" t="str">
            <v>DOM MTQ MQ314</v>
          </cell>
          <cell r="T544" t="str">
            <v>DOM</v>
          </cell>
          <cell r="U544" t="str">
            <v>MTQ</v>
          </cell>
          <cell r="V544" t="str">
            <v>MQ314</v>
          </cell>
          <cell r="X544">
            <v>7.4999999999999997E-2</v>
          </cell>
          <cell r="Y544">
            <v>2.4E-2</v>
          </cell>
          <cell r="Z544">
            <v>7.4999999999999997E-2</v>
          </cell>
          <cell r="AA544">
            <v>2.4E-2</v>
          </cell>
          <cell r="AB544">
            <v>7.4999999999999997E-2</v>
          </cell>
          <cell r="AC544">
            <v>2.4E-2</v>
          </cell>
          <cell r="AD544">
            <v>7.4999999999999997E-2</v>
          </cell>
          <cell r="AE544">
            <v>2.4E-2</v>
          </cell>
          <cell r="AG544" t="str">
            <v/>
          </cell>
          <cell r="AH544" t="str">
            <v/>
          </cell>
          <cell r="AJ544">
            <v>7.4999999999999997E-2</v>
          </cell>
          <cell r="AK544">
            <v>2.4E-2</v>
          </cell>
          <cell r="AL544">
            <v>7.4999999999999997E-2</v>
          </cell>
          <cell r="AM544">
            <v>2.4E-2</v>
          </cell>
          <cell r="AN544">
            <v>7.4999999999999997E-2</v>
          </cell>
          <cell r="AO544">
            <v>2.4E-2</v>
          </cell>
          <cell r="AP544">
            <v>7.4999999999999997E-2</v>
          </cell>
          <cell r="AQ544">
            <v>2.4E-2</v>
          </cell>
          <cell r="AS544" t="str">
            <v/>
          </cell>
          <cell r="AT544" t="str">
            <v/>
          </cell>
          <cell r="AV544" t="b">
            <v>0</v>
          </cell>
          <cell r="AW544" t="str">
            <v>minute &amp; call</v>
          </cell>
        </row>
        <row r="545">
          <cell r="S545" t="str">
            <v>DOM MTQ MQ315</v>
          </cell>
          <cell r="T545" t="str">
            <v>DOM</v>
          </cell>
          <cell r="U545" t="str">
            <v>MTQ</v>
          </cell>
          <cell r="V545" t="str">
            <v>MQ315</v>
          </cell>
          <cell r="X545">
            <v>5.0999999999999997E-2</v>
          </cell>
          <cell r="Y545">
            <v>4.2999999999999997E-2</v>
          </cell>
          <cell r="Z545">
            <v>5.0999999999999997E-2</v>
          </cell>
          <cell r="AA545">
            <v>4.2999999999999997E-2</v>
          </cell>
          <cell r="AB545">
            <v>5.0999999999999997E-2</v>
          </cell>
          <cell r="AC545">
            <v>4.2999999999999997E-2</v>
          </cell>
          <cell r="AD545">
            <v>5.0999999999999997E-2</v>
          </cell>
          <cell r="AE545">
            <v>4.2999999999999997E-2</v>
          </cell>
          <cell r="AG545" t="str">
            <v/>
          </cell>
          <cell r="AH545" t="str">
            <v/>
          </cell>
          <cell r="AJ545">
            <v>5.0999999999999997E-2</v>
          </cell>
          <cell r="AK545">
            <v>4.2999999999999997E-2</v>
          </cell>
          <cell r="AL545">
            <v>5.0999999999999997E-2</v>
          </cell>
          <cell r="AM545">
            <v>4.2999999999999997E-2</v>
          </cell>
          <cell r="AN545">
            <v>5.0999999999999997E-2</v>
          </cell>
          <cell r="AO545">
            <v>4.2999999999999997E-2</v>
          </cell>
          <cell r="AP545">
            <v>5.0999999999999997E-2</v>
          </cell>
          <cell r="AQ545">
            <v>4.2999999999999997E-2</v>
          </cell>
          <cell r="AS545" t="str">
            <v/>
          </cell>
          <cell r="AT545" t="str">
            <v/>
          </cell>
          <cell r="AV545" t="b">
            <v>0</v>
          </cell>
          <cell r="AW545" t="str">
            <v>minute &amp; call</v>
          </cell>
        </row>
        <row r="546">
          <cell r="S546" t="str">
            <v>DOM MTQ MQ316</v>
          </cell>
          <cell r="T546" t="str">
            <v>DOM</v>
          </cell>
          <cell r="U546" t="str">
            <v>MTQ</v>
          </cell>
          <cell r="V546" t="str">
            <v>MQ316</v>
          </cell>
          <cell r="X546">
            <v>2.3E-2</v>
          </cell>
          <cell r="Y546">
            <v>6.5000000000000002E-2</v>
          </cell>
          <cell r="Z546">
            <v>2.3E-2</v>
          </cell>
          <cell r="AA546">
            <v>6.5000000000000002E-2</v>
          </cell>
          <cell r="AB546">
            <v>2.3E-2</v>
          </cell>
          <cell r="AC546">
            <v>6.5000000000000002E-2</v>
          </cell>
          <cell r="AD546">
            <v>2.3E-2</v>
          </cell>
          <cell r="AE546">
            <v>6.5000000000000002E-2</v>
          </cell>
          <cell r="AG546" t="str">
            <v/>
          </cell>
          <cell r="AH546" t="str">
            <v/>
          </cell>
          <cell r="AJ546">
            <v>2.3E-2</v>
          </cell>
          <cell r="AK546">
            <v>6.5000000000000002E-2</v>
          </cell>
          <cell r="AL546">
            <v>2.3E-2</v>
          </cell>
          <cell r="AM546">
            <v>6.5000000000000002E-2</v>
          </cell>
          <cell r="AN546">
            <v>2.3E-2</v>
          </cell>
          <cell r="AO546">
            <v>6.5000000000000002E-2</v>
          </cell>
          <cell r="AP546">
            <v>2.3E-2</v>
          </cell>
          <cell r="AQ546">
            <v>6.5000000000000002E-2</v>
          </cell>
          <cell r="AS546" t="str">
            <v/>
          </cell>
          <cell r="AT546" t="str">
            <v/>
          </cell>
          <cell r="AV546" t="b">
            <v>0</v>
          </cell>
          <cell r="AW546" t="str">
            <v>minute &amp; call</v>
          </cell>
        </row>
        <row r="547">
          <cell r="S547" t="str">
            <v>DOM MTQ MQ317</v>
          </cell>
          <cell r="T547" t="str">
            <v>DOM</v>
          </cell>
          <cell r="U547" t="str">
            <v>MTQ</v>
          </cell>
          <cell r="V547" t="str">
            <v>MQ317</v>
          </cell>
          <cell r="X547">
            <v>2.4E-2</v>
          </cell>
          <cell r="Y547">
            <v>7.5999999999999998E-2</v>
          </cell>
          <cell r="Z547">
            <v>2.4E-2</v>
          </cell>
          <cell r="AA547">
            <v>7.5999999999999998E-2</v>
          </cell>
          <cell r="AB547">
            <v>2.4E-2</v>
          </cell>
          <cell r="AC547">
            <v>7.5999999999999998E-2</v>
          </cell>
          <cell r="AD547">
            <v>2.4E-2</v>
          </cell>
          <cell r="AE547">
            <v>7.5999999999999998E-2</v>
          </cell>
          <cell r="AG547" t="str">
            <v/>
          </cell>
          <cell r="AH547" t="str">
            <v/>
          </cell>
          <cell r="AJ547">
            <v>2.4E-2</v>
          </cell>
          <cell r="AK547">
            <v>7.5999999999999998E-2</v>
          </cell>
          <cell r="AL547">
            <v>2.4E-2</v>
          </cell>
          <cell r="AM547">
            <v>7.5999999999999998E-2</v>
          </cell>
          <cell r="AN547">
            <v>2.4E-2</v>
          </cell>
          <cell r="AO547">
            <v>7.5999999999999998E-2</v>
          </cell>
          <cell r="AP547">
            <v>2.4E-2</v>
          </cell>
          <cell r="AQ547">
            <v>7.5999999999999998E-2</v>
          </cell>
          <cell r="AS547" t="str">
            <v/>
          </cell>
          <cell r="AT547" t="str">
            <v/>
          </cell>
          <cell r="AV547" t="b">
            <v>0</v>
          </cell>
          <cell r="AW547" t="str">
            <v>minute &amp; call</v>
          </cell>
        </row>
        <row r="548">
          <cell r="S548" t="str">
            <v>DOM MTQ MQ318</v>
          </cell>
          <cell r="T548" t="str">
            <v>DOM</v>
          </cell>
          <cell r="U548" t="str">
            <v>MTQ</v>
          </cell>
          <cell r="V548" t="str">
            <v>MQ318</v>
          </cell>
          <cell r="X548">
            <v>0</v>
          </cell>
          <cell r="Y548">
            <v>9.4E-2</v>
          </cell>
          <cell r="Z548">
            <v>0</v>
          </cell>
          <cell r="AA548">
            <v>9.4E-2</v>
          </cell>
          <cell r="AB548">
            <v>0</v>
          </cell>
          <cell r="AC548">
            <v>9.4E-2</v>
          </cell>
          <cell r="AD548">
            <v>0</v>
          </cell>
          <cell r="AE548">
            <v>9.4E-2</v>
          </cell>
          <cell r="AG548" t="str">
            <v/>
          </cell>
          <cell r="AH548" t="str">
            <v/>
          </cell>
          <cell r="AJ548">
            <v>0</v>
          </cell>
          <cell r="AK548">
            <v>9.4E-2</v>
          </cell>
          <cell r="AL548">
            <v>0</v>
          </cell>
          <cell r="AM548">
            <v>9.4E-2</v>
          </cell>
          <cell r="AN548">
            <v>0</v>
          </cell>
          <cell r="AO548">
            <v>9.4E-2</v>
          </cell>
          <cell r="AP548">
            <v>0</v>
          </cell>
          <cell r="AQ548">
            <v>9.4E-2</v>
          </cell>
          <cell r="AS548" t="str">
            <v/>
          </cell>
          <cell r="AT548" t="str">
            <v/>
          </cell>
          <cell r="AV548" t="b">
            <v>0</v>
          </cell>
          <cell r="AW548" t="str">
            <v>call</v>
          </cell>
        </row>
        <row r="549">
          <cell r="S549" t="str">
            <v>DOM MTQ MQ319</v>
          </cell>
          <cell r="T549" t="str">
            <v>DOM</v>
          </cell>
          <cell r="U549" t="str">
            <v>MTQ</v>
          </cell>
          <cell r="V549" t="str">
            <v>MQ319</v>
          </cell>
          <cell r="X549">
            <v>0.125</v>
          </cell>
          <cell r="Y549">
            <v>9.4E-2</v>
          </cell>
          <cell r="Z549">
            <v>0.125</v>
          </cell>
          <cell r="AA549">
            <v>9.4E-2</v>
          </cell>
          <cell r="AB549">
            <v>0.125</v>
          </cell>
          <cell r="AC549">
            <v>9.4E-2</v>
          </cell>
          <cell r="AD549">
            <v>0.125</v>
          </cell>
          <cell r="AE549">
            <v>9.4E-2</v>
          </cell>
          <cell r="AG549" t="str">
            <v/>
          </cell>
          <cell r="AH549" t="str">
            <v/>
          </cell>
          <cell r="AJ549">
            <v>0.125</v>
          </cell>
          <cell r="AK549">
            <v>9.4E-2</v>
          </cell>
          <cell r="AL549">
            <v>0.125</v>
          </cell>
          <cell r="AM549">
            <v>9.4E-2</v>
          </cell>
          <cell r="AN549">
            <v>0.125</v>
          </cell>
          <cell r="AO549">
            <v>9.4E-2</v>
          </cell>
          <cell r="AP549">
            <v>0.125</v>
          </cell>
          <cell r="AQ549">
            <v>9.4E-2</v>
          </cell>
          <cell r="AS549" t="str">
            <v/>
          </cell>
          <cell r="AT549" t="str">
            <v/>
          </cell>
          <cell r="AV549" t="b">
            <v>0</v>
          </cell>
          <cell r="AW549" t="str">
            <v>minute &amp; call</v>
          </cell>
        </row>
        <row r="550">
          <cell r="S550" t="str">
            <v>DOM MTQ MQ320</v>
          </cell>
          <cell r="T550" t="str">
            <v>DOM</v>
          </cell>
          <cell r="U550" t="str">
            <v>MTQ</v>
          </cell>
          <cell r="V550" t="str">
            <v>MQ320</v>
          </cell>
          <cell r="X550">
            <v>4.7E-2</v>
          </cell>
          <cell r="Y550">
            <v>0.14099999999999999</v>
          </cell>
          <cell r="Z550">
            <v>4.7E-2</v>
          </cell>
          <cell r="AA550">
            <v>0.14099999999999999</v>
          </cell>
          <cell r="AB550">
            <v>4.7E-2</v>
          </cell>
          <cell r="AC550">
            <v>0.14099999999999999</v>
          </cell>
          <cell r="AD550">
            <v>4.7E-2</v>
          </cell>
          <cell r="AE550">
            <v>0.14099999999999999</v>
          </cell>
          <cell r="AG550" t="str">
            <v/>
          </cell>
          <cell r="AH550" t="str">
            <v/>
          </cell>
          <cell r="AJ550">
            <v>4.7E-2</v>
          </cell>
          <cell r="AK550">
            <v>0.14099999999999999</v>
          </cell>
          <cell r="AL550">
            <v>4.7E-2</v>
          </cell>
          <cell r="AM550">
            <v>0.14099999999999999</v>
          </cell>
          <cell r="AN550">
            <v>4.7E-2</v>
          </cell>
          <cell r="AO550">
            <v>0.14099999999999999</v>
          </cell>
          <cell r="AP550">
            <v>4.7E-2</v>
          </cell>
          <cell r="AQ550">
            <v>0.14099999999999999</v>
          </cell>
          <cell r="AS550" t="str">
            <v/>
          </cell>
          <cell r="AT550" t="str">
            <v/>
          </cell>
          <cell r="AV550" t="b">
            <v>0</v>
          </cell>
          <cell r="AW550" t="str">
            <v>minute &amp; call</v>
          </cell>
        </row>
        <row r="551">
          <cell r="S551" t="str">
            <v>DOM MTQ MQ321</v>
          </cell>
          <cell r="T551" t="str">
            <v>DOM</v>
          </cell>
          <cell r="U551" t="str">
            <v>MTQ</v>
          </cell>
          <cell r="V551" t="str">
            <v>MQ321</v>
          </cell>
          <cell r="X551">
            <v>0</v>
          </cell>
          <cell r="Y551">
            <v>0.47</v>
          </cell>
          <cell r="Z551">
            <v>0</v>
          </cell>
          <cell r="AA551">
            <v>0.47</v>
          </cell>
          <cell r="AB551">
            <v>0</v>
          </cell>
          <cell r="AC551">
            <v>0.47</v>
          </cell>
          <cell r="AD551">
            <v>0</v>
          </cell>
          <cell r="AE551">
            <v>0.47</v>
          </cell>
          <cell r="AG551" t="str">
            <v/>
          </cell>
          <cell r="AH551" t="str">
            <v/>
          </cell>
          <cell r="AJ551">
            <v>0</v>
          </cell>
          <cell r="AK551">
            <v>0.47</v>
          </cell>
          <cell r="AL551">
            <v>0</v>
          </cell>
          <cell r="AM551">
            <v>0.47</v>
          </cell>
          <cell r="AN551">
            <v>0</v>
          </cell>
          <cell r="AO551">
            <v>0.47</v>
          </cell>
          <cell r="AP551">
            <v>0</v>
          </cell>
          <cell r="AQ551">
            <v>0.47</v>
          </cell>
          <cell r="AS551" t="str">
            <v/>
          </cell>
          <cell r="AT551" t="str">
            <v/>
          </cell>
          <cell r="AV551" t="b">
            <v>0</v>
          </cell>
          <cell r="AW551" t="str">
            <v>call</v>
          </cell>
        </row>
        <row r="552">
          <cell r="S552" t="str">
            <v>DOM MTQ MQVAS</v>
          </cell>
          <cell r="T552" t="str">
            <v>DOM</v>
          </cell>
          <cell r="U552" t="str">
            <v>MTQ</v>
          </cell>
          <cell r="V552" t="str">
            <v>MQVAS</v>
          </cell>
          <cell r="X552">
            <v>0.28100000000000003</v>
          </cell>
          <cell r="Y552">
            <v>1.1297999999999999</v>
          </cell>
          <cell r="Z552">
            <v>0.28100000000000003</v>
          </cell>
          <cell r="AA552">
            <v>1.1297999999999999</v>
          </cell>
          <cell r="AB552">
            <v>0.28100000000000003</v>
          </cell>
          <cell r="AC552">
            <v>1.1297999999999999</v>
          </cell>
          <cell r="AD552">
            <v>0.28100000000000003</v>
          </cell>
          <cell r="AE552">
            <v>1.1297999999999999</v>
          </cell>
          <cell r="AG552" t="str">
            <v/>
          </cell>
          <cell r="AH552" t="str">
            <v/>
          </cell>
          <cell r="AJ552">
            <v>0.28100000000000003</v>
          </cell>
          <cell r="AK552">
            <v>1.1297999999999999</v>
          </cell>
          <cell r="AL552">
            <v>0.28100000000000003</v>
          </cell>
          <cell r="AM552">
            <v>1.1297999999999999</v>
          </cell>
          <cell r="AN552">
            <v>0.28100000000000003</v>
          </cell>
          <cell r="AO552">
            <v>1.1297999999999999</v>
          </cell>
          <cell r="AP552">
            <v>0.28100000000000003</v>
          </cell>
          <cell r="AQ552">
            <v>1.1297999999999999</v>
          </cell>
          <cell r="AS552" t="str">
            <v/>
          </cell>
          <cell r="AT552" t="str">
            <v/>
          </cell>
          <cell r="AV552" t="b">
            <v>0</v>
          </cell>
          <cell r="AW552" t="str">
            <v>minute &amp; call</v>
          </cell>
        </row>
        <row r="553">
          <cell r="S553" t="str">
            <v>DOM MTQ MQSOS</v>
          </cell>
          <cell r="T553" t="str">
            <v>DOM</v>
          </cell>
          <cell r="U553" t="str">
            <v>MTQ</v>
          </cell>
          <cell r="V553" t="str">
            <v>MQSOS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G553" t="str">
            <v/>
          </cell>
          <cell r="AH553" t="str">
            <v/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S553" t="str">
            <v/>
          </cell>
          <cell r="AT553" t="str">
            <v/>
          </cell>
          <cell r="AV553" t="b">
            <v>0</v>
          </cell>
          <cell r="AW553" t="str">
            <v>minute</v>
          </cell>
        </row>
        <row r="554">
          <cell r="S554" t="str">
            <v>DOM MTQ MQ860</v>
          </cell>
          <cell r="T554" t="str">
            <v>DOM</v>
          </cell>
          <cell r="U554" t="str">
            <v>MTQ</v>
          </cell>
          <cell r="V554" t="str">
            <v>MQ860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G554" t="str">
            <v/>
          </cell>
          <cell r="AH554" t="str">
            <v/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S554" t="str">
            <v/>
          </cell>
          <cell r="AT554" t="str">
            <v/>
          </cell>
          <cell r="AV554" t="b">
            <v>0</v>
          </cell>
          <cell r="AW554" t="str">
            <v>minute</v>
          </cell>
        </row>
        <row r="555">
          <cell r="S555" t="str">
            <v>DOM MTQ MQ82H</v>
          </cell>
          <cell r="T555" t="str">
            <v>DOM</v>
          </cell>
          <cell r="U555" t="str">
            <v>MTQ</v>
          </cell>
          <cell r="V555" t="str">
            <v>MQ82H</v>
          </cell>
          <cell r="X555">
            <v>9.9000000000000005E-2</v>
          </cell>
          <cell r="Y555">
            <v>9.4E-2</v>
          </cell>
          <cell r="Z555">
            <v>9.9000000000000005E-2</v>
          </cell>
          <cell r="AA555">
            <v>9.4E-2</v>
          </cell>
          <cell r="AB555">
            <v>9.9000000000000005E-2</v>
          </cell>
          <cell r="AC555">
            <v>9.4E-2</v>
          </cell>
          <cell r="AD555">
            <v>9.9000000000000005E-2</v>
          </cell>
          <cell r="AE555">
            <v>9.4E-2</v>
          </cell>
          <cell r="AG555" t="str">
            <v/>
          </cell>
          <cell r="AH555" t="str">
            <v/>
          </cell>
          <cell r="AJ555">
            <v>9.9000000000000005E-2</v>
          </cell>
          <cell r="AK555">
            <v>9.4E-2</v>
          </cell>
          <cell r="AL555">
            <v>9.9000000000000005E-2</v>
          </cell>
          <cell r="AM555">
            <v>9.4E-2</v>
          </cell>
          <cell r="AN555">
            <v>9.9000000000000005E-2</v>
          </cell>
          <cell r="AO555">
            <v>9.4E-2</v>
          </cell>
          <cell r="AP555">
            <v>9.9000000000000005E-2</v>
          </cell>
          <cell r="AQ555">
            <v>9.4E-2</v>
          </cell>
          <cell r="AS555" t="str">
            <v/>
          </cell>
          <cell r="AT555" t="str">
            <v/>
          </cell>
          <cell r="AV555" t="b">
            <v>0</v>
          </cell>
          <cell r="AW555" t="str">
            <v>minute &amp; call</v>
          </cell>
        </row>
        <row r="556">
          <cell r="S556" t="str">
            <v>DOM MTQ MQ82L</v>
          </cell>
          <cell r="T556" t="str">
            <v>DOM</v>
          </cell>
          <cell r="U556" t="str">
            <v>MTQ</v>
          </cell>
          <cell r="V556" t="str">
            <v>MQ82L</v>
          </cell>
          <cell r="X556">
            <v>7.4999999999999997E-2</v>
          </cell>
          <cell r="Y556">
            <v>9.4E-2</v>
          </cell>
          <cell r="Z556">
            <v>7.4999999999999997E-2</v>
          </cell>
          <cell r="AA556">
            <v>9.4E-2</v>
          </cell>
          <cell r="AB556">
            <v>7.4999999999999997E-2</v>
          </cell>
          <cell r="AC556">
            <v>9.4E-2</v>
          </cell>
          <cell r="AD556">
            <v>7.4999999999999997E-2</v>
          </cell>
          <cell r="AE556">
            <v>9.4E-2</v>
          </cell>
          <cell r="AG556" t="str">
            <v/>
          </cell>
          <cell r="AH556" t="str">
            <v/>
          </cell>
          <cell r="AJ556">
            <v>7.4999999999999997E-2</v>
          </cell>
          <cell r="AK556">
            <v>9.4E-2</v>
          </cell>
          <cell r="AL556">
            <v>7.4999999999999997E-2</v>
          </cell>
          <cell r="AM556">
            <v>9.4E-2</v>
          </cell>
          <cell r="AN556">
            <v>7.4999999999999997E-2</v>
          </cell>
          <cell r="AO556">
            <v>9.4E-2</v>
          </cell>
          <cell r="AP556">
            <v>7.4999999999999997E-2</v>
          </cell>
          <cell r="AQ556">
            <v>9.4E-2</v>
          </cell>
          <cell r="AS556" t="str">
            <v/>
          </cell>
          <cell r="AT556" t="str">
            <v/>
          </cell>
          <cell r="AV556" t="b">
            <v>0</v>
          </cell>
          <cell r="AW556" t="str">
            <v>minute &amp; call</v>
          </cell>
        </row>
        <row r="557">
          <cell r="S557" t="str">
            <v>DOM MTQ MQ825</v>
          </cell>
          <cell r="T557" t="str">
            <v>DOM</v>
          </cell>
          <cell r="U557" t="str">
            <v>MTQ</v>
          </cell>
          <cell r="V557" t="str">
            <v>MQ825</v>
          </cell>
          <cell r="X557">
            <v>0.12529999999999999</v>
          </cell>
          <cell r="Y557">
            <v>0</v>
          </cell>
          <cell r="Z557">
            <v>0.12529999999999999</v>
          </cell>
          <cell r="AA557">
            <v>0</v>
          </cell>
          <cell r="AB557">
            <v>0.12529999999999999</v>
          </cell>
          <cell r="AC557">
            <v>0</v>
          </cell>
          <cell r="AD557">
            <v>0.12529999999999999</v>
          </cell>
          <cell r="AE557">
            <v>0</v>
          </cell>
          <cell r="AG557" t="str">
            <v/>
          </cell>
          <cell r="AH557" t="str">
            <v/>
          </cell>
          <cell r="AJ557">
            <v>0.12529999999999999</v>
          </cell>
          <cell r="AK557">
            <v>0</v>
          </cell>
          <cell r="AL557">
            <v>0.12529999999999999</v>
          </cell>
          <cell r="AM557">
            <v>0</v>
          </cell>
          <cell r="AN557">
            <v>0.12529999999999999</v>
          </cell>
          <cell r="AO557">
            <v>0</v>
          </cell>
          <cell r="AP557">
            <v>0.12529999999999999</v>
          </cell>
          <cell r="AQ557">
            <v>0</v>
          </cell>
          <cell r="AS557" t="str">
            <v/>
          </cell>
          <cell r="AT557" t="str">
            <v/>
          </cell>
          <cell r="AV557" t="b">
            <v>0</v>
          </cell>
          <cell r="AW557" t="str">
            <v>minute</v>
          </cell>
        </row>
        <row r="558">
          <cell r="S558" t="str">
            <v>DOM MTQ MQ89H</v>
          </cell>
          <cell r="T558" t="str">
            <v>DOM</v>
          </cell>
          <cell r="U558" t="str">
            <v>MTQ</v>
          </cell>
          <cell r="V558" t="str">
            <v>MQ89H</v>
          </cell>
          <cell r="X558">
            <v>0.12529999999999999</v>
          </cell>
          <cell r="Y558">
            <v>0</v>
          </cell>
          <cell r="Z558">
            <v>0.12529999999999999</v>
          </cell>
          <cell r="AA558">
            <v>0</v>
          </cell>
          <cell r="AB558">
            <v>0.12529999999999999</v>
          </cell>
          <cell r="AC558">
            <v>0</v>
          </cell>
          <cell r="AD558">
            <v>0.12529999999999999</v>
          </cell>
          <cell r="AE558">
            <v>0</v>
          </cell>
          <cell r="AG558" t="str">
            <v/>
          </cell>
          <cell r="AH558" t="str">
            <v/>
          </cell>
          <cell r="AJ558">
            <v>0.12529999999999999</v>
          </cell>
          <cell r="AK558">
            <v>0</v>
          </cell>
          <cell r="AL558">
            <v>0.12529999999999999</v>
          </cell>
          <cell r="AM558">
            <v>0</v>
          </cell>
          <cell r="AN558">
            <v>0.12529999999999999</v>
          </cell>
          <cell r="AO558">
            <v>0</v>
          </cell>
          <cell r="AP558">
            <v>0.12529999999999999</v>
          </cell>
          <cell r="AQ558">
            <v>0</v>
          </cell>
          <cell r="AS558" t="str">
            <v/>
          </cell>
          <cell r="AT558" t="str">
            <v/>
          </cell>
          <cell r="AV558" t="b">
            <v>0</v>
          </cell>
          <cell r="AW558" t="str">
            <v>minute</v>
          </cell>
        </row>
        <row r="559">
          <cell r="S559" t="str">
            <v>DOM MTQ MQ89L</v>
          </cell>
          <cell r="T559" t="str">
            <v>DOM</v>
          </cell>
          <cell r="U559" t="str">
            <v>MTQ</v>
          </cell>
          <cell r="V559" t="str">
            <v>MQ89L</v>
          </cell>
          <cell r="X559">
            <v>9.4E-2</v>
          </cell>
          <cell r="Y559">
            <v>0</v>
          </cell>
          <cell r="Z559">
            <v>9.4E-2</v>
          </cell>
          <cell r="AA559">
            <v>0</v>
          </cell>
          <cell r="AB559">
            <v>9.4E-2</v>
          </cell>
          <cell r="AC559">
            <v>0</v>
          </cell>
          <cell r="AD559">
            <v>9.4E-2</v>
          </cell>
          <cell r="AE559">
            <v>0</v>
          </cell>
          <cell r="AG559" t="str">
            <v/>
          </cell>
          <cell r="AH559" t="str">
            <v/>
          </cell>
          <cell r="AJ559">
            <v>9.4E-2</v>
          </cell>
          <cell r="AK559">
            <v>0</v>
          </cell>
          <cell r="AL559">
            <v>9.4E-2</v>
          </cell>
          <cell r="AM559">
            <v>0</v>
          </cell>
          <cell r="AN559">
            <v>9.4E-2</v>
          </cell>
          <cell r="AO559">
            <v>0</v>
          </cell>
          <cell r="AP559">
            <v>9.4E-2</v>
          </cell>
          <cell r="AQ559">
            <v>0</v>
          </cell>
          <cell r="AS559" t="str">
            <v/>
          </cell>
          <cell r="AT559" t="str">
            <v/>
          </cell>
          <cell r="AV559" t="b">
            <v>0</v>
          </cell>
          <cell r="AW559" t="str">
            <v>minute</v>
          </cell>
        </row>
        <row r="560">
          <cell r="S560" t="str">
            <v>DOM MTQ MQ891</v>
          </cell>
          <cell r="T560" t="str">
            <v>DOM</v>
          </cell>
          <cell r="U560" t="str">
            <v>MTQ</v>
          </cell>
          <cell r="V560" t="str">
            <v>MQ891</v>
          </cell>
          <cell r="X560">
            <v>0.188</v>
          </cell>
          <cell r="Y560">
            <v>0</v>
          </cell>
          <cell r="Z560">
            <v>0.188</v>
          </cell>
          <cell r="AA560">
            <v>0</v>
          </cell>
          <cell r="AB560">
            <v>0.188</v>
          </cell>
          <cell r="AC560">
            <v>0</v>
          </cell>
          <cell r="AD560">
            <v>0.188</v>
          </cell>
          <cell r="AE560">
            <v>0</v>
          </cell>
          <cell r="AG560" t="str">
            <v/>
          </cell>
          <cell r="AH560" t="str">
            <v/>
          </cell>
          <cell r="AJ560">
            <v>0.188</v>
          </cell>
          <cell r="AK560">
            <v>0</v>
          </cell>
          <cell r="AL560">
            <v>0.188</v>
          </cell>
          <cell r="AM560">
            <v>0</v>
          </cell>
          <cell r="AN560">
            <v>0.188</v>
          </cell>
          <cell r="AO560">
            <v>0</v>
          </cell>
          <cell r="AP560">
            <v>0.188</v>
          </cell>
          <cell r="AQ560">
            <v>0</v>
          </cell>
          <cell r="AS560" t="str">
            <v/>
          </cell>
          <cell r="AT560" t="str">
            <v/>
          </cell>
          <cell r="AV560" t="b">
            <v>0</v>
          </cell>
          <cell r="AW560" t="str">
            <v>minute</v>
          </cell>
        </row>
        <row r="561">
          <cell r="S561" t="str">
            <v>DOM MTQ MQ892</v>
          </cell>
          <cell r="T561" t="str">
            <v>DOM</v>
          </cell>
          <cell r="U561" t="str">
            <v>MTQ</v>
          </cell>
          <cell r="V561" t="str">
            <v>MQ892</v>
          </cell>
          <cell r="X561">
            <v>0.28199999999999997</v>
          </cell>
          <cell r="Y561">
            <v>0</v>
          </cell>
          <cell r="Z561">
            <v>0.28199999999999997</v>
          </cell>
          <cell r="AA561">
            <v>0</v>
          </cell>
          <cell r="AB561">
            <v>0.28199999999999997</v>
          </cell>
          <cell r="AC561">
            <v>0</v>
          </cell>
          <cell r="AD561">
            <v>0.28199999999999997</v>
          </cell>
          <cell r="AE561">
            <v>0</v>
          </cell>
          <cell r="AG561" t="str">
            <v/>
          </cell>
          <cell r="AH561" t="str">
            <v/>
          </cell>
          <cell r="AJ561">
            <v>0.28199999999999997</v>
          </cell>
          <cell r="AK561">
            <v>0</v>
          </cell>
          <cell r="AL561">
            <v>0.28199999999999997</v>
          </cell>
          <cell r="AM561">
            <v>0</v>
          </cell>
          <cell r="AN561">
            <v>0.28199999999999997</v>
          </cell>
          <cell r="AO561">
            <v>0</v>
          </cell>
          <cell r="AP561">
            <v>0.28199999999999997</v>
          </cell>
          <cell r="AQ561">
            <v>0</v>
          </cell>
          <cell r="AS561" t="str">
            <v/>
          </cell>
          <cell r="AT561" t="str">
            <v/>
          </cell>
          <cell r="AV561" t="b">
            <v>0</v>
          </cell>
          <cell r="AW561" t="str">
            <v>minute</v>
          </cell>
        </row>
        <row r="562">
          <cell r="S562" t="str">
            <v>DOM MTQ MQ897</v>
          </cell>
          <cell r="T562" t="str">
            <v>DOM</v>
          </cell>
          <cell r="U562" t="str">
            <v>MTQ</v>
          </cell>
          <cell r="V562" t="str">
            <v>MQ897</v>
          </cell>
          <cell r="X562">
            <v>0</v>
          </cell>
          <cell r="Y562">
            <v>0.47</v>
          </cell>
          <cell r="Z562">
            <v>0</v>
          </cell>
          <cell r="AA562">
            <v>0.47</v>
          </cell>
          <cell r="AB562">
            <v>0</v>
          </cell>
          <cell r="AC562">
            <v>0.47</v>
          </cell>
          <cell r="AD562">
            <v>0</v>
          </cell>
          <cell r="AE562">
            <v>0.47</v>
          </cell>
          <cell r="AG562" t="str">
            <v/>
          </cell>
          <cell r="AH562" t="str">
            <v/>
          </cell>
          <cell r="AJ562">
            <v>0</v>
          </cell>
          <cell r="AK562">
            <v>0.47</v>
          </cell>
          <cell r="AL562">
            <v>0</v>
          </cell>
          <cell r="AM562">
            <v>0.47</v>
          </cell>
          <cell r="AN562">
            <v>0</v>
          </cell>
          <cell r="AO562">
            <v>0.47</v>
          </cell>
          <cell r="AP562">
            <v>0</v>
          </cell>
          <cell r="AQ562">
            <v>0.47</v>
          </cell>
          <cell r="AS562" t="str">
            <v/>
          </cell>
          <cell r="AT562" t="str">
            <v/>
          </cell>
          <cell r="AV562" t="b">
            <v>0</v>
          </cell>
          <cell r="AW562" t="str">
            <v>call</v>
          </cell>
        </row>
        <row r="563">
          <cell r="S563" t="str">
            <v>DOM MTQ MQ899</v>
          </cell>
          <cell r="T563" t="str">
            <v>DOM</v>
          </cell>
          <cell r="U563" t="str">
            <v>MTQ</v>
          </cell>
          <cell r="V563" t="str">
            <v>MQ899</v>
          </cell>
          <cell r="X563">
            <v>0.28199999999999997</v>
          </cell>
          <cell r="Y563">
            <v>1.1276999999999999</v>
          </cell>
          <cell r="Z563">
            <v>0.28199999999999997</v>
          </cell>
          <cell r="AA563">
            <v>1.1276999999999999</v>
          </cell>
          <cell r="AB563">
            <v>0.28199999999999997</v>
          </cell>
          <cell r="AC563">
            <v>1.1276999999999999</v>
          </cell>
          <cell r="AD563">
            <v>0.28199999999999997</v>
          </cell>
          <cell r="AE563">
            <v>1.1276999999999999</v>
          </cell>
          <cell r="AG563" t="str">
            <v/>
          </cell>
          <cell r="AH563" t="str">
            <v/>
          </cell>
          <cell r="AJ563">
            <v>0.28199999999999997</v>
          </cell>
          <cell r="AK563">
            <v>1.1276999999999999</v>
          </cell>
          <cell r="AL563">
            <v>0.28199999999999997</v>
          </cell>
          <cell r="AM563">
            <v>1.1276999999999999</v>
          </cell>
          <cell r="AN563">
            <v>0.28199999999999997</v>
          </cell>
          <cell r="AO563">
            <v>1.1276999999999999</v>
          </cell>
          <cell r="AP563">
            <v>0.28199999999999997</v>
          </cell>
          <cell r="AQ563">
            <v>1.1276999999999999</v>
          </cell>
          <cell r="AS563" t="str">
            <v/>
          </cell>
          <cell r="AT563" t="str">
            <v/>
          </cell>
          <cell r="AV563" t="b">
            <v>0</v>
          </cell>
          <cell r="AW563" t="str">
            <v>minute &amp; call</v>
          </cell>
        </row>
        <row r="564">
          <cell r="S564" t="str">
            <v>DOM MTQ MQ006</v>
          </cell>
          <cell r="T564" t="str">
            <v>DOM</v>
          </cell>
          <cell r="U564" t="str">
            <v>MTQ</v>
          </cell>
          <cell r="V564" t="str">
            <v>MQ006</v>
          </cell>
          <cell r="X564">
            <v>0.28199999999999997</v>
          </cell>
          <cell r="Y564">
            <v>1.1279999999999999</v>
          </cell>
          <cell r="Z564">
            <v>0.28199999999999997</v>
          </cell>
          <cell r="AA564">
            <v>1.1279999999999999</v>
          </cell>
          <cell r="AB564">
            <v>0.28199999999999997</v>
          </cell>
          <cell r="AC564">
            <v>1.1279999999999999</v>
          </cell>
          <cell r="AD564">
            <v>0.28199999999999997</v>
          </cell>
          <cell r="AE564">
            <v>1.1279999999999999</v>
          </cell>
          <cell r="AG564" t="str">
            <v/>
          </cell>
          <cell r="AH564" t="str">
            <v/>
          </cell>
          <cell r="AJ564">
            <v>0.28199999999999997</v>
          </cell>
          <cell r="AK564">
            <v>1.1279999999999999</v>
          </cell>
          <cell r="AL564">
            <v>0.28199999999999997</v>
          </cell>
          <cell r="AM564">
            <v>1.1279999999999999</v>
          </cell>
          <cell r="AN564">
            <v>0.28199999999999997</v>
          </cell>
          <cell r="AO564">
            <v>1.1279999999999999</v>
          </cell>
          <cell r="AP564">
            <v>0.28199999999999997</v>
          </cell>
          <cell r="AQ564">
            <v>1.1279999999999999</v>
          </cell>
          <cell r="AS564" t="str">
            <v/>
          </cell>
          <cell r="AT564" t="str">
            <v/>
          </cell>
          <cell r="AV564" t="b">
            <v>0</v>
          </cell>
          <cell r="AW564" t="str">
            <v>minute &amp; call</v>
          </cell>
        </row>
        <row r="565">
          <cell r="S565" t="str">
            <v>DOM MTQ MQ218</v>
          </cell>
          <cell r="T565" t="str">
            <v>DOM</v>
          </cell>
          <cell r="U565" t="str">
            <v>MTQ</v>
          </cell>
          <cell r="V565" t="str">
            <v>MQ218</v>
          </cell>
          <cell r="X565">
            <v>0.752</v>
          </cell>
          <cell r="Y565">
            <v>0.752</v>
          </cell>
          <cell r="Z565">
            <v>0.752</v>
          </cell>
          <cell r="AA565">
            <v>0.752</v>
          </cell>
          <cell r="AB565">
            <v>0.752</v>
          </cell>
          <cell r="AC565">
            <v>0.752</v>
          </cell>
          <cell r="AD565">
            <v>0.752</v>
          </cell>
          <cell r="AE565">
            <v>0.752</v>
          </cell>
          <cell r="AG565" t="str">
            <v/>
          </cell>
          <cell r="AH565" t="str">
            <v/>
          </cell>
          <cell r="AJ565">
            <v>0.752</v>
          </cell>
          <cell r="AK565">
            <v>0.752</v>
          </cell>
          <cell r="AL565">
            <v>0.752</v>
          </cell>
          <cell r="AM565">
            <v>0.752</v>
          </cell>
          <cell r="AN565">
            <v>0.752</v>
          </cell>
          <cell r="AO565">
            <v>0.752</v>
          </cell>
          <cell r="AP565">
            <v>0.752</v>
          </cell>
          <cell r="AQ565">
            <v>0.752</v>
          </cell>
          <cell r="AS565" t="str">
            <v/>
          </cell>
          <cell r="AT565" t="str">
            <v/>
          </cell>
          <cell r="AV565" t="b">
            <v>0</v>
          </cell>
          <cell r="AW565" t="str">
            <v>minute &amp; call</v>
          </cell>
        </row>
        <row r="566">
          <cell r="S566" t="str">
            <v>DOM MTQ MQ222</v>
          </cell>
          <cell r="T566" t="str">
            <v>DOM</v>
          </cell>
          <cell r="U566" t="str">
            <v>MTQ</v>
          </cell>
          <cell r="V566" t="str">
            <v>MQ222</v>
          </cell>
          <cell r="X566">
            <v>0.188</v>
          </cell>
          <cell r="Y566">
            <v>1.1279999999999999</v>
          </cell>
          <cell r="Z566">
            <v>0.188</v>
          </cell>
          <cell r="AA566">
            <v>1.1279999999999999</v>
          </cell>
          <cell r="AB566">
            <v>0.188</v>
          </cell>
          <cell r="AC566">
            <v>1.1279999999999999</v>
          </cell>
          <cell r="AD566">
            <v>0.188</v>
          </cell>
          <cell r="AE566">
            <v>1.1279999999999999</v>
          </cell>
          <cell r="AG566" t="str">
            <v/>
          </cell>
          <cell r="AH566" t="str">
            <v/>
          </cell>
          <cell r="AJ566">
            <v>0.188</v>
          </cell>
          <cell r="AK566">
            <v>1.1279999999999999</v>
          </cell>
          <cell r="AL566">
            <v>0.188</v>
          </cell>
          <cell r="AM566">
            <v>1.1279999999999999</v>
          </cell>
          <cell r="AN566">
            <v>0.188</v>
          </cell>
          <cell r="AO566">
            <v>1.1279999999999999</v>
          </cell>
          <cell r="AP566">
            <v>0.188</v>
          </cell>
          <cell r="AQ566">
            <v>1.1279999999999999</v>
          </cell>
          <cell r="AS566" t="str">
            <v/>
          </cell>
          <cell r="AT566" t="str">
            <v/>
          </cell>
          <cell r="AV566" t="b">
            <v>0</v>
          </cell>
          <cell r="AW566" t="str">
            <v>minute &amp; call</v>
          </cell>
        </row>
        <row r="567">
          <cell r="S567" t="str">
            <v>DOM MTQ MQ700</v>
          </cell>
          <cell r="T567" t="str">
            <v>DOM</v>
          </cell>
          <cell r="U567" t="str">
            <v>MTQ</v>
          </cell>
          <cell r="V567" t="str">
            <v>MQ700</v>
          </cell>
          <cell r="X567">
            <v>0</v>
          </cell>
          <cell r="Y567">
            <v>2.5099999999999998</v>
          </cell>
          <cell r="Z567">
            <v>0</v>
          </cell>
          <cell r="AA567">
            <v>2.5099999999999998</v>
          </cell>
          <cell r="AB567">
            <v>0</v>
          </cell>
          <cell r="AC567">
            <v>2.5099999999999998</v>
          </cell>
          <cell r="AD567">
            <v>0</v>
          </cell>
          <cell r="AE567">
            <v>2.5099999999999998</v>
          </cell>
          <cell r="AG567" t="str">
            <v/>
          </cell>
          <cell r="AH567" t="str">
            <v/>
          </cell>
          <cell r="AJ567">
            <v>0</v>
          </cell>
          <cell r="AK567">
            <v>2.5099999999999998</v>
          </cell>
          <cell r="AL567">
            <v>0</v>
          </cell>
          <cell r="AM567">
            <v>2.5099999999999998</v>
          </cell>
          <cell r="AN567">
            <v>0</v>
          </cell>
          <cell r="AO567">
            <v>2.5099999999999998</v>
          </cell>
          <cell r="AP567">
            <v>0</v>
          </cell>
          <cell r="AQ567">
            <v>2.5099999999999998</v>
          </cell>
          <cell r="AS567" t="str">
            <v/>
          </cell>
          <cell r="AT567" t="str">
            <v/>
          </cell>
          <cell r="AV567" t="b">
            <v>0</v>
          </cell>
          <cell r="AW567" t="str">
            <v>call</v>
          </cell>
        </row>
        <row r="568">
          <cell r="S568" t="str">
            <v>DOM MTQ MQ710</v>
          </cell>
          <cell r="T568" t="str">
            <v>DOM</v>
          </cell>
          <cell r="U568" t="str">
            <v>MTQ</v>
          </cell>
          <cell r="V568" t="str">
            <v>MQ710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G568" t="str">
            <v/>
          </cell>
          <cell r="AH568" t="str">
            <v/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S568" t="str">
            <v/>
          </cell>
          <cell r="AT568" t="str">
            <v/>
          </cell>
          <cell r="AV568" t="b">
            <v>0</v>
          </cell>
          <cell r="AW568" t="str">
            <v>minute</v>
          </cell>
        </row>
        <row r="569">
          <cell r="S569" t="str">
            <v>DOM MTQ MQ711</v>
          </cell>
          <cell r="T569" t="str">
            <v>DOM</v>
          </cell>
          <cell r="U569" t="str">
            <v>MTQ</v>
          </cell>
          <cell r="V569" t="str">
            <v>MQ711</v>
          </cell>
          <cell r="X569">
            <v>0.28199999999999997</v>
          </cell>
          <cell r="Y569">
            <v>0.65800000000000003</v>
          </cell>
          <cell r="Z569">
            <v>0.28199999999999997</v>
          </cell>
          <cell r="AA569">
            <v>0.65800000000000003</v>
          </cell>
          <cell r="AB569">
            <v>0.28199999999999997</v>
          </cell>
          <cell r="AC569">
            <v>0.65800000000000003</v>
          </cell>
          <cell r="AD569">
            <v>0.28199999999999997</v>
          </cell>
          <cell r="AE569">
            <v>0.65800000000000003</v>
          </cell>
          <cell r="AG569" t="str">
            <v/>
          </cell>
          <cell r="AH569" t="str">
            <v/>
          </cell>
          <cell r="AJ569">
            <v>0.28199999999999997</v>
          </cell>
          <cell r="AK569">
            <v>0.65800000000000003</v>
          </cell>
          <cell r="AL569">
            <v>0.28199999999999997</v>
          </cell>
          <cell r="AM569">
            <v>0.65800000000000003</v>
          </cell>
          <cell r="AN569">
            <v>0.28199999999999997</v>
          </cell>
          <cell r="AO569">
            <v>0.65800000000000003</v>
          </cell>
          <cell r="AP569">
            <v>0.28199999999999997</v>
          </cell>
          <cell r="AQ569">
            <v>0.65800000000000003</v>
          </cell>
          <cell r="AS569" t="str">
            <v/>
          </cell>
          <cell r="AT569" t="str">
            <v/>
          </cell>
          <cell r="AV569" t="b">
            <v>0</v>
          </cell>
          <cell r="AW569" t="str">
            <v>minute &amp; call</v>
          </cell>
        </row>
        <row r="570">
          <cell r="S570" t="str">
            <v>DOM MTQ MQ712</v>
          </cell>
          <cell r="T570" t="str">
            <v>DOM</v>
          </cell>
          <cell r="U570" t="str">
            <v>MTQ</v>
          </cell>
          <cell r="V570" t="str">
            <v>MQ712</v>
          </cell>
          <cell r="X570">
            <v>0.376</v>
          </cell>
          <cell r="Y570">
            <v>1.222</v>
          </cell>
          <cell r="Z570">
            <v>0.376</v>
          </cell>
          <cell r="AA570">
            <v>1.222</v>
          </cell>
          <cell r="AB570">
            <v>0.376</v>
          </cell>
          <cell r="AC570">
            <v>1.222</v>
          </cell>
          <cell r="AD570">
            <v>0.376</v>
          </cell>
          <cell r="AE570">
            <v>1.222</v>
          </cell>
          <cell r="AG570" t="str">
            <v/>
          </cell>
          <cell r="AH570" t="str">
            <v/>
          </cell>
          <cell r="AJ570">
            <v>0.376</v>
          </cell>
          <cell r="AK570">
            <v>1.222</v>
          </cell>
          <cell r="AL570">
            <v>0.376</v>
          </cell>
          <cell r="AM570">
            <v>1.222</v>
          </cell>
          <cell r="AN570">
            <v>0.376</v>
          </cell>
          <cell r="AO570">
            <v>1.222</v>
          </cell>
          <cell r="AP570">
            <v>0.376</v>
          </cell>
          <cell r="AQ570">
            <v>1.222</v>
          </cell>
          <cell r="AS570" t="str">
            <v/>
          </cell>
          <cell r="AT570" t="str">
            <v/>
          </cell>
          <cell r="AV570" t="b">
            <v>0</v>
          </cell>
          <cell r="AW570" t="str">
            <v>minute &amp; call</v>
          </cell>
        </row>
        <row r="571">
          <cell r="S571" t="str">
            <v>DOM MTQ MQ888</v>
          </cell>
          <cell r="T571" t="str">
            <v>DOM</v>
          </cell>
          <cell r="U571" t="str">
            <v>MTQ</v>
          </cell>
          <cell r="V571" t="str">
            <v>MQ888</v>
          </cell>
          <cell r="X571">
            <v>9.4E-2</v>
          </cell>
          <cell r="Y571">
            <v>0.94</v>
          </cell>
          <cell r="Z571">
            <v>9.4E-2</v>
          </cell>
          <cell r="AA571">
            <v>0.94</v>
          </cell>
          <cell r="AB571">
            <v>9.4E-2</v>
          </cell>
          <cell r="AC571">
            <v>0.94</v>
          </cell>
          <cell r="AD571">
            <v>9.4E-2</v>
          </cell>
          <cell r="AE571">
            <v>0.94</v>
          </cell>
          <cell r="AG571" t="str">
            <v/>
          </cell>
          <cell r="AH571" t="str">
            <v/>
          </cell>
          <cell r="AJ571">
            <v>9.4E-2</v>
          </cell>
          <cell r="AK571">
            <v>0.94</v>
          </cell>
          <cell r="AL571">
            <v>9.4E-2</v>
          </cell>
          <cell r="AM571">
            <v>0.94</v>
          </cell>
          <cell r="AN571">
            <v>9.4E-2</v>
          </cell>
          <cell r="AO571">
            <v>0.94</v>
          </cell>
          <cell r="AP571">
            <v>9.4E-2</v>
          </cell>
          <cell r="AQ571">
            <v>0.94</v>
          </cell>
          <cell r="AS571" t="str">
            <v/>
          </cell>
          <cell r="AT571" t="str">
            <v/>
          </cell>
          <cell r="AV571" t="b">
            <v>0</v>
          </cell>
          <cell r="AW571" t="str">
            <v>minute &amp; call</v>
          </cell>
        </row>
        <row r="572">
          <cell r="S572" t="str">
            <v>DOM MTQ MQFRE</v>
          </cell>
          <cell r="T572" t="str">
            <v>DOM</v>
          </cell>
          <cell r="U572" t="str">
            <v>MTQ</v>
          </cell>
          <cell r="V572" t="str">
            <v>MQFRE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G572" t="str">
            <v/>
          </cell>
          <cell r="AH572" t="str">
            <v/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S572" t="str">
            <v/>
          </cell>
          <cell r="AT572" t="str">
            <v/>
          </cell>
          <cell r="AV572" t="b">
            <v>0</v>
          </cell>
          <cell r="AW572" t="str">
            <v>minute</v>
          </cell>
        </row>
        <row r="573">
          <cell r="S573" t="str">
            <v>DOM MTQ MQ810</v>
          </cell>
          <cell r="T573" t="str">
            <v>DOM</v>
          </cell>
          <cell r="U573" t="str">
            <v>MTQ</v>
          </cell>
          <cell r="V573" t="str">
            <v>MQ810</v>
          </cell>
          <cell r="X573">
            <v>2.3E-2</v>
          </cell>
          <cell r="Y573">
            <v>6.5000000000000002E-2</v>
          </cell>
          <cell r="Z573">
            <v>2.3E-2</v>
          </cell>
          <cell r="AA573">
            <v>6.5000000000000002E-2</v>
          </cell>
          <cell r="AB573">
            <v>2.3E-2</v>
          </cell>
          <cell r="AC573">
            <v>6.5000000000000002E-2</v>
          </cell>
          <cell r="AD573">
            <v>2.3E-2</v>
          </cell>
          <cell r="AE573">
            <v>6.5000000000000002E-2</v>
          </cell>
          <cell r="AG573" t="str">
            <v/>
          </cell>
          <cell r="AH573" t="str">
            <v/>
          </cell>
          <cell r="AJ573">
            <v>2.3E-2</v>
          </cell>
          <cell r="AK573">
            <v>6.5000000000000002E-2</v>
          </cell>
          <cell r="AL573">
            <v>2.3E-2</v>
          </cell>
          <cell r="AM573">
            <v>6.5000000000000002E-2</v>
          </cell>
          <cell r="AN573">
            <v>2.3E-2</v>
          </cell>
          <cell r="AO573">
            <v>6.5000000000000002E-2</v>
          </cell>
          <cell r="AP573">
            <v>2.3E-2</v>
          </cell>
          <cell r="AQ573">
            <v>6.5000000000000002E-2</v>
          </cell>
          <cell r="AS573" t="str">
            <v/>
          </cell>
          <cell r="AT573" t="str">
            <v/>
          </cell>
          <cell r="AV573" t="b">
            <v>0</v>
          </cell>
          <cell r="AW573" t="str">
            <v>minute &amp; call</v>
          </cell>
        </row>
        <row r="574">
          <cell r="S574" t="str">
            <v>DOM MAY YTFIX</v>
          </cell>
          <cell r="T574" t="str">
            <v>DOM</v>
          </cell>
          <cell r="U574" t="str">
            <v>MAY</v>
          </cell>
          <cell r="V574" t="str">
            <v>YTFIX</v>
          </cell>
          <cell r="X574">
            <v>5.16E-2</v>
          </cell>
          <cell r="Y574">
            <v>0</v>
          </cell>
          <cell r="Z574">
            <v>4.3900000000000002E-2</v>
          </cell>
          <cell r="AA574">
            <v>0</v>
          </cell>
          <cell r="AB574">
            <v>3.73E-2</v>
          </cell>
          <cell r="AC574">
            <v>0</v>
          </cell>
          <cell r="AD574">
            <v>3.1699999999999999E-2</v>
          </cell>
          <cell r="AE574">
            <v>0</v>
          </cell>
          <cell r="AG574" t="str">
            <v/>
          </cell>
          <cell r="AH574" t="str">
            <v/>
          </cell>
          <cell r="AJ574">
            <v>5.16E-2</v>
          </cell>
          <cell r="AK574">
            <v>0</v>
          </cell>
          <cell r="AL574">
            <v>4.3900000000000002E-2</v>
          </cell>
          <cell r="AM574">
            <v>0</v>
          </cell>
          <cell r="AN574">
            <v>3.73E-2</v>
          </cell>
          <cell r="AO574">
            <v>0</v>
          </cell>
          <cell r="AP574">
            <v>3.1699999999999999E-2</v>
          </cell>
          <cell r="AQ574">
            <v>0</v>
          </cell>
          <cell r="AS574" t="str">
            <v/>
          </cell>
          <cell r="AT574" t="str">
            <v/>
          </cell>
          <cell r="AV574" t="b">
            <v>1</v>
          </cell>
          <cell r="AW574" t="str">
            <v>minute</v>
          </cell>
        </row>
        <row r="575">
          <cell r="S575" t="str">
            <v>DOM MAY YTMOB</v>
          </cell>
          <cell r="T575" t="str">
            <v>DOM</v>
          </cell>
          <cell r="U575" t="str">
            <v>MAY</v>
          </cell>
          <cell r="V575" t="str">
            <v>YTMOB</v>
          </cell>
          <cell r="X575">
            <v>6.2100000000000002E-2</v>
          </cell>
          <cell r="Y575">
            <v>0</v>
          </cell>
          <cell r="Z575">
            <v>5.28E-2</v>
          </cell>
          <cell r="AA575">
            <v>0</v>
          </cell>
          <cell r="AB575">
            <v>4.4900000000000002E-2</v>
          </cell>
          <cell r="AC575">
            <v>0</v>
          </cell>
          <cell r="AD575">
            <v>3.8199999999999998E-2</v>
          </cell>
          <cell r="AE575">
            <v>0</v>
          </cell>
          <cell r="AG575" t="str">
            <v/>
          </cell>
          <cell r="AH575" t="str">
            <v/>
          </cell>
          <cell r="AJ575">
            <v>6.2100000000000002E-2</v>
          </cell>
          <cell r="AK575">
            <v>0</v>
          </cell>
          <cell r="AL575">
            <v>5.28E-2</v>
          </cell>
          <cell r="AM575">
            <v>0</v>
          </cell>
          <cell r="AN575">
            <v>4.4900000000000002E-2</v>
          </cell>
          <cell r="AO575">
            <v>0</v>
          </cell>
          <cell r="AP575">
            <v>3.8199999999999998E-2</v>
          </cell>
          <cell r="AQ575">
            <v>0</v>
          </cell>
          <cell r="AS575" t="str">
            <v/>
          </cell>
          <cell r="AT575" t="str">
            <v/>
          </cell>
          <cell r="AV575" t="b">
            <v>1</v>
          </cell>
          <cell r="AW575" t="str">
            <v>minute</v>
          </cell>
        </row>
        <row r="576">
          <cell r="S576" t="str">
            <v>DOM MAY MY1FR</v>
          </cell>
          <cell r="T576" t="str">
            <v>DOM</v>
          </cell>
          <cell r="U576" t="str">
            <v>MAY</v>
          </cell>
          <cell r="V576" t="str">
            <v>MY1FR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G576" t="str">
            <v/>
          </cell>
          <cell r="AH576" t="str">
            <v/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S576" t="str">
            <v/>
          </cell>
          <cell r="AT576" t="str">
            <v/>
          </cell>
          <cell r="AV576" t="b">
            <v>0</v>
          </cell>
          <cell r="AW576" t="str">
            <v>minute</v>
          </cell>
        </row>
        <row r="577">
          <cell r="S577" t="str">
            <v>DOM MAY MY1TS</v>
          </cell>
          <cell r="T577" t="str">
            <v>DOM</v>
          </cell>
          <cell r="U577" t="str">
            <v>MAY</v>
          </cell>
          <cell r="V577" t="str">
            <v>MY1TS</v>
          </cell>
          <cell r="X577">
            <v>2.3E-2</v>
          </cell>
          <cell r="Y577">
            <v>6.5000000000000002E-2</v>
          </cell>
          <cell r="Z577">
            <v>2.3E-2</v>
          </cell>
          <cell r="AA577">
            <v>6.5000000000000002E-2</v>
          </cell>
          <cell r="AB577">
            <v>2.3E-2</v>
          </cell>
          <cell r="AC577">
            <v>6.5000000000000002E-2</v>
          </cell>
          <cell r="AD577">
            <v>2.3E-2</v>
          </cell>
          <cell r="AE577">
            <v>6.5000000000000002E-2</v>
          </cell>
          <cell r="AG577" t="str">
            <v/>
          </cell>
          <cell r="AH577" t="str">
            <v/>
          </cell>
          <cell r="AJ577">
            <v>2.3E-2</v>
          </cell>
          <cell r="AK577">
            <v>6.5000000000000002E-2</v>
          </cell>
          <cell r="AL577">
            <v>2.3E-2</v>
          </cell>
          <cell r="AM577">
            <v>6.5000000000000002E-2</v>
          </cell>
          <cell r="AN577">
            <v>2.3E-2</v>
          </cell>
          <cell r="AO577">
            <v>6.5000000000000002E-2</v>
          </cell>
          <cell r="AP577">
            <v>2.3E-2</v>
          </cell>
          <cell r="AQ577">
            <v>6.5000000000000002E-2</v>
          </cell>
          <cell r="AS577" t="str">
            <v/>
          </cell>
          <cell r="AT577" t="str">
            <v/>
          </cell>
          <cell r="AV577" t="b">
            <v>0</v>
          </cell>
          <cell r="AW577" t="str">
            <v>minute &amp; call</v>
          </cell>
        </row>
        <row r="578">
          <cell r="S578" t="str">
            <v>DOM MAY MY300</v>
          </cell>
          <cell r="T578" t="str">
            <v>DOM</v>
          </cell>
          <cell r="U578" t="str">
            <v>MAY</v>
          </cell>
          <cell r="V578" t="str">
            <v>MY300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G578" t="str">
            <v/>
          </cell>
          <cell r="AH578" t="str">
            <v/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S578" t="str">
            <v/>
          </cell>
          <cell r="AT578" t="str">
            <v/>
          </cell>
          <cell r="AV578" t="b">
            <v>0</v>
          </cell>
          <cell r="AW578" t="str">
            <v>minute</v>
          </cell>
        </row>
        <row r="579">
          <cell r="S579" t="str">
            <v>DOM MAY MY301</v>
          </cell>
          <cell r="T579" t="str">
            <v>DOM</v>
          </cell>
          <cell r="U579" t="str">
            <v>MAY</v>
          </cell>
          <cell r="V579" t="str">
            <v>MY301</v>
          </cell>
          <cell r="X579">
            <v>5.04E-2</v>
          </cell>
          <cell r="Y579">
            <v>0</v>
          </cell>
          <cell r="Z579">
            <v>5.04E-2</v>
          </cell>
          <cell r="AA579">
            <v>0</v>
          </cell>
          <cell r="AB579">
            <v>5.04E-2</v>
          </cell>
          <cell r="AC579">
            <v>0</v>
          </cell>
          <cell r="AD579">
            <v>5.04E-2</v>
          </cell>
          <cell r="AE579">
            <v>0</v>
          </cell>
          <cell r="AG579" t="str">
            <v/>
          </cell>
          <cell r="AH579" t="str">
            <v/>
          </cell>
          <cell r="AJ579">
            <v>5.04E-2</v>
          </cell>
          <cell r="AK579">
            <v>0</v>
          </cell>
          <cell r="AL579">
            <v>5.04E-2</v>
          </cell>
          <cell r="AM579">
            <v>0</v>
          </cell>
          <cell r="AN579">
            <v>5.04E-2</v>
          </cell>
          <cell r="AO579">
            <v>0</v>
          </cell>
          <cell r="AP579">
            <v>5.04E-2</v>
          </cell>
          <cell r="AQ579">
            <v>0</v>
          </cell>
          <cell r="AS579" t="str">
            <v/>
          </cell>
          <cell r="AT579" t="str">
            <v/>
          </cell>
          <cell r="AV579" t="b">
            <v>0</v>
          </cell>
          <cell r="AW579" t="str">
            <v>minute</v>
          </cell>
        </row>
        <row r="580">
          <cell r="S580" t="str">
            <v>DOM MAY MY302</v>
          </cell>
          <cell r="T580" t="str">
            <v>DOM</v>
          </cell>
          <cell r="U580" t="str">
            <v>MAY</v>
          </cell>
          <cell r="V580" t="str">
            <v>MY302</v>
          </cell>
          <cell r="X580">
            <v>5.9400000000000001E-2</v>
          </cell>
          <cell r="Y580">
            <v>0</v>
          </cell>
          <cell r="Z580">
            <v>5.9400000000000001E-2</v>
          </cell>
          <cell r="AA580">
            <v>0</v>
          </cell>
          <cell r="AB580">
            <v>5.9400000000000001E-2</v>
          </cell>
          <cell r="AC580">
            <v>0</v>
          </cell>
          <cell r="AD580">
            <v>5.9400000000000001E-2</v>
          </cell>
          <cell r="AE580">
            <v>0</v>
          </cell>
          <cell r="AG580" t="str">
            <v/>
          </cell>
          <cell r="AH580" t="str">
            <v/>
          </cell>
          <cell r="AJ580">
            <v>5.9400000000000001E-2</v>
          </cell>
          <cell r="AK580">
            <v>0</v>
          </cell>
          <cell r="AL580">
            <v>5.9400000000000001E-2</v>
          </cell>
          <cell r="AM580">
            <v>0</v>
          </cell>
          <cell r="AN580">
            <v>5.9400000000000001E-2</v>
          </cell>
          <cell r="AO580">
            <v>0</v>
          </cell>
          <cell r="AP580">
            <v>5.9400000000000001E-2</v>
          </cell>
          <cell r="AQ580">
            <v>0</v>
          </cell>
          <cell r="AS580" t="str">
            <v/>
          </cell>
          <cell r="AT580" t="str">
            <v/>
          </cell>
          <cell r="AV580" t="b">
            <v>0</v>
          </cell>
          <cell r="AW580" t="str">
            <v>minute</v>
          </cell>
        </row>
        <row r="581">
          <cell r="S581" t="str">
            <v>DOM MAY MY303</v>
          </cell>
          <cell r="T581" t="str">
            <v>DOM</v>
          </cell>
          <cell r="U581" t="str">
            <v>MAY</v>
          </cell>
          <cell r="V581" t="str">
            <v>MY303</v>
          </cell>
          <cell r="X581">
            <v>9.4E-2</v>
          </cell>
          <cell r="Y581">
            <v>0</v>
          </cell>
          <cell r="Z581">
            <v>9.4E-2</v>
          </cell>
          <cell r="AA581">
            <v>0</v>
          </cell>
          <cell r="AB581">
            <v>9.4E-2</v>
          </cell>
          <cell r="AC581">
            <v>0</v>
          </cell>
          <cell r="AD581">
            <v>9.4E-2</v>
          </cell>
          <cell r="AE581">
            <v>0</v>
          </cell>
          <cell r="AG581" t="str">
            <v/>
          </cell>
          <cell r="AH581" t="str">
            <v/>
          </cell>
          <cell r="AJ581">
            <v>9.4E-2</v>
          </cell>
          <cell r="AK581">
            <v>0</v>
          </cell>
          <cell r="AL581">
            <v>9.4E-2</v>
          </cell>
          <cell r="AM581">
            <v>0</v>
          </cell>
          <cell r="AN581">
            <v>9.4E-2</v>
          </cell>
          <cell r="AO581">
            <v>0</v>
          </cell>
          <cell r="AP581">
            <v>9.4E-2</v>
          </cell>
          <cell r="AQ581">
            <v>0</v>
          </cell>
          <cell r="AS581" t="str">
            <v/>
          </cell>
          <cell r="AT581" t="str">
            <v/>
          </cell>
          <cell r="AV581" t="b">
            <v>0</v>
          </cell>
          <cell r="AW581" t="str">
            <v>minute</v>
          </cell>
        </row>
        <row r="582">
          <cell r="S582" t="str">
            <v>DOM MAY MY304</v>
          </cell>
          <cell r="T582" t="str">
            <v>DOM</v>
          </cell>
          <cell r="U582" t="str">
            <v>MAY</v>
          </cell>
          <cell r="V582" t="str">
            <v>MY304</v>
          </cell>
          <cell r="X582">
            <v>0.125</v>
          </cell>
          <cell r="Y582">
            <v>0</v>
          </cell>
          <cell r="Z582">
            <v>0.125</v>
          </cell>
          <cell r="AA582">
            <v>0</v>
          </cell>
          <cell r="AB582">
            <v>0.125</v>
          </cell>
          <cell r="AC582">
            <v>0</v>
          </cell>
          <cell r="AD582">
            <v>0.125</v>
          </cell>
          <cell r="AE582">
            <v>0</v>
          </cell>
          <cell r="AG582" t="str">
            <v/>
          </cell>
          <cell r="AH582" t="str">
            <v/>
          </cell>
          <cell r="AJ582">
            <v>0.125</v>
          </cell>
          <cell r="AK582">
            <v>0</v>
          </cell>
          <cell r="AL582">
            <v>0.125</v>
          </cell>
          <cell r="AM582">
            <v>0</v>
          </cell>
          <cell r="AN582">
            <v>0.125</v>
          </cell>
          <cell r="AO582">
            <v>0</v>
          </cell>
          <cell r="AP582">
            <v>0.125</v>
          </cell>
          <cell r="AQ582">
            <v>0</v>
          </cell>
          <cell r="AS582" t="str">
            <v/>
          </cell>
          <cell r="AT582" t="str">
            <v/>
          </cell>
          <cell r="AV582" t="b">
            <v>0</v>
          </cell>
          <cell r="AW582" t="str">
            <v>minute</v>
          </cell>
        </row>
        <row r="583">
          <cell r="S583" t="str">
            <v>DOM MAY MY305</v>
          </cell>
          <cell r="T583" t="str">
            <v>DOM</v>
          </cell>
          <cell r="U583" t="str">
            <v>MAY</v>
          </cell>
          <cell r="V583" t="str">
            <v>MY305</v>
          </cell>
          <cell r="X583">
            <v>0.17630000000000001</v>
          </cell>
          <cell r="Y583">
            <v>0</v>
          </cell>
          <cell r="Z583">
            <v>0.17630000000000001</v>
          </cell>
          <cell r="AA583">
            <v>0</v>
          </cell>
          <cell r="AB583">
            <v>0.17630000000000001</v>
          </cell>
          <cell r="AC583">
            <v>0</v>
          </cell>
          <cell r="AD583">
            <v>0.17630000000000001</v>
          </cell>
          <cell r="AE583">
            <v>0</v>
          </cell>
          <cell r="AG583" t="str">
            <v/>
          </cell>
          <cell r="AH583" t="str">
            <v/>
          </cell>
          <cell r="AJ583">
            <v>0.17630000000000001</v>
          </cell>
          <cell r="AK583">
            <v>0</v>
          </cell>
          <cell r="AL583">
            <v>0.17630000000000001</v>
          </cell>
          <cell r="AM583">
            <v>0</v>
          </cell>
          <cell r="AN583">
            <v>0.17630000000000001</v>
          </cell>
          <cell r="AO583">
            <v>0</v>
          </cell>
          <cell r="AP583">
            <v>0.17630000000000001</v>
          </cell>
          <cell r="AQ583">
            <v>0</v>
          </cell>
          <cell r="AS583" t="str">
            <v/>
          </cell>
          <cell r="AT583" t="str">
            <v/>
          </cell>
          <cell r="AV583" t="b">
            <v>0</v>
          </cell>
          <cell r="AW583" t="str">
            <v>minute</v>
          </cell>
        </row>
        <row r="584">
          <cell r="S584" t="str">
            <v>DOM MAY MY306</v>
          </cell>
          <cell r="T584" t="str">
            <v>DOM</v>
          </cell>
          <cell r="U584" t="str">
            <v>MAY</v>
          </cell>
          <cell r="V584" t="str">
            <v>MY306</v>
          </cell>
          <cell r="X584">
            <v>0.188</v>
          </cell>
          <cell r="Y584">
            <v>0</v>
          </cell>
          <cell r="Z584">
            <v>0.188</v>
          </cell>
          <cell r="AA584">
            <v>0</v>
          </cell>
          <cell r="AB584">
            <v>0.188</v>
          </cell>
          <cell r="AC584">
            <v>0</v>
          </cell>
          <cell r="AD584">
            <v>0.188</v>
          </cell>
          <cell r="AE584">
            <v>0</v>
          </cell>
          <cell r="AG584" t="str">
            <v/>
          </cell>
          <cell r="AH584" t="str">
            <v/>
          </cell>
          <cell r="AJ584">
            <v>0.188</v>
          </cell>
          <cell r="AK584">
            <v>0</v>
          </cell>
          <cell r="AL584">
            <v>0.188</v>
          </cell>
          <cell r="AM584">
            <v>0</v>
          </cell>
          <cell r="AN584">
            <v>0.188</v>
          </cell>
          <cell r="AO584">
            <v>0</v>
          </cell>
          <cell r="AP584">
            <v>0.188</v>
          </cell>
          <cell r="AQ584">
            <v>0</v>
          </cell>
          <cell r="AS584" t="str">
            <v/>
          </cell>
          <cell r="AT584" t="str">
            <v/>
          </cell>
          <cell r="AV584" t="b">
            <v>0</v>
          </cell>
          <cell r="AW584" t="str">
            <v>minute</v>
          </cell>
        </row>
        <row r="585">
          <cell r="S585" t="str">
            <v>DOM MAY MY307</v>
          </cell>
          <cell r="T585" t="str">
            <v>DOM</v>
          </cell>
          <cell r="U585" t="str">
            <v>MAY</v>
          </cell>
          <cell r="V585" t="str">
            <v>MY307</v>
          </cell>
          <cell r="X585">
            <v>0.28100000000000003</v>
          </cell>
          <cell r="Y585">
            <v>0</v>
          </cell>
          <cell r="Z585">
            <v>0.28100000000000003</v>
          </cell>
          <cell r="AA585">
            <v>0</v>
          </cell>
          <cell r="AB585">
            <v>0.28100000000000003</v>
          </cell>
          <cell r="AC585">
            <v>0</v>
          </cell>
          <cell r="AD585">
            <v>0.28100000000000003</v>
          </cell>
          <cell r="AE585">
            <v>0</v>
          </cell>
          <cell r="AG585" t="str">
            <v/>
          </cell>
          <cell r="AH585" t="str">
            <v/>
          </cell>
          <cell r="AJ585">
            <v>0.28100000000000003</v>
          </cell>
          <cell r="AK585">
            <v>0</v>
          </cell>
          <cell r="AL585">
            <v>0.28100000000000003</v>
          </cell>
          <cell r="AM585">
            <v>0</v>
          </cell>
          <cell r="AN585">
            <v>0.28100000000000003</v>
          </cell>
          <cell r="AO585">
            <v>0</v>
          </cell>
          <cell r="AP585">
            <v>0.28100000000000003</v>
          </cell>
          <cell r="AQ585">
            <v>0</v>
          </cell>
          <cell r="AS585" t="str">
            <v/>
          </cell>
          <cell r="AT585" t="str">
            <v/>
          </cell>
          <cell r="AV585" t="b">
            <v>0</v>
          </cell>
          <cell r="AW585" t="str">
            <v>minute</v>
          </cell>
        </row>
        <row r="586">
          <cell r="S586" t="str">
            <v>DOM MAY MY308</v>
          </cell>
          <cell r="T586" t="str">
            <v>DOM</v>
          </cell>
          <cell r="U586" t="str">
            <v>MAY</v>
          </cell>
          <cell r="V586" t="str">
            <v>MY308</v>
          </cell>
          <cell r="X586">
            <v>0.29680000000000001</v>
          </cell>
          <cell r="Y586">
            <v>0</v>
          </cell>
          <cell r="Z586">
            <v>0.29680000000000001</v>
          </cell>
          <cell r="AA586">
            <v>0</v>
          </cell>
          <cell r="AB586">
            <v>0.29680000000000001</v>
          </cell>
          <cell r="AC586">
            <v>0</v>
          </cell>
          <cell r="AD586">
            <v>0.29680000000000001</v>
          </cell>
          <cell r="AE586">
            <v>0</v>
          </cell>
          <cell r="AG586" t="str">
            <v/>
          </cell>
          <cell r="AH586" t="str">
            <v/>
          </cell>
          <cell r="AJ586">
            <v>0.29680000000000001</v>
          </cell>
          <cell r="AK586">
            <v>0</v>
          </cell>
          <cell r="AL586">
            <v>0.29680000000000001</v>
          </cell>
          <cell r="AM586">
            <v>0</v>
          </cell>
          <cell r="AN586">
            <v>0.29680000000000001</v>
          </cell>
          <cell r="AO586">
            <v>0</v>
          </cell>
          <cell r="AP586">
            <v>0.29680000000000001</v>
          </cell>
          <cell r="AQ586">
            <v>0</v>
          </cell>
          <cell r="AS586" t="str">
            <v/>
          </cell>
          <cell r="AT586" t="str">
            <v/>
          </cell>
          <cell r="AV586" t="b">
            <v>0</v>
          </cell>
          <cell r="AW586" t="str">
            <v>minute</v>
          </cell>
        </row>
        <row r="587">
          <cell r="S587" t="str">
            <v>DOM MAY MY309</v>
          </cell>
          <cell r="T587" t="str">
            <v>DOM</v>
          </cell>
          <cell r="U587" t="str">
            <v>MAY</v>
          </cell>
          <cell r="V587" t="str">
            <v>MY309</v>
          </cell>
          <cell r="X587">
            <v>0.34499999999999997</v>
          </cell>
          <cell r="Y587">
            <v>0</v>
          </cell>
          <cell r="Z587">
            <v>0.34499999999999997</v>
          </cell>
          <cell r="AA587">
            <v>0</v>
          </cell>
          <cell r="AB587">
            <v>0.34499999999999997</v>
          </cell>
          <cell r="AC587">
            <v>0</v>
          </cell>
          <cell r="AD587">
            <v>0.34499999999999997</v>
          </cell>
          <cell r="AE587">
            <v>0</v>
          </cell>
          <cell r="AG587" t="str">
            <v/>
          </cell>
          <cell r="AH587" t="str">
            <v/>
          </cell>
          <cell r="AJ587">
            <v>0.34499999999999997</v>
          </cell>
          <cell r="AK587">
            <v>0</v>
          </cell>
          <cell r="AL587">
            <v>0.34499999999999997</v>
          </cell>
          <cell r="AM587">
            <v>0</v>
          </cell>
          <cell r="AN587">
            <v>0.34499999999999997</v>
          </cell>
          <cell r="AO587">
            <v>0</v>
          </cell>
          <cell r="AP587">
            <v>0.34499999999999997</v>
          </cell>
          <cell r="AQ587">
            <v>0</v>
          </cell>
          <cell r="AS587" t="str">
            <v/>
          </cell>
          <cell r="AT587" t="str">
            <v/>
          </cell>
          <cell r="AV587" t="b">
            <v>0</v>
          </cell>
          <cell r="AW587" t="str">
            <v>minute</v>
          </cell>
        </row>
        <row r="588">
          <cell r="S588" t="str">
            <v>DOM MAY MY310</v>
          </cell>
          <cell r="T588" t="str">
            <v>DOM</v>
          </cell>
          <cell r="U588" t="str">
            <v>MAY</v>
          </cell>
          <cell r="V588" t="str">
            <v>MY310</v>
          </cell>
          <cell r="X588">
            <v>0.72309999999999997</v>
          </cell>
          <cell r="Y588">
            <v>0</v>
          </cell>
          <cell r="Z588">
            <v>0.72309999999999997</v>
          </cell>
          <cell r="AA588">
            <v>0</v>
          </cell>
          <cell r="AB588">
            <v>0.72309999999999997</v>
          </cell>
          <cell r="AC588">
            <v>0</v>
          </cell>
          <cell r="AD588">
            <v>0.72309999999999997</v>
          </cell>
          <cell r="AE588">
            <v>0</v>
          </cell>
          <cell r="AG588" t="str">
            <v/>
          </cell>
          <cell r="AH588" t="str">
            <v/>
          </cell>
          <cell r="AJ588">
            <v>0.72309999999999997</v>
          </cell>
          <cell r="AK588">
            <v>0</v>
          </cell>
          <cell r="AL588">
            <v>0.72309999999999997</v>
          </cell>
          <cell r="AM588">
            <v>0</v>
          </cell>
          <cell r="AN588">
            <v>0.72309999999999997</v>
          </cell>
          <cell r="AO588">
            <v>0</v>
          </cell>
          <cell r="AP588">
            <v>0.72309999999999997</v>
          </cell>
          <cell r="AQ588">
            <v>0</v>
          </cell>
          <cell r="AS588" t="str">
            <v/>
          </cell>
          <cell r="AT588" t="str">
            <v/>
          </cell>
          <cell r="AV588" t="b">
            <v>0</v>
          </cell>
          <cell r="AW588" t="str">
            <v>minute</v>
          </cell>
        </row>
        <row r="589">
          <cell r="S589" t="str">
            <v>DOM MAY MY311</v>
          </cell>
          <cell r="T589" t="str">
            <v>DOM</v>
          </cell>
          <cell r="U589" t="str">
            <v>MAY</v>
          </cell>
          <cell r="V589" t="str">
            <v>MY311</v>
          </cell>
          <cell r="X589">
            <v>1.1279999999999999</v>
          </cell>
          <cell r="Y589">
            <v>0</v>
          </cell>
          <cell r="Z589">
            <v>1.1279999999999999</v>
          </cell>
          <cell r="AA589">
            <v>0</v>
          </cell>
          <cell r="AB589">
            <v>1.1279999999999999</v>
          </cell>
          <cell r="AC589">
            <v>0</v>
          </cell>
          <cell r="AD589">
            <v>1.1279999999999999</v>
          </cell>
          <cell r="AE589">
            <v>0</v>
          </cell>
          <cell r="AG589" t="str">
            <v/>
          </cell>
          <cell r="AH589" t="str">
            <v/>
          </cell>
          <cell r="AJ589">
            <v>1.1279999999999999</v>
          </cell>
          <cell r="AK589">
            <v>0</v>
          </cell>
          <cell r="AL589">
            <v>1.1279999999999999</v>
          </cell>
          <cell r="AM589">
            <v>0</v>
          </cell>
          <cell r="AN589">
            <v>1.1279999999999999</v>
          </cell>
          <cell r="AO589">
            <v>0</v>
          </cell>
          <cell r="AP589">
            <v>1.1279999999999999</v>
          </cell>
          <cell r="AQ589">
            <v>0</v>
          </cell>
          <cell r="AS589" t="str">
            <v/>
          </cell>
          <cell r="AT589" t="str">
            <v/>
          </cell>
          <cell r="AV589" t="b">
            <v>0</v>
          </cell>
          <cell r="AW589" t="str">
            <v>minute</v>
          </cell>
        </row>
        <row r="590">
          <cell r="S590" t="str">
            <v>DOM MAY MY312</v>
          </cell>
          <cell r="T590" t="str">
            <v>DOM</v>
          </cell>
          <cell r="U590" t="str">
            <v>MAY</v>
          </cell>
          <cell r="V590" t="str">
            <v>MY312</v>
          </cell>
          <cell r="X590">
            <v>9.9000000000000005E-2</v>
          </cell>
          <cell r="Y590">
            <v>2E-3</v>
          </cell>
          <cell r="Z590">
            <v>9.9000000000000005E-2</v>
          </cell>
          <cell r="AA590">
            <v>2E-3</v>
          </cell>
          <cell r="AB590">
            <v>9.9000000000000005E-2</v>
          </cell>
          <cell r="AC590">
            <v>2E-3</v>
          </cell>
          <cell r="AD590">
            <v>9.9000000000000005E-2</v>
          </cell>
          <cell r="AE590">
            <v>2E-3</v>
          </cell>
          <cell r="AG590" t="str">
            <v/>
          </cell>
          <cell r="AH590" t="str">
            <v/>
          </cell>
          <cell r="AJ590">
            <v>9.9000000000000005E-2</v>
          </cell>
          <cell r="AK590">
            <v>2E-3</v>
          </cell>
          <cell r="AL590">
            <v>9.9000000000000005E-2</v>
          </cell>
          <cell r="AM590">
            <v>2E-3</v>
          </cell>
          <cell r="AN590">
            <v>9.9000000000000005E-2</v>
          </cell>
          <cell r="AO590">
            <v>2E-3</v>
          </cell>
          <cell r="AP590">
            <v>9.9000000000000005E-2</v>
          </cell>
          <cell r="AQ590">
            <v>2E-3</v>
          </cell>
          <cell r="AS590" t="str">
            <v/>
          </cell>
          <cell r="AT590" t="str">
            <v/>
          </cell>
          <cell r="AV590" t="b">
            <v>0</v>
          </cell>
          <cell r="AW590" t="str">
            <v>minute &amp; call</v>
          </cell>
        </row>
        <row r="591">
          <cell r="S591" t="str">
            <v>DOM MAY MY313</v>
          </cell>
          <cell r="T591" t="str">
            <v>DOM</v>
          </cell>
          <cell r="U591" t="str">
            <v>MAY</v>
          </cell>
          <cell r="V591" t="str">
            <v>MY313</v>
          </cell>
          <cell r="X591">
            <v>6.7100000000000007E-2</v>
          </cell>
          <cell r="Y591">
            <v>1.7000000000000001E-2</v>
          </cell>
          <cell r="Z591">
            <v>6.7100000000000007E-2</v>
          </cell>
          <cell r="AA591">
            <v>1.7000000000000001E-2</v>
          </cell>
          <cell r="AB591">
            <v>6.7100000000000007E-2</v>
          </cell>
          <cell r="AC591">
            <v>1.7000000000000001E-2</v>
          </cell>
          <cell r="AD591">
            <v>6.7100000000000007E-2</v>
          </cell>
          <cell r="AE591">
            <v>1.7000000000000001E-2</v>
          </cell>
          <cell r="AG591" t="str">
            <v/>
          </cell>
          <cell r="AH591" t="str">
            <v/>
          </cell>
          <cell r="AJ591">
            <v>6.7100000000000007E-2</v>
          </cell>
          <cell r="AK591">
            <v>1.7000000000000001E-2</v>
          </cell>
          <cell r="AL591">
            <v>6.7100000000000007E-2</v>
          </cell>
          <cell r="AM591">
            <v>1.7000000000000001E-2</v>
          </cell>
          <cell r="AN591">
            <v>6.7100000000000007E-2</v>
          </cell>
          <cell r="AO591">
            <v>1.7000000000000001E-2</v>
          </cell>
          <cell r="AP591">
            <v>6.7100000000000007E-2</v>
          </cell>
          <cell r="AQ591">
            <v>1.7000000000000001E-2</v>
          </cell>
          <cell r="AS591" t="str">
            <v/>
          </cell>
          <cell r="AT591" t="str">
            <v/>
          </cell>
          <cell r="AV591" t="b">
            <v>0</v>
          </cell>
          <cell r="AW591" t="str">
            <v>minute &amp; call</v>
          </cell>
        </row>
        <row r="592">
          <cell r="S592" t="str">
            <v>DOM MAY MY314</v>
          </cell>
          <cell r="T592" t="str">
            <v>DOM</v>
          </cell>
          <cell r="U592" t="str">
            <v>MAY</v>
          </cell>
          <cell r="V592" t="str">
            <v>MY314</v>
          </cell>
          <cell r="X592">
            <v>7.4999999999999997E-2</v>
          </cell>
          <cell r="Y592">
            <v>2.4E-2</v>
          </cell>
          <cell r="Z592">
            <v>7.4999999999999997E-2</v>
          </cell>
          <cell r="AA592">
            <v>2.4E-2</v>
          </cell>
          <cell r="AB592">
            <v>7.4999999999999997E-2</v>
          </cell>
          <cell r="AC592">
            <v>2.4E-2</v>
          </cell>
          <cell r="AD592">
            <v>7.4999999999999997E-2</v>
          </cell>
          <cell r="AE592">
            <v>2.4E-2</v>
          </cell>
          <cell r="AG592" t="str">
            <v/>
          </cell>
          <cell r="AH592" t="str">
            <v/>
          </cell>
          <cell r="AJ592">
            <v>7.4999999999999997E-2</v>
          </cell>
          <cell r="AK592">
            <v>2.4E-2</v>
          </cell>
          <cell r="AL592">
            <v>7.4999999999999997E-2</v>
          </cell>
          <cell r="AM592">
            <v>2.4E-2</v>
          </cell>
          <cell r="AN592">
            <v>7.4999999999999997E-2</v>
          </cell>
          <cell r="AO592">
            <v>2.4E-2</v>
          </cell>
          <cell r="AP592">
            <v>7.4999999999999997E-2</v>
          </cell>
          <cell r="AQ592">
            <v>2.4E-2</v>
          </cell>
          <cell r="AS592" t="str">
            <v/>
          </cell>
          <cell r="AT592" t="str">
            <v/>
          </cell>
          <cell r="AV592" t="b">
            <v>0</v>
          </cell>
          <cell r="AW592" t="str">
            <v>minute &amp; call</v>
          </cell>
        </row>
        <row r="593">
          <cell r="S593" t="str">
            <v>DOM MAY MY315</v>
          </cell>
          <cell r="T593" t="str">
            <v>DOM</v>
          </cell>
          <cell r="U593" t="str">
            <v>MAY</v>
          </cell>
          <cell r="V593" t="str">
            <v>MY315</v>
          </cell>
          <cell r="X593">
            <v>5.0999999999999997E-2</v>
          </cell>
          <cell r="Y593">
            <v>4.2999999999999997E-2</v>
          </cell>
          <cell r="Z593">
            <v>5.0999999999999997E-2</v>
          </cell>
          <cell r="AA593">
            <v>4.2999999999999997E-2</v>
          </cell>
          <cell r="AB593">
            <v>5.0999999999999997E-2</v>
          </cell>
          <cell r="AC593">
            <v>4.2999999999999997E-2</v>
          </cell>
          <cell r="AD593">
            <v>5.0999999999999997E-2</v>
          </cell>
          <cell r="AE593">
            <v>4.2999999999999997E-2</v>
          </cell>
          <cell r="AG593" t="str">
            <v/>
          </cell>
          <cell r="AH593" t="str">
            <v/>
          </cell>
          <cell r="AJ593">
            <v>5.0999999999999997E-2</v>
          </cell>
          <cell r="AK593">
            <v>4.2999999999999997E-2</v>
          </cell>
          <cell r="AL593">
            <v>5.0999999999999997E-2</v>
          </cell>
          <cell r="AM593">
            <v>4.2999999999999997E-2</v>
          </cell>
          <cell r="AN593">
            <v>5.0999999999999997E-2</v>
          </cell>
          <cell r="AO593">
            <v>4.2999999999999997E-2</v>
          </cell>
          <cell r="AP593">
            <v>5.0999999999999997E-2</v>
          </cell>
          <cell r="AQ593">
            <v>4.2999999999999997E-2</v>
          </cell>
          <cell r="AS593" t="str">
            <v/>
          </cell>
          <cell r="AT593" t="str">
            <v/>
          </cell>
          <cell r="AV593" t="b">
            <v>0</v>
          </cell>
          <cell r="AW593" t="str">
            <v>minute &amp; call</v>
          </cell>
        </row>
        <row r="594">
          <cell r="S594" t="str">
            <v>DOM MAY MY316</v>
          </cell>
          <cell r="T594" t="str">
            <v>DOM</v>
          </cell>
          <cell r="U594" t="str">
            <v>MAY</v>
          </cell>
          <cell r="V594" t="str">
            <v>MY316</v>
          </cell>
          <cell r="X594">
            <v>2.3E-2</v>
          </cell>
          <cell r="Y594">
            <v>6.5000000000000002E-2</v>
          </cell>
          <cell r="Z594">
            <v>2.3E-2</v>
          </cell>
          <cell r="AA594">
            <v>6.5000000000000002E-2</v>
          </cell>
          <cell r="AB594">
            <v>2.3E-2</v>
          </cell>
          <cell r="AC594">
            <v>6.5000000000000002E-2</v>
          </cell>
          <cell r="AD594">
            <v>2.3E-2</v>
          </cell>
          <cell r="AE594">
            <v>6.5000000000000002E-2</v>
          </cell>
          <cell r="AG594" t="str">
            <v/>
          </cell>
          <cell r="AH594" t="str">
            <v/>
          </cell>
          <cell r="AJ594">
            <v>2.3E-2</v>
          </cell>
          <cell r="AK594">
            <v>6.5000000000000002E-2</v>
          </cell>
          <cell r="AL594">
            <v>2.3E-2</v>
          </cell>
          <cell r="AM594">
            <v>6.5000000000000002E-2</v>
          </cell>
          <cell r="AN594">
            <v>2.3E-2</v>
          </cell>
          <cell r="AO594">
            <v>6.5000000000000002E-2</v>
          </cell>
          <cell r="AP594">
            <v>2.3E-2</v>
          </cell>
          <cell r="AQ594">
            <v>6.5000000000000002E-2</v>
          </cell>
          <cell r="AS594" t="str">
            <v/>
          </cell>
          <cell r="AT594" t="str">
            <v/>
          </cell>
          <cell r="AV594" t="b">
            <v>0</v>
          </cell>
          <cell r="AW594" t="str">
            <v>minute &amp; call</v>
          </cell>
        </row>
        <row r="595">
          <cell r="S595" t="str">
            <v>DOM MAY MY317</v>
          </cell>
          <cell r="T595" t="str">
            <v>DOM</v>
          </cell>
          <cell r="U595" t="str">
            <v>MAY</v>
          </cell>
          <cell r="V595" t="str">
            <v>MY317</v>
          </cell>
          <cell r="X595">
            <v>2.4E-2</v>
          </cell>
          <cell r="Y595">
            <v>7.5999999999999998E-2</v>
          </cell>
          <cell r="Z595">
            <v>2.4E-2</v>
          </cell>
          <cell r="AA595">
            <v>7.5999999999999998E-2</v>
          </cell>
          <cell r="AB595">
            <v>2.4E-2</v>
          </cell>
          <cell r="AC595">
            <v>7.5999999999999998E-2</v>
          </cell>
          <cell r="AD595">
            <v>2.4E-2</v>
          </cell>
          <cell r="AE595">
            <v>7.5999999999999998E-2</v>
          </cell>
          <cell r="AG595" t="str">
            <v/>
          </cell>
          <cell r="AH595" t="str">
            <v/>
          </cell>
          <cell r="AJ595">
            <v>2.4E-2</v>
          </cell>
          <cell r="AK595">
            <v>7.5999999999999998E-2</v>
          </cell>
          <cell r="AL595">
            <v>2.4E-2</v>
          </cell>
          <cell r="AM595">
            <v>7.5999999999999998E-2</v>
          </cell>
          <cell r="AN595">
            <v>2.4E-2</v>
          </cell>
          <cell r="AO595">
            <v>7.5999999999999998E-2</v>
          </cell>
          <cell r="AP595">
            <v>2.4E-2</v>
          </cell>
          <cell r="AQ595">
            <v>7.5999999999999998E-2</v>
          </cell>
          <cell r="AS595" t="str">
            <v/>
          </cell>
          <cell r="AT595" t="str">
            <v/>
          </cell>
          <cell r="AV595" t="b">
            <v>0</v>
          </cell>
          <cell r="AW595" t="str">
            <v>minute &amp; call</v>
          </cell>
        </row>
        <row r="596">
          <cell r="S596" t="str">
            <v>DOM MAY MY318</v>
          </cell>
          <cell r="T596" t="str">
            <v>DOM</v>
          </cell>
          <cell r="U596" t="str">
            <v>MAY</v>
          </cell>
          <cell r="V596" t="str">
            <v>MY318</v>
          </cell>
          <cell r="X596">
            <v>0</v>
          </cell>
          <cell r="Y596">
            <v>9.4E-2</v>
          </cell>
          <cell r="Z596">
            <v>0</v>
          </cell>
          <cell r="AA596">
            <v>9.4E-2</v>
          </cell>
          <cell r="AB596">
            <v>0</v>
          </cell>
          <cell r="AC596">
            <v>9.4E-2</v>
          </cell>
          <cell r="AD596">
            <v>0</v>
          </cell>
          <cell r="AE596">
            <v>9.4E-2</v>
          </cell>
          <cell r="AG596" t="str">
            <v/>
          </cell>
          <cell r="AH596" t="str">
            <v/>
          </cell>
          <cell r="AJ596">
            <v>0</v>
          </cell>
          <cell r="AK596">
            <v>9.4E-2</v>
          </cell>
          <cell r="AL596">
            <v>0</v>
          </cell>
          <cell r="AM596">
            <v>9.4E-2</v>
          </cell>
          <cell r="AN596">
            <v>0</v>
          </cell>
          <cell r="AO596">
            <v>9.4E-2</v>
          </cell>
          <cell r="AP596">
            <v>0</v>
          </cell>
          <cell r="AQ596">
            <v>9.4E-2</v>
          </cell>
          <cell r="AS596" t="str">
            <v/>
          </cell>
          <cell r="AT596" t="str">
            <v/>
          </cell>
          <cell r="AV596" t="b">
            <v>0</v>
          </cell>
          <cell r="AW596" t="str">
            <v>call</v>
          </cell>
        </row>
        <row r="597">
          <cell r="S597" t="str">
            <v>DOM MAY MY319</v>
          </cell>
          <cell r="T597" t="str">
            <v>DOM</v>
          </cell>
          <cell r="U597" t="str">
            <v>MAY</v>
          </cell>
          <cell r="V597" t="str">
            <v>MY319</v>
          </cell>
          <cell r="X597">
            <v>0.125</v>
          </cell>
          <cell r="Y597">
            <v>9.4E-2</v>
          </cell>
          <cell r="Z597">
            <v>0.125</v>
          </cell>
          <cell r="AA597">
            <v>9.4E-2</v>
          </cell>
          <cell r="AB597">
            <v>0.125</v>
          </cell>
          <cell r="AC597">
            <v>9.4E-2</v>
          </cell>
          <cell r="AD597">
            <v>0.125</v>
          </cell>
          <cell r="AE597">
            <v>9.4E-2</v>
          </cell>
          <cell r="AG597" t="str">
            <v/>
          </cell>
          <cell r="AH597" t="str">
            <v/>
          </cell>
          <cell r="AJ597">
            <v>0.125</v>
          </cell>
          <cell r="AK597">
            <v>9.4E-2</v>
          </cell>
          <cell r="AL597">
            <v>0.125</v>
          </cell>
          <cell r="AM597">
            <v>9.4E-2</v>
          </cell>
          <cell r="AN597">
            <v>0.125</v>
          </cell>
          <cell r="AO597">
            <v>9.4E-2</v>
          </cell>
          <cell r="AP597">
            <v>0.125</v>
          </cell>
          <cell r="AQ597">
            <v>9.4E-2</v>
          </cell>
          <cell r="AS597" t="str">
            <v/>
          </cell>
          <cell r="AT597" t="str">
            <v/>
          </cell>
          <cell r="AV597" t="b">
            <v>0</v>
          </cell>
          <cell r="AW597" t="str">
            <v>minute &amp; call</v>
          </cell>
        </row>
        <row r="598">
          <cell r="S598" t="str">
            <v>DOM MAY MY320</v>
          </cell>
          <cell r="T598" t="str">
            <v>DOM</v>
          </cell>
          <cell r="U598" t="str">
            <v>MAY</v>
          </cell>
          <cell r="V598" t="str">
            <v>MY320</v>
          </cell>
          <cell r="X598">
            <v>4.7E-2</v>
          </cell>
          <cell r="Y598">
            <v>0.14099999999999999</v>
          </cell>
          <cell r="Z598">
            <v>4.7E-2</v>
          </cell>
          <cell r="AA598">
            <v>0.14099999999999999</v>
          </cell>
          <cell r="AB598">
            <v>4.7E-2</v>
          </cell>
          <cell r="AC598">
            <v>0.14099999999999999</v>
          </cell>
          <cell r="AD598">
            <v>4.7E-2</v>
          </cell>
          <cell r="AE598">
            <v>0.14099999999999999</v>
          </cell>
          <cell r="AG598" t="str">
            <v/>
          </cell>
          <cell r="AH598" t="str">
            <v/>
          </cell>
          <cell r="AJ598">
            <v>4.7E-2</v>
          </cell>
          <cell r="AK598">
            <v>0.14099999999999999</v>
          </cell>
          <cell r="AL598">
            <v>4.7E-2</v>
          </cell>
          <cell r="AM598">
            <v>0.14099999999999999</v>
          </cell>
          <cell r="AN598">
            <v>4.7E-2</v>
          </cell>
          <cell r="AO598">
            <v>0.14099999999999999</v>
          </cell>
          <cell r="AP598">
            <v>4.7E-2</v>
          </cell>
          <cell r="AQ598">
            <v>0.14099999999999999</v>
          </cell>
          <cell r="AS598" t="str">
            <v/>
          </cell>
          <cell r="AT598" t="str">
            <v/>
          </cell>
          <cell r="AV598" t="b">
            <v>0</v>
          </cell>
          <cell r="AW598" t="str">
            <v>minute &amp; call</v>
          </cell>
        </row>
        <row r="599">
          <cell r="S599" t="str">
            <v>DOM MAY MY321</v>
          </cell>
          <cell r="T599" t="str">
            <v>DOM</v>
          </cell>
          <cell r="U599" t="str">
            <v>MAY</v>
          </cell>
          <cell r="V599" t="str">
            <v>MY321</v>
          </cell>
          <cell r="X599">
            <v>0</v>
          </cell>
          <cell r="Y599">
            <v>0.47</v>
          </cell>
          <cell r="Z599">
            <v>0</v>
          </cell>
          <cell r="AA599">
            <v>0.47</v>
          </cell>
          <cell r="AB599">
            <v>0</v>
          </cell>
          <cell r="AC599">
            <v>0.47</v>
          </cell>
          <cell r="AD599">
            <v>0</v>
          </cell>
          <cell r="AE599">
            <v>0.47</v>
          </cell>
          <cell r="AG599" t="str">
            <v/>
          </cell>
          <cell r="AH599" t="str">
            <v/>
          </cell>
          <cell r="AJ599">
            <v>0</v>
          </cell>
          <cell r="AK599">
            <v>0.47</v>
          </cell>
          <cell r="AL599">
            <v>0</v>
          </cell>
          <cell r="AM599">
            <v>0.47</v>
          </cell>
          <cell r="AN599">
            <v>0</v>
          </cell>
          <cell r="AO599">
            <v>0.47</v>
          </cell>
          <cell r="AP599">
            <v>0</v>
          </cell>
          <cell r="AQ599">
            <v>0.47</v>
          </cell>
          <cell r="AS599" t="str">
            <v/>
          </cell>
          <cell r="AT599" t="str">
            <v/>
          </cell>
          <cell r="AV599" t="b">
            <v>0</v>
          </cell>
          <cell r="AW599" t="str">
            <v>call</v>
          </cell>
        </row>
        <row r="600">
          <cell r="S600" t="str">
            <v>DOM MAY MYVAS</v>
          </cell>
          <cell r="T600" t="str">
            <v>DOM</v>
          </cell>
          <cell r="U600" t="str">
            <v>MAY</v>
          </cell>
          <cell r="V600" t="str">
            <v>MYVAS</v>
          </cell>
          <cell r="X600">
            <v>0.28100000000000003</v>
          </cell>
          <cell r="Y600">
            <v>1.1297999999999999</v>
          </cell>
          <cell r="Z600">
            <v>0.28100000000000003</v>
          </cell>
          <cell r="AA600">
            <v>1.1297999999999999</v>
          </cell>
          <cell r="AB600">
            <v>0.28100000000000003</v>
          </cell>
          <cell r="AC600">
            <v>1.1297999999999999</v>
          </cell>
          <cell r="AD600">
            <v>0.28100000000000003</v>
          </cell>
          <cell r="AE600">
            <v>1.1297999999999999</v>
          </cell>
          <cell r="AG600" t="str">
            <v/>
          </cell>
          <cell r="AH600" t="str">
            <v/>
          </cell>
          <cell r="AJ600">
            <v>0.28100000000000003</v>
          </cell>
          <cell r="AK600">
            <v>1.1297999999999999</v>
          </cell>
          <cell r="AL600">
            <v>0.28100000000000003</v>
          </cell>
          <cell r="AM600">
            <v>1.1297999999999999</v>
          </cell>
          <cell r="AN600">
            <v>0.28100000000000003</v>
          </cell>
          <cell r="AO600">
            <v>1.1297999999999999</v>
          </cell>
          <cell r="AP600">
            <v>0.28100000000000003</v>
          </cell>
          <cell r="AQ600">
            <v>1.1297999999999999</v>
          </cell>
          <cell r="AS600" t="str">
            <v/>
          </cell>
          <cell r="AT600" t="str">
            <v/>
          </cell>
          <cell r="AV600" t="b">
            <v>0</v>
          </cell>
          <cell r="AW600" t="str">
            <v>minute &amp; call</v>
          </cell>
        </row>
        <row r="601">
          <cell r="S601" t="str">
            <v>DOM MAY MYSOS</v>
          </cell>
          <cell r="T601" t="str">
            <v>DOM</v>
          </cell>
          <cell r="U601" t="str">
            <v>MAY</v>
          </cell>
          <cell r="V601" t="str">
            <v>MYSOS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G601" t="str">
            <v/>
          </cell>
          <cell r="AH601" t="str">
            <v/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S601" t="str">
            <v/>
          </cell>
          <cell r="AT601" t="str">
            <v/>
          </cell>
          <cell r="AV601" t="b">
            <v>0</v>
          </cell>
          <cell r="AW601" t="str">
            <v>minute</v>
          </cell>
        </row>
        <row r="602">
          <cell r="S602" t="str">
            <v>DOM MAY MY860</v>
          </cell>
          <cell r="T602" t="str">
            <v>DOM</v>
          </cell>
          <cell r="U602" t="str">
            <v>MAY</v>
          </cell>
          <cell r="V602" t="str">
            <v>MY860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G602" t="str">
            <v/>
          </cell>
          <cell r="AH602" t="str">
            <v/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S602" t="str">
            <v/>
          </cell>
          <cell r="AT602" t="str">
            <v/>
          </cell>
          <cell r="AV602" t="b">
            <v>0</v>
          </cell>
          <cell r="AW602" t="str">
            <v>minute</v>
          </cell>
        </row>
        <row r="603">
          <cell r="S603" t="str">
            <v>DOM MAY MY82H</v>
          </cell>
          <cell r="T603" t="str">
            <v>DOM</v>
          </cell>
          <cell r="U603" t="str">
            <v>MAY</v>
          </cell>
          <cell r="V603" t="str">
            <v>MY82H</v>
          </cell>
          <cell r="X603">
            <v>9.9000000000000005E-2</v>
          </cell>
          <cell r="Y603">
            <v>9.4E-2</v>
          </cell>
          <cell r="Z603">
            <v>9.9000000000000005E-2</v>
          </cell>
          <cell r="AA603">
            <v>9.4E-2</v>
          </cell>
          <cell r="AB603">
            <v>9.9000000000000005E-2</v>
          </cell>
          <cell r="AC603">
            <v>9.4E-2</v>
          </cell>
          <cell r="AD603">
            <v>9.9000000000000005E-2</v>
          </cell>
          <cell r="AE603">
            <v>9.4E-2</v>
          </cell>
          <cell r="AG603" t="str">
            <v/>
          </cell>
          <cell r="AH603" t="str">
            <v/>
          </cell>
          <cell r="AJ603">
            <v>9.9000000000000005E-2</v>
          </cell>
          <cell r="AK603">
            <v>9.4E-2</v>
          </cell>
          <cell r="AL603">
            <v>9.9000000000000005E-2</v>
          </cell>
          <cell r="AM603">
            <v>9.4E-2</v>
          </cell>
          <cell r="AN603">
            <v>9.9000000000000005E-2</v>
          </cell>
          <cell r="AO603">
            <v>9.4E-2</v>
          </cell>
          <cell r="AP603">
            <v>9.9000000000000005E-2</v>
          </cell>
          <cell r="AQ603">
            <v>9.4E-2</v>
          </cell>
          <cell r="AS603" t="str">
            <v/>
          </cell>
          <cell r="AT603" t="str">
            <v/>
          </cell>
          <cell r="AV603" t="b">
            <v>0</v>
          </cell>
          <cell r="AW603" t="str">
            <v>minute &amp; call</v>
          </cell>
        </row>
        <row r="604">
          <cell r="S604" t="str">
            <v>DOM MAY MY82L</v>
          </cell>
          <cell r="T604" t="str">
            <v>DOM</v>
          </cell>
          <cell r="U604" t="str">
            <v>MAY</v>
          </cell>
          <cell r="V604" t="str">
            <v>MY82L</v>
          </cell>
          <cell r="X604">
            <v>7.4999999999999997E-2</v>
          </cell>
          <cell r="Y604">
            <v>9.4E-2</v>
          </cell>
          <cell r="Z604">
            <v>7.4999999999999997E-2</v>
          </cell>
          <cell r="AA604">
            <v>9.4E-2</v>
          </cell>
          <cell r="AB604">
            <v>7.4999999999999997E-2</v>
          </cell>
          <cell r="AC604">
            <v>9.4E-2</v>
          </cell>
          <cell r="AD604">
            <v>7.4999999999999997E-2</v>
          </cell>
          <cell r="AE604">
            <v>9.4E-2</v>
          </cell>
          <cell r="AG604" t="str">
            <v/>
          </cell>
          <cell r="AH604" t="str">
            <v/>
          </cell>
          <cell r="AJ604">
            <v>7.4999999999999997E-2</v>
          </cell>
          <cell r="AK604">
            <v>9.4E-2</v>
          </cell>
          <cell r="AL604">
            <v>7.4999999999999997E-2</v>
          </cell>
          <cell r="AM604">
            <v>9.4E-2</v>
          </cell>
          <cell r="AN604">
            <v>7.4999999999999997E-2</v>
          </cell>
          <cell r="AO604">
            <v>9.4E-2</v>
          </cell>
          <cell r="AP604">
            <v>7.4999999999999997E-2</v>
          </cell>
          <cell r="AQ604">
            <v>9.4E-2</v>
          </cell>
          <cell r="AS604" t="str">
            <v/>
          </cell>
          <cell r="AT604" t="str">
            <v/>
          </cell>
          <cell r="AV604" t="b">
            <v>0</v>
          </cell>
          <cell r="AW604" t="str">
            <v>minute &amp; call</v>
          </cell>
        </row>
        <row r="605">
          <cell r="S605" t="str">
            <v>DOM MAY MY825</v>
          </cell>
          <cell r="T605" t="str">
            <v>DOM</v>
          </cell>
          <cell r="U605" t="str">
            <v>MAY</v>
          </cell>
          <cell r="V605" t="str">
            <v>MY825</v>
          </cell>
          <cell r="X605">
            <v>0.12529999999999999</v>
          </cell>
          <cell r="Y605">
            <v>0</v>
          </cell>
          <cell r="Z605">
            <v>0.12529999999999999</v>
          </cell>
          <cell r="AA605">
            <v>0</v>
          </cell>
          <cell r="AB605">
            <v>0.12529999999999999</v>
          </cell>
          <cell r="AC605">
            <v>0</v>
          </cell>
          <cell r="AD605">
            <v>0.12529999999999999</v>
          </cell>
          <cell r="AE605">
            <v>0</v>
          </cell>
          <cell r="AG605" t="str">
            <v/>
          </cell>
          <cell r="AH605" t="str">
            <v/>
          </cell>
          <cell r="AJ605">
            <v>0.12529999999999999</v>
          </cell>
          <cell r="AK605">
            <v>0</v>
          </cell>
          <cell r="AL605">
            <v>0.12529999999999999</v>
          </cell>
          <cell r="AM605">
            <v>0</v>
          </cell>
          <cell r="AN605">
            <v>0.12529999999999999</v>
          </cell>
          <cell r="AO605">
            <v>0</v>
          </cell>
          <cell r="AP605">
            <v>0.12529999999999999</v>
          </cell>
          <cell r="AQ605">
            <v>0</v>
          </cell>
          <cell r="AS605" t="str">
            <v/>
          </cell>
          <cell r="AT605" t="str">
            <v/>
          </cell>
          <cell r="AV605" t="b">
            <v>0</v>
          </cell>
          <cell r="AW605" t="str">
            <v>minute</v>
          </cell>
        </row>
        <row r="606">
          <cell r="S606" t="str">
            <v>DOM MAY MY89H</v>
          </cell>
          <cell r="T606" t="str">
            <v>DOM</v>
          </cell>
          <cell r="U606" t="str">
            <v>MAY</v>
          </cell>
          <cell r="V606" t="str">
            <v>MY89H</v>
          </cell>
          <cell r="X606">
            <v>0.12529999999999999</v>
          </cell>
          <cell r="Y606">
            <v>0</v>
          </cell>
          <cell r="Z606">
            <v>0.12529999999999999</v>
          </cell>
          <cell r="AA606">
            <v>0</v>
          </cell>
          <cell r="AB606">
            <v>0.12529999999999999</v>
          </cell>
          <cell r="AC606">
            <v>0</v>
          </cell>
          <cell r="AD606">
            <v>0.12529999999999999</v>
          </cell>
          <cell r="AE606">
            <v>0</v>
          </cell>
          <cell r="AG606" t="str">
            <v/>
          </cell>
          <cell r="AH606" t="str">
            <v/>
          </cell>
          <cell r="AJ606">
            <v>0.12529999999999999</v>
          </cell>
          <cell r="AK606">
            <v>0</v>
          </cell>
          <cell r="AL606">
            <v>0.12529999999999999</v>
          </cell>
          <cell r="AM606">
            <v>0</v>
          </cell>
          <cell r="AN606">
            <v>0.12529999999999999</v>
          </cell>
          <cell r="AO606">
            <v>0</v>
          </cell>
          <cell r="AP606">
            <v>0.12529999999999999</v>
          </cell>
          <cell r="AQ606">
            <v>0</v>
          </cell>
          <cell r="AS606" t="str">
            <v/>
          </cell>
          <cell r="AT606" t="str">
            <v/>
          </cell>
          <cell r="AV606" t="b">
            <v>0</v>
          </cell>
          <cell r="AW606" t="str">
            <v>minute</v>
          </cell>
        </row>
        <row r="607">
          <cell r="S607" t="str">
            <v>DOM MAY MY89L</v>
          </cell>
          <cell r="T607" t="str">
            <v>DOM</v>
          </cell>
          <cell r="U607" t="str">
            <v>MAY</v>
          </cell>
          <cell r="V607" t="str">
            <v>MY89L</v>
          </cell>
          <cell r="X607">
            <v>9.4E-2</v>
          </cell>
          <cell r="Y607">
            <v>0</v>
          </cell>
          <cell r="Z607">
            <v>9.4E-2</v>
          </cell>
          <cell r="AA607">
            <v>0</v>
          </cell>
          <cell r="AB607">
            <v>9.4E-2</v>
          </cell>
          <cell r="AC607">
            <v>0</v>
          </cell>
          <cell r="AD607">
            <v>9.4E-2</v>
          </cell>
          <cell r="AE607">
            <v>0</v>
          </cell>
          <cell r="AG607" t="str">
            <v/>
          </cell>
          <cell r="AH607" t="str">
            <v/>
          </cell>
          <cell r="AJ607">
            <v>9.4E-2</v>
          </cell>
          <cell r="AK607">
            <v>0</v>
          </cell>
          <cell r="AL607">
            <v>9.4E-2</v>
          </cell>
          <cell r="AM607">
            <v>0</v>
          </cell>
          <cell r="AN607">
            <v>9.4E-2</v>
          </cell>
          <cell r="AO607">
            <v>0</v>
          </cell>
          <cell r="AP607">
            <v>9.4E-2</v>
          </cell>
          <cell r="AQ607">
            <v>0</v>
          </cell>
          <cell r="AS607" t="str">
            <v/>
          </cell>
          <cell r="AT607" t="str">
            <v/>
          </cell>
          <cell r="AV607" t="b">
            <v>0</v>
          </cell>
          <cell r="AW607" t="str">
            <v>minute</v>
          </cell>
        </row>
        <row r="608">
          <cell r="S608" t="str">
            <v>DOM MAY MY891</v>
          </cell>
          <cell r="T608" t="str">
            <v>DOM</v>
          </cell>
          <cell r="U608" t="str">
            <v>MAY</v>
          </cell>
          <cell r="V608" t="str">
            <v>MY891</v>
          </cell>
          <cell r="X608">
            <v>0.188</v>
          </cell>
          <cell r="Y608">
            <v>0</v>
          </cell>
          <cell r="Z608">
            <v>0.188</v>
          </cell>
          <cell r="AA608">
            <v>0</v>
          </cell>
          <cell r="AB608">
            <v>0.188</v>
          </cell>
          <cell r="AC608">
            <v>0</v>
          </cell>
          <cell r="AD608">
            <v>0.188</v>
          </cell>
          <cell r="AE608">
            <v>0</v>
          </cell>
          <cell r="AG608" t="str">
            <v/>
          </cell>
          <cell r="AH608" t="str">
            <v/>
          </cell>
          <cell r="AJ608">
            <v>0.188</v>
          </cell>
          <cell r="AK608">
            <v>0</v>
          </cell>
          <cell r="AL608">
            <v>0.188</v>
          </cell>
          <cell r="AM608">
            <v>0</v>
          </cell>
          <cell r="AN608">
            <v>0.188</v>
          </cell>
          <cell r="AO608">
            <v>0</v>
          </cell>
          <cell r="AP608">
            <v>0.188</v>
          </cell>
          <cell r="AQ608">
            <v>0</v>
          </cell>
          <cell r="AS608" t="str">
            <v/>
          </cell>
          <cell r="AT608" t="str">
            <v/>
          </cell>
          <cell r="AV608" t="b">
            <v>0</v>
          </cell>
          <cell r="AW608" t="str">
            <v>minute</v>
          </cell>
        </row>
        <row r="609">
          <cell r="S609" t="str">
            <v>DOM MAY MY892</v>
          </cell>
          <cell r="T609" t="str">
            <v>DOM</v>
          </cell>
          <cell r="U609" t="str">
            <v>MAY</v>
          </cell>
          <cell r="V609" t="str">
            <v>MY892</v>
          </cell>
          <cell r="X609">
            <v>0.28199999999999997</v>
          </cell>
          <cell r="Y609">
            <v>0</v>
          </cell>
          <cell r="Z609">
            <v>0.28199999999999997</v>
          </cell>
          <cell r="AA609">
            <v>0</v>
          </cell>
          <cell r="AB609">
            <v>0.28199999999999997</v>
          </cell>
          <cell r="AC609">
            <v>0</v>
          </cell>
          <cell r="AD609">
            <v>0.28199999999999997</v>
          </cell>
          <cell r="AE609">
            <v>0</v>
          </cell>
          <cell r="AG609" t="str">
            <v/>
          </cell>
          <cell r="AH609" t="str">
            <v/>
          </cell>
          <cell r="AJ609">
            <v>0.28199999999999997</v>
          </cell>
          <cell r="AK609">
            <v>0</v>
          </cell>
          <cell r="AL609">
            <v>0.28199999999999997</v>
          </cell>
          <cell r="AM609">
            <v>0</v>
          </cell>
          <cell r="AN609">
            <v>0.28199999999999997</v>
          </cell>
          <cell r="AO609">
            <v>0</v>
          </cell>
          <cell r="AP609">
            <v>0.28199999999999997</v>
          </cell>
          <cell r="AQ609">
            <v>0</v>
          </cell>
          <cell r="AS609" t="str">
            <v/>
          </cell>
          <cell r="AT609" t="str">
            <v/>
          </cell>
          <cell r="AV609" t="b">
            <v>0</v>
          </cell>
          <cell r="AW609" t="str">
            <v>minute</v>
          </cell>
        </row>
        <row r="610">
          <cell r="S610" t="str">
            <v>DOM MAY MY897</v>
          </cell>
          <cell r="T610" t="str">
            <v>DOM</v>
          </cell>
          <cell r="U610" t="str">
            <v>MAY</v>
          </cell>
          <cell r="V610" t="str">
            <v>MY897</v>
          </cell>
          <cell r="X610">
            <v>0</v>
          </cell>
          <cell r="Y610">
            <v>0.47</v>
          </cell>
          <cell r="Z610">
            <v>0</v>
          </cell>
          <cell r="AA610">
            <v>0.47</v>
          </cell>
          <cell r="AB610">
            <v>0</v>
          </cell>
          <cell r="AC610">
            <v>0.47</v>
          </cell>
          <cell r="AD610">
            <v>0</v>
          </cell>
          <cell r="AE610">
            <v>0.47</v>
          </cell>
          <cell r="AG610" t="str">
            <v/>
          </cell>
          <cell r="AH610" t="str">
            <v/>
          </cell>
          <cell r="AJ610">
            <v>0</v>
          </cell>
          <cell r="AK610">
            <v>0.47</v>
          </cell>
          <cell r="AL610">
            <v>0</v>
          </cell>
          <cell r="AM610">
            <v>0.47</v>
          </cell>
          <cell r="AN610">
            <v>0</v>
          </cell>
          <cell r="AO610">
            <v>0.47</v>
          </cell>
          <cell r="AP610">
            <v>0</v>
          </cell>
          <cell r="AQ610">
            <v>0.47</v>
          </cell>
          <cell r="AS610" t="str">
            <v/>
          </cell>
          <cell r="AT610" t="str">
            <v/>
          </cell>
          <cell r="AV610" t="b">
            <v>0</v>
          </cell>
          <cell r="AW610" t="str">
            <v>call</v>
          </cell>
        </row>
        <row r="611">
          <cell r="S611" t="str">
            <v>DOM MAY MY899</v>
          </cell>
          <cell r="T611" t="str">
            <v>DOM</v>
          </cell>
          <cell r="U611" t="str">
            <v>MAY</v>
          </cell>
          <cell r="V611" t="str">
            <v>MY899</v>
          </cell>
          <cell r="X611">
            <v>0.28199999999999997</v>
          </cell>
          <cell r="Y611">
            <v>1.1276999999999999</v>
          </cell>
          <cell r="Z611">
            <v>0.28199999999999997</v>
          </cell>
          <cell r="AA611">
            <v>1.1276999999999999</v>
          </cell>
          <cell r="AB611">
            <v>0.28199999999999997</v>
          </cell>
          <cell r="AC611">
            <v>1.1276999999999999</v>
          </cell>
          <cell r="AD611">
            <v>0.28199999999999997</v>
          </cell>
          <cell r="AE611">
            <v>1.1276999999999999</v>
          </cell>
          <cell r="AG611" t="str">
            <v/>
          </cell>
          <cell r="AH611" t="str">
            <v/>
          </cell>
          <cell r="AJ611">
            <v>0.28199999999999997</v>
          </cell>
          <cell r="AK611">
            <v>1.1276999999999999</v>
          </cell>
          <cell r="AL611">
            <v>0.28199999999999997</v>
          </cell>
          <cell r="AM611">
            <v>1.1276999999999999</v>
          </cell>
          <cell r="AN611">
            <v>0.28199999999999997</v>
          </cell>
          <cell r="AO611">
            <v>1.1276999999999999</v>
          </cell>
          <cell r="AP611">
            <v>0.28199999999999997</v>
          </cell>
          <cell r="AQ611">
            <v>1.1276999999999999</v>
          </cell>
          <cell r="AS611" t="str">
            <v/>
          </cell>
          <cell r="AT611" t="str">
            <v/>
          </cell>
          <cell r="AV611" t="b">
            <v>0</v>
          </cell>
          <cell r="AW611" t="str">
            <v>minute &amp; call</v>
          </cell>
        </row>
        <row r="612">
          <cell r="S612" t="str">
            <v>DOM MAY MY006</v>
          </cell>
          <cell r="T612" t="str">
            <v>DOM</v>
          </cell>
          <cell r="U612" t="str">
            <v>MAY</v>
          </cell>
          <cell r="V612" t="str">
            <v>MY006</v>
          </cell>
          <cell r="X612">
            <v>0.28199999999999997</v>
          </cell>
          <cell r="Y612">
            <v>1.1279999999999999</v>
          </cell>
          <cell r="Z612">
            <v>0.28199999999999997</v>
          </cell>
          <cell r="AA612">
            <v>1.1279999999999999</v>
          </cell>
          <cell r="AB612">
            <v>0.28199999999999997</v>
          </cell>
          <cell r="AC612">
            <v>1.1279999999999999</v>
          </cell>
          <cell r="AD612">
            <v>0.28199999999999997</v>
          </cell>
          <cell r="AE612">
            <v>1.1279999999999999</v>
          </cell>
          <cell r="AG612" t="str">
            <v/>
          </cell>
          <cell r="AH612" t="str">
            <v/>
          </cell>
          <cell r="AJ612">
            <v>0.28199999999999997</v>
          </cell>
          <cell r="AK612">
            <v>1.1279999999999999</v>
          </cell>
          <cell r="AL612">
            <v>0.28199999999999997</v>
          </cell>
          <cell r="AM612">
            <v>1.1279999999999999</v>
          </cell>
          <cell r="AN612">
            <v>0.28199999999999997</v>
          </cell>
          <cell r="AO612">
            <v>1.1279999999999999</v>
          </cell>
          <cell r="AP612">
            <v>0.28199999999999997</v>
          </cell>
          <cell r="AQ612">
            <v>1.1279999999999999</v>
          </cell>
          <cell r="AS612" t="str">
            <v/>
          </cell>
          <cell r="AT612" t="str">
            <v/>
          </cell>
          <cell r="AV612" t="b">
            <v>0</v>
          </cell>
          <cell r="AW612" t="str">
            <v>minute &amp; call</v>
          </cell>
        </row>
        <row r="613">
          <cell r="S613" t="str">
            <v>DOM MAY MY218</v>
          </cell>
          <cell r="T613" t="str">
            <v>DOM</v>
          </cell>
          <cell r="U613" t="str">
            <v>MAY</v>
          </cell>
          <cell r="V613" t="str">
            <v>MY218</v>
          </cell>
          <cell r="X613">
            <v>0.752</v>
          </cell>
          <cell r="Y613">
            <v>0.752</v>
          </cell>
          <cell r="Z613">
            <v>0.752</v>
          </cell>
          <cell r="AA613">
            <v>0.752</v>
          </cell>
          <cell r="AB613">
            <v>0.752</v>
          </cell>
          <cell r="AC613">
            <v>0.752</v>
          </cell>
          <cell r="AD613">
            <v>0.752</v>
          </cell>
          <cell r="AE613">
            <v>0.752</v>
          </cell>
          <cell r="AG613" t="str">
            <v/>
          </cell>
          <cell r="AH613" t="str">
            <v/>
          </cell>
          <cell r="AJ613">
            <v>0.752</v>
          </cell>
          <cell r="AK613">
            <v>0.752</v>
          </cell>
          <cell r="AL613">
            <v>0.752</v>
          </cell>
          <cell r="AM613">
            <v>0.752</v>
          </cell>
          <cell r="AN613">
            <v>0.752</v>
          </cell>
          <cell r="AO613">
            <v>0.752</v>
          </cell>
          <cell r="AP613">
            <v>0.752</v>
          </cell>
          <cell r="AQ613">
            <v>0.752</v>
          </cell>
          <cell r="AS613" t="str">
            <v/>
          </cell>
          <cell r="AT613" t="str">
            <v/>
          </cell>
          <cell r="AV613" t="b">
            <v>0</v>
          </cell>
          <cell r="AW613" t="str">
            <v>minute &amp; call</v>
          </cell>
        </row>
        <row r="614">
          <cell r="S614" t="str">
            <v>DOM MAY MY222</v>
          </cell>
          <cell r="T614" t="str">
            <v>DOM</v>
          </cell>
          <cell r="U614" t="str">
            <v>MAY</v>
          </cell>
          <cell r="V614" t="str">
            <v>MY222</v>
          </cell>
          <cell r="X614">
            <v>0.188</v>
          </cell>
          <cell r="Y614">
            <v>1.1279999999999999</v>
          </cell>
          <cell r="Z614">
            <v>0.188</v>
          </cell>
          <cell r="AA614">
            <v>1.1279999999999999</v>
          </cell>
          <cell r="AB614">
            <v>0.188</v>
          </cell>
          <cell r="AC614">
            <v>1.1279999999999999</v>
          </cell>
          <cell r="AD614">
            <v>0.188</v>
          </cell>
          <cell r="AE614">
            <v>1.1279999999999999</v>
          </cell>
          <cell r="AG614" t="str">
            <v/>
          </cell>
          <cell r="AH614" t="str">
            <v/>
          </cell>
          <cell r="AJ614">
            <v>0.188</v>
          </cell>
          <cell r="AK614">
            <v>1.1279999999999999</v>
          </cell>
          <cell r="AL614">
            <v>0.188</v>
          </cell>
          <cell r="AM614">
            <v>1.1279999999999999</v>
          </cell>
          <cell r="AN614">
            <v>0.188</v>
          </cell>
          <cell r="AO614">
            <v>1.1279999999999999</v>
          </cell>
          <cell r="AP614">
            <v>0.188</v>
          </cell>
          <cell r="AQ614">
            <v>1.1279999999999999</v>
          </cell>
          <cell r="AS614" t="str">
            <v/>
          </cell>
          <cell r="AT614" t="str">
            <v/>
          </cell>
          <cell r="AV614" t="b">
            <v>0</v>
          </cell>
          <cell r="AW614" t="str">
            <v>minute &amp; call</v>
          </cell>
        </row>
        <row r="615">
          <cell r="S615" t="str">
            <v>DOM MAY MY700</v>
          </cell>
          <cell r="T615" t="str">
            <v>DOM</v>
          </cell>
          <cell r="U615" t="str">
            <v>MAY</v>
          </cell>
          <cell r="V615" t="str">
            <v>MY700</v>
          </cell>
          <cell r="X615">
            <v>0</v>
          </cell>
          <cell r="Y615">
            <v>2.5099999999999998</v>
          </cell>
          <cell r="Z615">
            <v>0</v>
          </cell>
          <cell r="AA615">
            <v>2.5099999999999998</v>
          </cell>
          <cell r="AB615">
            <v>0</v>
          </cell>
          <cell r="AC615">
            <v>2.5099999999999998</v>
          </cell>
          <cell r="AD615">
            <v>0</v>
          </cell>
          <cell r="AE615">
            <v>2.5099999999999998</v>
          </cell>
          <cell r="AG615" t="str">
            <v/>
          </cell>
          <cell r="AH615" t="str">
            <v/>
          </cell>
          <cell r="AJ615">
            <v>0</v>
          </cell>
          <cell r="AK615">
            <v>2.5099999999999998</v>
          </cell>
          <cell r="AL615">
            <v>0</v>
          </cell>
          <cell r="AM615">
            <v>2.5099999999999998</v>
          </cell>
          <cell r="AN615">
            <v>0</v>
          </cell>
          <cell r="AO615">
            <v>2.5099999999999998</v>
          </cell>
          <cell r="AP615">
            <v>0</v>
          </cell>
          <cell r="AQ615">
            <v>2.5099999999999998</v>
          </cell>
          <cell r="AS615" t="str">
            <v/>
          </cell>
          <cell r="AT615" t="str">
            <v/>
          </cell>
          <cell r="AV615" t="b">
            <v>0</v>
          </cell>
          <cell r="AW615" t="str">
            <v>call</v>
          </cell>
        </row>
        <row r="616">
          <cell r="S616" t="str">
            <v>DOM MAY MY710</v>
          </cell>
          <cell r="T616" t="str">
            <v>DOM</v>
          </cell>
          <cell r="U616" t="str">
            <v>MAY</v>
          </cell>
          <cell r="V616" t="str">
            <v>MY710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G616" t="str">
            <v/>
          </cell>
          <cell r="AH616" t="str">
            <v/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S616" t="str">
            <v/>
          </cell>
          <cell r="AT616" t="str">
            <v/>
          </cell>
          <cell r="AV616" t="b">
            <v>0</v>
          </cell>
          <cell r="AW616" t="str">
            <v>minute</v>
          </cell>
        </row>
        <row r="617">
          <cell r="S617" t="str">
            <v>DOM MAY MY711</v>
          </cell>
          <cell r="T617" t="str">
            <v>DOM</v>
          </cell>
          <cell r="U617" t="str">
            <v>MAY</v>
          </cell>
          <cell r="V617" t="str">
            <v>MY711</v>
          </cell>
          <cell r="X617">
            <v>0.28199999999999997</v>
          </cell>
          <cell r="Y617">
            <v>0.65800000000000003</v>
          </cell>
          <cell r="Z617">
            <v>0.28199999999999997</v>
          </cell>
          <cell r="AA617">
            <v>0.65800000000000003</v>
          </cell>
          <cell r="AB617">
            <v>0.28199999999999997</v>
          </cell>
          <cell r="AC617">
            <v>0.65800000000000003</v>
          </cell>
          <cell r="AD617">
            <v>0.28199999999999997</v>
          </cell>
          <cell r="AE617">
            <v>0.65800000000000003</v>
          </cell>
          <cell r="AG617" t="str">
            <v/>
          </cell>
          <cell r="AH617" t="str">
            <v/>
          </cell>
          <cell r="AJ617">
            <v>0.28199999999999997</v>
          </cell>
          <cell r="AK617">
            <v>0.65800000000000003</v>
          </cell>
          <cell r="AL617">
            <v>0.28199999999999997</v>
          </cell>
          <cell r="AM617">
            <v>0.65800000000000003</v>
          </cell>
          <cell r="AN617">
            <v>0.28199999999999997</v>
          </cell>
          <cell r="AO617">
            <v>0.65800000000000003</v>
          </cell>
          <cell r="AP617">
            <v>0.28199999999999997</v>
          </cell>
          <cell r="AQ617">
            <v>0.65800000000000003</v>
          </cell>
          <cell r="AS617" t="str">
            <v/>
          </cell>
          <cell r="AT617" t="str">
            <v/>
          </cell>
          <cell r="AV617" t="b">
            <v>0</v>
          </cell>
          <cell r="AW617" t="str">
            <v>minute &amp; call</v>
          </cell>
        </row>
        <row r="618">
          <cell r="S618" t="str">
            <v>DOM MAY MY712</v>
          </cell>
          <cell r="T618" t="str">
            <v>DOM</v>
          </cell>
          <cell r="U618" t="str">
            <v>MAY</v>
          </cell>
          <cell r="V618" t="str">
            <v>MY712</v>
          </cell>
          <cell r="X618">
            <v>0.376</v>
          </cell>
          <cell r="Y618">
            <v>1.222</v>
          </cell>
          <cell r="Z618">
            <v>0.376</v>
          </cell>
          <cell r="AA618">
            <v>1.222</v>
          </cell>
          <cell r="AB618">
            <v>0.376</v>
          </cell>
          <cell r="AC618">
            <v>1.222</v>
          </cell>
          <cell r="AD618">
            <v>0.376</v>
          </cell>
          <cell r="AE618">
            <v>1.222</v>
          </cell>
          <cell r="AG618" t="str">
            <v/>
          </cell>
          <cell r="AH618" t="str">
            <v/>
          </cell>
          <cell r="AJ618">
            <v>0.376</v>
          </cell>
          <cell r="AK618">
            <v>1.222</v>
          </cell>
          <cell r="AL618">
            <v>0.376</v>
          </cell>
          <cell r="AM618">
            <v>1.222</v>
          </cell>
          <cell r="AN618">
            <v>0.376</v>
          </cell>
          <cell r="AO618">
            <v>1.222</v>
          </cell>
          <cell r="AP618">
            <v>0.376</v>
          </cell>
          <cell r="AQ618">
            <v>1.222</v>
          </cell>
          <cell r="AS618" t="str">
            <v/>
          </cell>
          <cell r="AT618" t="str">
            <v/>
          </cell>
          <cell r="AV618" t="b">
            <v>0</v>
          </cell>
          <cell r="AW618" t="str">
            <v>minute &amp; call</v>
          </cell>
        </row>
        <row r="619">
          <cell r="S619" t="str">
            <v>DOM MAY MY888</v>
          </cell>
          <cell r="T619" t="str">
            <v>DOM</v>
          </cell>
          <cell r="U619" t="str">
            <v>MAY</v>
          </cell>
          <cell r="V619" t="str">
            <v>MY888</v>
          </cell>
          <cell r="X619">
            <v>9.4E-2</v>
          </cell>
          <cell r="Y619">
            <v>0.94</v>
          </cell>
          <cell r="Z619">
            <v>9.4E-2</v>
          </cell>
          <cell r="AA619">
            <v>0.94</v>
          </cell>
          <cell r="AB619">
            <v>9.4E-2</v>
          </cell>
          <cell r="AC619">
            <v>0.94</v>
          </cell>
          <cell r="AD619">
            <v>9.4E-2</v>
          </cell>
          <cell r="AE619">
            <v>0.94</v>
          </cell>
          <cell r="AG619" t="str">
            <v/>
          </cell>
          <cell r="AH619" t="str">
            <v/>
          </cell>
          <cell r="AJ619">
            <v>9.4E-2</v>
          </cell>
          <cell r="AK619">
            <v>0.94</v>
          </cell>
          <cell r="AL619">
            <v>9.4E-2</v>
          </cell>
          <cell r="AM619">
            <v>0.94</v>
          </cell>
          <cell r="AN619">
            <v>9.4E-2</v>
          </cell>
          <cell r="AO619">
            <v>0.94</v>
          </cell>
          <cell r="AP619">
            <v>9.4E-2</v>
          </cell>
          <cell r="AQ619">
            <v>0.94</v>
          </cell>
          <cell r="AS619" t="str">
            <v/>
          </cell>
          <cell r="AT619" t="str">
            <v/>
          </cell>
          <cell r="AV619" t="b">
            <v>0</v>
          </cell>
          <cell r="AW619" t="str">
            <v>minute &amp; call</v>
          </cell>
        </row>
        <row r="620">
          <cell r="S620" t="str">
            <v>DOM MAY MYFRE</v>
          </cell>
          <cell r="T620" t="str">
            <v>DOM</v>
          </cell>
          <cell r="U620" t="str">
            <v>MAY</v>
          </cell>
          <cell r="V620" t="str">
            <v>MYFRE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G620" t="str">
            <v/>
          </cell>
          <cell r="AH620" t="str">
            <v/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S620" t="str">
            <v/>
          </cell>
          <cell r="AT620" t="str">
            <v/>
          </cell>
          <cell r="AV620" t="b">
            <v>0</v>
          </cell>
          <cell r="AW620" t="str">
            <v>minute</v>
          </cell>
        </row>
        <row r="621">
          <cell r="S621" t="str">
            <v>DOM MAY MY810</v>
          </cell>
          <cell r="T621" t="str">
            <v>DOM</v>
          </cell>
          <cell r="U621" t="str">
            <v>MAY</v>
          </cell>
          <cell r="V621" t="str">
            <v>MY810</v>
          </cell>
          <cell r="X621">
            <v>2.3E-2</v>
          </cell>
          <cell r="Y621">
            <v>6.5000000000000002E-2</v>
          </cell>
          <cell r="Z621">
            <v>2.3E-2</v>
          </cell>
          <cell r="AA621">
            <v>6.5000000000000002E-2</v>
          </cell>
          <cell r="AB621">
            <v>2.3E-2</v>
          </cell>
          <cell r="AC621">
            <v>6.5000000000000002E-2</v>
          </cell>
          <cell r="AD621">
            <v>2.3E-2</v>
          </cell>
          <cell r="AE621">
            <v>6.5000000000000002E-2</v>
          </cell>
          <cell r="AG621" t="str">
            <v/>
          </cell>
          <cell r="AH621" t="str">
            <v/>
          </cell>
          <cell r="AJ621">
            <v>2.3E-2</v>
          </cell>
          <cell r="AK621">
            <v>6.5000000000000002E-2</v>
          </cell>
          <cell r="AL621">
            <v>2.3E-2</v>
          </cell>
          <cell r="AM621">
            <v>6.5000000000000002E-2</v>
          </cell>
          <cell r="AN621">
            <v>2.3E-2</v>
          </cell>
          <cell r="AO621">
            <v>6.5000000000000002E-2</v>
          </cell>
          <cell r="AP621">
            <v>2.3E-2</v>
          </cell>
          <cell r="AQ621">
            <v>6.5000000000000002E-2</v>
          </cell>
          <cell r="AS621" t="str">
            <v/>
          </cell>
          <cell r="AT621" t="str">
            <v/>
          </cell>
          <cell r="AV621" t="b">
            <v>0</v>
          </cell>
          <cell r="AW621" t="str">
            <v>minute &amp; call</v>
          </cell>
        </row>
        <row r="622">
          <cell r="S622" t="str">
            <v>DOM NDL OPAR</v>
          </cell>
          <cell r="T622" t="str">
            <v>DOM</v>
          </cell>
          <cell r="U622" t="str">
            <v>NDL</v>
          </cell>
          <cell r="V622" t="str">
            <v>OPAR</v>
          </cell>
          <cell r="X622">
            <v>1.52E-2</v>
          </cell>
          <cell r="Y622">
            <v>0</v>
          </cell>
          <cell r="Z622">
            <v>1.4500000000000001E-2</v>
          </cell>
          <cell r="AA622">
            <v>0</v>
          </cell>
          <cell r="AB622">
            <v>1.38E-2</v>
          </cell>
          <cell r="AC622">
            <v>0</v>
          </cell>
          <cell r="AD622">
            <v>1.3100000000000001E-2</v>
          </cell>
          <cell r="AE622">
            <v>0</v>
          </cell>
          <cell r="AG622" t="str">
            <v/>
          </cell>
          <cell r="AH622" t="str">
            <v/>
          </cell>
          <cell r="AJ622">
            <v>1.52E-2</v>
          </cell>
          <cell r="AK622">
            <v>0</v>
          </cell>
          <cell r="AL622">
            <v>1.4500000000000001E-2</v>
          </cell>
          <cell r="AM622">
            <v>0</v>
          </cell>
          <cell r="AN622">
            <v>1.38E-2</v>
          </cell>
          <cell r="AO622">
            <v>0</v>
          </cell>
          <cell r="AP622">
            <v>1.3100000000000001E-2</v>
          </cell>
          <cell r="AQ622">
            <v>0</v>
          </cell>
          <cell r="AS622" t="str">
            <v/>
          </cell>
          <cell r="AT622" t="str">
            <v/>
          </cell>
          <cell r="AV622" t="b">
            <v>1</v>
          </cell>
          <cell r="AW622" t="str">
            <v>minute</v>
          </cell>
        </row>
        <row r="623">
          <cell r="S623" t="str">
            <v>DOM NDL NDKPN</v>
          </cell>
          <cell r="T623" t="str">
            <v>DOM</v>
          </cell>
          <cell r="U623" t="str">
            <v>NDL</v>
          </cell>
          <cell r="V623" t="str">
            <v>NDKPN</v>
          </cell>
          <cell r="X623">
            <v>5.45E-2</v>
          </cell>
          <cell r="Y623">
            <v>0</v>
          </cell>
          <cell r="Z623">
            <v>4.9000000000000002E-2</v>
          </cell>
          <cell r="AA623">
            <v>0</v>
          </cell>
          <cell r="AB623">
            <v>4.6300000000000001E-2</v>
          </cell>
          <cell r="AC623">
            <v>0</v>
          </cell>
          <cell r="AD623">
            <v>4.36E-2</v>
          </cell>
          <cell r="AE623">
            <v>0</v>
          </cell>
          <cell r="AG623" t="str">
            <v/>
          </cell>
          <cell r="AH623" t="str">
            <v/>
          </cell>
          <cell r="AJ623">
            <v>5.45E-2</v>
          </cell>
          <cell r="AK623">
            <v>0</v>
          </cell>
          <cell r="AL623">
            <v>4.9000000000000002E-2</v>
          </cell>
          <cell r="AM623">
            <v>0</v>
          </cell>
          <cell r="AN623">
            <v>4.6300000000000001E-2</v>
          </cell>
          <cell r="AO623">
            <v>0</v>
          </cell>
          <cell r="AP623">
            <v>4.36E-2</v>
          </cell>
          <cell r="AQ623">
            <v>0</v>
          </cell>
          <cell r="AS623" t="str">
            <v/>
          </cell>
          <cell r="AT623" t="str">
            <v/>
          </cell>
          <cell r="AV623" t="b">
            <v>1</v>
          </cell>
          <cell r="AW623" t="str">
            <v>minute</v>
          </cell>
        </row>
        <row r="624">
          <cell r="S624" t="str">
            <v>DOM NDL CNDL3</v>
          </cell>
          <cell r="T624" t="str">
            <v>DOM</v>
          </cell>
          <cell r="U624" t="str">
            <v>NDL</v>
          </cell>
          <cell r="V624" t="str">
            <v>CNDL3</v>
          </cell>
          <cell r="X624">
            <v>5.45E-2</v>
          </cell>
          <cell r="Y624">
            <v>0</v>
          </cell>
          <cell r="Z624">
            <v>4.9000000000000002E-2</v>
          </cell>
          <cell r="AA624">
            <v>0</v>
          </cell>
          <cell r="AB624">
            <v>4.6300000000000001E-2</v>
          </cell>
          <cell r="AC624">
            <v>0</v>
          </cell>
          <cell r="AD624">
            <v>4.36E-2</v>
          </cell>
          <cell r="AE624">
            <v>0</v>
          </cell>
          <cell r="AG624" t="str">
            <v/>
          </cell>
          <cell r="AH624" t="str">
            <v/>
          </cell>
          <cell r="AJ624">
            <v>5.45E-2</v>
          </cell>
          <cell r="AK624">
            <v>0</v>
          </cell>
          <cell r="AL624">
            <v>4.9000000000000002E-2</v>
          </cell>
          <cell r="AM624">
            <v>0</v>
          </cell>
          <cell r="AN624">
            <v>4.6300000000000001E-2</v>
          </cell>
          <cell r="AO624">
            <v>0</v>
          </cell>
          <cell r="AP624">
            <v>4.36E-2</v>
          </cell>
          <cell r="AQ624">
            <v>0</v>
          </cell>
          <cell r="AS624" t="str">
            <v/>
          </cell>
          <cell r="AT624" t="str">
            <v/>
          </cell>
          <cell r="AV624" t="b">
            <v>1</v>
          </cell>
          <cell r="AW624" t="str">
            <v>minute</v>
          </cell>
        </row>
        <row r="625">
          <cell r="S625" t="str">
            <v>DOM NDL NDTMO</v>
          </cell>
          <cell r="T625" t="str">
            <v>DOM</v>
          </cell>
          <cell r="U625" t="str">
            <v>NDL</v>
          </cell>
          <cell r="V625" t="str">
            <v>NDTMO</v>
          </cell>
          <cell r="X625">
            <v>5.45E-2</v>
          </cell>
          <cell r="Y625">
            <v>0</v>
          </cell>
          <cell r="Z625">
            <v>4.9000000000000002E-2</v>
          </cell>
          <cell r="AA625">
            <v>0</v>
          </cell>
          <cell r="AB625">
            <v>4.6300000000000001E-2</v>
          </cell>
          <cell r="AC625">
            <v>0</v>
          </cell>
          <cell r="AD625">
            <v>4.36E-2</v>
          </cell>
          <cell r="AE625">
            <v>0</v>
          </cell>
          <cell r="AG625" t="str">
            <v/>
          </cell>
          <cell r="AH625" t="str">
            <v/>
          </cell>
          <cell r="AJ625">
            <v>5.45E-2</v>
          </cell>
          <cell r="AK625">
            <v>0</v>
          </cell>
          <cell r="AL625">
            <v>4.9000000000000002E-2</v>
          </cell>
          <cell r="AM625">
            <v>0</v>
          </cell>
          <cell r="AN625">
            <v>4.6300000000000001E-2</v>
          </cell>
          <cell r="AO625">
            <v>0</v>
          </cell>
          <cell r="AP625">
            <v>4.36E-2</v>
          </cell>
          <cell r="AQ625">
            <v>0</v>
          </cell>
          <cell r="AS625" t="str">
            <v/>
          </cell>
          <cell r="AT625" t="str">
            <v/>
          </cell>
          <cell r="AV625" t="b">
            <v>1</v>
          </cell>
          <cell r="AW625" t="str">
            <v>minute</v>
          </cell>
        </row>
        <row r="626">
          <cell r="S626" t="str">
            <v>DOM NDL NDVOD</v>
          </cell>
          <cell r="T626" t="str">
            <v>DOM</v>
          </cell>
          <cell r="U626" t="str">
            <v>NDL</v>
          </cell>
          <cell r="V626" t="str">
            <v>NDVOD</v>
          </cell>
          <cell r="X626">
            <v>5.45E-2</v>
          </cell>
          <cell r="Y626">
            <v>0</v>
          </cell>
          <cell r="Z626">
            <v>4.9000000000000002E-2</v>
          </cell>
          <cell r="AA626">
            <v>0</v>
          </cell>
          <cell r="AB626">
            <v>4.6300000000000001E-2</v>
          </cell>
          <cell r="AC626">
            <v>0</v>
          </cell>
          <cell r="AD626">
            <v>4.36E-2</v>
          </cell>
          <cell r="AE626">
            <v>0</v>
          </cell>
          <cell r="AG626" t="str">
            <v/>
          </cell>
          <cell r="AH626" t="str">
            <v/>
          </cell>
          <cell r="AJ626">
            <v>5.45E-2</v>
          </cell>
          <cell r="AK626">
            <v>0</v>
          </cell>
          <cell r="AL626">
            <v>4.9000000000000002E-2</v>
          </cell>
          <cell r="AM626">
            <v>0</v>
          </cell>
          <cell r="AN626">
            <v>4.6300000000000001E-2</v>
          </cell>
          <cell r="AO626">
            <v>0</v>
          </cell>
          <cell r="AP626">
            <v>4.36E-2</v>
          </cell>
          <cell r="AQ626">
            <v>0</v>
          </cell>
          <cell r="AS626" t="str">
            <v/>
          </cell>
          <cell r="AT626" t="str">
            <v/>
          </cell>
          <cell r="AV626" t="b">
            <v>1</v>
          </cell>
          <cell r="AW626" t="str">
            <v>minute</v>
          </cell>
        </row>
        <row r="627">
          <cell r="S627" t="str">
            <v>DOM NDL NDACC</v>
          </cell>
          <cell r="T627" t="str">
            <v>DOM</v>
          </cell>
          <cell r="U627" t="str">
            <v>NDL</v>
          </cell>
          <cell r="V627" t="str">
            <v>NDACC</v>
          </cell>
          <cell r="X627">
            <v>4.2299999999999997E-2</v>
          </cell>
          <cell r="Y627">
            <v>0</v>
          </cell>
          <cell r="Z627">
            <v>4.2299999999999997E-2</v>
          </cell>
          <cell r="AA627">
            <v>0</v>
          </cell>
          <cell r="AB627">
            <v>4.2299999999999997E-2</v>
          </cell>
          <cell r="AC627">
            <v>0</v>
          </cell>
          <cell r="AD627">
            <v>4.2299999999999997E-2</v>
          </cell>
          <cell r="AE627">
            <v>0</v>
          </cell>
          <cell r="AG627" t="str">
            <v/>
          </cell>
          <cell r="AH627" t="str">
            <v/>
          </cell>
          <cell r="AJ627">
            <v>4.2299999999999997E-2</v>
          </cell>
          <cell r="AK627">
            <v>0</v>
          </cell>
          <cell r="AL627">
            <v>4.2299999999999997E-2</v>
          </cell>
          <cell r="AM627">
            <v>0</v>
          </cell>
          <cell r="AN627">
            <v>4.2299999999999997E-2</v>
          </cell>
          <cell r="AO627">
            <v>0</v>
          </cell>
          <cell r="AP627">
            <v>4.2299999999999997E-2</v>
          </cell>
          <cell r="AQ627">
            <v>0</v>
          </cell>
          <cell r="AS627" t="str">
            <v/>
          </cell>
          <cell r="AT627" t="str">
            <v/>
          </cell>
          <cell r="AV627" t="b">
            <v>0</v>
          </cell>
          <cell r="AW627" t="str">
            <v>minute</v>
          </cell>
        </row>
        <row r="628">
          <cell r="S628" t="str">
            <v>DOM NDL NDCOR</v>
          </cell>
          <cell r="T628" t="str">
            <v>DOM</v>
          </cell>
          <cell r="U628" t="str">
            <v>NDL</v>
          </cell>
          <cell r="V628" t="str">
            <v>NDCOR</v>
          </cell>
          <cell r="X628">
            <v>4.2299999999999997E-2</v>
          </cell>
          <cell r="Y628">
            <v>0</v>
          </cell>
          <cell r="Z628">
            <v>4.2299999999999997E-2</v>
          </cell>
          <cell r="AA628">
            <v>0</v>
          </cell>
          <cell r="AB628">
            <v>4.2299999999999997E-2</v>
          </cell>
          <cell r="AC628">
            <v>0</v>
          </cell>
          <cell r="AD628">
            <v>4.2299999999999997E-2</v>
          </cell>
          <cell r="AE628">
            <v>0</v>
          </cell>
          <cell r="AG628" t="str">
            <v/>
          </cell>
          <cell r="AH628" t="str">
            <v/>
          </cell>
          <cell r="AJ628">
            <v>4.2299999999999997E-2</v>
          </cell>
          <cell r="AK628">
            <v>0</v>
          </cell>
          <cell r="AL628">
            <v>4.2299999999999997E-2</v>
          </cell>
          <cell r="AM628">
            <v>0</v>
          </cell>
          <cell r="AN628">
            <v>4.2299999999999997E-2</v>
          </cell>
          <cell r="AO628">
            <v>0</v>
          </cell>
          <cell r="AP628">
            <v>4.2299999999999997E-2</v>
          </cell>
          <cell r="AQ628">
            <v>0</v>
          </cell>
          <cell r="AS628" t="str">
            <v/>
          </cell>
          <cell r="AT628" t="str">
            <v/>
          </cell>
          <cell r="AV628" t="b">
            <v>0</v>
          </cell>
          <cell r="AW628" t="str">
            <v>minute</v>
          </cell>
        </row>
        <row r="629">
          <cell r="S629" t="str">
            <v>DOM NDL NDDIR</v>
          </cell>
          <cell r="T629" t="str">
            <v>DOM</v>
          </cell>
          <cell r="U629" t="str">
            <v>NDL</v>
          </cell>
          <cell r="V629" t="str">
            <v>NDDIR</v>
          </cell>
          <cell r="X629">
            <v>0</v>
          </cell>
          <cell r="Y629">
            <v>1.2</v>
          </cell>
          <cell r="Z629">
            <v>0</v>
          </cell>
          <cell r="AA629">
            <v>1.2</v>
          </cell>
          <cell r="AB629">
            <v>0</v>
          </cell>
          <cell r="AC629">
            <v>1.2</v>
          </cell>
          <cell r="AD629">
            <v>0</v>
          </cell>
          <cell r="AE629">
            <v>1.2</v>
          </cell>
          <cell r="AG629" t="str">
            <v/>
          </cell>
          <cell r="AH629" t="str">
            <v/>
          </cell>
          <cell r="AJ629">
            <v>0</v>
          </cell>
          <cell r="AK629">
            <v>1.2</v>
          </cell>
          <cell r="AL629">
            <v>0</v>
          </cell>
          <cell r="AM629">
            <v>1.2</v>
          </cell>
          <cell r="AN629">
            <v>0</v>
          </cell>
          <cell r="AO629">
            <v>1.2</v>
          </cell>
          <cell r="AP629">
            <v>0</v>
          </cell>
          <cell r="AQ629">
            <v>1.2</v>
          </cell>
          <cell r="AS629" t="str">
            <v/>
          </cell>
          <cell r="AT629" t="str">
            <v/>
          </cell>
          <cell r="AV629" t="b">
            <v>0</v>
          </cell>
          <cell r="AW629" t="str">
            <v>call</v>
          </cell>
        </row>
        <row r="630">
          <cell r="S630" t="str">
            <v>DOM NDL NDDI2</v>
          </cell>
          <cell r="T630" t="str">
            <v>DOM</v>
          </cell>
          <cell r="U630" t="str">
            <v>NDL</v>
          </cell>
          <cell r="V630" t="str">
            <v>NDDI2</v>
          </cell>
          <cell r="X630">
            <v>0.08</v>
          </cell>
          <cell r="Y630">
            <v>0</v>
          </cell>
          <cell r="Z630">
            <v>0.08</v>
          </cell>
          <cell r="AA630">
            <v>0</v>
          </cell>
          <cell r="AB630">
            <v>0.08</v>
          </cell>
          <cell r="AC630">
            <v>0</v>
          </cell>
          <cell r="AD630">
            <v>0.08</v>
          </cell>
          <cell r="AE630">
            <v>0</v>
          </cell>
          <cell r="AG630" t="str">
            <v/>
          </cell>
          <cell r="AH630" t="str">
            <v/>
          </cell>
          <cell r="AJ630">
            <v>0.08</v>
          </cell>
          <cell r="AK630">
            <v>0</v>
          </cell>
          <cell r="AL630">
            <v>0.08</v>
          </cell>
          <cell r="AM630">
            <v>0</v>
          </cell>
          <cell r="AN630">
            <v>0.08</v>
          </cell>
          <cell r="AO630">
            <v>0</v>
          </cell>
          <cell r="AP630">
            <v>0.08</v>
          </cell>
          <cell r="AQ630">
            <v>0</v>
          </cell>
          <cell r="AS630" t="str">
            <v/>
          </cell>
          <cell r="AT630" t="str">
            <v/>
          </cell>
          <cell r="AV630" t="b">
            <v>0</v>
          </cell>
          <cell r="AW630" t="str">
            <v>minute</v>
          </cell>
        </row>
        <row r="631">
          <cell r="S631" t="str">
            <v>DOM NDL NDDI3</v>
          </cell>
          <cell r="T631" t="str">
            <v>DOM</v>
          </cell>
          <cell r="U631" t="str">
            <v>NDL</v>
          </cell>
          <cell r="V631" t="str">
            <v>NDDI3</v>
          </cell>
          <cell r="X631">
            <v>7.0000000000000007E-2</v>
          </cell>
          <cell r="Y631">
            <v>0</v>
          </cell>
          <cell r="Z631">
            <v>7.0000000000000007E-2</v>
          </cell>
          <cell r="AA631">
            <v>0</v>
          </cell>
          <cell r="AB631">
            <v>7.0000000000000007E-2</v>
          </cell>
          <cell r="AC631">
            <v>0</v>
          </cell>
          <cell r="AD631">
            <v>7.0000000000000007E-2</v>
          </cell>
          <cell r="AE631">
            <v>0</v>
          </cell>
          <cell r="AG631" t="str">
            <v/>
          </cell>
          <cell r="AH631" t="str">
            <v/>
          </cell>
          <cell r="AJ631">
            <v>7.0000000000000007E-2</v>
          </cell>
          <cell r="AK631">
            <v>0</v>
          </cell>
          <cell r="AL631">
            <v>7.0000000000000007E-2</v>
          </cell>
          <cell r="AM631">
            <v>0</v>
          </cell>
          <cell r="AN631">
            <v>7.0000000000000007E-2</v>
          </cell>
          <cell r="AO631">
            <v>0</v>
          </cell>
          <cell r="AP631">
            <v>7.0000000000000007E-2</v>
          </cell>
          <cell r="AQ631">
            <v>0</v>
          </cell>
          <cell r="AS631" t="str">
            <v/>
          </cell>
          <cell r="AT631" t="str">
            <v/>
          </cell>
          <cell r="AV631" t="b">
            <v>0</v>
          </cell>
          <cell r="AW631" t="str">
            <v>minute</v>
          </cell>
        </row>
        <row r="632">
          <cell r="S632" t="str">
            <v>DOM NDL NDDI4</v>
          </cell>
          <cell r="T632" t="str">
            <v>DOM</v>
          </cell>
          <cell r="U632" t="str">
            <v>NDL</v>
          </cell>
          <cell r="V632" t="str">
            <v>NDDI4</v>
          </cell>
          <cell r="X632">
            <v>0.05</v>
          </cell>
          <cell r="Y632">
            <v>0</v>
          </cell>
          <cell r="Z632">
            <v>0.05</v>
          </cell>
          <cell r="AA632">
            <v>0</v>
          </cell>
          <cell r="AB632">
            <v>0.05</v>
          </cell>
          <cell r="AC632">
            <v>0</v>
          </cell>
          <cell r="AD632">
            <v>0.05</v>
          </cell>
          <cell r="AE632">
            <v>0</v>
          </cell>
          <cell r="AG632" t="str">
            <v/>
          </cell>
          <cell r="AH632" t="str">
            <v/>
          </cell>
          <cell r="AJ632">
            <v>0.05</v>
          </cell>
          <cell r="AK632">
            <v>0</v>
          </cell>
          <cell r="AL632">
            <v>0.05</v>
          </cell>
          <cell r="AM632">
            <v>0</v>
          </cell>
          <cell r="AN632">
            <v>0.05</v>
          </cell>
          <cell r="AO632">
            <v>0</v>
          </cell>
          <cell r="AP632">
            <v>0.05</v>
          </cell>
          <cell r="AQ632">
            <v>0</v>
          </cell>
          <cell r="AS632" t="str">
            <v/>
          </cell>
          <cell r="AT632" t="str">
            <v/>
          </cell>
          <cell r="AV632" t="b">
            <v>0</v>
          </cell>
          <cell r="AW632" t="str">
            <v>minute</v>
          </cell>
        </row>
        <row r="633">
          <cell r="S633" t="str">
            <v>DOM NDL NDDI5</v>
          </cell>
          <cell r="T633" t="str">
            <v>DOM</v>
          </cell>
          <cell r="U633" t="str">
            <v>NDL</v>
          </cell>
          <cell r="V633" t="str">
            <v>NDDI5</v>
          </cell>
          <cell r="X633">
            <v>0.06</v>
          </cell>
          <cell r="Y633">
            <v>0</v>
          </cell>
          <cell r="Z633">
            <v>0.06</v>
          </cell>
          <cell r="AA633">
            <v>0</v>
          </cell>
          <cell r="AB633">
            <v>0.06</v>
          </cell>
          <cell r="AC633">
            <v>0</v>
          </cell>
          <cell r="AD633">
            <v>0.06</v>
          </cell>
          <cell r="AE633">
            <v>0</v>
          </cell>
          <cell r="AG633" t="str">
            <v/>
          </cell>
          <cell r="AH633" t="str">
            <v/>
          </cell>
          <cell r="AJ633">
            <v>0.06</v>
          </cell>
          <cell r="AK633">
            <v>0</v>
          </cell>
          <cell r="AL633">
            <v>0.06</v>
          </cell>
          <cell r="AM633">
            <v>0</v>
          </cell>
          <cell r="AN633">
            <v>0.06</v>
          </cell>
          <cell r="AO633">
            <v>0</v>
          </cell>
          <cell r="AP633">
            <v>0.06</v>
          </cell>
          <cell r="AQ633">
            <v>0</v>
          </cell>
          <cell r="AS633" t="str">
            <v/>
          </cell>
          <cell r="AT633" t="str">
            <v/>
          </cell>
          <cell r="AV633" t="b">
            <v>0</v>
          </cell>
          <cell r="AW633" t="str">
            <v>minute</v>
          </cell>
        </row>
        <row r="634">
          <cell r="S634" t="str">
            <v>DOM NDL NDDI6</v>
          </cell>
          <cell r="T634" t="str">
            <v>DOM</v>
          </cell>
          <cell r="U634" t="str">
            <v>NDL</v>
          </cell>
          <cell r="V634" t="str">
            <v>NDDI6</v>
          </cell>
          <cell r="X634">
            <v>0</v>
          </cell>
          <cell r="Y634">
            <v>1.2</v>
          </cell>
          <cell r="Z634">
            <v>0</v>
          </cell>
          <cell r="AA634">
            <v>1.2</v>
          </cell>
          <cell r="AB634">
            <v>0</v>
          </cell>
          <cell r="AC634">
            <v>1.2</v>
          </cell>
          <cell r="AD634">
            <v>0</v>
          </cell>
          <cell r="AE634">
            <v>1.2</v>
          </cell>
          <cell r="AG634" t="str">
            <v/>
          </cell>
          <cell r="AH634" t="str">
            <v/>
          </cell>
          <cell r="AJ634">
            <v>0</v>
          </cell>
          <cell r="AK634">
            <v>1.2</v>
          </cell>
          <cell r="AL634">
            <v>0</v>
          </cell>
          <cell r="AM634">
            <v>1.2</v>
          </cell>
          <cell r="AN634">
            <v>0</v>
          </cell>
          <cell r="AO634">
            <v>1.2</v>
          </cell>
          <cell r="AP634">
            <v>0</v>
          </cell>
          <cell r="AQ634">
            <v>1.2</v>
          </cell>
          <cell r="AS634" t="str">
            <v/>
          </cell>
          <cell r="AT634" t="str">
            <v/>
          </cell>
          <cell r="AV634" t="b">
            <v>0</v>
          </cell>
          <cell r="AW634" t="str">
            <v>call</v>
          </cell>
        </row>
        <row r="635">
          <cell r="S635" t="str">
            <v>DOM NDL NDDI7</v>
          </cell>
          <cell r="T635" t="str">
            <v>DOM</v>
          </cell>
          <cell r="U635" t="str">
            <v>NDL</v>
          </cell>
          <cell r="V635" t="str">
            <v>NDDI7</v>
          </cell>
          <cell r="X635">
            <v>0</v>
          </cell>
          <cell r="Y635">
            <v>0.8</v>
          </cell>
          <cell r="Z635">
            <v>0</v>
          </cell>
          <cell r="AA635">
            <v>0.8</v>
          </cell>
          <cell r="AB635">
            <v>0</v>
          </cell>
          <cell r="AC635">
            <v>0.8</v>
          </cell>
          <cell r="AD635">
            <v>0</v>
          </cell>
          <cell r="AE635">
            <v>0.8</v>
          </cell>
          <cell r="AG635" t="str">
            <v/>
          </cell>
          <cell r="AH635" t="str">
            <v/>
          </cell>
          <cell r="AJ635">
            <v>0</v>
          </cell>
          <cell r="AK635">
            <v>0.8</v>
          </cell>
          <cell r="AL635">
            <v>0</v>
          </cell>
          <cell r="AM635">
            <v>0.8</v>
          </cell>
          <cell r="AN635">
            <v>0</v>
          </cell>
          <cell r="AO635">
            <v>0.8</v>
          </cell>
          <cell r="AP635">
            <v>0</v>
          </cell>
          <cell r="AQ635">
            <v>0.8</v>
          </cell>
          <cell r="AS635" t="str">
            <v/>
          </cell>
          <cell r="AT635" t="str">
            <v/>
          </cell>
          <cell r="AV635" t="b">
            <v>0</v>
          </cell>
          <cell r="AW635" t="str">
            <v>call</v>
          </cell>
        </row>
        <row r="636">
          <cell r="S636" t="str">
            <v>DOM NDL NDSOS</v>
          </cell>
          <cell r="T636" t="str">
            <v>DOM</v>
          </cell>
          <cell r="U636" t="str">
            <v>NDL</v>
          </cell>
          <cell r="V636" t="str">
            <v>NDSOS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G636" t="str">
            <v/>
          </cell>
          <cell r="AH636" t="str">
            <v/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S636" t="str">
            <v/>
          </cell>
          <cell r="AT636" t="str">
            <v/>
          </cell>
          <cell r="AV636" t="b">
            <v>0</v>
          </cell>
          <cell r="AW636" t="str">
            <v>minute</v>
          </cell>
        </row>
        <row r="637">
          <cell r="S637" t="str">
            <v>DOM NDL NDHLP</v>
          </cell>
          <cell r="T637" t="str">
            <v>DOM</v>
          </cell>
          <cell r="U637" t="str">
            <v>NDL</v>
          </cell>
          <cell r="V637" t="str">
            <v>NDHLP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G637" t="str">
            <v/>
          </cell>
          <cell r="AH637" t="str">
            <v/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S637" t="str">
            <v/>
          </cell>
          <cell r="AT637" t="str">
            <v/>
          </cell>
          <cell r="AV637" t="b">
            <v>0</v>
          </cell>
          <cell r="AW637" t="str">
            <v>minute</v>
          </cell>
        </row>
        <row r="638">
          <cell r="S638" t="str">
            <v>DOM NDL NDI10</v>
          </cell>
          <cell r="T638" t="str">
            <v>DOM</v>
          </cell>
          <cell r="U638" t="str">
            <v>NDL</v>
          </cell>
          <cell r="V638" t="str">
            <v>NDI10</v>
          </cell>
          <cell r="X638">
            <v>3.0800000000000001E-2</v>
          </cell>
          <cell r="Y638">
            <v>0</v>
          </cell>
          <cell r="Z638">
            <v>3.0800000000000001E-2</v>
          </cell>
          <cell r="AA638">
            <v>0</v>
          </cell>
          <cell r="AB638">
            <v>3.0800000000000001E-2</v>
          </cell>
          <cell r="AC638">
            <v>0</v>
          </cell>
          <cell r="AD638">
            <v>3.0800000000000001E-2</v>
          </cell>
          <cell r="AE638">
            <v>0</v>
          </cell>
          <cell r="AG638" t="str">
            <v/>
          </cell>
          <cell r="AH638" t="str">
            <v/>
          </cell>
          <cell r="AJ638">
            <v>3.0800000000000001E-2</v>
          </cell>
          <cell r="AK638">
            <v>0</v>
          </cell>
          <cell r="AL638">
            <v>3.0800000000000001E-2</v>
          </cell>
          <cell r="AM638">
            <v>0</v>
          </cell>
          <cell r="AN638">
            <v>3.0800000000000001E-2</v>
          </cell>
          <cell r="AO638">
            <v>0</v>
          </cell>
          <cell r="AP638">
            <v>3.0800000000000001E-2</v>
          </cell>
          <cell r="AQ638">
            <v>0</v>
          </cell>
          <cell r="AS638" t="str">
            <v/>
          </cell>
          <cell r="AT638" t="str">
            <v/>
          </cell>
          <cell r="AV638" t="b">
            <v>0</v>
          </cell>
          <cell r="AW638" t="str">
            <v>minute</v>
          </cell>
        </row>
        <row r="639">
          <cell r="S639" t="str">
            <v>DOM NDL NDI11</v>
          </cell>
          <cell r="T639" t="str">
            <v>DOM</v>
          </cell>
          <cell r="U639" t="str">
            <v>NDL</v>
          </cell>
          <cell r="V639" t="str">
            <v>NDI11</v>
          </cell>
          <cell r="X639">
            <v>3.4099999999999998E-2</v>
          </cell>
          <cell r="Y639">
            <v>0</v>
          </cell>
          <cell r="Z639">
            <v>3.4099999999999998E-2</v>
          </cell>
          <cell r="AA639">
            <v>0</v>
          </cell>
          <cell r="AB639">
            <v>3.4099999999999998E-2</v>
          </cell>
          <cell r="AC639">
            <v>0</v>
          </cell>
          <cell r="AD639">
            <v>3.4099999999999998E-2</v>
          </cell>
          <cell r="AE639">
            <v>0</v>
          </cell>
          <cell r="AG639" t="str">
            <v/>
          </cell>
          <cell r="AH639" t="str">
            <v/>
          </cell>
          <cell r="AJ639">
            <v>3.4099999999999998E-2</v>
          </cell>
          <cell r="AK639">
            <v>0</v>
          </cell>
          <cell r="AL639">
            <v>3.4099999999999998E-2</v>
          </cell>
          <cell r="AM639">
            <v>0</v>
          </cell>
          <cell r="AN639">
            <v>3.4099999999999998E-2</v>
          </cell>
          <cell r="AO639">
            <v>0</v>
          </cell>
          <cell r="AP639">
            <v>3.4099999999999998E-2</v>
          </cell>
          <cell r="AQ639">
            <v>0</v>
          </cell>
          <cell r="AS639" t="str">
            <v/>
          </cell>
          <cell r="AT639" t="str">
            <v/>
          </cell>
          <cell r="AV639" t="b">
            <v>0</v>
          </cell>
          <cell r="AW639" t="str">
            <v>minute</v>
          </cell>
        </row>
        <row r="640">
          <cell r="S640" t="str">
            <v>DOM NDL NDI12</v>
          </cell>
          <cell r="T640" t="str">
            <v>DOM</v>
          </cell>
          <cell r="U640" t="str">
            <v>NDL</v>
          </cell>
          <cell r="V640" t="str">
            <v>NDI12</v>
          </cell>
          <cell r="X640">
            <v>4.0800000000000003E-2</v>
          </cell>
          <cell r="Y640">
            <v>0</v>
          </cell>
          <cell r="Z640">
            <v>4.0800000000000003E-2</v>
          </cell>
          <cell r="AA640">
            <v>0</v>
          </cell>
          <cell r="AB640">
            <v>4.0800000000000003E-2</v>
          </cell>
          <cell r="AC640">
            <v>0</v>
          </cell>
          <cell r="AD640">
            <v>4.0800000000000003E-2</v>
          </cell>
          <cell r="AE640">
            <v>0</v>
          </cell>
          <cell r="AG640" t="str">
            <v/>
          </cell>
          <cell r="AH640" t="str">
            <v/>
          </cell>
          <cell r="AJ640">
            <v>4.0800000000000003E-2</v>
          </cell>
          <cell r="AK640">
            <v>0</v>
          </cell>
          <cell r="AL640">
            <v>4.0800000000000003E-2</v>
          </cell>
          <cell r="AM640">
            <v>0</v>
          </cell>
          <cell r="AN640">
            <v>4.0800000000000003E-2</v>
          </cell>
          <cell r="AO640">
            <v>0</v>
          </cell>
          <cell r="AP640">
            <v>4.0800000000000003E-2</v>
          </cell>
          <cell r="AQ640">
            <v>0</v>
          </cell>
          <cell r="AS640" t="str">
            <v/>
          </cell>
          <cell r="AT640" t="str">
            <v/>
          </cell>
          <cell r="AV640" t="b">
            <v>0</v>
          </cell>
          <cell r="AW640" t="str">
            <v>minute</v>
          </cell>
        </row>
        <row r="641">
          <cell r="S641" t="str">
            <v>DOM NDL NDI13</v>
          </cell>
          <cell r="T641" t="str">
            <v>DOM</v>
          </cell>
          <cell r="U641" t="str">
            <v>NDL</v>
          </cell>
          <cell r="V641" t="str">
            <v>NDI13</v>
          </cell>
          <cell r="X641">
            <v>2.87E-2</v>
          </cell>
          <cell r="Y641">
            <v>0</v>
          </cell>
          <cell r="Z641">
            <v>2.87E-2</v>
          </cell>
          <cell r="AA641">
            <v>0</v>
          </cell>
          <cell r="AB641">
            <v>2.87E-2</v>
          </cell>
          <cell r="AC641">
            <v>0</v>
          </cell>
          <cell r="AD641">
            <v>2.87E-2</v>
          </cell>
          <cell r="AE641">
            <v>0</v>
          </cell>
          <cell r="AG641" t="str">
            <v/>
          </cell>
          <cell r="AH641" t="str">
            <v/>
          </cell>
          <cell r="AJ641">
            <v>2.87E-2</v>
          </cell>
          <cell r="AK641">
            <v>0</v>
          </cell>
          <cell r="AL641">
            <v>2.87E-2</v>
          </cell>
          <cell r="AM641">
            <v>0</v>
          </cell>
          <cell r="AN641">
            <v>2.87E-2</v>
          </cell>
          <cell r="AO641">
            <v>0</v>
          </cell>
          <cell r="AP641">
            <v>2.87E-2</v>
          </cell>
          <cell r="AQ641">
            <v>0</v>
          </cell>
          <cell r="AS641" t="str">
            <v/>
          </cell>
          <cell r="AT641" t="str">
            <v/>
          </cell>
          <cell r="AV641" t="b">
            <v>0</v>
          </cell>
          <cell r="AW641" t="str">
            <v>minute</v>
          </cell>
        </row>
        <row r="642">
          <cell r="S642" t="str">
            <v>DOM NDL NDI14</v>
          </cell>
          <cell r="T642" t="str">
            <v>DOM</v>
          </cell>
          <cell r="U642" t="str">
            <v>NDL</v>
          </cell>
          <cell r="V642" t="str">
            <v>NDI14</v>
          </cell>
          <cell r="X642">
            <v>2.7699999999999999E-2</v>
          </cell>
          <cell r="Y642">
            <v>0</v>
          </cell>
          <cell r="Z642">
            <v>2.7699999999999999E-2</v>
          </cell>
          <cell r="AA642">
            <v>0</v>
          </cell>
          <cell r="AB642">
            <v>2.7699999999999999E-2</v>
          </cell>
          <cell r="AC642">
            <v>0</v>
          </cell>
          <cell r="AD642">
            <v>2.7699999999999999E-2</v>
          </cell>
          <cell r="AE642">
            <v>0</v>
          </cell>
          <cell r="AG642" t="str">
            <v/>
          </cell>
          <cell r="AH642" t="str">
            <v/>
          </cell>
          <cell r="AJ642">
            <v>2.7699999999999999E-2</v>
          </cell>
          <cell r="AK642">
            <v>0</v>
          </cell>
          <cell r="AL642">
            <v>2.7699999999999999E-2</v>
          </cell>
          <cell r="AM642">
            <v>0</v>
          </cell>
          <cell r="AN642">
            <v>2.7699999999999999E-2</v>
          </cell>
          <cell r="AO642">
            <v>0</v>
          </cell>
          <cell r="AP642">
            <v>2.7699999999999999E-2</v>
          </cell>
          <cell r="AQ642">
            <v>0</v>
          </cell>
          <cell r="AS642" t="str">
            <v/>
          </cell>
          <cell r="AT642" t="str">
            <v/>
          </cell>
          <cell r="AV642" t="b">
            <v>0</v>
          </cell>
          <cell r="AW642" t="str">
            <v>minute</v>
          </cell>
        </row>
        <row r="643">
          <cell r="S643" t="str">
            <v>DOM NDL NDI15</v>
          </cell>
          <cell r="T643" t="str">
            <v>DOM</v>
          </cell>
          <cell r="U643" t="str">
            <v>NDL</v>
          </cell>
          <cell r="V643" t="str">
            <v>NDI15</v>
          </cell>
          <cell r="X643">
            <v>2.98E-2</v>
          </cell>
          <cell r="Y643">
            <v>0</v>
          </cell>
          <cell r="Z643">
            <v>2.98E-2</v>
          </cell>
          <cell r="AA643">
            <v>0</v>
          </cell>
          <cell r="AB643">
            <v>2.98E-2</v>
          </cell>
          <cell r="AC643">
            <v>0</v>
          </cell>
          <cell r="AD643">
            <v>2.98E-2</v>
          </cell>
          <cell r="AE643">
            <v>0</v>
          </cell>
          <cell r="AG643" t="str">
            <v/>
          </cell>
          <cell r="AH643" t="str">
            <v/>
          </cell>
          <cell r="AJ643">
            <v>2.98E-2</v>
          </cell>
          <cell r="AK643">
            <v>0</v>
          </cell>
          <cell r="AL643">
            <v>2.98E-2</v>
          </cell>
          <cell r="AM643">
            <v>0</v>
          </cell>
          <cell r="AN643">
            <v>2.98E-2</v>
          </cell>
          <cell r="AO643">
            <v>0</v>
          </cell>
          <cell r="AP643">
            <v>2.98E-2</v>
          </cell>
          <cell r="AQ643">
            <v>0</v>
          </cell>
          <cell r="AS643" t="str">
            <v/>
          </cell>
          <cell r="AT643" t="str">
            <v/>
          </cell>
          <cell r="AV643" t="b">
            <v>0</v>
          </cell>
          <cell r="AW643" t="str">
            <v>minute</v>
          </cell>
        </row>
        <row r="644">
          <cell r="S644" t="str">
            <v>DOM NDL NDI16</v>
          </cell>
          <cell r="T644" t="str">
            <v>DOM</v>
          </cell>
          <cell r="U644" t="str">
            <v>NDL</v>
          </cell>
          <cell r="V644" t="str">
            <v>NDI16</v>
          </cell>
          <cell r="X644">
            <v>2.1600000000000001E-2</v>
          </cell>
          <cell r="Y644">
            <v>0</v>
          </cell>
          <cell r="Z644">
            <v>2.1600000000000001E-2</v>
          </cell>
          <cell r="AA644">
            <v>0</v>
          </cell>
          <cell r="AB644">
            <v>2.1600000000000001E-2</v>
          </cell>
          <cell r="AC644">
            <v>0</v>
          </cell>
          <cell r="AD644">
            <v>2.1600000000000001E-2</v>
          </cell>
          <cell r="AE644">
            <v>0</v>
          </cell>
          <cell r="AG644" t="str">
            <v/>
          </cell>
          <cell r="AH644" t="str">
            <v/>
          </cell>
          <cell r="AJ644">
            <v>2.1600000000000001E-2</v>
          </cell>
          <cell r="AK644">
            <v>0</v>
          </cell>
          <cell r="AL644">
            <v>2.1600000000000001E-2</v>
          </cell>
          <cell r="AM644">
            <v>0</v>
          </cell>
          <cell r="AN644">
            <v>2.1600000000000001E-2</v>
          </cell>
          <cell r="AO644">
            <v>0</v>
          </cell>
          <cell r="AP644">
            <v>2.1600000000000001E-2</v>
          </cell>
          <cell r="AQ644">
            <v>0</v>
          </cell>
          <cell r="AS644" t="str">
            <v/>
          </cell>
          <cell r="AT644" t="str">
            <v/>
          </cell>
          <cell r="AV644" t="b">
            <v>0</v>
          </cell>
          <cell r="AW644" t="str">
            <v>minute</v>
          </cell>
        </row>
        <row r="645">
          <cell r="S645" t="str">
            <v>DOM NDL NDI17</v>
          </cell>
          <cell r="T645" t="str">
            <v>DOM</v>
          </cell>
          <cell r="U645" t="str">
            <v>NDL</v>
          </cell>
          <cell r="V645" t="str">
            <v>NDI17</v>
          </cell>
          <cell r="X645">
            <v>1.8499999999999999E-2</v>
          </cell>
          <cell r="Y645">
            <v>0</v>
          </cell>
          <cell r="Z645">
            <v>1.8499999999999999E-2</v>
          </cell>
          <cell r="AA645">
            <v>0</v>
          </cell>
          <cell r="AB645">
            <v>1.8499999999999999E-2</v>
          </cell>
          <cell r="AC645">
            <v>0</v>
          </cell>
          <cell r="AD645">
            <v>1.8499999999999999E-2</v>
          </cell>
          <cell r="AE645">
            <v>0</v>
          </cell>
          <cell r="AG645" t="str">
            <v/>
          </cell>
          <cell r="AH645" t="str">
            <v/>
          </cell>
          <cell r="AJ645">
            <v>1.8499999999999999E-2</v>
          </cell>
          <cell r="AK645">
            <v>0</v>
          </cell>
          <cell r="AL645">
            <v>1.8499999999999999E-2</v>
          </cell>
          <cell r="AM645">
            <v>0</v>
          </cell>
          <cell r="AN645">
            <v>1.8499999999999999E-2</v>
          </cell>
          <cell r="AO645">
            <v>0</v>
          </cell>
          <cell r="AP645">
            <v>1.8499999999999999E-2</v>
          </cell>
          <cell r="AQ645">
            <v>0</v>
          </cell>
          <cell r="AS645" t="str">
            <v/>
          </cell>
          <cell r="AT645" t="str">
            <v/>
          </cell>
          <cell r="AV645" t="b">
            <v>0</v>
          </cell>
          <cell r="AW645" t="str">
            <v>minute</v>
          </cell>
        </row>
        <row r="646">
          <cell r="S646" t="str">
            <v>DOM NDL NDI18</v>
          </cell>
          <cell r="T646" t="str">
            <v>DOM</v>
          </cell>
          <cell r="U646" t="str">
            <v>NDL</v>
          </cell>
          <cell r="V646" t="str">
            <v>NDI18</v>
          </cell>
          <cell r="X646">
            <v>2.01E-2</v>
          </cell>
          <cell r="Y646">
            <v>0</v>
          </cell>
          <cell r="Z646">
            <v>2.01E-2</v>
          </cell>
          <cell r="AA646">
            <v>0</v>
          </cell>
          <cell r="AB646">
            <v>2.01E-2</v>
          </cell>
          <cell r="AC646">
            <v>0</v>
          </cell>
          <cell r="AD646">
            <v>2.01E-2</v>
          </cell>
          <cell r="AE646">
            <v>0</v>
          </cell>
          <cell r="AG646" t="str">
            <v/>
          </cell>
          <cell r="AH646" t="str">
            <v/>
          </cell>
          <cell r="AJ646">
            <v>2.01E-2</v>
          </cell>
          <cell r="AK646">
            <v>0</v>
          </cell>
          <cell r="AL646">
            <v>2.01E-2</v>
          </cell>
          <cell r="AM646">
            <v>0</v>
          </cell>
          <cell r="AN646">
            <v>2.01E-2</v>
          </cell>
          <cell r="AO646">
            <v>0</v>
          </cell>
          <cell r="AP646">
            <v>2.01E-2</v>
          </cell>
          <cell r="AQ646">
            <v>0</v>
          </cell>
          <cell r="AS646" t="str">
            <v/>
          </cell>
          <cell r="AT646" t="str">
            <v/>
          </cell>
          <cell r="AV646" t="b">
            <v>0</v>
          </cell>
          <cell r="AW646" t="str">
            <v>minute</v>
          </cell>
        </row>
        <row r="647">
          <cell r="S647" t="str">
            <v>DOM NDL NDI19</v>
          </cell>
          <cell r="T647" t="str">
            <v>DOM</v>
          </cell>
          <cell r="U647" t="str">
            <v>NDL</v>
          </cell>
          <cell r="V647" t="str">
            <v>NDI19</v>
          </cell>
          <cell r="X647">
            <v>3.39E-2</v>
          </cell>
          <cell r="Y647">
            <v>0</v>
          </cell>
          <cell r="Z647">
            <v>3.39E-2</v>
          </cell>
          <cell r="AA647">
            <v>0</v>
          </cell>
          <cell r="AB647">
            <v>3.39E-2</v>
          </cell>
          <cell r="AC647">
            <v>0</v>
          </cell>
          <cell r="AD647">
            <v>3.39E-2</v>
          </cell>
          <cell r="AE647">
            <v>0</v>
          </cell>
          <cell r="AG647" t="str">
            <v/>
          </cell>
          <cell r="AH647" t="str">
            <v/>
          </cell>
          <cell r="AJ647">
            <v>3.39E-2</v>
          </cell>
          <cell r="AK647">
            <v>0</v>
          </cell>
          <cell r="AL647">
            <v>3.39E-2</v>
          </cell>
          <cell r="AM647">
            <v>0</v>
          </cell>
          <cell r="AN647">
            <v>3.39E-2</v>
          </cell>
          <cell r="AO647">
            <v>0</v>
          </cell>
          <cell r="AP647">
            <v>3.39E-2</v>
          </cell>
          <cell r="AQ647">
            <v>0</v>
          </cell>
          <cell r="AS647" t="str">
            <v/>
          </cell>
          <cell r="AT647" t="str">
            <v/>
          </cell>
          <cell r="AV647" t="b">
            <v>0</v>
          </cell>
          <cell r="AW647" t="str">
            <v>minute</v>
          </cell>
        </row>
        <row r="648">
          <cell r="S648" t="str">
            <v>DOM NDL NDI20</v>
          </cell>
          <cell r="T648" t="str">
            <v>DOM</v>
          </cell>
          <cell r="U648" t="str">
            <v>NDL</v>
          </cell>
          <cell r="V648" t="str">
            <v>NDI20</v>
          </cell>
          <cell r="X648">
            <v>2.6700000000000002E-2</v>
          </cell>
          <cell r="Y648">
            <v>0</v>
          </cell>
          <cell r="Z648">
            <v>2.6700000000000002E-2</v>
          </cell>
          <cell r="AA648">
            <v>0</v>
          </cell>
          <cell r="AB648">
            <v>2.6700000000000002E-2</v>
          </cell>
          <cell r="AC648">
            <v>0</v>
          </cell>
          <cell r="AD648">
            <v>2.6700000000000002E-2</v>
          </cell>
          <cell r="AE648">
            <v>0</v>
          </cell>
          <cell r="AG648" t="str">
            <v/>
          </cell>
          <cell r="AH648" t="str">
            <v/>
          </cell>
          <cell r="AJ648">
            <v>2.6700000000000002E-2</v>
          </cell>
          <cell r="AK648">
            <v>0</v>
          </cell>
          <cell r="AL648">
            <v>2.6700000000000002E-2</v>
          </cell>
          <cell r="AM648">
            <v>0</v>
          </cell>
          <cell r="AN648">
            <v>2.6700000000000002E-2</v>
          </cell>
          <cell r="AO648">
            <v>0</v>
          </cell>
          <cell r="AP648">
            <v>2.6700000000000002E-2</v>
          </cell>
          <cell r="AQ648">
            <v>0</v>
          </cell>
          <cell r="AS648" t="str">
            <v/>
          </cell>
          <cell r="AT648" t="str">
            <v/>
          </cell>
          <cell r="AV648" t="b">
            <v>0</v>
          </cell>
          <cell r="AW648" t="str">
            <v>minute</v>
          </cell>
        </row>
        <row r="649">
          <cell r="S649" t="str">
            <v>DOM NDL NDI21</v>
          </cell>
          <cell r="T649" t="str">
            <v>DOM</v>
          </cell>
          <cell r="U649" t="str">
            <v>NDL</v>
          </cell>
          <cell r="V649" t="str">
            <v>NDI21</v>
          </cell>
          <cell r="X649">
            <v>3.2899999999999999E-2</v>
          </cell>
          <cell r="Y649">
            <v>0</v>
          </cell>
          <cell r="Z649">
            <v>3.2899999999999999E-2</v>
          </cell>
          <cell r="AA649">
            <v>0</v>
          </cell>
          <cell r="AB649">
            <v>3.2899999999999999E-2</v>
          </cell>
          <cell r="AC649">
            <v>0</v>
          </cell>
          <cell r="AD649">
            <v>3.2899999999999999E-2</v>
          </cell>
          <cell r="AE649">
            <v>0</v>
          </cell>
          <cell r="AG649" t="str">
            <v/>
          </cell>
          <cell r="AH649" t="str">
            <v/>
          </cell>
          <cell r="AJ649">
            <v>3.2899999999999999E-2</v>
          </cell>
          <cell r="AK649">
            <v>0</v>
          </cell>
          <cell r="AL649">
            <v>3.2899999999999999E-2</v>
          </cell>
          <cell r="AM649">
            <v>0</v>
          </cell>
          <cell r="AN649">
            <v>3.2899999999999999E-2</v>
          </cell>
          <cell r="AO649">
            <v>0</v>
          </cell>
          <cell r="AP649">
            <v>3.2899999999999999E-2</v>
          </cell>
          <cell r="AQ649">
            <v>0</v>
          </cell>
          <cell r="AS649" t="str">
            <v/>
          </cell>
          <cell r="AT649" t="str">
            <v/>
          </cell>
          <cell r="AV649" t="b">
            <v>0</v>
          </cell>
          <cell r="AW649" t="str">
            <v>minute</v>
          </cell>
        </row>
        <row r="650">
          <cell r="S650" t="str">
            <v>DOM NDL NDI22</v>
          </cell>
          <cell r="T650" t="str">
            <v>DOM</v>
          </cell>
          <cell r="U650" t="str">
            <v>NDL</v>
          </cell>
          <cell r="V650" t="str">
            <v>NDI22</v>
          </cell>
          <cell r="X650">
            <v>3.5499999999999997E-2</v>
          </cell>
          <cell r="Y650">
            <v>0</v>
          </cell>
          <cell r="Z650">
            <v>3.5499999999999997E-2</v>
          </cell>
          <cell r="AA650">
            <v>0</v>
          </cell>
          <cell r="AB650">
            <v>3.5499999999999997E-2</v>
          </cell>
          <cell r="AC650">
            <v>0</v>
          </cell>
          <cell r="AD650">
            <v>3.5499999999999997E-2</v>
          </cell>
          <cell r="AE650">
            <v>0</v>
          </cell>
          <cell r="AG650" t="str">
            <v/>
          </cell>
          <cell r="AH650" t="str">
            <v/>
          </cell>
          <cell r="AJ650">
            <v>3.5499999999999997E-2</v>
          </cell>
          <cell r="AK650">
            <v>0</v>
          </cell>
          <cell r="AL650">
            <v>3.5499999999999997E-2</v>
          </cell>
          <cell r="AM650">
            <v>0</v>
          </cell>
          <cell r="AN650">
            <v>3.5499999999999997E-2</v>
          </cell>
          <cell r="AO650">
            <v>0</v>
          </cell>
          <cell r="AP650">
            <v>3.5499999999999997E-2</v>
          </cell>
          <cell r="AQ650">
            <v>0</v>
          </cell>
          <cell r="AS650" t="str">
            <v/>
          </cell>
          <cell r="AT650" t="str">
            <v/>
          </cell>
          <cell r="AV650" t="b">
            <v>0</v>
          </cell>
          <cell r="AW650" t="str">
            <v>minute</v>
          </cell>
        </row>
        <row r="651">
          <cell r="S651" t="str">
            <v>DOM NDL NDI23</v>
          </cell>
          <cell r="T651" t="str">
            <v>DOM</v>
          </cell>
          <cell r="U651" t="str">
            <v>NDL</v>
          </cell>
          <cell r="V651" t="str">
            <v>NDI23</v>
          </cell>
          <cell r="X651">
            <v>2.7699999999999999E-2</v>
          </cell>
          <cell r="Y651">
            <v>0</v>
          </cell>
          <cell r="Z651">
            <v>2.7699999999999999E-2</v>
          </cell>
          <cell r="AA651">
            <v>0</v>
          </cell>
          <cell r="AB651">
            <v>2.7699999999999999E-2</v>
          </cell>
          <cell r="AC651">
            <v>0</v>
          </cell>
          <cell r="AD651">
            <v>2.7699999999999999E-2</v>
          </cell>
          <cell r="AE651">
            <v>0</v>
          </cell>
          <cell r="AG651" t="str">
            <v/>
          </cell>
          <cell r="AH651" t="str">
            <v/>
          </cell>
          <cell r="AJ651">
            <v>2.7699999999999999E-2</v>
          </cell>
          <cell r="AK651">
            <v>0</v>
          </cell>
          <cell r="AL651">
            <v>2.7699999999999999E-2</v>
          </cell>
          <cell r="AM651">
            <v>0</v>
          </cell>
          <cell r="AN651">
            <v>2.7699999999999999E-2</v>
          </cell>
          <cell r="AO651">
            <v>0</v>
          </cell>
          <cell r="AP651">
            <v>2.7699999999999999E-2</v>
          </cell>
          <cell r="AQ651">
            <v>0</v>
          </cell>
          <cell r="AS651" t="str">
            <v/>
          </cell>
          <cell r="AT651" t="str">
            <v/>
          </cell>
          <cell r="AV651" t="b">
            <v>0</v>
          </cell>
          <cell r="AW651" t="str">
            <v>minute</v>
          </cell>
        </row>
        <row r="652">
          <cell r="S652" t="str">
            <v>DOM NDL NDI24</v>
          </cell>
          <cell r="T652" t="str">
            <v>DOM</v>
          </cell>
          <cell r="U652" t="str">
            <v>NDL</v>
          </cell>
          <cell r="V652" t="str">
            <v>NDI24</v>
          </cell>
          <cell r="X652">
            <v>3.6600000000000001E-2</v>
          </cell>
          <cell r="Y652">
            <v>0</v>
          </cell>
          <cell r="Z652">
            <v>3.6600000000000001E-2</v>
          </cell>
          <cell r="AA652">
            <v>0</v>
          </cell>
          <cell r="AB652">
            <v>3.6600000000000001E-2</v>
          </cell>
          <cell r="AC652">
            <v>0</v>
          </cell>
          <cell r="AD652">
            <v>3.6600000000000001E-2</v>
          </cell>
          <cell r="AE652">
            <v>0</v>
          </cell>
          <cell r="AG652" t="str">
            <v/>
          </cell>
          <cell r="AH652" t="str">
            <v/>
          </cell>
          <cell r="AJ652">
            <v>3.6600000000000001E-2</v>
          </cell>
          <cell r="AK652">
            <v>0</v>
          </cell>
          <cell r="AL652">
            <v>3.6600000000000001E-2</v>
          </cell>
          <cell r="AM652">
            <v>0</v>
          </cell>
          <cell r="AN652">
            <v>3.6600000000000001E-2</v>
          </cell>
          <cell r="AO652">
            <v>0</v>
          </cell>
          <cell r="AP652">
            <v>3.6600000000000001E-2</v>
          </cell>
          <cell r="AQ652">
            <v>0</v>
          </cell>
          <cell r="AS652" t="str">
            <v/>
          </cell>
          <cell r="AT652" t="str">
            <v/>
          </cell>
          <cell r="AV652" t="b">
            <v>0</v>
          </cell>
          <cell r="AW652" t="str">
            <v>minute</v>
          </cell>
        </row>
        <row r="653">
          <cell r="S653" t="str">
            <v>DOM NDL NDI25</v>
          </cell>
          <cell r="T653" t="str">
            <v>DOM</v>
          </cell>
          <cell r="U653" t="str">
            <v>NDL</v>
          </cell>
          <cell r="V653" t="str">
            <v>NDI25</v>
          </cell>
          <cell r="X653">
            <v>3.6600000000000001E-2</v>
          </cell>
          <cell r="Y653">
            <v>0</v>
          </cell>
          <cell r="Z653">
            <v>3.6600000000000001E-2</v>
          </cell>
          <cell r="AA653">
            <v>0</v>
          </cell>
          <cell r="AB653">
            <v>3.6600000000000001E-2</v>
          </cell>
          <cell r="AC653">
            <v>0</v>
          </cell>
          <cell r="AD653">
            <v>3.6600000000000001E-2</v>
          </cell>
          <cell r="AE653">
            <v>0</v>
          </cell>
          <cell r="AG653" t="str">
            <v/>
          </cell>
          <cell r="AH653" t="str">
            <v/>
          </cell>
          <cell r="AJ653">
            <v>3.6600000000000001E-2</v>
          </cell>
          <cell r="AK653">
            <v>0</v>
          </cell>
          <cell r="AL653">
            <v>3.6600000000000001E-2</v>
          </cell>
          <cell r="AM653">
            <v>0</v>
          </cell>
          <cell r="AN653">
            <v>3.6600000000000001E-2</v>
          </cell>
          <cell r="AO653">
            <v>0</v>
          </cell>
          <cell r="AP653">
            <v>3.6600000000000001E-2</v>
          </cell>
          <cell r="AQ653">
            <v>0</v>
          </cell>
          <cell r="AS653" t="str">
            <v/>
          </cell>
          <cell r="AT653" t="str">
            <v/>
          </cell>
          <cell r="AV653" t="b">
            <v>0</v>
          </cell>
          <cell r="AW653" t="str">
            <v>minute</v>
          </cell>
        </row>
        <row r="654">
          <cell r="S654" t="str">
            <v>DOM NDL NDI26</v>
          </cell>
          <cell r="T654" t="str">
            <v>DOM</v>
          </cell>
          <cell r="U654" t="str">
            <v>NDL</v>
          </cell>
          <cell r="V654" t="str">
            <v>NDI26</v>
          </cell>
          <cell r="X654">
            <v>3.8899999999999997E-2</v>
          </cell>
          <cell r="Y654">
            <v>0</v>
          </cell>
          <cell r="Z654">
            <v>3.8899999999999997E-2</v>
          </cell>
          <cell r="AA654">
            <v>0</v>
          </cell>
          <cell r="AB654">
            <v>3.8899999999999997E-2</v>
          </cell>
          <cell r="AC654">
            <v>0</v>
          </cell>
          <cell r="AD654">
            <v>3.8899999999999997E-2</v>
          </cell>
          <cell r="AE654">
            <v>0</v>
          </cell>
          <cell r="AG654" t="str">
            <v/>
          </cell>
          <cell r="AH654" t="str">
            <v/>
          </cell>
          <cell r="AJ654">
            <v>3.8899999999999997E-2</v>
          </cell>
          <cell r="AK654">
            <v>0</v>
          </cell>
          <cell r="AL654">
            <v>3.8899999999999997E-2</v>
          </cell>
          <cell r="AM654">
            <v>0</v>
          </cell>
          <cell r="AN654">
            <v>3.8899999999999997E-2</v>
          </cell>
          <cell r="AO654">
            <v>0</v>
          </cell>
          <cell r="AP654">
            <v>3.8899999999999997E-2</v>
          </cell>
          <cell r="AQ654">
            <v>0</v>
          </cell>
          <cell r="AS654" t="str">
            <v/>
          </cell>
          <cell r="AT654" t="str">
            <v/>
          </cell>
          <cell r="AV654" t="b">
            <v>0</v>
          </cell>
          <cell r="AW654" t="str">
            <v>minute</v>
          </cell>
        </row>
        <row r="655">
          <cell r="S655" t="str">
            <v>DOM NDL NDI27</v>
          </cell>
          <cell r="T655" t="str">
            <v>DOM</v>
          </cell>
          <cell r="U655" t="str">
            <v>NDL</v>
          </cell>
          <cell r="V655" t="str">
            <v>NDI27</v>
          </cell>
          <cell r="X655">
            <v>2.9700000000000001E-2</v>
          </cell>
          <cell r="Y655">
            <v>0</v>
          </cell>
          <cell r="Z655">
            <v>2.9700000000000001E-2</v>
          </cell>
          <cell r="AA655">
            <v>0</v>
          </cell>
          <cell r="AB655">
            <v>2.9700000000000001E-2</v>
          </cell>
          <cell r="AC655">
            <v>0</v>
          </cell>
          <cell r="AD655">
            <v>2.9700000000000001E-2</v>
          </cell>
          <cell r="AE655">
            <v>0</v>
          </cell>
          <cell r="AG655" t="str">
            <v/>
          </cell>
          <cell r="AH655" t="str">
            <v/>
          </cell>
          <cell r="AJ655">
            <v>2.9700000000000001E-2</v>
          </cell>
          <cell r="AK655">
            <v>0</v>
          </cell>
          <cell r="AL655">
            <v>2.9700000000000001E-2</v>
          </cell>
          <cell r="AM655">
            <v>0</v>
          </cell>
          <cell r="AN655">
            <v>2.9700000000000001E-2</v>
          </cell>
          <cell r="AO655">
            <v>0</v>
          </cell>
          <cell r="AP655">
            <v>2.9700000000000001E-2</v>
          </cell>
          <cell r="AQ655">
            <v>0</v>
          </cell>
          <cell r="AS655" t="str">
            <v/>
          </cell>
          <cell r="AT655" t="str">
            <v/>
          </cell>
          <cell r="AV655" t="b">
            <v>0</v>
          </cell>
          <cell r="AW655" t="str">
            <v>minute</v>
          </cell>
        </row>
        <row r="656">
          <cell r="S656" t="str">
            <v>DOM NDL NDI28</v>
          </cell>
          <cell r="T656" t="str">
            <v>DOM</v>
          </cell>
          <cell r="U656" t="str">
            <v>NDL</v>
          </cell>
          <cell r="V656" t="str">
            <v>NDI28</v>
          </cell>
          <cell r="X656">
            <v>4.02E-2</v>
          </cell>
          <cell r="Y656">
            <v>0</v>
          </cell>
          <cell r="Z656">
            <v>4.02E-2</v>
          </cell>
          <cell r="AA656">
            <v>0</v>
          </cell>
          <cell r="AB656">
            <v>4.02E-2</v>
          </cell>
          <cell r="AC656">
            <v>0</v>
          </cell>
          <cell r="AD656">
            <v>4.02E-2</v>
          </cell>
          <cell r="AE656">
            <v>0</v>
          </cell>
          <cell r="AG656" t="str">
            <v/>
          </cell>
          <cell r="AH656" t="str">
            <v/>
          </cell>
          <cell r="AJ656">
            <v>4.02E-2</v>
          </cell>
          <cell r="AK656">
            <v>0</v>
          </cell>
          <cell r="AL656">
            <v>4.02E-2</v>
          </cell>
          <cell r="AM656">
            <v>0</v>
          </cell>
          <cell r="AN656">
            <v>4.02E-2</v>
          </cell>
          <cell r="AO656">
            <v>0</v>
          </cell>
          <cell r="AP656">
            <v>4.02E-2</v>
          </cell>
          <cell r="AQ656">
            <v>0</v>
          </cell>
          <cell r="AS656" t="str">
            <v/>
          </cell>
          <cell r="AT656" t="str">
            <v/>
          </cell>
          <cell r="AV656" t="b">
            <v>0</v>
          </cell>
          <cell r="AW656" t="str">
            <v>minute</v>
          </cell>
        </row>
        <row r="657">
          <cell r="S657" t="str">
            <v>DOM NDL NDI29</v>
          </cell>
          <cell r="T657" t="str">
            <v>DOM</v>
          </cell>
          <cell r="U657" t="str">
            <v>NDL</v>
          </cell>
          <cell r="V657" t="str">
            <v>NDI29</v>
          </cell>
          <cell r="X657">
            <v>3.8100000000000002E-2</v>
          </cell>
          <cell r="Y657">
            <v>0</v>
          </cell>
          <cell r="Z657">
            <v>3.8100000000000002E-2</v>
          </cell>
          <cell r="AA657">
            <v>0</v>
          </cell>
          <cell r="AB657">
            <v>3.8100000000000002E-2</v>
          </cell>
          <cell r="AC657">
            <v>0</v>
          </cell>
          <cell r="AD657">
            <v>3.8100000000000002E-2</v>
          </cell>
          <cell r="AE657">
            <v>0</v>
          </cell>
          <cell r="AG657" t="str">
            <v/>
          </cell>
          <cell r="AH657" t="str">
            <v/>
          </cell>
          <cell r="AJ657">
            <v>3.8100000000000002E-2</v>
          </cell>
          <cell r="AK657">
            <v>0</v>
          </cell>
          <cell r="AL657">
            <v>3.8100000000000002E-2</v>
          </cell>
          <cell r="AM657">
            <v>0</v>
          </cell>
          <cell r="AN657">
            <v>3.8100000000000002E-2</v>
          </cell>
          <cell r="AO657">
            <v>0</v>
          </cell>
          <cell r="AP657">
            <v>3.8100000000000002E-2</v>
          </cell>
          <cell r="AQ657">
            <v>0</v>
          </cell>
          <cell r="AS657" t="str">
            <v/>
          </cell>
          <cell r="AT657" t="str">
            <v/>
          </cell>
          <cell r="AV657" t="b">
            <v>0</v>
          </cell>
          <cell r="AW657" t="str">
            <v>minute</v>
          </cell>
        </row>
        <row r="658">
          <cell r="S658" t="str">
            <v>DOM NDL NDI30</v>
          </cell>
          <cell r="T658" t="str">
            <v>DOM</v>
          </cell>
          <cell r="U658" t="str">
            <v>NDL</v>
          </cell>
          <cell r="V658" t="str">
            <v>NDI30</v>
          </cell>
          <cell r="X658">
            <v>4.0399999999999998E-2</v>
          </cell>
          <cell r="Y658">
            <v>0</v>
          </cell>
          <cell r="Z658">
            <v>4.0399999999999998E-2</v>
          </cell>
          <cell r="AA658">
            <v>0</v>
          </cell>
          <cell r="AB658">
            <v>4.0399999999999998E-2</v>
          </cell>
          <cell r="AC658">
            <v>0</v>
          </cell>
          <cell r="AD658">
            <v>4.0399999999999998E-2</v>
          </cell>
          <cell r="AE658">
            <v>0</v>
          </cell>
          <cell r="AG658" t="str">
            <v/>
          </cell>
          <cell r="AH658" t="str">
            <v/>
          </cell>
          <cell r="AJ658">
            <v>4.0399999999999998E-2</v>
          </cell>
          <cell r="AK658">
            <v>0</v>
          </cell>
          <cell r="AL658">
            <v>4.0399999999999998E-2</v>
          </cell>
          <cell r="AM658">
            <v>0</v>
          </cell>
          <cell r="AN658">
            <v>4.0399999999999998E-2</v>
          </cell>
          <cell r="AO658">
            <v>0</v>
          </cell>
          <cell r="AP658">
            <v>4.0399999999999998E-2</v>
          </cell>
          <cell r="AQ658">
            <v>0</v>
          </cell>
          <cell r="AS658" t="str">
            <v/>
          </cell>
          <cell r="AT658" t="str">
            <v/>
          </cell>
          <cell r="AV658" t="b">
            <v>0</v>
          </cell>
          <cell r="AW658" t="str">
            <v>minute</v>
          </cell>
        </row>
        <row r="659">
          <cell r="S659" t="str">
            <v>DOM NDL NDI31</v>
          </cell>
          <cell r="T659" t="str">
            <v>DOM</v>
          </cell>
          <cell r="U659" t="str">
            <v>NDL</v>
          </cell>
          <cell r="V659" t="str">
            <v>NDI31</v>
          </cell>
          <cell r="X659">
            <v>4.02E-2</v>
          </cell>
          <cell r="Y659">
            <v>0</v>
          </cell>
          <cell r="Z659">
            <v>4.02E-2</v>
          </cell>
          <cell r="AA659">
            <v>0</v>
          </cell>
          <cell r="AB659">
            <v>4.02E-2</v>
          </cell>
          <cell r="AC659">
            <v>0</v>
          </cell>
          <cell r="AD659">
            <v>4.02E-2</v>
          </cell>
          <cell r="AE659">
            <v>0</v>
          </cell>
          <cell r="AG659" t="str">
            <v/>
          </cell>
          <cell r="AH659" t="str">
            <v/>
          </cell>
          <cell r="AJ659">
            <v>4.02E-2</v>
          </cell>
          <cell r="AK659">
            <v>0</v>
          </cell>
          <cell r="AL659">
            <v>4.02E-2</v>
          </cell>
          <cell r="AM659">
            <v>0</v>
          </cell>
          <cell r="AN659">
            <v>4.02E-2</v>
          </cell>
          <cell r="AO659">
            <v>0</v>
          </cell>
          <cell r="AP659">
            <v>4.02E-2</v>
          </cell>
          <cell r="AQ659">
            <v>0</v>
          </cell>
          <cell r="AS659" t="str">
            <v/>
          </cell>
          <cell r="AT659" t="str">
            <v/>
          </cell>
          <cell r="AV659" t="b">
            <v>0</v>
          </cell>
          <cell r="AW659" t="str">
            <v>minute</v>
          </cell>
        </row>
        <row r="660">
          <cell r="S660" t="str">
            <v>DOM NDL NDI32</v>
          </cell>
          <cell r="T660" t="str">
            <v>DOM</v>
          </cell>
          <cell r="U660" t="str">
            <v>NDL</v>
          </cell>
          <cell r="V660" t="str">
            <v>NDI32</v>
          </cell>
          <cell r="X660">
            <v>4.1399999999999999E-2</v>
          </cell>
          <cell r="Y660">
            <v>0</v>
          </cell>
          <cell r="Z660">
            <v>4.1399999999999999E-2</v>
          </cell>
          <cell r="AA660">
            <v>0</v>
          </cell>
          <cell r="AB660">
            <v>4.1399999999999999E-2</v>
          </cell>
          <cell r="AC660">
            <v>0</v>
          </cell>
          <cell r="AD660">
            <v>4.1399999999999999E-2</v>
          </cell>
          <cell r="AE660">
            <v>0</v>
          </cell>
          <cell r="AG660" t="str">
            <v/>
          </cell>
          <cell r="AH660" t="str">
            <v/>
          </cell>
          <cell r="AJ660">
            <v>4.1399999999999999E-2</v>
          </cell>
          <cell r="AK660">
            <v>0</v>
          </cell>
          <cell r="AL660">
            <v>4.1399999999999999E-2</v>
          </cell>
          <cell r="AM660">
            <v>0</v>
          </cell>
          <cell r="AN660">
            <v>4.1399999999999999E-2</v>
          </cell>
          <cell r="AO660">
            <v>0</v>
          </cell>
          <cell r="AP660">
            <v>4.1399999999999999E-2</v>
          </cell>
          <cell r="AQ660">
            <v>0</v>
          </cell>
          <cell r="AS660" t="str">
            <v/>
          </cell>
          <cell r="AT660" t="str">
            <v/>
          </cell>
          <cell r="AV660" t="b">
            <v>0</v>
          </cell>
          <cell r="AW660" t="str">
            <v>minute</v>
          </cell>
        </row>
        <row r="661">
          <cell r="S661" t="str">
            <v>DOM NDL NDI33</v>
          </cell>
          <cell r="T661" t="str">
            <v>DOM</v>
          </cell>
          <cell r="U661" t="str">
            <v>NDL</v>
          </cell>
          <cell r="V661" t="str">
            <v>NDI33</v>
          </cell>
          <cell r="X661">
            <v>4.2700000000000002E-2</v>
          </cell>
          <cell r="Y661">
            <v>0</v>
          </cell>
          <cell r="Z661">
            <v>4.2700000000000002E-2</v>
          </cell>
          <cell r="AA661">
            <v>0</v>
          </cell>
          <cell r="AB661">
            <v>4.2700000000000002E-2</v>
          </cell>
          <cell r="AC661">
            <v>0</v>
          </cell>
          <cell r="AD661">
            <v>4.2700000000000002E-2</v>
          </cell>
          <cell r="AE661">
            <v>0</v>
          </cell>
          <cell r="AG661" t="str">
            <v/>
          </cell>
          <cell r="AH661" t="str">
            <v/>
          </cell>
          <cell r="AJ661">
            <v>4.2700000000000002E-2</v>
          </cell>
          <cell r="AK661">
            <v>0</v>
          </cell>
          <cell r="AL661">
            <v>4.2700000000000002E-2</v>
          </cell>
          <cell r="AM661">
            <v>0</v>
          </cell>
          <cell r="AN661">
            <v>4.2700000000000002E-2</v>
          </cell>
          <cell r="AO661">
            <v>0</v>
          </cell>
          <cell r="AP661">
            <v>4.2700000000000002E-2</v>
          </cell>
          <cell r="AQ661">
            <v>0</v>
          </cell>
          <cell r="AS661" t="str">
            <v/>
          </cell>
          <cell r="AT661" t="str">
            <v/>
          </cell>
          <cell r="AV661" t="b">
            <v>0</v>
          </cell>
          <cell r="AW661" t="str">
            <v>minute</v>
          </cell>
        </row>
        <row r="662">
          <cell r="S662" t="str">
            <v>DOM NDL NDI34</v>
          </cell>
          <cell r="T662" t="str">
            <v>DOM</v>
          </cell>
          <cell r="U662" t="str">
            <v>NDL</v>
          </cell>
          <cell r="V662" t="str">
            <v>NDI34</v>
          </cell>
          <cell r="X662">
            <v>3.2399999999999998E-2</v>
          </cell>
          <cell r="Y662">
            <v>0</v>
          </cell>
          <cell r="Z662">
            <v>3.2399999999999998E-2</v>
          </cell>
          <cell r="AA662">
            <v>0</v>
          </cell>
          <cell r="AB662">
            <v>3.2399999999999998E-2</v>
          </cell>
          <cell r="AC662">
            <v>0</v>
          </cell>
          <cell r="AD662">
            <v>3.2399999999999998E-2</v>
          </cell>
          <cell r="AE662">
            <v>0</v>
          </cell>
          <cell r="AG662" t="str">
            <v/>
          </cell>
          <cell r="AH662" t="str">
            <v/>
          </cell>
          <cell r="AJ662">
            <v>3.2399999999999998E-2</v>
          </cell>
          <cell r="AK662">
            <v>0</v>
          </cell>
          <cell r="AL662">
            <v>3.2399999999999998E-2</v>
          </cell>
          <cell r="AM662">
            <v>0</v>
          </cell>
          <cell r="AN662">
            <v>3.2399999999999998E-2</v>
          </cell>
          <cell r="AO662">
            <v>0</v>
          </cell>
          <cell r="AP662">
            <v>3.2399999999999998E-2</v>
          </cell>
          <cell r="AQ662">
            <v>0</v>
          </cell>
          <cell r="AS662" t="str">
            <v/>
          </cell>
          <cell r="AT662" t="str">
            <v/>
          </cell>
          <cell r="AV662" t="b">
            <v>0</v>
          </cell>
          <cell r="AW662" t="str">
            <v>minute</v>
          </cell>
        </row>
        <row r="663">
          <cell r="S663" t="str">
            <v>DOM NDL NDI35</v>
          </cell>
          <cell r="T663" t="str">
            <v>DOM</v>
          </cell>
          <cell r="U663" t="str">
            <v>NDL</v>
          </cell>
          <cell r="V663" t="str">
            <v>NDI35</v>
          </cell>
          <cell r="X663">
            <v>3.5799999999999998E-2</v>
          </cell>
          <cell r="Y663">
            <v>0</v>
          </cell>
          <cell r="Z663">
            <v>3.5799999999999998E-2</v>
          </cell>
          <cell r="AA663">
            <v>0</v>
          </cell>
          <cell r="AB663">
            <v>3.5799999999999998E-2</v>
          </cell>
          <cell r="AC663">
            <v>0</v>
          </cell>
          <cell r="AD663">
            <v>3.5799999999999998E-2</v>
          </cell>
          <cell r="AE663">
            <v>0</v>
          </cell>
          <cell r="AG663" t="str">
            <v/>
          </cell>
          <cell r="AH663" t="str">
            <v/>
          </cell>
          <cell r="AJ663">
            <v>3.5799999999999998E-2</v>
          </cell>
          <cell r="AK663">
            <v>0</v>
          </cell>
          <cell r="AL663">
            <v>3.5799999999999998E-2</v>
          </cell>
          <cell r="AM663">
            <v>0</v>
          </cell>
          <cell r="AN663">
            <v>3.5799999999999998E-2</v>
          </cell>
          <cell r="AO663">
            <v>0</v>
          </cell>
          <cell r="AP663">
            <v>3.5799999999999998E-2</v>
          </cell>
          <cell r="AQ663">
            <v>0</v>
          </cell>
          <cell r="AS663" t="str">
            <v/>
          </cell>
          <cell r="AT663" t="str">
            <v/>
          </cell>
          <cell r="AV663" t="b">
            <v>0</v>
          </cell>
          <cell r="AW663" t="str">
            <v>minute</v>
          </cell>
        </row>
        <row r="664">
          <cell r="S664" t="str">
            <v>DOM NDL NDI36</v>
          </cell>
          <cell r="T664" t="str">
            <v>DOM</v>
          </cell>
          <cell r="U664" t="str">
            <v>NDL</v>
          </cell>
          <cell r="V664" t="str">
            <v>NDI36</v>
          </cell>
          <cell r="X664">
            <v>4.2500000000000003E-2</v>
          </cell>
          <cell r="Y664">
            <v>0</v>
          </cell>
          <cell r="Z664">
            <v>4.2500000000000003E-2</v>
          </cell>
          <cell r="AA664">
            <v>0</v>
          </cell>
          <cell r="AB664">
            <v>4.2500000000000003E-2</v>
          </cell>
          <cell r="AC664">
            <v>0</v>
          </cell>
          <cell r="AD664">
            <v>4.2500000000000003E-2</v>
          </cell>
          <cell r="AE664">
            <v>0</v>
          </cell>
          <cell r="AG664" t="str">
            <v/>
          </cell>
          <cell r="AH664" t="str">
            <v/>
          </cell>
          <cell r="AJ664">
            <v>4.2500000000000003E-2</v>
          </cell>
          <cell r="AK664">
            <v>0</v>
          </cell>
          <cell r="AL664">
            <v>4.2500000000000003E-2</v>
          </cell>
          <cell r="AM664">
            <v>0</v>
          </cell>
          <cell r="AN664">
            <v>4.2500000000000003E-2</v>
          </cell>
          <cell r="AO664">
            <v>0</v>
          </cell>
          <cell r="AP664">
            <v>4.2500000000000003E-2</v>
          </cell>
          <cell r="AQ664">
            <v>0</v>
          </cell>
          <cell r="AS664" t="str">
            <v/>
          </cell>
          <cell r="AT664" t="str">
            <v/>
          </cell>
          <cell r="AV664" t="b">
            <v>0</v>
          </cell>
          <cell r="AW664" t="str">
            <v>minute</v>
          </cell>
        </row>
        <row r="665">
          <cell r="S665" t="str">
            <v>DOM NDL NDI37</v>
          </cell>
          <cell r="T665" t="str">
            <v>DOM</v>
          </cell>
          <cell r="U665" t="str">
            <v>NDL</v>
          </cell>
          <cell r="V665" t="str">
            <v>NDI37</v>
          </cell>
          <cell r="X665">
            <v>3.04E-2</v>
          </cell>
          <cell r="Y665">
            <v>0</v>
          </cell>
          <cell r="Z665">
            <v>3.04E-2</v>
          </cell>
          <cell r="AA665">
            <v>0</v>
          </cell>
          <cell r="AB665">
            <v>3.04E-2</v>
          </cell>
          <cell r="AC665">
            <v>0</v>
          </cell>
          <cell r="AD665">
            <v>3.04E-2</v>
          </cell>
          <cell r="AE665">
            <v>0</v>
          </cell>
          <cell r="AG665" t="str">
            <v/>
          </cell>
          <cell r="AH665" t="str">
            <v/>
          </cell>
          <cell r="AJ665">
            <v>3.04E-2</v>
          </cell>
          <cell r="AK665">
            <v>0</v>
          </cell>
          <cell r="AL665">
            <v>3.04E-2</v>
          </cell>
          <cell r="AM665">
            <v>0</v>
          </cell>
          <cell r="AN665">
            <v>3.04E-2</v>
          </cell>
          <cell r="AO665">
            <v>0</v>
          </cell>
          <cell r="AP665">
            <v>3.04E-2</v>
          </cell>
          <cell r="AQ665">
            <v>0</v>
          </cell>
          <cell r="AS665" t="str">
            <v/>
          </cell>
          <cell r="AT665" t="str">
            <v/>
          </cell>
          <cell r="AV665" t="b">
            <v>0</v>
          </cell>
          <cell r="AW665" t="str">
            <v>minute</v>
          </cell>
        </row>
        <row r="666">
          <cell r="S666" t="str">
            <v>DOM NDL NDI38</v>
          </cell>
          <cell r="T666" t="str">
            <v>DOM</v>
          </cell>
          <cell r="U666" t="str">
            <v>NDL</v>
          </cell>
          <cell r="V666" t="str">
            <v>NDI38</v>
          </cell>
          <cell r="X666">
            <v>2.3099999999999999E-2</v>
          </cell>
          <cell r="Y666">
            <v>0</v>
          </cell>
          <cell r="Z666">
            <v>2.3099999999999999E-2</v>
          </cell>
          <cell r="AA666">
            <v>0</v>
          </cell>
          <cell r="AB666">
            <v>2.3099999999999999E-2</v>
          </cell>
          <cell r="AC666">
            <v>0</v>
          </cell>
          <cell r="AD666">
            <v>2.3099999999999999E-2</v>
          </cell>
          <cell r="AE666">
            <v>0</v>
          </cell>
          <cell r="AG666" t="str">
            <v/>
          </cell>
          <cell r="AH666" t="str">
            <v/>
          </cell>
          <cell r="AJ666">
            <v>2.3099999999999999E-2</v>
          </cell>
          <cell r="AK666">
            <v>0</v>
          </cell>
          <cell r="AL666">
            <v>2.3099999999999999E-2</v>
          </cell>
          <cell r="AM666">
            <v>0</v>
          </cell>
          <cell r="AN666">
            <v>2.3099999999999999E-2</v>
          </cell>
          <cell r="AO666">
            <v>0</v>
          </cell>
          <cell r="AP666">
            <v>2.3099999999999999E-2</v>
          </cell>
          <cell r="AQ666">
            <v>0</v>
          </cell>
          <cell r="AS666" t="str">
            <v/>
          </cell>
          <cell r="AT666" t="str">
            <v/>
          </cell>
          <cell r="AV666" t="b">
            <v>0</v>
          </cell>
          <cell r="AW666" t="str">
            <v>minute</v>
          </cell>
        </row>
        <row r="667">
          <cell r="S667" t="str">
            <v>DOM NDL NDI39</v>
          </cell>
          <cell r="T667" t="str">
            <v>DOM</v>
          </cell>
          <cell r="U667" t="str">
            <v>NDL</v>
          </cell>
          <cell r="V667" t="str">
            <v>NDI39</v>
          </cell>
          <cell r="X667">
            <v>2.01E-2</v>
          </cell>
          <cell r="Y667">
            <v>0</v>
          </cell>
          <cell r="Z667">
            <v>2.01E-2</v>
          </cell>
          <cell r="AA667">
            <v>0</v>
          </cell>
          <cell r="AB667">
            <v>2.01E-2</v>
          </cell>
          <cell r="AC667">
            <v>0</v>
          </cell>
          <cell r="AD667">
            <v>2.01E-2</v>
          </cell>
          <cell r="AE667">
            <v>0</v>
          </cell>
          <cell r="AG667" t="str">
            <v/>
          </cell>
          <cell r="AH667" t="str">
            <v/>
          </cell>
          <cell r="AJ667">
            <v>2.01E-2</v>
          </cell>
          <cell r="AK667">
            <v>0</v>
          </cell>
          <cell r="AL667">
            <v>2.01E-2</v>
          </cell>
          <cell r="AM667">
            <v>0</v>
          </cell>
          <cell r="AN667">
            <v>2.01E-2</v>
          </cell>
          <cell r="AO667">
            <v>0</v>
          </cell>
          <cell r="AP667">
            <v>2.01E-2</v>
          </cell>
          <cell r="AQ667">
            <v>0</v>
          </cell>
          <cell r="AS667" t="str">
            <v/>
          </cell>
          <cell r="AT667" t="str">
            <v/>
          </cell>
          <cell r="AV667" t="b">
            <v>0</v>
          </cell>
          <cell r="AW667" t="str">
            <v>minute</v>
          </cell>
        </row>
        <row r="668">
          <cell r="S668" t="str">
            <v>DOM NDL NDI40</v>
          </cell>
          <cell r="T668" t="str">
            <v>DOM</v>
          </cell>
          <cell r="U668" t="str">
            <v>NDL</v>
          </cell>
          <cell r="V668" t="str">
            <v>NDI40</v>
          </cell>
          <cell r="X668">
            <v>4.3099999999999999E-2</v>
          </cell>
          <cell r="Y668">
            <v>0</v>
          </cell>
          <cell r="Z668">
            <v>4.3099999999999999E-2</v>
          </cell>
          <cell r="AA668">
            <v>0</v>
          </cell>
          <cell r="AB668">
            <v>4.3099999999999999E-2</v>
          </cell>
          <cell r="AC668">
            <v>0</v>
          </cell>
          <cell r="AD668">
            <v>4.3099999999999999E-2</v>
          </cell>
          <cell r="AE668">
            <v>0</v>
          </cell>
          <cell r="AG668" t="str">
            <v/>
          </cell>
          <cell r="AH668" t="str">
            <v/>
          </cell>
          <cell r="AJ668">
            <v>4.3099999999999999E-2</v>
          </cell>
          <cell r="AK668">
            <v>0</v>
          </cell>
          <cell r="AL668">
            <v>4.3099999999999999E-2</v>
          </cell>
          <cell r="AM668">
            <v>0</v>
          </cell>
          <cell r="AN668">
            <v>4.3099999999999999E-2</v>
          </cell>
          <cell r="AO668">
            <v>0</v>
          </cell>
          <cell r="AP668">
            <v>4.3099999999999999E-2</v>
          </cell>
          <cell r="AQ668">
            <v>0</v>
          </cell>
          <cell r="AS668" t="str">
            <v/>
          </cell>
          <cell r="AT668" t="str">
            <v/>
          </cell>
          <cell r="AV668" t="b">
            <v>0</v>
          </cell>
          <cell r="AW668" t="str">
            <v>minute</v>
          </cell>
        </row>
        <row r="669">
          <cell r="S669" t="str">
            <v>DOM NDL NDI60</v>
          </cell>
          <cell r="T669" t="str">
            <v>DOM</v>
          </cell>
          <cell r="U669" t="str">
            <v>NDL</v>
          </cell>
          <cell r="V669" t="str">
            <v>NDI60</v>
          </cell>
          <cell r="X669">
            <v>2.8500000000000001E-2</v>
          </cell>
          <cell r="Y669">
            <v>0</v>
          </cell>
          <cell r="Z669">
            <v>2.8500000000000001E-2</v>
          </cell>
          <cell r="AA669">
            <v>0</v>
          </cell>
          <cell r="AB669">
            <v>2.8500000000000001E-2</v>
          </cell>
          <cell r="AC669">
            <v>0</v>
          </cell>
          <cell r="AD669">
            <v>2.8500000000000001E-2</v>
          </cell>
          <cell r="AE669">
            <v>0</v>
          </cell>
          <cell r="AG669" t="str">
            <v/>
          </cell>
          <cell r="AH669" t="str">
            <v/>
          </cell>
          <cell r="AJ669">
            <v>2.8500000000000001E-2</v>
          </cell>
          <cell r="AK669">
            <v>0</v>
          </cell>
          <cell r="AL669">
            <v>2.8500000000000001E-2</v>
          </cell>
          <cell r="AM669">
            <v>0</v>
          </cell>
          <cell r="AN669">
            <v>2.8500000000000001E-2</v>
          </cell>
          <cell r="AO669">
            <v>0</v>
          </cell>
          <cell r="AP669">
            <v>2.8500000000000001E-2</v>
          </cell>
          <cell r="AQ669">
            <v>0</v>
          </cell>
          <cell r="AS669" t="str">
            <v/>
          </cell>
          <cell r="AT669" t="str">
            <v/>
          </cell>
          <cell r="AV669" t="b">
            <v>0</v>
          </cell>
          <cell r="AW669" t="str">
            <v>minute</v>
          </cell>
        </row>
        <row r="670">
          <cell r="S670" t="str">
            <v>DOM NDL NDI61</v>
          </cell>
          <cell r="T670" t="str">
            <v>DOM</v>
          </cell>
          <cell r="U670" t="str">
            <v>NDL</v>
          </cell>
          <cell r="V670" t="str">
            <v>NDI61</v>
          </cell>
          <cell r="X670">
            <v>3.1699999999999999E-2</v>
          </cell>
          <cell r="Y670">
            <v>0</v>
          </cell>
          <cell r="Z670">
            <v>3.1699999999999999E-2</v>
          </cell>
          <cell r="AA670">
            <v>0</v>
          </cell>
          <cell r="AB670">
            <v>3.1699999999999999E-2</v>
          </cell>
          <cell r="AC670">
            <v>0</v>
          </cell>
          <cell r="AD670">
            <v>3.1699999999999999E-2</v>
          </cell>
          <cell r="AE670">
            <v>0</v>
          </cell>
          <cell r="AG670" t="str">
            <v/>
          </cell>
          <cell r="AH670" t="str">
            <v/>
          </cell>
          <cell r="AJ670">
            <v>3.1699999999999999E-2</v>
          </cell>
          <cell r="AK670">
            <v>0</v>
          </cell>
          <cell r="AL670">
            <v>3.1699999999999999E-2</v>
          </cell>
          <cell r="AM670">
            <v>0</v>
          </cell>
          <cell r="AN670">
            <v>3.1699999999999999E-2</v>
          </cell>
          <cell r="AO670">
            <v>0</v>
          </cell>
          <cell r="AP670">
            <v>3.1699999999999999E-2</v>
          </cell>
          <cell r="AQ670">
            <v>0</v>
          </cell>
          <cell r="AS670" t="str">
            <v/>
          </cell>
          <cell r="AT670" t="str">
            <v/>
          </cell>
          <cell r="AV670" t="b">
            <v>0</v>
          </cell>
          <cell r="AW670" t="str">
            <v>minute</v>
          </cell>
        </row>
        <row r="671">
          <cell r="S671" t="str">
            <v>DOM NDL NDI62</v>
          </cell>
          <cell r="T671" t="str">
            <v>DOM</v>
          </cell>
          <cell r="U671" t="str">
            <v>NDL</v>
          </cell>
          <cell r="V671" t="str">
            <v>NDI62</v>
          </cell>
          <cell r="X671">
            <v>3.8100000000000002E-2</v>
          </cell>
          <cell r="Y671">
            <v>0</v>
          </cell>
          <cell r="Z671">
            <v>3.8100000000000002E-2</v>
          </cell>
          <cell r="AA671">
            <v>0</v>
          </cell>
          <cell r="AB671">
            <v>3.8100000000000002E-2</v>
          </cell>
          <cell r="AC671">
            <v>0</v>
          </cell>
          <cell r="AD671">
            <v>3.8100000000000002E-2</v>
          </cell>
          <cell r="AE671">
            <v>0</v>
          </cell>
          <cell r="AG671" t="str">
            <v/>
          </cell>
          <cell r="AH671" t="str">
            <v/>
          </cell>
          <cell r="AJ671">
            <v>3.8100000000000002E-2</v>
          </cell>
          <cell r="AK671">
            <v>0</v>
          </cell>
          <cell r="AL671">
            <v>3.8100000000000002E-2</v>
          </cell>
          <cell r="AM671">
            <v>0</v>
          </cell>
          <cell r="AN671">
            <v>3.8100000000000002E-2</v>
          </cell>
          <cell r="AO671">
            <v>0</v>
          </cell>
          <cell r="AP671">
            <v>3.8100000000000002E-2</v>
          </cell>
          <cell r="AQ671">
            <v>0</v>
          </cell>
          <cell r="AS671" t="str">
            <v/>
          </cell>
          <cell r="AT671" t="str">
            <v/>
          </cell>
          <cell r="AV671" t="b">
            <v>0</v>
          </cell>
          <cell r="AW671" t="str">
            <v>minute</v>
          </cell>
        </row>
        <row r="672">
          <cell r="S672" t="str">
            <v>DOM NDL NDI63</v>
          </cell>
          <cell r="T672" t="str">
            <v>DOM</v>
          </cell>
          <cell r="U672" t="str">
            <v>NDL</v>
          </cell>
          <cell r="V672" t="str">
            <v>NDI63</v>
          </cell>
          <cell r="X672">
            <v>2.64E-2</v>
          </cell>
          <cell r="Y672">
            <v>0</v>
          </cell>
          <cell r="Z672">
            <v>2.64E-2</v>
          </cell>
          <cell r="AA672">
            <v>0</v>
          </cell>
          <cell r="AB672">
            <v>2.64E-2</v>
          </cell>
          <cell r="AC672">
            <v>0</v>
          </cell>
          <cell r="AD672">
            <v>2.64E-2</v>
          </cell>
          <cell r="AE672">
            <v>0</v>
          </cell>
          <cell r="AG672" t="str">
            <v/>
          </cell>
          <cell r="AH672" t="str">
            <v/>
          </cell>
          <cell r="AJ672">
            <v>2.64E-2</v>
          </cell>
          <cell r="AK672">
            <v>0</v>
          </cell>
          <cell r="AL672">
            <v>2.64E-2</v>
          </cell>
          <cell r="AM672">
            <v>0</v>
          </cell>
          <cell r="AN672">
            <v>2.64E-2</v>
          </cell>
          <cell r="AO672">
            <v>0</v>
          </cell>
          <cell r="AP672">
            <v>2.64E-2</v>
          </cell>
          <cell r="AQ672">
            <v>0</v>
          </cell>
          <cell r="AS672" t="str">
            <v/>
          </cell>
          <cell r="AT672" t="str">
            <v/>
          </cell>
          <cell r="AV672" t="b">
            <v>0</v>
          </cell>
          <cell r="AW672" t="str">
            <v>minute</v>
          </cell>
        </row>
        <row r="673">
          <cell r="S673" t="str">
            <v>DOM NDL NDI64</v>
          </cell>
          <cell r="T673" t="str">
            <v>DOM</v>
          </cell>
          <cell r="U673" t="str">
            <v>NDL</v>
          </cell>
          <cell r="V673" t="str">
            <v>NDI64</v>
          </cell>
          <cell r="X673">
            <v>2.5600000000000001E-2</v>
          </cell>
          <cell r="Y673">
            <v>0</v>
          </cell>
          <cell r="Z673">
            <v>2.5600000000000001E-2</v>
          </cell>
          <cell r="AA673">
            <v>0</v>
          </cell>
          <cell r="AB673">
            <v>2.5600000000000001E-2</v>
          </cell>
          <cell r="AC673">
            <v>0</v>
          </cell>
          <cell r="AD673">
            <v>2.5600000000000001E-2</v>
          </cell>
          <cell r="AE673">
            <v>0</v>
          </cell>
          <cell r="AG673" t="str">
            <v/>
          </cell>
          <cell r="AH673" t="str">
            <v/>
          </cell>
          <cell r="AJ673">
            <v>2.5600000000000001E-2</v>
          </cell>
          <cell r="AK673">
            <v>0</v>
          </cell>
          <cell r="AL673">
            <v>2.5600000000000001E-2</v>
          </cell>
          <cell r="AM673">
            <v>0</v>
          </cell>
          <cell r="AN673">
            <v>2.5600000000000001E-2</v>
          </cell>
          <cell r="AO673">
            <v>0</v>
          </cell>
          <cell r="AP673">
            <v>2.5600000000000001E-2</v>
          </cell>
          <cell r="AQ673">
            <v>0</v>
          </cell>
          <cell r="AS673" t="str">
            <v/>
          </cell>
          <cell r="AT673" t="str">
            <v/>
          </cell>
          <cell r="AV673" t="b">
            <v>0</v>
          </cell>
          <cell r="AW673" t="str">
            <v>minute</v>
          </cell>
        </row>
        <row r="674">
          <cell r="S674" t="str">
            <v>DOM NDL NDI65</v>
          </cell>
          <cell r="T674" t="str">
            <v>DOM</v>
          </cell>
          <cell r="U674" t="str">
            <v>NDL</v>
          </cell>
          <cell r="V674" t="str">
            <v>NDI65</v>
          </cell>
          <cell r="X674">
            <v>3.2199999999999999E-2</v>
          </cell>
          <cell r="Y674">
            <v>0</v>
          </cell>
          <cell r="Z674">
            <v>3.2199999999999999E-2</v>
          </cell>
          <cell r="AA674">
            <v>0</v>
          </cell>
          <cell r="AB674">
            <v>3.2199999999999999E-2</v>
          </cell>
          <cell r="AC674">
            <v>0</v>
          </cell>
          <cell r="AD674">
            <v>3.2199999999999999E-2</v>
          </cell>
          <cell r="AE674">
            <v>0</v>
          </cell>
          <cell r="AG674" t="str">
            <v/>
          </cell>
          <cell r="AH674" t="str">
            <v/>
          </cell>
          <cell r="AJ674">
            <v>3.2199999999999999E-2</v>
          </cell>
          <cell r="AK674">
            <v>0</v>
          </cell>
          <cell r="AL674">
            <v>3.2199999999999999E-2</v>
          </cell>
          <cell r="AM674">
            <v>0</v>
          </cell>
          <cell r="AN674">
            <v>3.2199999999999999E-2</v>
          </cell>
          <cell r="AO674">
            <v>0</v>
          </cell>
          <cell r="AP674">
            <v>3.2199999999999999E-2</v>
          </cell>
          <cell r="AQ674">
            <v>0</v>
          </cell>
          <cell r="AS674" t="str">
            <v/>
          </cell>
          <cell r="AT674" t="str">
            <v/>
          </cell>
          <cell r="AV674" t="b">
            <v>0</v>
          </cell>
          <cell r="AW674" t="str">
            <v>minute</v>
          </cell>
        </row>
        <row r="675">
          <cell r="S675" t="str">
            <v>DOM NDL NDI66</v>
          </cell>
          <cell r="T675" t="str">
            <v>DOM</v>
          </cell>
          <cell r="U675" t="str">
            <v>NDL</v>
          </cell>
          <cell r="V675" t="str">
            <v>NDI66</v>
          </cell>
          <cell r="X675">
            <v>3.5499999999999997E-2</v>
          </cell>
          <cell r="Y675">
            <v>0</v>
          </cell>
          <cell r="Z675">
            <v>3.5499999999999997E-2</v>
          </cell>
          <cell r="AA675">
            <v>0</v>
          </cell>
          <cell r="AB675">
            <v>3.5499999999999997E-2</v>
          </cell>
          <cell r="AC675">
            <v>0</v>
          </cell>
          <cell r="AD675">
            <v>3.5499999999999997E-2</v>
          </cell>
          <cell r="AE675">
            <v>0</v>
          </cell>
          <cell r="AG675" t="str">
            <v/>
          </cell>
          <cell r="AH675" t="str">
            <v/>
          </cell>
          <cell r="AJ675">
            <v>3.5499999999999997E-2</v>
          </cell>
          <cell r="AK675">
            <v>0</v>
          </cell>
          <cell r="AL675">
            <v>3.5499999999999997E-2</v>
          </cell>
          <cell r="AM675">
            <v>0</v>
          </cell>
          <cell r="AN675">
            <v>3.5499999999999997E-2</v>
          </cell>
          <cell r="AO675">
            <v>0</v>
          </cell>
          <cell r="AP675">
            <v>3.5499999999999997E-2</v>
          </cell>
          <cell r="AQ675">
            <v>0</v>
          </cell>
          <cell r="AS675" t="str">
            <v/>
          </cell>
          <cell r="AT675" t="str">
            <v/>
          </cell>
          <cell r="AV675" t="b">
            <v>0</v>
          </cell>
          <cell r="AW675" t="str">
            <v>minute</v>
          </cell>
        </row>
        <row r="676">
          <cell r="S676" t="str">
            <v>DOM NDL NDI67</v>
          </cell>
          <cell r="T676" t="str">
            <v>DOM</v>
          </cell>
          <cell r="U676" t="str">
            <v>NDL</v>
          </cell>
          <cell r="V676" t="str">
            <v>NDI67</v>
          </cell>
          <cell r="X676">
            <v>4.2200000000000001E-2</v>
          </cell>
          <cell r="Y676">
            <v>0</v>
          </cell>
          <cell r="Z676">
            <v>4.2200000000000001E-2</v>
          </cell>
          <cell r="AA676">
            <v>0</v>
          </cell>
          <cell r="AB676">
            <v>4.2200000000000001E-2</v>
          </cell>
          <cell r="AC676">
            <v>0</v>
          </cell>
          <cell r="AD676">
            <v>4.2200000000000001E-2</v>
          </cell>
          <cell r="AE676">
            <v>0</v>
          </cell>
          <cell r="AG676" t="str">
            <v/>
          </cell>
          <cell r="AH676" t="str">
            <v/>
          </cell>
          <cell r="AJ676">
            <v>4.2200000000000001E-2</v>
          </cell>
          <cell r="AK676">
            <v>0</v>
          </cell>
          <cell r="AL676">
            <v>4.2200000000000001E-2</v>
          </cell>
          <cell r="AM676">
            <v>0</v>
          </cell>
          <cell r="AN676">
            <v>4.2200000000000001E-2</v>
          </cell>
          <cell r="AO676">
            <v>0</v>
          </cell>
          <cell r="AP676">
            <v>4.2200000000000001E-2</v>
          </cell>
          <cell r="AQ676">
            <v>0</v>
          </cell>
          <cell r="AS676" t="str">
            <v/>
          </cell>
          <cell r="AT676" t="str">
            <v/>
          </cell>
          <cell r="AV676" t="b">
            <v>0</v>
          </cell>
          <cell r="AW676" t="str">
            <v>minute</v>
          </cell>
        </row>
        <row r="677">
          <cell r="S677" t="str">
            <v>DOM NDL NDI68</v>
          </cell>
          <cell r="T677" t="str">
            <v>DOM</v>
          </cell>
          <cell r="U677" t="str">
            <v>NDL</v>
          </cell>
          <cell r="V677" t="str">
            <v>NDI68</v>
          </cell>
          <cell r="X677">
            <v>3.0200000000000001E-2</v>
          </cell>
          <cell r="Y677">
            <v>0</v>
          </cell>
          <cell r="Z677">
            <v>3.0200000000000001E-2</v>
          </cell>
          <cell r="AA677">
            <v>0</v>
          </cell>
          <cell r="AB677">
            <v>3.0200000000000001E-2</v>
          </cell>
          <cell r="AC677">
            <v>0</v>
          </cell>
          <cell r="AD677">
            <v>3.0200000000000001E-2</v>
          </cell>
          <cell r="AE677">
            <v>0</v>
          </cell>
          <cell r="AG677" t="str">
            <v/>
          </cell>
          <cell r="AH677" t="str">
            <v/>
          </cell>
          <cell r="AJ677">
            <v>3.0200000000000001E-2</v>
          </cell>
          <cell r="AK677">
            <v>0</v>
          </cell>
          <cell r="AL677">
            <v>3.0200000000000001E-2</v>
          </cell>
          <cell r="AM677">
            <v>0</v>
          </cell>
          <cell r="AN677">
            <v>3.0200000000000001E-2</v>
          </cell>
          <cell r="AO677">
            <v>0</v>
          </cell>
          <cell r="AP677">
            <v>3.0200000000000001E-2</v>
          </cell>
          <cell r="AQ677">
            <v>0</v>
          </cell>
          <cell r="AS677" t="str">
            <v/>
          </cell>
          <cell r="AT677" t="str">
            <v/>
          </cell>
          <cell r="AV677" t="b">
            <v>0</v>
          </cell>
          <cell r="AW677" t="str">
            <v>minute</v>
          </cell>
        </row>
        <row r="678">
          <cell r="S678" t="str">
            <v>DOM NDL NDI69</v>
          </cell>
          <cell r="T678" t="str">
            <v>DOM</v>
          </cell>
          <cell r="U678" t="str">
            <v>NDL</v>
          </cell>
          <cell r="V678" t="str">
            <v>NDI69</v>
          </cell>
          <cell r="X678">
            <v>2.92E-2</v>
          </cell>
          <cell r="Y678">
            <v>0</v>
          </cell>
          <cell r="Z678">
            <v>2.92E-2</v>
          </cell>
          <cell r="AA678">
            <v>0</v>
          </cell>
          <cell r="AB678">
            <v>2.92E-2</v>
          </cell>
          <cell r="AC678">
            <v>0</v>
          </cell>
          <cell r="AD678">
            <v>2.92E-2</v>
          </cell>
          <cell r="AE678">
            <v>0</v>
          </cell>
          <cell r="AG678" t="str">
            <v/>
          </cell>
          <cell r="AH678" t="str">
            <v/>
          </cell>
          <cell r="AJ678">
            <v>2.92E-2</v>
          </cell>
          <cell r="AK678">
            <v>0</v>
          </cell>
          <cell r="AL678">
            <v>2.92E-2</v>
          </cell>
          <cell r="AM678">
            <v>0</v>
          </cell>
          <cell r="AN678">
            <v>2.92E-2</v>
          </cell>
          <cell r="AO678">
            <v>0</v>
          </cell>
          <cell r="AP678">
            <v>2.92E-2</v>
          </cell>
          <cell r="AQ678">
            <v>0</v>
          </cell>
          <cell r="AS678" t="str">
            <v/>
          </cell>
          <cell r="AT678" t="str">
            <v/>
          </cell>
          <cell r="AV678" t="b">
            <v>0</v>
          </cell>
          <cell r="AW678" t="str">
            <v>minute</v>
          </cell>
        </row>
        <row r="679">
          <cell r="S679" t="str">
            <v>DOM NDL NDI70</v>
          </cell>
          <cell r="T679" t="str">
            <v>DOM</v>
          </cell>
          <cell r="U679" t="str">
            <v>NDL</v>
          </cell>
          <cell r="V679" t="str">
            <v>NDI70</v>
          </cell>
          <cell r="X679">
            <v>3.1099999999999999E-2</v>
          </cell>
          <cell r="Y679">
            <v>0</v>
          </cell>
          <cell r="Z679">
            <v>3.1099999999999999E-2</v>
          </cell>
          <cell r="AA679">
            <v>0</v>
          </cell>
          <cell r="AB679">
            <v>3.1099999999999999E-2</v>
          </cell>
          <cell r="AC679">
            <v>0</v>
          </cell>
          <cell r="AD679">
            <v>3.1099999999999999E-2</v>
          </cell>
          <cell r="AE679">
            <v>0</v>
          </cell>
          <cell r="AG679" t="str">
            <v/>
          </cell>
          <cell r="AH679" t="str">
            <v/>
          </cell>
          <cell r="AJ679">
            <v>3.1099999999999999E-2</v>
          </cell>
          <cell r="AK679">
            <v>0</v>
          </cell>
          <cell r="AL679">
            <v>3.1099999999999999E-2</v>
          </cell>
          <cell r="AM679">
            <v>0</v>
          </cell>
          <cell r="AN679">
            <v>3.1099999999999999E-2</v>
          </cell>
          <cell r="AO679">
            <v>0</v>
          </cell>
          <cell r="AP679">
            <v>3.1099999999999999E-2</v>
          </cell>
          <cell r="AQ679">
            <v>0</v>
          </cell>
          <cell r="AS679" t="str">
            <v/>
          </cell>
          <cell r="AT679" t="str">
            <v/>
          </cell>
          <cell r="AV679" t="b">
            <v>0</v>
          </cell>
          <cell r="AW679" t="str">
            <v>minute</v>
          </cell>
        </row>
        <row r="680">
          <cell r="S680" t="str">
            <v>DOM NDL NDI71</v>
          </cell>
          <cell r="T680" t="str">
            <v>DOM</v>
          </cell>
          <cell r="U680" t="str">
            <v>NDL</v>
          </cell>
          <cell r="V680" t="str">
            <v>NDI71</v>
          </cell>
          <cell r="X680">
            <v>2.3099999999999999E-2</v>
          </cell>
          <cell r="Y680">
            <v>0</v>
          </cell>
          <cell r="Z680">
            <v>2.3099999999999999E-2</v>
          </cell>
          <cell r="AA680">
            <v>0</v>
          </cell>
          <cell r="AB680">
            <v>2.3099999999999999E-2</v>
          </cell>
          <cell r="AC680">
            <v>0</v>
          </cell>
          <cell r="AD680">
            <v>2.3099999999999999E-2</v>
          </cell>
          <cell r="AE680">
            <v>0</v>
          </cell>
          <cell r="AG680" t="str">
            <v/>
          </cell>
          <cell r="AH680" t="str">
            <v/>
          </cell>
          <cell r="AJ680">
            <v>2.3099999999999999E-2</v>
          </cell>
          <cell r="AK680">
            <v>0</v>
          </cell>
          <cell r="AL680">
            <v>2.3099999999999999E-2</v>
          </cell>
          <cell r="AM680">
            <v>0</v>
          </cell>
          <cell r="AN680">
            <v>2.3099999999999999E-2</v>
          </cell>
          <cell r="AO680">
            <v>0</v>
          </cell>
          <cell r="AP680">
            <v>2.3099999999999999E-2</v>
          </cell>
          <cell r="AQ680">
            <v>0</v>
          </cell>
          <cell r="AS680" t="str">
            <v/>
          </cell>
          <cell r="AT680" t="str">
            <v/>
          </cell>
          <cell r="AV680" t="b">
            <v>0</v>
          </cell>
          <cell r="AW680" t="str">
            <v>minute</v>
          </cell>
        </row>
        <row r="681">
          <cell r="S681" t="str">
            <v>DOM NDL NDI72</v>
          </cell>
          <cell r="T681" t="str">
            <v>DOM</v>
          </cell>
          <cell r="U681" t="str">
            <v>NDL</v>
          </cell>
          <cell r="V681" t="str">
            <v>NDI72</v>
          </cell>
          <cell r="X681">
            <v>2.01E-2</v>
          </cell>
          <cell r="Y681">
            <v>0</v>
          </cell>
          <cell r="Z681">
            <v>2.01E-2</v>
          </cell>
          <cell r="AA681">
            <v>0</v>
          </cell>
          <cell r="AB681">
            <v>2.01E-2</v>
          </cell>
          <cell r="AC681">
            <v>0</v>
          </cell>
          <cell r="AD681">
            <v>2.01E-2</v>
          </cell>
          <cell r="AE681">
            <v>0</v>
          </cell>
          <cell r="AG681" t="str">
            <v/>
          </cell>
          <cell r="AH681" t="str">
            <v/>
          </cell>
          <cell r="AJ681">
            <v>2.01E-2</v>
          </cell>
          <cell r="AK681">
            <v>0</v>
          </cell>
          <cell r="AL681">
            <v>2.01E-2</v>
          </cell>
          <cell r="AM681">
            <v>0</v>
          </cell>
          <cell r="AN681">
            <v>2.01E-2</v>
          </cell>
          <cell r="AO681">
            <v>0</v>
          </cell>
          <cell r="AP681">
            <v>2.01E-2</v>
          </cell>
          <cell r="AQ681">
            <v>0</v>
          </cell>
          <cell r="AS681" t="str">
            <v/>
          </cell>
          <cell r="AT681" t="str">
            <v/>
          </cell>
          <cell r="AV681" t="b">
            <v>0</v>
          </cell>
          <cell r="AW681" t="str">
            <v>minute</v>
          </cell>
        </row>
        <row r="682">
          <cell r="S682" t="str">
            <v>DOM NDL NDI73</v>
          </cell>
          <cell r="T682" t="str">
            <v>DOM</v>
          </cell>
          <cell r="U682" t="str">
            <v>NDL</v>
          </cell>
          <cell r="V682" t="str">
            <v>NDI73</v>
          </cell>
          <cell r="X682">
            <v>2.1600000000000001E-2</v>
          </cell>
          <cell r="Y682">
            <v>0</v>
          </cell>
          <cell r="Z682">
            <v>2.1600000000000001E-2</v>
          </cell>
          <cell r="AA682">
            <v>0</v>
          </cell>
          <cell r="AB682">
            <v>2.1600000000000001E-2</v>
          </cell>
          <cell r="AC682">
            <v>0</v>
          </cell>
          <cell r="AD682">
            <v>2.1600000000000001E-2</v>
          </cell>
          <cell r="AE682">
            <v>0</v>
          </cell>
          <cell r="AG682" t="str">
            <v/>
          </cell>
          <cell r="AH682" t="str">
            <v/>
          </cell>
          <cell r="AJ682">
            <v>2.1600000000000001E-2</v>
          </cell>
          <cell r="AK682">
            <v>0</v>
          </cell>
          <cell r="AL682">
            <v>2.1600000000000001E-2</v>
          </cell>
          <cell r="AM682">
            <v>0</v>
          </cell>
          <cell r="AN682">
            <v>2.1600000000000001E-2</v>
          </cell>
          <cell r="AO682">
            <v>0</v>
          </cell>
          <cell r="AP682">
            <v>2.1600000000000001E-2</v>
          </cell>
          <cell r="AQ682">
            <v>0</v>
          </cell>
          <cell r="AS682" t="str">
            <v/>
          </cell>
          <cell r="AT682" t="str">
            <v/>
          </cell>
          <cell r="AV682" t="b">
            <v>0</v>
          </cell>
          <cell r="AW682" t="str">
            <v>minute</v>
          </cell>
        </row>
        <row r="683">
          <cell r="S683" t="str">
            <v>DOM NDL NDI74</v>
          </cell>
          <cell r="T683" t="str">
            <v>DOM</v>
          </cell>
          <cell r="U683" t="str">
            <v>NDL</v>
          </cell>
          <cell r="V683" t="str">
            <v>NDI74</v>
          </cell>
          <cell r="X683">
            <v>3.5299999999999998E-2</v>
          </cell>
          <cell r="Y683">
            <v>0</v>
          </cell>
          <cell r="Z683">
            <v>3.5299999999999998E-2</v>
          </cell>
          <cell r="AA683">
            <v>0</v>
          </cell>
          <cell r="AB683">
            <v>3.5299999999999998E-2</v>
          </cell>
          <cell r="AC683">
            <v>0</v>
          </cell>
          <cell r="AD683">
            <v>3.5299999999999998E-2</v>
          </cell>
          <cell r="AE683">
            <v>0</v>
          </cell>
          <cell r="AG683" t="str">
            <v/>
          </cell>
          <cell r="AH683" t="str">
            <v/>
          </cell>
          <cell r="AJ683">
            <v>3.5299999999999998E-2</v>
          </cell>
          <cell r="AK683">
            <v>0</v>
          </cell>
          <cell r="AL683">
            <v>3.5299999999999998E-2</v>
          </cell>
          <cell r="AM683">
            <v>0</v>
          </cell>
          <cell r="AN683">
            <v>3.5299999999999998E-2</v>
          </cell>
          <cell r="AO683">
            <v>0</v>
          </cell>
          <cell r="AP683">
            <v>3.5299999999999998E-2</v>
          </cell>
          <cell r="AQ683">
            <v>0</v>
          </cell>
          <cell r="AS683" t="str">
            <v/>
          </cell>
          <cell r="AT683" t="str">
            <v/>
          </cell>
          <cell r="AV683" t="b">
            <v>0</v>
          </cell>
          <cell r="AW683" t="str">
            <v>minute</v>
          </cell>
        </row>
        <row r="684">
          <cell r="S684" t="str">
            <v>DOM NDL NDI75</v>
          </cell>
          <cell r="T684" t="str">
            <v>DOM</v>
          </cell>
          <cell r="U684" t="str">
            <v>NDL</v>
          </cell>
          <cell r="V684" t="str">
            <v>NDI75</v>
          </cell>
          <cell r="X684">
            <v>2.81E-2</v>
          </cell>
          <cell r="Y684">
            <v>0</v>
          </cell>
          <cell r="Z684">
            <v>2.81E-2</v>
          </cell>
          <cell r="AA684">
            <v>0</v>
          </cell>
          <cell r="AB684">
            <v>2.81E-2</v>
          </cell>
          <cell r="AC684">
            <v>0</v>
          </cell>
          <cell r="AD684">
            <v>2.81E-2</v>
          </cell>
          <cell r="AE684">
            <v>0</v>
          </cell>
          <cell r="AG684" t="str">
            <v/>
          </cell>
          <cell r="AH684" t="str">
            <v/>
          </cell>
          <cell r="AJ684">
            <v>2.81E-2</v>
          </cell>
          <cell r="AK684">
            <v>0</v>
          </cell>
          <cell r="AL684">
            <v>2.81E-2</v>
          </cell>
          <cell r="AM684">
            <v>0</v>
          </cell>
          <cell r="AN684">
            <v>2.81E-2</v>
          </cell>
          <cell r="AO684">
            <v>0</v>
          </cell>
          <cell r="AP684">
            <v>2.81E-2</v>
          </cell>
          <cell r="AQ684">
            <v>0</v>
          </cell>
          <cell r="AS684" t="str">
            <v/>
          </cell>
          <cell r="AT684" t="str">
            <v/>
          </cell>
          <cell r="AV684" t="b">
            <v>0</v>
          </cell>
          <cell r="AW684" t="str">
            <v>minute</v>
          </cell>
        </row>
        <row r="685">
          <cell r="S685" t="str">
            <v>DOM NDL NDI76</v>
          </cell>
          <cell r="T685" t="str">
            <v>DOM</v>
          </cell>
          <cell r="U685" t="str">
            <v>NDL</v>
          </cell>
          <cell r="V685" t="str">
            <v>NDI76</v>
          </cell>
          <cell r="X685">
            <v>3.4299999999999997E-2</v>
          </cell>
          <cell r="Y685">
            <v>0</v>
          </cell>
          <cell r="Z685">
            <v>3.4299999999999997E-2</v>
          </cell>
          <cell r="AA685">
            <v>0</v>
          </cell>
          <cell r="AB685">
            <v>3.4299999999999997E-2</v>
          </cell>
          <cell r="AC685">
            <v>0</v>
          </cell>
          <cell r="AD685">
            <v>3.4299999999999997E-2</v>
          </cell>
          <cell r="AE685">
            <v>0</v>
          </cell>
          <cell r="AG685" t="str">
            <v/>
          </cell>
          <cell r="AH685" t="str">
            <v/>
          </cell>
          <cell r="AJ685">
            <v>3.4299999999999997E-2</v>
          </cell>
          <cell r="AK685">
            <v>0</v>
          </cell>
          <cell r="AL685">
            <v>3.4299999999999997E-2</v>
          </cell>
          <cell r="AM685">
            <v>0</v>
          </cell>
          <cell r="AN685">
            <v>3.4299999999999997E-2</v>
          </cell>
          <cell r="AO685">
            <v>0</v>
          </cell>
          <cell r="AP685">
            <v>3.4299999999999997E-2</v>
          </cell>
          <cell r="AQ685">
            <v>0</v>
          </cell>
          <cell r="AS685" t="str">
            <v/>
          </cell>
          <cell r="AT685" t="str">
            <v/>
          </cell>
          <cell r="AV685" t="b">
            <v>0</v>
          </cell>
          <cell r="AW685" t="str">
            <v>minute</v>
          </cell>
        </row>
        <row r="686">
          <cell r="S686" t="str">
            <v>DOM NDL NDI77</v>
          </cell>
          <cell r="T686" t="str">
            <v>DOM</v>
          </cell>
          <cell r="U686" t="str">
            <v>NDL</v>
          </cell>
          <cell r="V686" t="str">
            <v>NDI77</v>
          </cell>
          <cell r="X686">
            <v>3.6799999999999999E-2</v>
          </cell>
          <cell r="Y686">
            <v>0</v>
          </cell>
          <cell r="Z686">
            <v>3.6799999999999999E-2</v>
          </cell>
          <cell r="AA686">
            <v>0</v>
          </cell>
          <cell r="AB686">
            <v>3.6799999999999999E-2</v>
          </cell>
          <cell r="AC686">
            <v>0</v>
          </cell>
          <cell r="AD686">
            <v>3.6799999999999999E-2</v>
          </cell>
          <cell r="AE686">
            <v>0</v>
          </cell>
          <cell r="AG686" t="str">
            <v/>
          </cell>
          <cell r="AH686" t="str">
            <v/>
          </cell>
          <cell r="AJ686">
            <v>3.6799999999999999E-2</v>
          </cell>
          <cell r="AK686">
            <v>0</v>
          </cell>
          <cell r="AL686">
            <v>3.6799999999999999E-2</v>
          </cell>
          <cell r="AM686">
            <v>0</v>
          </cell>
          <cell r="AN686">
            <v>3.6799999999999999E-2</v>
          </cell>
          <cell r="AO686">
            <v>0</v>
          </cell>
          <cell r="AP686">
            <v>3.6799999999999999E-2</v>
          </cell>
          <cell r="AQ686">
            <v>0</v>
          </cell>
          <cell r="AS686" t="str">
            <v/>
          </cell>
          <cell r="AT686" t="str">
            <v/>
          </cell>
          <cell r="AV686" t="b">
            <v>0</v>
          </cell>
          <cell r="AW686" t="str">
            <v>minute</v>
          </cell>
        </row>
        <row r="687">
          <cell r="S687" t="str">
            <v>DOM NDL NDI78</v>
          </cell>
          <cell r="T687" t="str">
            <v>DOM</v>
          </cell>
          <cell r="U687" t="str">
            <v>NDL</v>
          </cell>
          <cell r="V687" t="str">
            <v>NDI78</v>
          </cell>
          <cell r="X687">
            <v>2.92E-2</v>
          </cell>
          <cell r="Y687">
            <v>0</v>
          </cell>
          <cell r="Z687">
            <v>2.92E-2</v>
          </cell>
          <cell r="AA687">
            <v>0</v>
          </cell>
          <cell r="AB687">
            <v>2.92E-2</v>
          </cell>
          <cell r="AC687">
            <v>0</v>
          </cell>
          <cell r="AD687">
            <v>2.92E-2</v>
          </cell>
          <cell r="AE687">
            <v>0</v>
          </cell>
          <cell r="AG687" t="str">
            <v/>
          </cell>
          <cell r="AH687" t="str">
            <v/>
          </cell>
          <cell r="AJ687">
            <v>2.92E-2</v>
          </cell>
          <cell r="AK687">
            <v>0</v>
          </cell>
          <cell r="AL687">
            <v>2.92E-2</v>
          </cell>
          <cell r="AM687">
            <v>0</v>
          </cell>
          <cell r="AN687">
            <v>2.92E-2</v>
          </cell>
          <cell r="AO687">
            <v>0</v>
          </cell>
          <cell r="AP687">
            <v>2.92E-2</v>
          </cell>
          <cell r="AQ687">
            <v>0</v>
          </cell>
          <cell r="AS687" t="str">
            <v/>
          </cell>
          <cell r="AT687" t="str">
            <v/>
          </cell>
          <cell r="AV687" t="b">
            <v>0</v>
          </cell>
          <cell r="AW687" t="str">
            <v>minute</v>
          </cell>
        </row>
        <row r="688">
          <cell r="S688" t="str">
            <v>DOM NDL NDI79</v>
          </cell>
          <cell r="T688" t="str">
            <v>DOM</v>
          </cell>
          <cell r="U688" t="str">
            <v>NDL</v>
          </cell>
          <cell r="V688" t="str">
            <v>NDI79</v>
          </cell>
          <cell r="X688">
            <v>3.7900000000000003E-2</v>
          </cell>
          <cell r="Y688">
            <v>0</v>
          </cell>
          <cell r="Z688">
            <v>3.7900000000000003E-2</v>
          </cell>
          <cell r="AA688">
            <v>0</v>
          </cell>
          <cell r="AB688">
            <v>3.7900000000000003E-2</v>
          </cell>
          <cell r="AC688">
            <v>0</v>
          </cell>
          <cell r="AD688">
            <v>3.7900000000000003E-2</v>
          </cell>
          <cell r="AE688">
            <v>0</v>
          </cell>
          <cell r="AG688" t="str">
            <v/>
          </cell>
          <cell r="AH688" t="str">
            <v/>
          </cell>
          <cell r="AJ688">
            <v>3.7900000000000003E-2</v>
          </cell>
          <cell r="AK688">
            <v>0</v>
          </cell>
          <cell r="AL688">
            <v>3.7900000000000003E-2</v>
          </cell>
          <cell r="AM688">
            <v>0</v>
          </cell>
          <cell r="AN688">
            <v>3.7900000000000003E-2</v>
          </cell>
          <cell r="AO688">
            <v>0</v>
          </cell>
          <cell r="AP688">
            <v>3.7900000000000003E-2</v>
          </cell>
          <cell r="AQ688">
            <v>0</v>
          </cell>
          <cell r="AS688" t="str">
            <v/>
          </cell>
          <cell r="AT688" t="str">
            <v/>
          </cell>
          <cell r="AV688" t="b">
            <v>0</v>
          </cell>
          <cell r="AW688" t="str">
            <v>minute</v>
          </cell>
        </row>
        <row r="689">
          <cell r="S689" t="str">
            <v>DOM NDL NDI80</v>
          </cell>
          <cell r="T689" t="str">
            <v>DOM</v>
          </cell>
          <cell r="U689" t="str">
            <v>NDL</v>
          </cell>
          <cell r="V689" t="str">
            <v>NDI80</v>
          </cell>
          <cell r="X689">
            <v>3.9E-2</v>
          </cell>
          <cell r="Y689">
            <v>0</v>
          </cell>
          <cell r="Z689">
            <v>3.9E-2</v>
          </cell>
          <cell r="AA689">
            <v>0</v>
          </cell>
          <cell r="AB689">
            <v>3.9E-2</v>
          </cell>
          <cell r="AC689">
            <v>0</v>
          </cell>
          <cell r="AD689">
            <v>3.9E-2</v>
          </cell>
          <cell r="AE689">
            <v>0</v>
          </cell>
          <cell r="AG689" t="str">
            <v/>
          </cell>
          <cell r="AH689" t="str">
            <v/>
          </cell>
          <cell r="AJ689">
            <v>3.9E-2</v>
          </cell>
          <cell r="AK689">
            <v>0</v>
          </cell>
          <cell r="AL689">
            <v>3.9E-2</v>
          </cell>
          <cell r="AM689">
            <v>0</v>
          </cell>
          <cell r="AN689">
            <v>3.9E-2</v>
          </cell>
          <cell r="AO689">
            <v>0</v>
          </cell>
          <cell r="AP689">
            <v>3.9E-2</v>
          </cell>
          <cell r="AQ689">
            <v>0</v>
          </cell>
          <cell r="AS689" t="str">
            <v/>
          </cell>
          <cell r="AT689" t="str">
            <v/>
          </cell>
          <cell r="AV689" t="b">
            <v>0</v>
          </cell>
          <cell r="AW689" t="str">
            <v>minute</v>
          </cell>
        </row>
        <row r="690">
          <cell r="S690" t="str">
            <v>DOM NDL NDI81</v>
          </cell>
          <cell r="T690" t="str">
            <v>DOM</v>
          </cell>
          <cell r="U690" t="str">
            <v>NDL</v>
          </cell>
          <cell r="V690" t="str">
            <v>NDI81</v>
          </cell>
          <cell r="X690">
            <v>4.02E-2</v>
          </cell>
          <cell r="Y690">
            <v>0</v>
          </cell>
          <cell r="Z690">
            <v>4.02E-2</v>
          </cell>
          <cell r="AA690">
            <v>0</v>
          </cell>
          <cell r="AB690">
            <v>4.02E-2</v>
          </cell>
          <cell r="AC690">
            <v>0</v>
          </cell>
          <cell r="AD690">
            <v>4.02E-2</v>
          </cell>
          <cell r="AE690">
            <v>0</v>
          </cell>
          <cell r="AG690" t="str">
            <v/>
          </cell>
          <cell r="AH690" t="str">
            <v/>
          </cell>
          <cell r="AJ690">
            <v>4.02E-2</v>
          </cell>
          <cell r="AK690">
            <v>0</v>
          </cell>
          <cell r="AL690">
            <v>4.02E-2</v>
          </cell>
          <cell r="AM690">
            <v>0</v>
          </cell>
          <cell r="AN690">
            <v>4.02E-2</v>
          </cell>
          <cell r="AO690">
            <v>0</v>
          </cell>
          <cell r="AP690">
            <v>4.02E-2</v>
          </cell>
          <cell r="AQ690">
            <v>0</v>
          </cell>
          <cell r="AS690" t="str">
            <v/>
          </cell>
          <cell r="AT690" t="str">
            <v/>
          </cell>
          <cell r="AV690" t="b">
            <v>0</v>
          </cell>
          <cell r="AW690" t="str">
            <v>minute</v>
          </cell>
        </row>
        <row r="691">
          <cell r="S691" t="str">
            <v>DOM NDL NDI82</v>
          </cell>
          <cell r="T691" t="str">
            <v>DOM</v>
          </cell>
          <cell r="U691" t="str">
            <v>NDL</v>
          </cell>
          <cell r="V691" t="str">
            <v>NDI82</v>
          </cell>
          <cell r="X691">
            <v>3.1199999999999999E-2</v>
          </cell>
          <cell r="Y691">
            <v>0</v>
          </cell>
          <cell r="Z691">
            <v>3.1199999999999999E-2</v>
          </cell>
          <cell r="AA691">
            <v>0</v>
          </cell>
          <cell r="AB691">
            <v>3.1199999999999999E-2</v>
          </cell>
          <cell r="AC691">
            <v>0</v>
          </cell>
          <cell r="AD691">
            <v>3.1199999999999999E-2</v>
          </cell>
          <cell r="AE691">
            <v>0</v>
          </cell>
          <cell r="AG691" t="str">
            <v/>
          </cell>
          <cell r="AH691" t="str">
            <v/>
          </cell>
          <cell r="AJ691">
            <v>3.1199999999999999E-2</v>
          </cell>
          <cell r="AK691">
            <v>0</v>
          </cell>
          <cell r="AL691">
            <v>3.1199999999999999E-2</v>
          </cell>
          <cell r="AM691">
            <v>0</v>
          </cell>
          <cell r="AN691">
            <v>3.1199999999999999E-2</v>
          </cell>
          <cell r="AO691">
            <v>0</v>
          </cell>
          <cell r="AP691">
            <v>3.1199999999999999E-2</v>
          </cell>
          <cell r="AQ691">
            <v>0</v>
          </cell>
          <cell r="AS691" t="str">
            <v/>
          </cell>
          <cell r="AT691" t="str">
            <v/>
          </cell>
          <cell r="AV691" t="b">
            <v>0</v>
          </cell>
          <cell r="AW691" t="str">
            <v>minute</v>
          </cell>
        </row>
        <row r="692">
          <cell r="S692" t="str">
            <v>DOM NDL NDI83</v>
          </cell>
          <cell r="T692" t="str">
            <v>DOM</v>
          </cell>
          <cell r="U692" t="str">
            <v>NDL</v>
          </cell>
          <cell r="V692" t="str">
            <v>NDI83</v>
          </cell>
          <cell r="X692">
            <v>4.1500000000000002E-2</v>
          </cell>
          <cell r="Y692">
            <v>0</v>
          </cell>
          <cell r="Z692">
            <v>4.1500000000000002E-2</v>
          </cell>
          <cell r="AA692">
            <v>0</v>
          </cell>
          <cell r="AB692">
            <v>4.1500000000000002E-2</v>
          </cell>
          <cell r="AC692">
            <v>0</v>
          </cell>
          <cell r="AD692">
            <v>4.1500000000000002E-2</v>
          </cell>
          <cell r="AE692">
            <v>0</v>
          </cell>
          <cell r="AG692" t="str">
            <v/>
          </cell>
          <cell r="AH692" t="str">
            <v/>
          </cell>
          <cell r="AJ692">
            <v>4.1500000000000002E-2</v>
          </cell>
          <cell r="AK692">
            <v>0</v>
          </cell>
          <cell r="AL692">
            <v>4.1500000000000002E-2</v>
          </cell>
          <cell r="AM692">
            <v>0</v>
          </cell>
          <cell r="AN692">
            <v>4.1500000000000002E-2</v>
          </cell>
          <cell r="AO692">
            <v>0</v>
          </cell>
          <cell r="AP692">
            <v>4.1500000000000002E-2</v>
          </cell>
          <cell r="AQ692">
            <v>0</v>
          </cell>
          <cell r="AS692" t="str">
            <v/>
          </cell>
          <cell r="AT692" t="str">
            <v/>
          </cell>
          <cell r="AV692" t="b">
            <v>0</v>
          </cell>
          <cell r="AW692" t="str">
            <v>minute</v>
          </cell>
        </row>
        <row r="693">
          <cell r="S693" t="str">
            <v>DOM NDL NDIPN</v>
          </cell>
          <cell r="T693" t="str">
            <v>DOM</v>
          </cell>
          <cell r="U693" t="str">
            <v>NDL</v>
          </cell>
          <cell r="V693" t="str">
            <v>NDIPN</v>
          </cell>
          <cell r="X693">
            <v>4.2299999999999997E-2</v>
          </cell>
          <cell r="Y693">
            <v>0</v>
          </cell>
          <cell r="Z693">
            <v>4.2299999999999997E-2</v>
          </cell>
          <cell r="AA693">
            <v>0</v>
          </cell>
          <cell r="AB693">
            <v>4.2299999999999997E-2</v>
          </cell>
          <cell r="AC693">
            <v>0</v>
          </cell>
          <cell r="AD693">
            <v>4.2299999999999997E-2</v>
          </cell>
          <cell r="AE693">
            <v>0</v>
          </cell>
          <cell r="AG693" t="str">
            <v/>
          </cell>
          <cell r="AH693" t="str">
            <v/>
          </cell>
          <cell r="AJ693">
            <v>4.2299999999999997E-2</v>
          </cell>
          <cell r="AK693">
            <v>0</v>
          </cell>
          <cell r="AL693">
            <v>4.2299999999999997E-2</v>
          </cell>
          <cell r="AM693">
            <v>0</v>
          </cell>
          <cell r="AN693">
            <v>4.2299999999999997E-2</v>
          </cell>
          <cell r="AO693">
            <v>0</v>
          </cell>
          <cell r="AP693">
            <v>4.2299999999999997E-2</v>
          </cell>
          <cell r="AQ693">
            <v>0</v>
          </cell>
          <cell r="AS693" t="str">
            <v/>
          </cell>
          <cell r="AT693" t="str">
            <v/>
          </cell>
          <cell r="AV693" t="b">
            <v>0</v>
          </cell>
          <cell r="AW693" t="str">
            <v>minute</v>
          </cell>
        </row>
        <row r="694">
          <cell r="S694" t="str">
            <v>DOM NDL NDPGC</v>
          </cell>
          <cell r="T694" t="str">
            <v>DOM</v>
          </cell>
          <cell r="U694" t="str">
            <v>NDL</v>
          </cell>
          <cell r="V694" t="str">
            <v>NDPGC</v>
          </cell>
          <cell r="X694">
            <v>0</v>
          </cell>
          <cell r="Y694">
            <v>1.43</v>
          </cell>
          <cell r="Z694">
            <v>0</v>
          </cell>
          <cell r="AA694">
            <v>1.43</v>
          </cell>
          <cell r="AB694">
            <v>0</v>
          </cell>
          <cell r="AC694">
            <v>1.43</v>
          </cell>
          <cell r="AD694">
            <v>0</v>
          </cell>
          <cell r="AE694">
            <v>1.43</v>
          </cell>
          <cell r="AG694" t="str">
            <v/>
          </cell>
          <cell r="AH694" t="str">
            <v/>
          </cell>
          <cell r="AJ694">
            <v>0</v>
          </cell>
          <cell r="AK694">
            <v>1.43</v>
          </cell>
          <cell r="AL694">
            <v>0</v>
          </cell>
          <cell r="AM694">
            <v>1.43</v>
          </cell>
          <cell r="AN694">
            <v>0</v>
          </cell>
          <cell r="AO694">
            <v>1.43</v>
          </cell>
          <cell r="AP694">
            <v>0</v>
          </cell>
          <cell r="AQ694">
            <v>1.43</v>
          </cell>
          <cell r="AS694" t="str">
            <v/>
          </cell>
          <cell r="AT694" t="str">
            <v/>
          </cell>
          <cell r="AV694" t="b">
            <v>0</v>
          </cell>
          <cell r="AW694" t="str">
            <v>call</v>
          </cell>
        </row>
        <row r="695">
          <cell r="S695" t="str">
            <v>DOM NDL NDPGM</v>
          </cell>
          <cell r="T695" t="str">
            <v>DOM</v>
          </cell>
          <cell r="U695" t="str">
            <v>NDL</v>
          </cell>
          <cell r="V695" t="str">
            <v>NDPGM</v>
          </cell>
          <cell r="X695">
            <v>0.87390000000000001</v>
          </cell>
          <cell r="Y695">
            <v>0</v>
          </cell>
          <cell r="Z695">
            <v>0.87390000000000001</v>
          </cell>
          <cell r="AA695">
            <v>0</v>
          </cell>
          <cell r="AB695">
            <v>0.87390000000000001</v>
          </cell>
          <cell r="AC695">
            <v>0</v>
          </cell>
          <cell r="AD695">
            <v>0.87390000000000001</v>
          </cell>
          <cell r="AE695">
            <v>0</v>
          </cell>
          <cell r="AG695" t="str">
            <v/>
          </cell>
          <cell r="AH695" t="str">
            <v/>
          </cell>
          <cell r="AJ695">
            <v>0.87390000000000001</v>
          </cell>
          <cell r="AK695">
            <v>0</v>
          </cell>
          <cell r="AL695">
            <v>0.87390000000000001</v>
          </cell>
          <cell r="AM695">
            <v>0</v>
          </cell>
          <cell r="AN695">
            <v>0.87390000000000001</v>
          </cell>
          <cell r="AO695">
            <v>0</v>
          </cell>
          <cell r="AP695">
            <v>0.87390000000000001</v>
          </cell>
          <cell r="AQ695">
            <v>0</v>
          </cell>
          <cell r="AS695" t="str">
            <v/>
          </cell>
          <cell r="AT695" t="str">
            <v/>
          </cell>
          <cell r="AV695" t="b">
            <v>0</v>
          </cell>
          <cell r="AW695" t="str">
            <v>minute</v>
          </cell>
        </row>
        <row r="696">
          <cell r="S696" t="str">
            <v>DOM NDL NDG01</v>
          </cell>
          <cell r="T696" t="str">
            <v>DOM</v>
          </cell>
          <cell r="U696" t="str">
            <v>NDL</v>
          </cell>
          <cell r="V696" t="str">
            <v>NDG01</v>
          </cell>
          <cell r="X696">
            <v>4.6600000000000003E-2</v>
          </cell>
          <cell r="Y696">
            <v>0</v>
          </cell>
          <cell r="Z696">
            <v>4.6600000000000003E-2</v>
          </cell>
          <cell r="AA696">
            <v>0</v>
          </cell>
          <cell r="AB696">
            <v>4.6600000000000003E-2</v>
          </cell>
          <cell r="AC696">
            <v>0</v>
          </cell>
          <cell r="AD696">
            <v>4.6600000000000003E-2</v>
          </cell>
          <cell r="AE696">
            <v>0</v>
          </cell>
          <cell r="AG696" t="str">
            <v/>
          </cell>
          <cell r="AH696" t="str">
            <v/>
          </cell>
          <cell r="AJ696">
            <v>4.6600000000000003E-2</v>
          </cell>
          <cell r="AK696">
            <v>0</v>
          </cell>
          <cell r="AL696">
            <v>4.6600000000000003E-2</v>
          </cell>
          <cell r="AM696">
            <v>0</v>
          </cell>
          <cell r="AN696">
            <v>4.6600000000000003E-2</v>
          </cell>
          <cell r="AO696">
            <v>0</v>
          </cell>
          <cell r="AP696">
            <v>4.6600000000000003E-2</v>
          </cell>
          <cell r="AQ696">
            <v>0</v>
          </cell>
          <cell r="AS696" t="str">
            <v/>
          </cell>
          <cell r="AT696" t="str">
            <v/>
          </cell>
          <cell r="AV696" t="b">
            <v>0</v>
          </cell>
          <cell r="AW696" t="str">
            <v>minute</v>
          </cell>
        </row>
        <row r="697">
          <cell r="S697" t="str">
            <v>DOM NDL NDG10</v>
          </cell>
          <cell r="T697" t="str">
            <v>DOM</v>
          </cell>
          <cell r="U697" t="str">
            <v>NDL</v>
          </cell>
          <cell r="V697" t="str">
            <v>NDG10</v>
          </cell>
          <cell r="X697">
            <v>0.10539999999999999</v>
          </cell>
          <cell r="Y697">
            <v>0</v>
          </cell>
          <cell r="Z697">
            <v>0.10539999999999999</v>
          </cell>
          <cell r="AA697">
            <v>0</v>
          </cell>
          <cell r="AB697">
            <v>0.10539999999999999</v>
          </cell>
          <cell r="AC697">
            <v>0</v>
          </cell>
          <cell r="AD697">
            <v>0.10539999999999999</v>
          </cell>
          <cell r="AE697">
            <v>0</v>
          </cell>
          <cell r="AG697" t="str">
            <v/>
          </cell>
          <cell r="AH697" t="str">
            <v/>
          </cell>
          <cell r="AJ697">
            <v>0.10539999999999999</v>
          </cell>
          <cell r="AK697">
            <v>0</v>
          </cell>
          <cell r="AL697">
            <v>0.10539999999999999</v>
          </cell>
          <cell r="AM697">
            <v>0</v>
          </cell>
          <cell r="AN697">
            <v>0.10539999999999999</v>
          </cell>
          <cell r="AO697">
            <v>0</v>
          </cell>
          <cell r="AP697">
            <v>0.10539999999999999</v>
          </cell>
          <cell r="AQ697">
            <v>0</v>
          </cell>
          <cell r="AS697" t="str">
            <v/>
          </cell>
          <cell r="AT697" t="str">
            <v/>
          </cell>
          <cell r="AV697" t="b">
            <v>0</v>
          </cell>
          <cell r="AW697" t="str">
            <v>minute</v>
          </cell>
        </row>
        <row r="698">
          <cell r="S698" t="str">
            <v>DOM NDL NDG11</v>
          </cell>
          <cell r="T698" t="str">
            <v>DOM</v>
          </cell>
          <cell r="U698" t="str">
            <v>NDL</v>
          </cell>
          <cell r="V698" t="str">
            <v>NDG11</v>
          </cell>
          <cell r="X698">
            <v>0.1138</v>
          </cell>
          <cell r="Y698">
            <v>0</v>
          </cell>
          <cell r="Z698">
            <v>0.1138</v>
          </cell>
          <cell r="AA698">
            <v>0</v>
          </cell>
          <cell r="AB698">
            <v>0.1138</v>
          </cell>
          <cell r="AC698">
            <v>0</v>
          </cell>
          <cell r="AD698">
            <v>0.1138</v>
          </cell>
          <cell r="AE698">
            <v>0</v>
          </cell>
          <cell r="AG698" t="str">
            <v/>
          </cell>
          <cell r="AH698" t="str">
            <v/>
          </cell>
          <cell r="AJ698">
            <v>0.1138</v>
          </cell>
          <cell r="AK698">
            <v>0</v>
          </cell>
          <cell r="AL698">
            <v>0.1138</v>
          </cell>
          <cell r="AM698">
            <v>0</v>
          </cell>
          <cell r="AN698">
            <v>0.1138</v>
          </cell>
          <cell r="AO698">
            <v>0</v>
          </cell>
          <cell r="AP698">
            <v>0.1138</v>
          </cell>
          <cell r="AQ698">
            <v>0</v>
          </cell>
          <cell r="AS698" t="str">
            <v/>
          </cell>
          <cell r="AT698" t="str">
            <v/>
          </cell>
          <cell r="AV698" t="b">
            <v>0</v>
          </cell>
          <cell r="AW698" t="str">
            <v>minute</v>
          </cell>
        </row>
        <row r="699">
          <cell r="S699" t="str">
            <v>DOM NDL NDG12</v>
          </cell>
          <cell r="T699" t="str">
            <v>DOM</v>
          </cell>
          <cell r="U699" t="str">
            <v>NDL</v>
          </cell>
          <cell r="V699" t="str">
            <v>NDG12</v>
          </cell>
          <cell r="X699">
            <v>0.1222</v>
          </cell>
          <cell r="Y699">
            <v>0</v>
          </cell>
          <cell r="Z699">
            <v>0.1222</v>
          </cell>
          <cell r="AA699">
            <v>0</v>
          </cell>
          <cell r="AB699">
            <v>0.1222</v>
          </cell>
          <cell r="AC699">
            <v>0</v>
          </cell>
          <cell r="AD699">
            <v>0.1222</v>
          </cell>
          <cell r="AE699">
            <v>0</v>
          </cell>
          <cell r="AG699" t="str">
            <v/>
          </cell>
          <cell r="AH699" t="str">
            <v/>
          </cell>
          <cell r="AJ699">
            <v>0.1222</v>
          </cell>
          <cell r="AK699">
            <v>0</v>
          </cell>
          <cell r="AL699">
            <v>0.1222</v>
          </cell>
          <cell r="AM699">
            <v>0</v>
          </cell>
          <cell r="AN699">
            <v>0.1222</v>
          </cell>
          <cell r="AO699">
            <v>0</v>
          </cell>
          <cell r="AP699">
            <v>0.1222</v>
          </cell>
          <cell r="AQ699">
            <v>0</v>
          </cell>
          <cell r="AS699" t="str">
            <v/>
          </cell>
          <cell r="AT699" t="str">
            <v/>
          </cell>
          <cell r="AV699" t="b">
            <v>0</v>
          </cell>
          <cell r="AW699" t="str">
            <v>minute</v>
          </cell>
        </row>
        <row r="700">
          <cell r="S700" t="str">
            <v>DOM NDL NDG13</v>
          </cell>
          <cell r="T700" t="str">
            <v>DOM</v>
          </cell>
          <cell r="U700" t="str">
            <v>NDL</v>
          </cell>
          <cell r="V700" t="str">
            <v>NDG13</v>
          </cell>
          <cell r="X700">
            <v>0.1474</v>
          </cell>
          <cell r="Y700">
            <v>0</v>
          </cell>
          <cell r="Z700">
            <v>0.1474</v>
          </cell>
          <cell r="AA700">
            <v>0</v>
          </cell>
          <cell r="AB700">
            <v>0.1474</v>
          </cell>
          <cell r="AC700">
            <v>0</v>
          </cell>
          <cell r="AD700">
            <v>0.1474</v>
          </cell>
          <cell r="AE700">
            <v>0</v>
          </cell>
          <cell r="AG700" t="str">
            <v/>
          </cell>
          <cell r="AH700" t="str">
            <v/>
          </cell>
          <cell r="AJ700">
            <v>0.1474</v>
          </cell>
          <cell r="AK700">
            <v>0</v>
          </cell>
          <cell r="AL700">
            <v>0.1474</v>
          </cell>
          <cell r="AM700">
            <v>0</v>
          </cell>
          <cell r="AN700">
            <v>0.1474</v>
          </cell>
          <cell r="AO700">
            <v>0</v>
          </cell>
          <cell r="AP700">
            <v>0.1474</v>
          </cell>
          <cell r="AQ700">
            <v>0</v>
          </cell>
          <cell r="AS700" t="str">
            <v/>
          </cell>
          <cell r="AT700" t="str">
            <v/>
          </cell>
          <cell r="AV700" t="b">
            <v>0</v>
          </cell>
          <cell r="AW700" t="str">
            <v>minute</v>
          </cell>
        </row>
        <row r="701">
          <cell r="S701" t="str">
            <v>DOM NDL NDG14</v>
          </cell>
          <cell r="T701" t="str">
            <v>DOM</v>
          </cell>
          <cell r="U701" t="str">
            <v>NDL</v>
          </cell>
          <cell r="V701" t="str">
            <v>NDG14</v>
          </cell>
          <cell r="X701">
            <v>0.16420000000000001</v>
          </cell>
          <cell r="Y701">
            <v>0</v>
          </cell>
          <cell r="Z701">
            <v>0.16420000000000001</v>
          </cell>
          <cell r="AA701">
            <v>0</v>
          </cell>
          <cell r="AB701">
            <v>0.16420000000000001</v>
          </cell>
          <cell r="AC701">
            <v>0</v>
          </cell>
          <cell r="AD701">
            <v>0.16420000000000001</v>
          </cell>
          <cell r="AE701">
            <v>0</v>
          </cell>
          <cell r="AG701" t="str">
            <v/>
          </cell>
          <cell r="AH701" t="str">
            <v/>
          </cell>
          <cell r="AJ701">
            <v>0.16420000000000001</v>
          </cell>
          <cell r="AK701">
            <v>0</v>
          </cell>
          <cell r="AL701">
            <v>0.16420000000000001</v>
          </cell>
          <cell r="AM701">
            <v>0</v>
          </cell>
          <cell r="AN701">
            <v>0.16420000000000001</v>
          </cell>
          <cell r="AO701">
            <v>0</v>
          </cell>
          <cell r="AP701">
            <v>0.16420000000000001</v>
          </cell>
          <cell r="AQ701">
            <v>0</v>
          </cell>
          <cell r="AS701" t="str">
            <v/>
          </cell>
          <cell r="AT701" t="str">
            <v/>
          </cell>
          <cell r="AV701" t="b">
            <v>0</v>
          </cell>
          <cell r="AW701" t="str">
            <v>minute</v>
          </cell>
        </row>
        <row r="702">
          <cell r="S702" t="str">
            <v>DOM NDL NDG15</v>
          </cell>
          <cell r="T702" t="str">
            <v>DOM</v>
          </cell>
          <cell r="U702" t="str">
            <v>NDL</v>
          </cell>
          <cell r="V702" t="str">
            <v>NDG15</v>
          </cell>
          <cell r="X702">
            <v>0.18940000000000001</v>
          </cell>
          <cell r="Y702">
            <v>0</v>
          </cell>
          <cell r="Z702">
            <v>0.18940000000000001</v>
          </cell>
          <cell r="AA702">
            <v>0</v>
          </cell>
          <cell r="AB702">
            <v>0.18940000000000001</v>
          </cell>
          <cell r="AC702">
            <v>0</v>
          </cell>
          <cell r="AD702">
            <v>0.18940000000000001</v>
          </cell>
          <cell r="AE702">
            <v>0</v>
          </cell>
          <cell r="AG702" t="str">
            <v/>
          </cell>
          <cell r="AH702" t="str">
            <v/>
          </cell>
          <cell r="AJ702">
            <v>0.18940000000000001</v>
          </cell>
          <cell r="AK702">
            <v>0</v>
          </cell>
          <cell r="AL702">
            <v>0.18940000000000001</v>
          </cell>
          <cell r="AM702">
            <v>0</v>
          </cell>
          <cell r="AN702">
            <v>0.18940000000000001</v>
          </cell>
          <cell r="AO702">
            <v>0</v>
          </cell>
          <cell r="AP702">
            <v>0.18940000000000001</v>
          </cell>
          <cell r="AQ702">
            <v>0</v>
          </cell>
          <cell r="AS702" t="str">
            <v/>
          </cell>
          <cell r="AT702" t="str">
            <v/>
          </cell>
          <cell r="AV702" t="b">
            <v>0</v>
          </cell>
          <cell r="AW702" t="str">
            <v>minute</v>
          </cell>
        </row>
        <row r="703">
          <cell r="S703" t="str">
            <v>DOM NDL NDG16</v>
          </cell>
          <cell r="T703" t="str">
            <v>DOM</v>
          </cell>
          <cell r="U703" t="str">
            <v>NDL</v>
          </cell>
          <cell r="V703" t="str">
            <v>NDG16</v>
          </cell>
          <cell r="X703">
            <v>0.20619999999999999</v>
          </cell>
          <cell r="Y703">
            <v>0</v>
          </cell>
          <cell r="Z703">
            <v>0.20619999999999999</v>
          </cell>
          <cell r="AA703">
            <v>0</v>
          </cell>
          <cell r="AB703">
            <v>0.20619999999999999</v>
          </cell>
          <cell r="AC703">
            <v>0</v>
          </cell>
          <cell r="AD703">
            <v>0.20619999999999999</v>
          </cell>
          <cell r="AE703">
            <v>0</v>
          </cell>
          <cell r="AG703" t="str">
            <v/>
          </cell>
          <cell r="AH703" t="str">
            <v/>
          </cell>
          <cell r="AJ703">
            <v>0.20619999999999999</v>
          </cell>
          <cell r="AK703">
            <v>0</v>
          </cell>
          <cell r="AL703">
            <v>0.20619999999999999</v>
          </cell>
          <cell r="AM703">
            <v>0</v>
          </cell>
          <cell r="AN703">
            <v>0.20619999999999999</v>
          </cell>
          <cell r="AO703">
            <v>0</v>
          </cell>
          <cell r="AP703">
            <v>0.20619999999999999</v>
          </cell>
          <cell r="AQ703">
            <v>0</v>
          </cell>
          <cell r="AS703" t="str">
            <v/>
          </cell>
          <cell r="AT703" t="str">
            <v/>
          </cell>
          <cell r="AV703" t="b">
            <v>0</v>
          </cell>
          <cell r="AW703" t="str">
            <v>minute</v>
          </cell>
        </row>
        <row r="704">
          <cell r="S704" t="str">
            <v>DOM NDL NDG17</v>
          </cell>
          <cell r="T704" t="str">
            <v>DOM</v>
          </cell>
          <cell r="U704" t="str">
            <v>NDL</v>
          </cell>
          <cell r="V704" t="str">
            <v>NDG17</v>
          </cell>
          <cell r="X704">
            <v>0.2482</v>
          </cell>
          <cell r="Y704">
            <v>0</v>
          </cell>
          <cell r="Z704">
            <v>0.2482</v>
          </cell>
          <cell r="AA704">
            <v>0</v>
          </cell>
          <cell r="AB704">
            <v>0.2482</v>
          </cell>
          <cell r="AC704">
            <v>0</v>
          </cell>
          <cell r="AD704">
            <v>0.2482</v>
          </cell>
          <cell r="AE704">
            <v>0</v>
          </cell>
          <cell r="AG704" t="str">
            <v/>
          </cell>
          <cell r="AH704" t="str">
            <v/>
          </cell>
          <cell r="AJ704">
            <v>0.2482</v>
          </cell>
          <cell r="AK704">
            <v>0</v>
          </cell>
          <cell r="AL704">
            <v>0.2482</v>
          </cell>
          <cell r="AM704">
            <v>0</v>
          </cell>
          <cell r="AN704">
            <v>0.2482</v>
          </cell>
          <cell r="AO704">
            <v>0</v>
          </cell>
          <cell r="AP704">
            <v>0.2482</v>
          </cell>
          <cell r="AQ704">
            <v>0</v>
          </cell>
          <cell r="AS704" t="str">
            <v/>
          </cell>
          <cell r="AT704" t="str">
            <v/>
          </cell>
          <cell r="AV704" t="b">
            <v>0</v>
          </cell>
          <cell r="AW704" t="str">
            <v>minute</v>
          </cell>
        </row>
        <row r="705">
          <cell r="S705" t="str">
            <v>DOM NDL NDG18</v>
          </cell>
          <cell r="T705" t="str">
            <v>DOM</v>
          </cell>
          <cell r="U705" t="str">
            <v>NDL</v>
          </cell>
          <cell r="V705" t="str">
            <v>NDG18</v>
          </cell>
          <cell r="X705">
            <v>0.2903</v>
          </cell>
          <cell r="Y705">
            <v>0</v>
          </cell>
          <cell r="Z705">
            <v>0.2903</v>
          </cell>
          <cell r="AA705">
            <v>0</v>
          </cell>
          <cell r="AB705">
            <v>0.2903</v>
          </cell>
          <cell r="AC705">
            <v>0</v>
          </cell>
          <cell r="AD705">
            <v>0.2903</v>
          </cell>
          <cell r="AE705">
            <v>0</v>
          </cell>
          <cell r="AG705" t="str">
            <v/>
          </cell>
          <cell r="AH705" t="str">
            <v/>
          </cell>
          <cell r="AJ705">
            <v>0.2903</v>
          </cell>
          <cell r="AK705">
            <v>0</v>
          </cell>
          <cell r="AL705">
            <v>0.2903</v>
          </cell>
          <cell r="AM705">
            <v>0</v>
          </cell>
          <cell r="AN705">
            <v>0.2903</v>
          </cell>
          <cell r="AO705">
            <v>0</v>
          </cell>
          <cell r="AP705">
            <v>0.2903</v>
          </cell>
          <cell r="AQ705">
            <v>0</v>
          </cell>
          <cell r="AS705" t="str">
            <v/>
          </cell>
          <cell r="AT705" t="str">
            <v/>
          </cell>
          <cell r="AV705" t="b">
            <v>0</v>
          </cell>
          <cell r="AW705" t="str">
            <v>minute</v>
          </cell>
        </row>
        <row r="706">
          <cell r="S706" t="str">
            <v>DOM NDL NDG19</v>
          </cell>
          <cell r="T706" t="str">
            <v>DOM</v>
          </cell>
          <cell r="U706" t="str">
            <v>NDL</v>
          </cell>
          <cell r="V706" t="str">
            <v>NDG19</v>
          </cell>
          <cell r="X706">
            <v>0.33229999999999998</v>
          </cell>
          <cell r="Y706">
            <v>0</v>
          </cell>
          <cell r="Z706">
            <v>0.33229999999999998</v>
          </cell>
          <cell r="AA706">
            <v>0</v>
          </cell>
          <cell r="AB706">
            <v>0.33229999999999998</v>
          </cell>
          <cell r="AC706">
            <v>0</v>
          </cell>
          <cell r="AD706">
            <v>0.33229999999999998</v>
          </cell>
          <cell r="AE706">
            <v>0</v>
          </cell>
          <cell r="AG706" t="str">
            <v/>
          </cell>
          <cell r="AH706" t="str">
            <v/>
          </cell>
          <cell r="AJ706">
            <v>0.33229999999999998</v>
          </cell>
          <cell r="AK706">
            <v>0</v>
          </cell>
          <cell r="AL706">
            <v>0.33229999999999998</v>
          </cell>
          <cell r="AM706">
            <v>0</v>
          </cell>
          <cell r="AN706">
            <v>0.33229999999999998</v>
          </cell>
          <cell r="AO706">
            <v>0</v>
          </cell>
          <cell r="AP706">
            <v>0.33229999999999998</v>
          </cell>
          <cell r="AQ706">
            <v>0</v>
          </cell>
          <cell r="AS706" t="str">
            <v/>
          </cell>
          <cell r="AT706" t="str">
            <v/>
          </cell>
          <cell r="AV706" t="b">
            <v>0</v>
          </cell>
          <cell r="AW706" t="str">
            <v>minute</v>
          </cell>
        </row>
        <row r="707">
          <cell r="S707" t="str">
            <v>DOM NDL NDG02</v>
          </cell>
          <cell r="T707" t="str">
            <v>DOM</v>
          </cell>
          <cell r="U707" t="str">
            <v>NDL</v>
          </cell>
          <cell r="V707" t="str">
            <v>NDG02</v>
          </cell>
          <cell r="X707">
            <v>5.5E-2</v>
          </cell>
          <cell r="Y707">
            <v>0</v>
          </cell>
          <cell r="Z707">
            <v>5.5E-2</v>
          </cell>
          <cell r="AA707">
            <v>0</v>
          </cell>
          <cell r="AB707">
            <v>5.5E-2</v>
          </cell>
          <cell r="AC707">
            <v>0</v>
          </cell>
          <cell r="AD707">
            <v>5.5E-2</v>
          </cell>
          <cell r="AE707">
            <v>0</v>
          </cell>
          <cell r="AG707" t="str">
            <v/>
          </cell>
          <cell r="AH707" t="str">
            <v/>
          </cell>
          <cell r="AJ707">
            <v>5.5E-2</v>
          </cell>
          <cell r="AK707">
            <v>0</v>
          </cell>
          <cell r="AL707">
            <v>5.5E-2</v>
          </cell>
          <cell r="AM707">
            <v>0</v>
          </cell>
          <cell r="AN707">
            <v>5.5E-2</v>
          </cell>
          <cell r="AO707">
            <v>0</v>
          </cell>
          <cell r="AP707">
            <v>5.5E-2</v>
          </cell>
          <cell r="AQ707">
            <v>0</v>
          </cell>
          <cell r="AS707" t="str">
            <v/>
          </cell>
          <cell r="AT707" t="str">
            <v/>
          </cell>
          <cell r="AV707" t="b">
            <v>0</v>
          </cell>
          <cell r="AW707" t="str">
            <v>minute</v>
          </cell>
        </row>
        <row r="708">
          <cell r="S708" t="str">
            <v>DOM NDL NDG20</v>
          </cell>
          <cell r="T708" t="str">
            <v>DOM</v>
          </cell>
          <cell r="U708" t="str">
            <v>NDL</v>
          </cell>
          <cell r="V708" t="str">
            <v>NDG20</v>
          </cell>
          <cell r="X708">
            <v>0.37430000000000002</v>
          </cell>
          <cell r="Y708">
            <v>0</v>
          </cell>
          <cell r="Z708">
            <v>0.37430000000000002</v>
          </cell>
          <cell r="AA708">
            <v>0</v>
          </cell>
          <cell r="AB708">
            <v>0.37430000000000002</v>
          </cell>
          <cell r="AC708">
            <v>0</v>
          </cell>
          <cell r="AD708">
            <v>0.37430000000000002</v>
          </cell>
          <cell r="AE708">
            <v>0</v>
          </cell>
          <cell r="AG708" t="str">
            <v/>
          </cell>
          <cell r="AH708" t="str">
            <v/>
          </cell>
          <cell r="AJ708">
            <v>0.37430000000000002</v>
          </cell>
          <cell r="AK708">
            <v>0</v>
          </cell>
          <cell r="AL708">
            <v>0.37430000000000002</v>
          </cell>
          <cell r="AM708">
            <v>0</v>
          </cell>
          <cell r="AN708">
            <v>0.37430000000000002</v>
          </cell>
          <cell r="AO708">
            <v>0</v>
          </cell>
          <cell r="AP708">
            <v>0.37430000000000002</v>
          </cell>
          <cell r="AQ708">
            <v>0</v>
          </cell>
          <cell r="AS708" t="str">
            <v/>
          </cell>
          <cell r="AT708" t="str">
            <v/>
          </cell>
          <cell r="AV708" t="b">
            <v>0</v>
          </cell>
          <cell r="AW708" t="str">
            <v>minute</v>
          </cell>
        </row>
        <row r="709">
          <cell r="S709" t="str">
            <v>DOM NDL NDG21</v>
          </cell>
          <cell r="T709" t="str">
            <v>DOM</v>
          </cell>
          <cell r="U709" t="str">
            <v>NDL</v>
          </cell>
          <cell r="V709" t="str">
            <v>NDG21</v>
          </cell>
          <cell r="X709">
            <v>0.4163</v>
          </cell>
          <cell r="Y709">
            <v>0</v>
          </cell>
          <cell r="Z709">
            <v>0.4163</v>
          </cell>
          <cell r="AA709">
            <v>0</v>
          </cell>
          <cell r="AB709">
            <v>0.4163</v>
          </cell>
          <cell r="AC709">
            <v>0</v>
          </cell>
          <cell r="AD709">
            <v>0.4163</v>
          </cell>
          <cell r="AE709">
            <v>0</v>
          </cell>
          <cell r="AG709" t="str">
            <v/>
          </cell>
          <cell r="AH709" t="str">
            <v/>
          </cell>
          <cell r="AJ709">
            <v>0.4163</v>
          </cell>
          <cell r="AK709">
            <v>0</v>
          </cell>
          <cell r="AL709">
            <v>0.4163</v>
          </cell>
          <cell r="AM709">
            <v>0</v>
          </cell>
          <cell r="AN709">
            <v>0.4163</v>
          </cell>
          <cell r="AO709">
            <v>0</v>
          </cell>
          <cell r="AP709">
            <v>0.4163</v>
          </cell>
          <cell r="AQ709">
            <v>0</v>
          </cell>
          <cell r="AS709" t="str">
            <v/>
          </cell>
          <cell r="AT709" t="str">
            <v/>
          </cell>
          <cell r="AV709" t="b">
            <v>0</v>
          </cell>
          <cell r="AW709" t="str">
            <v>minute</v>
          </cell>
        </row>
        <row r="710">
          <cell r="S710" t="str">
            <v>DOM NDL NDG22</v>
          </cell>
          <cell r="T710" t="str">
            <v>DOM</v>
          </cell>
          <cell r="U710" t="str">
            <v>NDL</v>
          </cell>
          <cell r="V710" t="str">
            <v>NDG22</v>
          </cell>
          <cell r="X710">
            <v>0.45829999999999999</v>
          </cell>
          <cell r="Y710">
            <v>0</v>
          </cell>
          <cell r="Z710">
            <v>0.45829999999999999</v>
          </cell>
          <cell r="AA710">
            <v>0</v>
          </cell>
          <cell r="AB710">
            <v>0.45829999999999999</v>
          </cell>
          <cell r="AC710">
            <v>0</v>
          </cell>
          <cell r="AD710">
            <v>0.45829999999999999</v>
          </cell>
          <cell r="AE710">
            <v>0</v>
          </cell>
          <cell r="AG710" t="str">
            <v/>
          </cell>
          <cell r="AH710" t="str">
            <v/>
          </cell>
          <cell r="AJ710">
            <v>0.45829999999999999</v>
          </cell>
          <cell r="AK710">
            <v>0</v>
          </cell>
          <cell r="AL710">
            <v>0.45829999999999999</v>
          </cell>
          <cell r="AM710">
            <v>0</v>
          </cell>
          <cell r="AN710">
            <v>0.45829999999999999</v>
          </cell>
          <cell r="AO710">
            <v>0</v>
          </cell>
          <cell r="AP710">
            <v>0.45829999999999999</v>
          </cell>
          <cell r="AQ710">
            <v>0</v>
          </cell>
          <cell r="AS710" t="str">
            <v/>
          </cell>
          <cell r="AT710" t="str">
            <v/>
          </cell>
          <cell r="AV710" t="b">
            <v>0</v>
          </cell>
          <cell r="AW710" t="str">
            <v>minute</v>
          </cell>
        </row>
        <row r="711">
          <cell r="S711" t="str">
            <v>DOM NDL NDG23</v>
          </cell>
          <cell r="T711" t="str">
            <v>DOM</v>
          </cell>
          <cell r="U711" t="str">
            <v>NDL</v>
          </cell>
          <cell r="V711" t="str">
            <v>NDG23</v>
          </cell>
          <cell r="X711">
            <v>0.50019999999999998</v>
          </cell>
          <cell r="Y711">
            <v>0</v>
          </cell>
          <cell r="Z711">
            <v>0.50019999999999998</v>
          </cell>
          <cell r="AA711">
            <v>0</v>
          </cell>
          <cell r="AB711">
            <v>0.50019999999999998</v>
          </cell>
          <cell r="AC711">
            <v>0</v>
          </cell>
          <cell r="AD711">
            <v>0.50019999999999998</v>
          </cell>
          <cell r="AE711">
            <v>0</v>
          </cell>
          <cell r="AG711" t="str">
            <v/>
          </cell>
          <cell r="AH711" t="str">
            <v/>
          </cell>
          <cell r="AJ711">
            <v>0.50019999999999998</v>
          </cell>
          <cell r="AK711">
            <v>0</v>
          </cell>
          <cell r="AL711">
            <v>0.50019999999999998</v>
          </cell>
          <cell r="AM711">
            <v>0</v>
          </cell>
          <cell r="AN711">
            <v>0.50019999999999998</v>
          </cell>
          <cell r="AO711">
            <v>0</v>
          </cell>
          <cell r="AP711">
            <v>0.50019999999999998</v>
          </cell>
          <cell r="AQ711">
            <v>0</v>
          </cell>
          <cell r="AS711" t="str">
            <v/>
          </cell>
          <cell r="AT711" t="str">
            <v/>
          </cell>
          <cell r="AV711" t="b">
            <v>0</v>
          </cell>
          <cell r="AW711" t="str">
            <v>minute</v>
          </cell>
        </row>
        <row r="712">
          <cell r="S712" t="str">
            <v>DOM NDL NDG24</v>
          </cell>
          <cell r="T712" t="str">
            <v>DOM</v>
          </cell>
          <cell r="U712" t="str">
            <v>NDL</v>
          </cell>
          <cell r="V712" t="str">
            <v>NDG24</v>
          </cell>
          <cell r="X712">
            <v>0.54239999999999999</v>
          </cell>
          <cell r="Y712">
            <v>0</v>
          </cell>
          <cell r="Z712">
            <v>0.54239999999999999</v>
          </cell>
          <cell r="AA712">
            <v>0</v>
          </cell>
          <cell r="AB712">
            <v>0.54239999999999999</v>
          </cell>
          <cell r="AC712">
            <v>0</v>
          </cell>
          <cell r="AD712">
            <v>0.54239999999999999</v>
          </cell>
          <cell r="AE712">
            <v>0</v>
          </cell>
          <cell r="AG712" t="str">
            <v/>
          </cell>
          <cell r="AH712" t="str">
            <v/>
          </cell>
          <cell r="AJ712">
            <v>0.54239999999999999</v>
          </cell>
          <cell r="AK712">
            <v>0</v>
          </cell>
          <cell r="AL712">
            <v>0.54239999999999999</v>
          </cell>
          <cell r="AM712">
            <v>0</v>
          </cell>
          <cell r="AN712">
            <v>0.54239999999999999</v>
          </cell>
          <cell r="AO712">
            <v>0</v>
          </cell>
          <cell r="AP712">
            <v>0.54239999999999999</v>
          </cell>
          <cell r="AQ712">
            <v>0</v>
          </cell>
          <cell r="AS712" t="str">
            <v/>
          </cell>
          <cell r="AT712" t="str">
            <v/>
          </cell>
          <cell r="AV712" t="b">
            <v>0</v>
          </cell>
          <cell r="AW712" t="str">
            <v>minute</v>
          </cell>
        </row>
        <row r="713">
          <cell r="S713" t="str">
            <v>DOM NDL NDG25</v>
          </cell>
          <cell r="T713" t="str">
            <v>DOM</v>
          </cell>
          <cell r="U713" t="str">
            <v>NDL</v>
          </cell>
          <cell r="V713" t="str">
            <v>NDG25</v>
          </cell>
          <cell r="X713">
            <v>0.58440000000000003</v>
          </cell>
          <cell r="Y713">
            <v>0</v>
          </cell>
          <cell r="Z713">
            <v>0.58440000000000003</v>
          </cell>
          <cell r="AA713">
            <v>0</v>
          </cell>
          <cell r="AB713">
            <v>0.58440000000000003</v>
          </cell>
          <cell r="AC713">
            <v>0</v>
          </cell>
          <cell r="AD713">
            <v>0.58440000000000003</v>
          </cell>
          <cell r="AE713">
            <v>0</v>
          </cell>
          <cell r="AG713" t="str">
            <v/>
          </cell>
          <cell r="AH713" t="str">
            <v/>
          </cell>
          <cell r="AJ713">
            <v>0.58440000000000003</v>
          </cell>
          <cell r="AK713">
            <v>0</v>
          </cell>
          <cell r="AL713">
            <v>0.58440000000000003</v>
          </cell>
          <cell r="AM713">
            <v>0</v>
          </cell>
          <cell r="AN713">
            <v>0.58440000000000003</v>
          </cell>
          <cell r="AO713">
            <v>0</v>
          </cell>
          <cell r="AP713">
            <v>0.58440000000000003</v>
          </cell>
          <cell r="AQ713">
            <v>0</v>
          </cell>
          <cell r="AS713" t="str">
            <v/>
          </cell>
          <cell r="AT713" t="str">
            <v/>
          </cell>
          <cell r="AV713" t="b">
            <v>0</v>
          </cell>
          <cell r="AW713" t="str">
            <v>minute</v>
          </cell>
        </row>
        <row r="714">
          <cell r="S714" t="str">
            <v>DOM NDL NDG26</v>
          </cell>
          <cell r="T714" t="str">
            <v>DOM</v>
          </cell>
          <cell r="U714" t="str">
            <v>NDL</v>
          </cell>
          <cell r="V714" t="str">
            <v>NDG26</v>
          </cell>
          <cell r="X714">
            <v>0.62639999999999996</v>
          </cell>
          <cell r="Y714">
            <v>0</v>
          </cell>
          <cell r="Z714">
            <v>0.62639999999999996</v>
          </cell>
          <cell r="AA714">
            <v>0</v>
          </cell>
          <cell r="AB714">
            <v>0.62639999999999996</v>
          </cell>
          <cell r="AC714">
            <v>0</v>
          </cell>
          <cell r="AD714">
            <v>0.62639999999999996</v>
          </cell>
          <cell r="AE714">
            <v>0</v>
          </cell>
          <cell r="AG714" t="str">
            <v/>
          </cell>
          <cell r="AH714" t="str">
            <v/>
          </cell>
          <cell r="AJ714">
            <v>0.62639999999999996</v>
          </cell>
          <cell r="AK714">
            <v>0</v>
          </cell>
          <cell r="AL714">
            <v>0.62639999999999996</v>
          </cell>
          <cell r="AM714">
            <v>0</v>
          </cell>
          <cell r="AN714">
            <v>0.62639999999999996</v>
          </cell>
          <cell r="AO714">
            <v>0</v>
          </cell>
          <cell r="AP714">
            <v>0.62639999999999996</v>
          </cell>
          <cell r="AQ714">
            <v>0</v>
          </cell>
          <cell r="AS714" t="str">
            <v/>
          </cell>
          <cell r="AT714" t="str">
            <v/>
          </cell>
          <cell r="AV714" t="b">
            <v>0</v>
          </cell>
          <cell r="AW714" t="str">
            <v>minute</v>
          </cell>
        </row>
        <row r="715">
          <cell r="S715" t="str">
            <v>DOM NDL NDG27</v>
          </cell>
          <cell r="T715" t="str">
            <v>DOM</v>
          </cell>
          <cell r="U715" t="str">
            <v>NDL</v>
          </cell>
          <cell r="V715" t="str">
            <v>NDG27</v>
          </cell>
          <cell r="X715">
            <v>0.71040000000000003</v>
          </cell>
          <cell r="Y715">
            <v>0</v>
          </cell>
          <cell r="Z715">
            <v>0.71040000000000003</v>
          </cell>
          <cell r="AA715">
            <v>0</v>
          </cell>
          <cell r="AB715">
            <v>0.71040000000000003</v>
          </cell>
          <cell r="AC715">
            <v>0</v>
          </cell>
          <cell r="AD715">
            <v>0.71040000000000003</v>
          </cell>
          <cell r="AE715">
            <v>0</v>
          </cell>
          <cell r="AG715" t="str">
            <v/>
          </cell>
          <cell r="AH715" t="str">
            <v/>
          </cell>
          <cell r="AJ715">
            <v>0.71040000000000003</v>
          </cell>
          <cell r="AK715">
            <v>0</v>
          </cell>
          <cell r="AL715">
            <v>0.71040000000000003</v>
          </cell>
          <cell r="AM715">
            <v>0</v>
          </cell>
          <cell r="AN715">
            <v>0.71040000000000003</v>
          </cell>
          <cell r="AO715">
            <v>0</v>
          </cell>
          <cell r="AP715">
            <v>0.71040000000000003</v>
          </cell>
          <cell r="AQ715">
            <v>0</v>
          </cell>
          <cell r="AS715" t="str">
            <v/>
          </cell>
          <cell r="AT715" t="str">
            <v/>
          </cell>
          <cell r="AV715" t="b">
            <v>0</v>
          </cell>
          <cell r="AW715" t="str">
            <v>minute</v>
          </cell>
        </row>
        <row r="716">
          <cell r="S716" t="str">
            <v>DOM NDL NDG28</v>
          </cell>
          <cell r="T716" t="str">
            <v>DOM</v>
          </cell>
          <cell r="U716" t="str">
            <v>NDL</v>
          </cell>
          <cell r="V716" t="str">
            <v>NDG28</v>
          </cell>
          <cell r="X716">
            <v>0</v>
          </cell>
          <cell r="Y716">
            <v>6.3E-2</v>
          </cell>
          <cell r="Z716">
            <v>0</v>
          </cell>
          <cell r="AA716">
            <v>6.3E-2</v>
          </cell>
          <cell r="AB716">
            <v>0</v>
          </cell>
          <cell r="AC716">
            <v>6.3E-2</v>
          </cell>
          <cell r="AD716">
            <v>0</v>
          </cell>
          <cell r="AE716">
            <v>6.3E-2</v>
          </cell>
          <cell r="AG716" t="str">
            <v/>
          </cell>
          <cell r="AH716" t="str">
            <v/>
          </cell>
          <cell r="AJ716">
            <v>0</v>
          </cell>
          <cell r="AK716">
            <v>6.3E-2</v>
          </cell>
          <cell r="AL716">
            <v>0</v>
          </cell>
          <cell r="AM716">
            <v>6.3E-2</v>
          </cell>
          <cell r="AN716">
            <v>0</v>
          </cell>
          <cell r="AO716">
            <v>6.3E-2</v>
          </cell>
          <cell r="AP716">
            <v>0</v>
          </cell>
          <cell r="AQ716">
            <v>6.3E-2</v>
          </cell>
          <cell r="AS716" t="str">
            <v/>
          </cell>
          <cell r="AT716" t="str">
            <v/>
          </cell>
          <cell r="AV716" t="b">
            <v>0</v>
          </cell>
          <cell r="AW716" t="str">
            <v>call</v>
          </cell>
        </row>
        <row r="717">
          <cell r="S717" t="str">
            <v>DOM NDL NDG29</v>
          </cell>
          <cell r="T717" t="str">
            <v>DOM</v>
          </cell>
          <cell r="U717" t="str">
            <v>NDL</v>
          </cell>
          <cell r="V717" t="str">
            <v>NDG29</v>
          </cell>
          <cell r="X717">
            <v>0</v>
          </cell>
          <cell r="Y717">
            <v>0.18490000000000001</v>
          </cell>
          <cell r="Z717">
            <v>0</v>
          </cell>
          <cell r="AA717">
            <v>0.18490000000000001</v>
          </cell>
          <cell r="AB717">
            <v>0</v>
          </cell>
          <cell r="AC717">
            <v>0.18490000000000001</v>
          </cell>
          <cell r="AD717">
            <v>0</v>
          </cell>
          <cell r="AE717">
            <v>0.18490000000000001</v>
          </cell>
          <cell r="AG717" t="str">
            <v/>
          </cell>
          <cell r="AH717" t="str">
            <v/>
          </cell>
          <cell r="AJ717">
            <v>0</v>
          </cell>
          <cell r="AK717">
            <v>0.18490000000000001</v>
          </cell>
          <cell r="AL717">
            <v>0</v>
          </cell>
          <cell r="AM717">
            <v>0.18490000000000001</v>
          </cell>
          <cell r="AN717">
            <v>0</v>
          </cell>
          <cell r="AO717">
            <v>0.18490000000000001</v>
          </cell>
          <cell r="AP717">
            <v>0</v>
          </cell>
          <cell r="AQ717">
            <v>0.18490000000000001</v>
          </cell>
          <cell r="AS717" t="str">
            <v/>
          </cell>
          <cell r="AT717" t="str">
            <v/>
          </cell>
          <cell r="AV717" t="b">
            <v>0</v>
          </cell>
          <cell r="AW717" t="str">
            <v>call</v>
          </cell>
        </row>
        <row r="718">
          <cell r="S718" t="str">
            <v>DOM NDL NDG03</v>
          </cell>
          <cell r="T718" t="str">
            <v>DOM</v>
          </cell>
          <cell r="U718" t="str">
            <v>NDL</v>
          </cell>
          <cell r="V718" t="str">
            <v>NDG03</v>
          </cell>
          <cell r="X718">
            <v>5.9200000000000003E-2</v>
          </cell>
          <cell r="Y718">
            <v>0</v>
          </cell>
          <cell r="Z718">
            <v>5.9200000000000003E-2</v>
          </cell>
          <cell r="AA718">
            <v>0</v>
          </cell>
          <cell r="AB718">
            <v>5.9200000000000003E-2</v>
          </cell>
          <cell r="AC718">
            <v>0</v>
          </cell>
          <cell r="AD718">
            <v>5.9200000000000003E-2</v>
          </cell>
          <cell r="AE718">
            <v>0</v>
          </cell>
          <cell r="AG718" t="str">
            <v/>
          </cell>
          <cell r="AH718" t="str">
            <v/>
          </cell>
          <cell r="AJ718">
            <v>5.9200000000000003E-2</v>
          </cell>
          <cell r="AK718">
            <v>0</v>
          </cell>
          <cell r="AL718">
            <v>5.9200000000000003E-2</v>
          </cell>
          <cell r="AM718">
            <v>0</v>
          </cell>
          <cell r="AN718">
            <v>5.9200000000000003E-2</v>
          </cell>
          <cell r="AO718">
            <v>0</v>
          </cell>
          <cell r="AP718">
            <v>5.9200000000000003E-2</v>
          </cell>
          <cell r="AQ718">
            <v>0</v>
          </cell>
          <cell r="AS718" t="str">
            <v/>
          </cell>
          <cell r="AT718" t="str">
            <v/>
          </cell>
          <cell r="AV718" t="b">
            <v>0</v>
          </cell>
          <cell r="AW718" t="str">
            <v>minute</v>
          </cell>
        </row>
        <row r="719">
          <cell r="S719" t="str">
            <v>DOM NDL NDG30</v>
          </cell>
          <cell r="T719" t="str">
            <v>DOM</v>
          </cell>
          <cell r="U719" t="str">
            <v>NDL</v>
          </cell>
          <cell r="V719" t="str">
            <v>NDG30</v>
          </cell>
          <cell r="X719">
            <v>0</v>
          </cell>
          <cell r="Y719">
            <v>0.29409999999999997</v>
          </cell>
          <cell r="Z719">
            <v>0</v>
          </cell>
          <cell r="AA719">
            <v>0.29409999999999997</v>
          </cell>
          <cell r="AB719">
            <v>0</v>
          </cell>
          <cell r="AC719">
            <v>0.29409999999999997</v>
          </cell>
          <cell r="AD719">
            <v>0</v>
          </cell>
          <cell r="AE719">
            <v>0.29409999999999997</v>
          </cell>
          <cell r="AG719" t="str">
            <v/>
          </cell>
          <cell r="AH719" t="str">
            <v/>
          </cell>
          <cell r="AJ719">
            <v>0</v>
          </cell>
          <cell r="AK719">
            <v>0.29409999999999997</v>
          </cell>
          <cell r="AL719">
            <v>0</v>
          </cell>
          <cell r="AM719">
            <v>0.29409999999999997</v>
          </cell>
          <cell r="AN719">
            <v>0</v>
          </cell>
          <cell r="AO719">
            <v>0.29409999999999997</v>
          </cell>
          <cell r="AP719">
            <v>0</v>
          </cell>
          <cell r="AQ719">
            <v>0.29409999999999997</v>
          </cell>
          <cell r="AS719" t="str">
            <v/>
          </cell>
          <cell r="AT719" t="str">
            <v/>
          </cell>
          <cell r="AV719" t="b">
            <v>0</v>
          </cell>
          <cell r="AW719" t="str">
            <v>call</v>
          </cell>
        </row>
        <row r="720">
          <cell r="S720" t="str">
            <v>DOM NDL NDG31</v>
          </cell>
          <cell r="T720" t="str">
            <v>DOM</v>
          </cell>
          <cell r="U720" t="str">
            <v>NDL</v>
          </cell>
          <cell r="V720" t="str">
            <v>NDG31</v>
          </cell>
          <cell r="X720">
            <v>0</v>
          </cell>
          <cell r="Y720">
            <v>0.37819999999999998</v>
          </cell>
          <cell r="Z720">
            <v>0</v>
          </cell>
          <cell r="AA720">
            <v>0.37819999999999998</v>
          </cell>
          <cell r="AB720">
            <v>0</v>
          </cell>
          <cell r="AC720">
            <v>0.37819999999999998</v>
          </cell>
          <cell r="AD720">
            <v>0</v>
          </cell>
          <cell r="AE720">
            <v>0.37819999999999998</v>
          </cell>
          <cell r="AG720" t="str">
            <v/>
          </cell>
          <cell r="AH720" t="str">
            <v/>
          </cell>
          <cell r="AJ720">
            <v>0</v>
          </cell>
          <cell r="AK720">
            <v>0.37819999999999998</v>
          </cell>
          <cell r="AL720">
            <v>0</v>
          </cell>
          <cell r="AM720">
            <v>0.37819999999999998</v>
          </cell>
          <cell r="AN720">
            <v>0</v>
          </cell>
          <cell r="AO720">
            <v>0.37819999999999998</v>
          </cell>
          <cell r="AP720">
            <v>0</v>
          </cell>
          <cell r="AQ720">
            <v>0.37819999999999998</v>
          </cell>
          <cell r="AS720" t="str">
            <v/>
          </cell>
          <cell r="AT720" t="str">
            <v/>
          </cell>
          <cell r="AV720" t="b">
            <v>0</v>
          </cell>
          <cell r="AW720" t="str">
            <v>call</v>
          </cell>
        </row>
        <row r="721">
          <cell r="S721" t="str">
            <v>DOM NDL NDG32</v>
          </cell>
          <cell r="T721" t="str">
            <v>DOM</v>
          </cell>
          <cell r="U721" t="str">
            <v>NDL</v>
          </cell>
          <cell r="V721" t="str">
            <v>NDG32</v>
          </cell>
          <cell r="X721">
            <v>0</v>
          </cell>
          <cell r="Y721">
            <v>0.42020000000000002</v>
          </cell>
          <cell r="Z721">
            <v>0</v>
          </cell>
          <cell r="AA721">
            <v>0.42020000000000002</v>
          </cell>
          <cell r="AB721">
            <v>0</v>
          </cell>
          <cell r="AC721">
            <v>0.42020000000000002</v>
          </cell>
          <cell r="AD721">
            <v>0</v>
          </cell>
          <cell r="AE721">
            <v>0.42020000000000002</v>
          </cell>
          <cell r="AG721" t="str">
            <v/>
          </cell>
          <cell r="AH721" t="str">
            <v/>
          </cell>
          <cell r="AJ721">
            <v>0</v>
          </cell>
          <cell r="AK721">
            <v>0.42020000000000002</v>
          </cell>
          <cell r="AL721">
            <v>0</v>
          </cell>
          <cell r="AM721">
            <v>0.42020000000000002</v>
          </cell>
          <cell r="AN721">
            <v>0</v>
          </cell>
          <cell r="AO721">
            <v>0.42020000000000002</v>
          </cell>
          <cell r="AP721">
            <v>0</v>
          </cell>
          <cell r="AQ721">
            <v>0.42020000000000002</v>
          </cell>
          <cell r="AS721" t="str">
            <v/>
          </cell>
          <cell r="AT721" t="str">
            <v/>
          </cell>
          <cell r="AV721" t="b">
            <v>0</v>
          </cell>
          <cell r="AW721" t="str">
            <v>call</v>
          </cell>
        </row>
        <row r="722">
          <cell r="S722" t="str">
            <v>DOM NDL NDG33</v>
          </cell>
          <cell r="T722" t="str">
            <v>DOM</v>
          </cell>
          <cell r="U722" t="str">
            <v>NDL</v>
          </cell>
          <cell r="V722" t="str">
            <v>NDG33</v>
          </cell>
          <cell r="X722">
            <v>0</v>
          </cell>
          <cell r="Y722">
            <v>0.4622</v>
          </cell>
          <cell r="Z722">
            <v>0</v>
          </cell>
          <cell r="AA722">
            <v>0.4622</v>
          </cell>
          <cell r="AB722">
            <v>0</v>
          </cell>
          <cell r="AC722">
            <v>0.4622</v>
          </cell>
          <cell r="AD722">
            <v>0</v>
          </cell>
          <cell r="AE722">
            <v>0.4622</v>
          </cell>
          <cell r="AG722" t="str">
            <v/>
          </cell>
          <cell r="AH722" t="str">
            <v/>
          </cell>
          <cell r="AJ722">
            <v>0</v>
          </cell>
          <cell r="AK722">
            <v>0.4622</v>
          </cell>
          <cell r="AL722">
            <v>0</v>
          </cell>
          <cell r="AM722">
            <v>0.4622</v>
          </cell>
          <cell r="AN722">
            <v>0</v>
          </cell>
          <cell r="AO722">
            <v>0.4622</v>
          </cell>
          <cell r="AP722">
            <v>0</v>
          </cell>
          <cell r="AQ722">
            <v>0.4622</v>
          </cell>
          <cell r="AS722" t="str">
            <v/>
          </cell>
          <cell r="AT722" t="str">
            <v/>
          </cell>
          <cell r="AV722" t="b">
            <v>0</v>
          </cell>
          <cell r="AW722" t="str">
            <v>call</v>
          </cell>
        </row>
        <row r="723">
          <cell r="S723" t="str">
            <v>DOM NDL NDG34</v>
          </cell>
          <cell r="T723" t="str">
            <v>DOM</v>
          </cell>
          <cell r="U723" t="str">
            <v>NDL</v>
          </cell>
          <cell r="V723" t="str">
            <v>NDG34</v>
          </cell>
          <cell r="X723">
            <v>0</v>
          </cell>
          <cell r="Y723">
            <v>0.50419999999999998</v>
          </cell>
          <cell r="Z723">
            <v>0</v>
          </cell>
          <cell r="AA723">
            <v>0.50419999999999998</v>
          </cell>
          <cell r="AB723">
            <v>0</v>
          </cell>
          <cell r="AC723">
            <v>0.50419999999999998</v>
          </cell>
          <cell r="AD723">
            <v>0</v>
          </cell>
          <cell r="AE723">
            <v>0.50419999999999998</v>
          </cell>
          <cell r="AG723" t="str">
            <v/>
          </cell>
          <cell r="AH723" t="str">
            <v/>
          </cell>
          <cell r="AJ723">
            <v>0</v>
          </cell>
          <cell r="AK723">
            <v>0.50419999999999998</v>
          </cell>
          <cell r="AL723">
            <v>0</v>
          </cell>
          <cell r="AM723">
            <v>0.50419999999999998</v>
          </cell>
          <cell r="AN723">
            <v>0</v>
          </cell>
          <cell r="AO723">
            <v>0.50419999999999998</v>
          </cell>
          <cell r="AP723">
            <v>0</v>
          </cell>
          <cell r="AQ723">
            <v>0.50419999999999998</v>
          </cell>
          <cell r="AS723" t="str">
            <v/>
          </cell>
          <cell r="AT723" t="str">
            <v/>
          </cell>
          <cell r="AV723" t="b">
            <v>0</v>
          </cell>
          <cell r="AW723" t="str">
            <v>call</v>
          </cell>
        </row>
        <row r="724">
          <cell r="S724" t="str">
            <v>DOM NDL NDG35</v>
          </cell>
          <cell r="T724" t="str">
            <v>DOM</v>
          </cell>
          <cell r="U724" t="str">
            <v>NDL</v>
          </cell>
          <cell r="V724" t="str">
            <v>NDG35</v>
          </cell>
          <cell r="X724">
            <v>0</v>
          </cell>
          <cell r="Y724">
            <v>0.55459999999999998</v>
          </cell>
          <cell r="Z724">
            <v>0</v>
          </cell>
          <cell r="AA724">
            <v>0.55459999999999998</v>
          </cell>
          <cell r="AB724">
            <v>0</v>
          </cell>
          <cell r="AC724">
            <v>0.55459999999999998</v>
          </cell>
          <cell r="AD724">
            <v>0</v>
          </cell>
          <cell r="AE724">
            <v>0.55459999999999998</v>
          </cell>
          <cell r="AG724" t="str">
            <v/>
          </cell>
          <cell r="AH724" t="str">
            <v/>
          </cell>
          <cell r="AJ724">
            <v>0</v>
          </cell>
          <cell r="AK724">
            <v>0.55459999999999998</v>
          </cell>
          <cell r="AL724">
            <v>0</v>
          </cell>
          <cell r="AM724">
            <v>0.55459999999999998</v>
          </cell>
          <cell r="AN724">
            <v>0</v>
          </cell>
          <cell r="AO724">
            <v>0.55459999999999998</v>
          </cell>
          <cell r="AP724">
            <v>0</v>
          </cell>
          <cell r="AQ724">
            <v>0.55459999999999998</v>
          </cell>
          <cell r="AS724" t="str">
            <v/>
          </cell>
          <cell r="AT724" t="str">
            <v/>
          </cell>
          <cell r="AV724" t="b">
            <v>0</v>
          </cell>
          <cell r="AW724" t="str">
            <v>call</v>
          </cell>
        </row>
        <row r="725">
          <cell r="S725" t="str">
            <v>DOM NDL NDG36</v>
          </cell>
          <cell r="T725" t="str">
            <v>DOM</v>
          </cell>
          <cell r="U725" t="str">
            <v>NDL</v>
          </cell>
          <cell r="V725" t="str">
            <v>NDG36</v>
          </cell>
          <cell r="X725">
            <v>0</v>
          </cell>
          <cell r="Y725">
            <v>0.58819999999999995</v>
          </cell>
          <cell r="Z725">
            <v>0</v>
          </cell>
          <cell r="AA725">
            <v>0.58819999999999995</v>
          </cell>
          <cell r="AB725">
            <v>0</v>
          </cell>
          <cell r="AC725">
            <v>0.58819999999999995</v>
          </cell>
          <cell r="AD725">
            <v>0</v>
          </cell>
          <cell r="AE725">
            <v>0.58819999999999995</v>
          </cell>
          <cell r="AG725" t="str">
            <v/>
          </cell>
          <cell r="AH725" t="str">
            <v/>
          </cell>
          <cell r="AJ725">
            <v>0</v>
          </cell>
          <cell r="AK725">
            <v>0.58819999999999995</v>
          </cell>
          <cell r="AL725">
            <v>0</v>
          </cell>
          <cell r="AM725">
            <v>0.58819999999999995</v>
          </cell>
          <cell r="AN725">
            <v>0</v>
          </cell>
          <cell r="AO725">
            <v>0.58819999999999995</v>
          </cell>
          <cell r="AP725">
            <v>0</v>
          </cell>
          <cell r="AQ725">
            <v>0.58819999999999995</v>
          </cell>
          <cell r="AS725" t="str">
            <v/>
          </cell>
          <cell r="AT725" t="str">
            <v/>
          </cell>
          <cell r="AV725" t="b">
            <v>0</v>
          </cell>
          <cell r="AW725" t="str">
            <v>call</v>
          </cell>
        </row>
        <row r="726">
          <cell r="S726" t="str">
            <v>DOM NDL NDG37</v>
          </cell>
          <cell r="T726" t="str">
            <v>DOM</v>
          </cell>
          <cell r="U726" t="str">
            <v>NDL</v>
          </cell>
          <cell r="V726" t="str">
            <v>NDG37</v>
          </cell>
          <cell r="X726">
            <v>0</v>
          </cell>
          <cell r="Y726">
            <v>0.63029999999999997</v>
          </cell>
          <cell r="Z726">
            <v>0</v>
          </cell>
          <cell r="AA726">
            <v>0.63029999999999997</v>
          </cell>
          <cell r="AB726">
            <v>0</v>
          </cell>
          <cell r="AC726">
            <v>0.63029999999999997</v>
          </cell>
          <cell r="AD726">
            <v>0</v>
          </cell>
          <cell r="AE726">
            <v>0.63029999999999997</v>
          </cell>
          <cell r="AG726" t="str">
            <v/>
          </cell>
          <cell r="AH726" t="str">
            <v/>
          </cell>
          <cell r="AJ726">
            <v>0</v>
          </cell>
          <cell r="AK726">
            <v>0.63029999999999997</v>
          </cell>
          <cell r="AL726">
            <v>0</v>
          </cell>
          <cell r="AM726">
            <v>0.63029999999999997</v>
          </cell>
          <cell r="AN726">
            <v>0</v>
          </cell>
          <cell r="AO726">
            <v>0.63029999999999997</v>
          </cell>
          <cell r="AP726">
            <v>0</v>
          </cell>
          <cell r="AQ726">
            <v>0.63029999999999997</v>
          </cell>
          <cell r="AS726" t="str">
            <v/>
          </cell>
          <cell r="AT726" t="str">
            <v/>
          </cell>
          <cell r="AV726" t="b">
            <v>0</v>
          </cell>
          <cell r="AW726" t="str">
            <v>call</v>
          </cell>
        </row>
        <row r="727">
          <cell r="S727" t="str">
            <v>DOM NDL NDG38</v>
          </cell>
          <cell r="T727" t="str">
            <v>DOM</v>
          </cell>
          <cell r="U727" t="str">
            <v>NDL</v>
          </cell>
          <cell r="V727" t="str">
            <v>NDG38</v>
          </cell>
          <cell r="X727">
            <v>0</v>
          </cell>
          <cell r="Y727">
            <v>0.67230000000000001</v>
          </cell>
          <cell r="Z727">
            <v>0</v>
          </cell>
          <cell r="AA727">
            <v>0.67230000000000001</v>
          </cell>
          <cell r="AB727">
            <v>0</v>
          </cell>
          <cell r="AC727">
            <v>0.67230000000000001</v>
          </cell>
          <cell r="AD727">
            <v>0</v>
          </cell>
          <cell r="AE727">
            <v>0.67230000000000001</v>
          </cell>
          <cell r="AG727" t="str">
            <v/>
          </cell>
          <cell r="AH727" t="str">
            <v/>
          </cell>
          <cell r="AJ727">
            <v>0</v>
          </cell>
          <cell r="AK727">
            <v>0.67230000000000001</v>
          </cell>
          <cell r="AL727">
            <v>0</v>
          </cell>
          <cell r="AM727">
            <v>0.67230000000000001</v>
          </cell>
          <cell r="AN727">
            <v>0</v>
          </cell>
          <cell r="AO727">
            <v>0.67230000000000001</v>
          </cell>
          <cell r="AP727">
            <v>0</v>
          </cell>
          <cell r="AQ727">
            <v>0.67230000000000001</v>
          </cell>
          <cell r="AS727" t="str">
            <v/>
          </cell>
          <cell r="AT727" t="str">
            <v/>
          </cell>
          <cell r="AV727" t="b">
            <v>0</v>
          </cell>
          <cell r="AW727" t="str">
            <v>call</v>
          </cell>
        </row>
        <row r="728">
          <cell r="S728" t="str">
            <v>DOM NDL NDG39</v>
          </cell>
          <cell r="T728" t="str">
            <v>DOM</v>
          </cell>
          <cell r="U728" t="str">
            <v>NDL</v>
          </cell>
          <cell r="V728" t="str">
            <v>NDG39</v>
          </cell>
          <cell r="X728">
            <v>0</v>
          </cell>
          <cell r="Y728">
            <v>0.75629999999999997</v>
          </cell>
          <cell r="Z728">
            <v>0</v>
          </cell>
          <cell r="AA728">
            <v>0.75629999999999997</v>
          </cell>
          <cell r="AB728">
            <v>0</v>
          </cell>
          <cell r="AC728">
            <v>0.75629999999999997</v>
          </cell>
          <cell r="AD728">
            <v>0</v>
          </cell>
          <cell r="AE728">
            <v>0.75629999999999997</v>
          </cell>
          <cell r="AG728" t="str">
            <v/>
          </cell>
          <cell r="AH728" t="str">
            <v/>
          </cell>
          <cell r="AJ728">
            <v>0</v>
          </cell>
          <cell r="AK728">
            <v>0.75629999999999997</v>
          </cell>
          <cell r="AL728">
            <v>0</v>
          </cell>
          <cell r="AM728">
            <v>0.75629999999999997</v>
          </cell>
          <cell r="AN728">
            <v>0</v>
          </cell>
          <cell r="AO728">
            <v>0.75629999999999997</v>
          </cell>
          <cell r="AP728">
            <v>0</v>
          </cell>
          <cell r="AQ728">
            <v>0.75629999999999997</v>
          </cell>
          <cell r="AS728" t="str">
            <v/>
          </cell>
          <cell r="AT728" t="str">
            <v/>
          </cell>
          <cell r="AV728" t="b">
            <v>0</v>
          </cell>
          <cell r="AW728" t="str">
            <v>call</v>
          </cell>
        </row>
        <row r="729">
          <cell r="S729" t="str">
            <v>DOM NDL NDG04</v>
          </cell>
          <cell r="T729" t="str">
            <v>DOM</v>
          </cell>
          <cell r="U729" t="str">
            <v>NDL</v>
          </cell>
          <cell r="V729" t="str">
            <v>NDG04</v>
          </cell>
          <cell r="X729">
            <v>6.3399999999999998E-2</v>
          </cell>
          <cell r="Y729">
            <v>0</v>
          </cell>
          <cell r="Z729">
            <v>6.3399999999999998E-2</v>
          </cell>
          <cell r="AA729">
            <v>0</v>
          </cell>
          <cell r="AB729">
            <v>6.3399999999999998E-2</v>
          </cell>
          <cell r="AC729">
            <v>0</v>
          </cell>
          <cell r="AD729">
            <v>6.3399999999999998E-2</v>
          </cell>
          <cell r="AE729">
            <v>0</v>
          </cell>
          <cell r="AG729" t="str">
            <v/>
          </cell>
          <cell r="AH729" t="str">
            <v/>
          </cell>
          <cell r="AJ729">
            <v>6.3399999999999998E-2</v>
          </cell>
          <cell r="AK729">
            <v>0</v>
          </cell>
          <cell r="AL729">
            <v>6.3399999999999998E-2</v>
          </cell>
          <cell r="AM729">
            <v>0</v>
          </cell>
          <cell r="AN729">
            <v>6.3399999999999998E-2</v>
          </cell>
          <cell r="AO729">
            <v>0</v>
          </cell>
          <cell r="AP729">
            <v>6.3399999999999998E-2</v>
          </cell>
          <cell r="AQ729">
            <v>0</v>
          </cell>
          <cell r="AS729" t="str">
            <v/>
          </cell>
          <cell r="AT729" t="str">
            <v/>
          </cell>
          <cell r="AV729" t="b">
            <v>0</v>
          </cell>
          <cell r="AW729" t="str">
            <v>minute</v>
          </cell>
        </row>
        <row r="730">
          <cell r="S730" t="str">
            <v>DOM NDL NDG40</v>
          </cell>
          <cell r="T730" t="str">
            <v>DOM</v>
          </cell>
          <cell r="U730" t="str">
            <v>NDL</v>
          </cell>
          <cell r="V730" t="str">
            <v>NDG40</v>
          </cell>
          <cell r="X730">
            <v>0</v>
          </cell>
          <cell r="Y730">
            <v>0.77310000000000001</v>
          </cell>
          <cell r="Z730">
            <v>0</v>
          </cell>
          <cell r="AA730">
            <v>0.77310000000000001</v>
          </cell>
          <cell r="AB730">
            <v>0</v>
          </cell>
          <cell r="AC730">
            <v>0.77310000000000001</v>
          </cell>
          <cell r="AD730">
            <v>0</v>
          </cell>
          <cell r="AE730">
            <v>0.77310000000000001</v>
          </cell>
          <cell r="AG730" t="str">
            <v/>
          </cell>
          <cell r="AH730" t="str">
            <v/>
          </cell>
          <cell r="AJ730">
            <v>0</v>
          </cell>
          <cell r="AK730">
            <v>0.77310000000000001</v>
          </cell>
          <cell r="AL730">
            <v>0</v>
          </cell>
          <cell r="AM730">
            <v>0.77310000000000001</v>
          </cell>
          <cell r="AN730">
            <v>0</v>
          </cell>
          <cell r="AO730">
            <v>0.77310000000000001</v>
          </cell>
          <cell r="AP730">
            <v>0</v>
          </cell>
          <cell r="AQ730">
            <v>0.77310000000000001</v>
          </cell>
          <cell r="AS730" t="str">
            <v/>
          </cell>
          <cell r="AT730" t="str">
            <v/>
          </cell>
          <cell r="AV730" t="b">
            <v>0</v>
          </cell>
          <cell r="AW730" t="str">
            <v>call</v>
          </cell>
        </row>
        <row r="731">
          <cell r="S731" t="str">
            <v>DOM NDL NDG41</v>
          </cell>
          <cell r="T731" t="str">
            <v>DOM</v>
          </cell>
          <cell r="U731" t="str">
            <v>NDL</v>
          </cell>
          <cell r="V731" t="str">
            <v>NDG41</v>
          </cell>
          <cell r="X731">
            <v>0</v>
          </cell>
          <cell r="Y731">
            <v>0.83189999999999997</v>
          </cell>
          <cell r="Z731">
            <v>0</v>
          </cell>
          <cell r="AA731">
            <v>0.83189999999999997</v>
          </cell>
          <cell r="AB731">
            <v>0</v>
          </cell>
          <cell r="AC731">
            <v>0.83189999999999997</v>
          </cell>
          <cell r="AD731">
            <v>0</v>
          </cell>
          <cell r="AE731">
            <v>0.83189999999999997</v>
          </cell>
          <cell r="AG731" t="str">
            <v/>
          </cell>
          <cell r="AH731" t="str">
            <v/>
          </cell>
          <cell r="AJ731">
            <v>0</v>
          </cell>
          <cell r="AK731">
            <v>0.83189999999999997</v>
          </cell>
          <cell r="AL731">
            <v>0</v>
          </cell>
          <cell r="AM731">
            <v>0.83189999999999997</v>
          </cell>
          <cell r="AN731">
            <v>0</v>
          </cell>
          <cell r="AO731">
            <v>0.83189999999999997</v>
          </cell>
          <cell r="AP731">
            <v>0</v>
          </cell>
          <cell r="AQ731">
            <v>0.83189999999999997</v>
          </cell>
          <cell r="AS731" t="str">
            <v/>
          </cell>
          <cell r="AT731" t="str">
            <v/>
          </cell>
          <cell r="AV731" t="b">
            <v>0</v>
          </cell>
          <cell r="AW731" t="str">
            <v>call</v>
          </cell>
        </row>
        <row r="732">
          <cell r="S732" t="str">
            <v>DOM NDL NDG42</v>
          </cell>
          <cell r="T732" t="str">
            <v>DOM</v>
          </cell>
          <cell r="U732" t="str">
            <v>NDL</v>
          </cell>
          <cell r="V732" t="str">
            <v>NDG42</v>
          </cell>
          <cell r="X732">
            <v>0</v>
          </cell>
          <cell r="Y732">
            <v>0.84030000000000005</v>
          </cell>
          <cell r="Z732">
            <v>0</v>
          </cell>
          <cell r="AA732">
            <v>0.84030000000000005</v>
          </cell>
          <cell r="AB732">
            <v>0</v>
          </cell>
          <cell r="AC732">
            <v>0.84030000000000005</v>
          </cell>
          <cell r="AD732">
            <v>0</v>
          </cell>
          <cell r="AE732">
            <v>0.84030000000000005</v>
          </cell>
          <cell r="AG732" t="str">
            <v/>
          </cell>
          <cell r="AH732" t="str">
            <v/>
          </cell>
          <cell r="AJ732">
            <v>0</v>
          </cell>
          <cell r="AK732">
            <v>0.84030000000000005</v>
          </cell>
          <cell r="AL732">
            <v>0</v>
          </cell>
          <cell r="AM732">
            <v>0.84030000000000005</v>
          </cell>
          <cell r="AN732">
            <v>0</v>
          </cell>
          <cell r="AO732">
            <v>0.84030000000000005</v>
          </cell>
          <cell r="AP732">
            <v>0</v>
          </cell>
          <cell r="AQ732">
            <v>0.84030000000000005</v>
          </cell>
          <cell r="AS732" t="str">
            <v/>
          </cell>
          <cell r="AT732" t="str">
            <v/>
          </cell>
          <cell r="AV732" t="b">
            <v>0</v>
          </cell>
          <cell r="AW732" t="str">
            <v>call</v>
          </cell>
        </row>
        <row r="733">
          <cell r="S733" t="str">
            <v>DOM NDL NDG43</v>
          </cell>
          <cell r="T733" t="str">
            <v>DOM</v>
          </cell>
          <cell r="U733" t="str">
            <v>NDL</v>
          </cell>
          <cell r="V733" t="str">
            <v>NDG43</v>
          </cell>
          <cell r="X733">
            <v>0</v>
          </cell>
          <cell r="Y733">
            <v>0.91600000000000004</v>
          </cell>
          <cell r="Z733">
            <v>0</v>
          </cell>
          <cell r="AA733">
            <v>0.91600000000000004</v>
          </cell>
          <cell r="AB733">
            <v>0</v>
          </cell>
          <cell r="AC733">
            <v>0.91600000000000004</v>
          </cell>
          <cell r="AD733">
            <v>0</v>
          </cell>
          <cell r="AE733">
            <v>0.91600000000000004</v>
          </cell>
          <cell r="AG733" t="str">
            <v/>
          </cell>
          <cell r="AH733" t="str">
            <v/>
          </cell>
          <cell r="AJ733">
            <v>0</v>
          </cell>
          <cell r="AK733">
            <v>0.91600000000000004</v>
          </cell>
          <cell r="AL733">
            <v>0</v>
          </cell>
          <cell r="AM733">
            <v>0.91600000000000004</v>
          </cell>
          <cell r="AN733">
            <v>0</v>
          </cell>
          <cell r="AO733">
            <v>0.91600000000000004</v>
          </cell>
          <cell r="AP733">
            <v>0</v>
          </cell>
          <cell r="AQ733">
            <v>0.91600000000000004</v>
          </cell>
          <cell r="AS733" t="str">
            <v/>
          </cell>
          <cell r="AT733" t="str">
            <v/>
          </cell>
          <cell r="AV733" t="b">
            <v>0</v>
          </cell>
          <cell r="AW733" t="str">
            <v>call</v>
          </cell>
        </row>
        <row r="734">
          <cell r="S734" t="str">
            <v>DOM NDL NDG44</v>
          </cell>
          <cell r="T734" t="str">
            <v>DOM</v>
          </cell>
          <cell r="U734" t="str">
            <v>NDL</v>
          </cell>
          <cell r="V734" t="str">
            <v>NDG44</v>
          </cell>
          <cell r="X734">
            <v>0</v>
          </cell>
          <cell r="Y734">
            <v>0.96640000000000004</v>
          </cell>
          <cell r="Z734">
            <v>0</v>
          </cell>
          <cell r="AA734">
            <v>0.96640000000000004</v>
          </cell>
          <cell r="AB734">
            <v>0</v>
          </cell>
          <cell r="AC734">
            <v>0.96640000000000004</v>
          </cell>
          <cell r="AD734">
            <v>0</v>
          </cell>
          <cell r="AE734">
            <v>0.96640000000000004</v>
          </cell>
          <cell r="AG734" t="str">
            <v/>
          </cell>
          <cell r="AH734" t="str">
            <v/>
          </cell>
          <cell r="AJ734">
            <v>0</v>
          </cell>
          <cell r="AK734">
            <v>0.96640000000000004</v>
          </cell>
          <cell r="AL734">
            <v>0</v>
          </cell>
          <cell r="AM734">
            <v>0.96640000000000004</v>
          </cell>
          <cell r="AN734">
            <v>0</v>
          </cell>
          <cell r="AO734">
            <v>0.96640000000000004</v>
          </cell>
          <cell r="AP734">
            <v>0</v>
          </cell>
          <cell r="AQ734">
            <v>0.96640000000000004</v>
          </cell>
          <cell r="AS734" t="str">
            <v/>
          </cell>
          <cell r="AT734" t="str">
            <v/>
          </cell>
          <cell r="AV734" t="b">
            <v>0</v>
          </cell>
          <cell r="AW734" t="str">
            <v>call</v>
          </cell>
        </row>
        <row r="735">
          <cell r="S735" t="str">
            <v>DOM NDL NDG45</v>
          </cell>
          <cell r="T735" t="str">
            <v>DOM</v>
          </cell>
          <cell r="U735" t="str">
            <v>NDL</v>
          </cell>
          <cell r="V735" t="str">
            <v>NDG45</v>
          </cell>
          <cell r="X735">
            <v>0</v>
          </cell>
          <cell r="Y735">
            <v>1.0084</v>
          </cell>
          <cell r="Z735">
            <v>0</v>
          </cell>
          <cell r="AA735">
            <v>1.0084</v>
          </cell>
          <cell r="AB735">
            <v>0</v>
          </cell>
          <cell r="AC735">
            <v>1.0084</v>
          </cell>
          <cell r="AD735">
            <v>0</v>
          </cell>
          <cell r="AE735">
            <v>1.0084</v>
          </cell>
          <cell r="AG735" t="str">
            <v/>
          </cell>
          <cell r="AH735" t="str">
            <v/>
          </cell>
          <cell r="AJ735">
            <v>0</v>
          </cell>
          <cell r="AK735">
            <v>1.0084</v>
          </cell>
          <cell r="AL735">
            <v>0</v>
          </cell>
          <cell r="AM735">
            <v>1.0084</v>
          </cell>
          <cell r="AN735">
            <v>0</v>
          </cell>
          <cell r="AO735">
            <v>1.0084</v>
          </cell>
          <cell r="AP735">
            <v>0</v>
          </cell>
          <cell r="AQ735">
            <v>1.0084</v>
          </cell>
          <cell r="AS735" t="str">
            <v/>
          </cell>
          <cell r="AT735" t="str">
            <v/>
          </cell>
          <cell r="AV735" t="b">
            <v>0</v>
          </cell>
          <cell r="AW735" t="str">
            <v>call</v>
          </cell>
        </row>
        <row r="736">
          <cell r="S736" t="str">
            <v>DOM NDL NDG46</v>
          </cell>
          <cell r="T736" t="str">
            <v>DOM</v>
          </cell>
          <cell r="U736" t="str">
            <v>NDL</v>
          </cell>
          <cell r="V736" t="str">
            <v>NDG46</v>
          </cell>
          <cell r="X736">
            <v>0</v>
          </cell>
          <cell r="Y736">
            <v>1.0924</v>
          </cell>
          <cell r="Z736">
            <v>0</v>
          </cell>
          <cell r="AA736">
            <v>1.0924</v>
          </cell>
          <cell r="AB736">
            <v>0</v>
          </cell>
          <cell r="AC736">
            <v>1.0924</v>
          </cell>
          <cell r="AD736">
            <v>0</v>
          </cell>
          <cell r="AE736">
            <v>1.0924</v>
          </cell>
          <cell r="AG736" t="str">
            <v/>
          </cell>
          <cell r="AH736" t="str">
            <v/>
          </cell>
          <cell r="AJ736">
            <v>0</v>
          </cell>
          <cell r="AK736">
            <v>1.0924</v>
          </cell>
          <cell r="AL736">
            <v>0</v>
          </cell>
          <cell r="AM736">
            <v>1.0924</v>
          </cell>
          <cell r="AN736">
            <v>0</v>
          </cell>
          <cell r="AO736">
            <v>1.0924</v>
          </cell>
          <cell r="AP736">
            <v>0</v>
          </cell>
          <cell r="AQ736">
            <v>1.0924</v>
          </cell>
          <cell r="AS736" t="str">
            <v/>
          </cell>
          <cell r="AT736" t="str">
            <v/>
          </cell>
          <cell r="AV736" t="b">
            <v>0</v>
          </cell>
          <cell r="AW736" t="str">
            <v>call</v>
          </cell>
        </row>
        <row r="737">
          <cell r="S737" t="str">
            <v>DOM NDL NDG05</v>
          </cell>
          <cell r="T737" t="str">
            <v>DOM</v>
          </cell>
          <cell r="U737" t="str">
            <v>NDL</v>
          </cell>
          <cell r="V737" t="str">
            <v>NDG05</v>
          </cell>
          <cell r="X737">
            <v>7.1800000000000003E-2</v>
          </cell>
          <cell r="Y737">
            <v>0</v>
          </cell>
          <cell r="Z737">
            <v>7.1800000000000003E-2</v>
          </cell>
          <cell r="AA737">
            <v>0</v>
          </cell>
          <cell r="AB737">
            <v>7.1800000000000003E-2</v>
          </cell>
          <cell r="AC737">
            <v>0</v>
          </cell>
          <cell r="AD737">
            <v>7.1800000000000003E-2</v>
          </cell>
          <cell r="AE737">
            <v>0</v>
          </cell>
          <cell r="AG737" t="str">
            <v/>
          </cell>
          <cell r="AH737" t="str">
            <v/>
          </cell>
          <cell r="AJ737">
            <v>7.1800000000000003E-2</v>
          </cell>
          <cell r="AK737">
            <v>0</v>
          </cell>
          <cell r="AL737">
            <v>7.1800000000000003E-2</v>
          </cell>
          <cell r="AM737">
            <v>0</v>
          </cell>
          <cell r="AN737">
            <v>7.1800000000000003E-2</v>
          </cell>
          <cell r="AO737">
            <v>0</v>
          </cell>
          <cell r="AP737">
            <v>7.1800000000000003E-2</v>
          </cell>
          <cell r="AQ737">
            <v>0</v>
          </cell>
          <cell r="AS737" t="str">
            <v/>
          </cell>
          <cell r="AT737" t="str">
            <v/>
          </cell>
          <cell r="AV737" t="b">
            <v>0</v>
          </cell>
          <cell r="AW737" t="str">
            <v>minute</v>
          </cell>
        </row>
        <row r="738">
          <cell r="S738" t="str">
            <v>DOM NDL NDG06</v>
          </cell>
          <cell r="T738" t="str">
            <v>DOM</v>
          </cell>
          <cell r="U738" t="str">
            <v>NDL</v>
          </cell>
          <cell r="V738" t="str">
            <v>NDG06</v>
          </cell>
          <cell r="X738">
            <v>7.5999999999999998E-2</v>
          </cell>
          <cell r="Y738">
            <v>0</v>
          </cell>
          <cell r="Z738">
            <v>7.5999999999999998E-2</v>
          </cell>
          <cell r="AA738">
            <v>0</v>
          </cell>
          <cell r="AB738">
            <v>7.5999999999999998E-2</v>
          </cell>
          <cell r="AC738">
            <v>0</v>
          </cell>
          <cell r="AD738">
            <v>7.5999999999999998E-2</v>
          </cell>
          <cell r="AE738">
            <v>0</v>
          </cell>
          <cell r="AG738" t="str">
            <v/>
          </cell>
          <cell r="AH738" t="str">
            <v/>
          </cell>
          <cell r="AJ738">
            <v>7.5999999999999998E-2</v>
          </cell>
          <cell r="AK738">
            <v>0</v>
          </cell>
          <cell r="AL738">
            <v>7.5999999999999998E-2</v>
          </cell>
          <cell r="AM738">
            <v>0</v>
          </cell>
          <cell r="AN738">
            <v>7.5999999999999998E-2</v>
          </cell>
          <cell r="AO738">
            <v>0</v>
          </cell>
          <cell r="AP738">
            <v>7.5999999999999998E-2</v>
          </cell>
          <cell r="AQ738">
            <v>0</v>
          </cell>
          <cell r="AS738" t="str">
            <v/>
          </cell>
          <cell r="AT738" t="str">
            <v/>
          </cell>
          <cell r="AV738" t="b">
            <v>0</v>
          </cell>
          <cell r="AW738" t="str">
            <v>minute</v>
          </cell>
        </row>
        <row r="739">
          <cell r="S739" t="str">
            <v>DOM NDL NDG07</v>
          </cell>
          <cell r="T739" t="str">
            <v>DOM</v>
          </cell>
          <cell r="U739" t="str">
            <v>NDL</v>
          </cell>
          <cell r="V739" t="str">
            <v>NDG07</v>
          </cell>
          <cell r="X739">
            <v>8.0199999999999994E-2</v>
          </cell>
          <cell r="Y739">
            <v>0</v>
          </cell>
          <cell r="Z739">
            <v>8.0199999999999994E-2</v>
          </cell>
          <cell r="AA739">
            <v>0</v>
          </cell>
          <cell r="AB739">
            <v>8.0199999999999994E-2</v>
          </cell>
          <cell r="AC739">
            <v>0</v>
          </cell>
          <cell r="AD739">
            <v>8.0199999999999994E-2</v>
          </cell>
          <cell r="AE739">
            <v>0</v>
          </cell>
          <cell r="AG739" t="str">
            <v/>
          </cell>
          <cell r="AH739" t="str">
            <v/>
          </cell>
          <cell r="AJ739">
            <v>8.0199999999999994E-2</v>
          </cell>
          <cell r="AK739">
            <v>0</v>
          </cell>
          <cell r="AL739">
            <v>8.0199999999999994E-2</v>
          </cell>
          <cell r="AM739">
            <v>0</v>
          </cell>
          <cell r="AN739">
            <v>8.0199999999999994E-2</v>
          </cell>
          <cell r="AO739">
            <v>0</v>
          </cell>
          <cell r="AP739">
            <v>8.0199999999999994E-2</v>
          </cell>
          <cell r="AQ739">
            <v>0</v>
          </cell>
          <cell r="AS739" t="str">
            <v/>
          </cell>
          <cell r="AT739" t="str">
            <v/>
          </cell>
          <cell r="AV739" t="b">
            <v>0</v>
          </cell>
          <cell r="AW739" t="str">
            <v>minute</v>
          </cell>
        </row>
        <row r="740">
          <cell r="S740" t="str">
            <v>DOM NDL NDG08</v>
          </cell>
          <cell r="T740" t="str">
            <v>DOM</v>
          </cell>
          <cell r="U740" t="str">
            <v>NDL</v>
          </cell>
          <cell r="V740" t="str">
            <v>NDG08</v>
          </cell>
          <cell r="X740">
            <v>8.8599999999999998E-2</v>
          </cell>
          <cell r="Y740">
            <v>0</v>
          </cell>
          <cell r="Z740">
            <v>8.8599999999999998E-2</v>
          </cell>
          <cell r="AA740">
            <v>0</v>
          </cell>
          <cell r="AB740">
            <v>8.8599999999999998E-2</v>
          </cell>
          <cell r="AC740">
            <v>0</v>
          </cell>
          <cell r="AD740">
            <v>8.8599999999999998E-2</v>
          </cell>
          <cell r="AE740">
            <v>0</v>
          </cell>
          <cell r="AG740" t="str">
            <v/>
          </cell>
          <cell r="AH740" t="str">
            <v/>
          </cell>
          <cell r="AJ740">
            <v>8.8599999999999998E-2</v>
          </cell>
          <cell r="AK740">
            <v>0</v>
          </cell>
          <cell r="AL740">
            <v>8.8599999999999998E-2</v>
          </cell>
          <cell r="AM740">
            <v>0</v>
          </cell>
          <cell r="AN740">
            <v>8.8599999999999998E-2</v>
          </cell>
          <cell r="AO740">
            <v>0</v>
          </cell>
          <cell r="AP740">
            <v>8.8599999999999998E-2</v>
          </cell>
          <cell r="AQ740">
            <v>0</v>
          </cell>
          <cell r="AS740" t="str">
            <v/>
          </cell>
          <cell r="AT740" t="str">
            <v/>
          </cell>
          <cell r="AV740" t="b">
            <v>0</v>
          </cell>
          <cell r="AW740" t="str">
            <v>minute</v>
          </cell>
        </row>
        <row r="741">
          <cell r="S741" t="str">
            <v>DOM NDL NDG09</v>
          </cell>
          <cell r="T741" t="str">
            <v>DOM</v>
          </cell>
          <cell r="U741" t="str">
            <v>NDL</v>
          </cell>
          <cell r="V741" t="str">
            <v>NDG09</v>
          </cell>
          <cell r="X741">
            <v>9.7000000000000003E-2</v>
          </cell>
          <cell r="Y741">
            <v>0</v>
          </cell>
          <cell r="Z741">
            <v>9.7000000000000003E-2</v>
          </cell>
          <cell r="AA741">
            <v>0</v>
          </cell>
          <cell r="AB741">
            <v>9.7000000000000003E-2</v>
          </cell>
          <cell r="AC741">
            <v>0</v>
          </cell>
          <cell r="AD741">
            <v>9.7000000000000003E-2</v>
          </cell>
          <cell r="AE741">
            <v>0</v>
          </cell>
          <cell r="AG741" t="str">
            <v/>
          </cell>
          <cell r="AH741" t="str">
            <v/>
          </cell>
          <cell r="AJ741">
            <v>9.7000000000000003E-2</v>
          </cell>
          <cell r="AK741">
            <v>0</v>
          </cell>
          <cell r="AL741">
            <v>9.7000000000000003E-2</v>
          </cell>
          <cell r="AM741">
            <v>0</v>
          </cell>
          <cell r="AN741">
            <v>9.7000000000000003E-2</v>
          </cell>
          <cell r="AO741">
            <v>0</v>
          </cell>
          <cell r="AP741">
            <v>9.7000000000000003E-2</v>
          </cell>
          <cell r="AQ741">
            <v>0</v>
          </cell>
          <cell r="AS741" t="str">
            <v/>
          </cell>
          <cell r="AT741" t="str">
            <v/>
          </cell>
          <cell r="AV741" t="b">
            <v>0</v>
          </cell>
          <cell r="AW741" t="str">
            <v>minute</v>
          </cell>
        </row>
        <row r="742">
          <cell r="S742" t="str">
            <v>DOM NDL NDG91</v>
          </cell>
          <cell r="T742" t="str">
            <v>DOM</v>
          </cell>
          <cell r="U742" t="str">
            <v>NDL</v>
          </cell>
          <cell r="V742" t="str">
            <v>NDG91</v>
          </cell>
          <cell r="X742">
            <v>4.82E-2</v>
          </cell>
          <cell r="Y742">
            <v>0</v>
          </cell>
          <cell r="Z742">
            <v>4.82E-2</v>
          </cell>
          <cell r="AA742">
            <v>0</v>
          </cell>
          <cell r="AB742">
            <v>4.82E-2</v>
          </cell>
          <cell r="AC742">
            <v>0</v>
          </cell>
          <cell r="AD742">
            <v>4.82E-2</v>
          </cell>
          <cell r="AE742">
            <v>0</v>
          </cell>
          <cell r="AG742" t="str">
            <v/>
          </cell>
          <cell r="AH742" t="str">
            <v/>
          </cell>
          <cell r="AJ742">
            <v>4.82E-2</v>
          </cell>
          <cell r="AK742">
            <v>0</v>
          </cell>
          <cell r="AL742">
            <v>4.82E-2</v>
          </cell>
          <cell r="AM742">
            <v>0</v>
          </cell>
          <cell r="AN742">
            <v>4.82E-2</v>
          </cell>
          <cell r="AO742">
            <v>0</v>
          </cell>
          <cell r="AP742">
            <v>4.82E-2</v>
          </cell>
          <cell r="AQ742">
            <v>0</v>
          </cell>
          <cell r="AS742" t="str">
            <v/>
          </cell>
          <cell r="AT742" t="str">
            <v/>
          </cell>
          <cell r="AV742" t="b">
            <v>0</v>
          </cell>
          <cell r="AW742" t="str">
            <v>minute</v>
          </cell>
        </row>
        <row r="743">
          <cell r="S743" t="str">
            <v>DOM NDL NDG92</v>
          </cell>
          <cell r="T743" t="str">
            <v>DOM</v>
          </cell>
          <cell r="U743" t="str">
            <v>NDL</v>
          </cell>
          <cell r="V743" t="str">
            <v>NDG92</v>
          </cell>
          <cell r="X743">
            <v>4.82E-2</v>
          </cell>
          <cell r="Y743">
            <v>0</v>
          </cell>
          <cell r="Z743">
            <v>4.82E-2</v>
          </cell>
          <cell r="AA743">
            <v>0</v>
          </cell>
          <cell r="AB743">
            <v>4.82E-2</v>
          </cell>
          <cell r="AC743">
            <v>0</v>
          </cell>
          <cell r="AD743">
            <v>4.82E-2</v>
          </cell>
          <cell r="AE743">
            <v>0</v>
          </cell>
          <cell r="AG743" t="str">
            <v/>
          </cell>
          <cell r="AH743" t="str">
            <v/>
          </cell>
          <cell r="AJ743">
            <v>4.82E-2</v>
          </cell>
          <cell r="AK743">
            <v>0</v>
          </cell>
          <cell r="AL743">
            <v>4.82E-2</v>
          </cell>
          <cell r="AM743">
            <v>0</v>
          </cell>
          <cell r="AN743">
            <v>4.82E-2</v>
          </cell>
          <cell r="AO743">
            <v>0</v>
          </cell>
          <cell r="AP743">
            <v>4.82E-2</v>
          </cell>
          <cell r="AQ743">
            <v>0</v>
          </cell>
          <cell r="AS743" t="str">
            <v/>
          </cell>
          <cell r="AT743" t="str">
            <v/>
          </cell>
          <cell r="AV743" t="b">
            <v>0</v>
          </cell>
          <cell r="AW743" t="str">
            <v>minute</v>
          </cell>
        </row>
        <row r="744">
          <cell r="S744" t="str">
            <v>DOM NDL NDG93</v>
          </cell>
          <cell r="T744" t="str">
            <v>DOM</v>
          </cell>
          <cell r="U744" t="str">
            <v>NDL</v>
          </cell>
          <cell r="V744" t="str">
            <v>NDG93</v>
          </cell>
          <cell r="X744">
            <v>4.82E-2</v>
          </cell>
          <cell r="Y744">
            <v>0</v>
          </cell>
          <cell r="Z744">
            <v>4.82E-2</v>
          </cell>
          <cell r="AA744">
            <v>0</v>
          </cell>
          <cell r="AB744">
            <v>4.82E-2</v>
          </cell>
          <cell r="AC744">
            <v>0</v>
          </cell>
          <cell r="AD744">
            <v>4.82E-2</v>
          </cell>
          <cell r="AE744">
            <v>0</v>
          </cell>
          <cell r="AG744" t="str">
            <v/>
          </cell>
          <cell r="AH744" t="str">
            <v/>
          </cell>
          <cell r="AJ744">
            <v>4.82E-2</v>
          </cell>
          <cell r="AK744">
            <v>0</v>
          </cell>
          <cell r="AL744">
            <v>4.82E-2</v>
          </cell>
          <cell r="AM744">
            <v>0</v>
          </cell>
          <cell r="AN744">
            <v>4.82E-2</v>
          </cell>
          <cell r="AO744">
            <v>0</v>
          </cell>
          <cell r="AP744">
            <v>4.82E-2</v>
          </cell>
          <cell r="AQ744">
            <v>0</v>
          </cell>
          <cell r="AS744" t="str">
            <v/>
          </cell>
          <cell r="AT744" t="str">
            <v/>
          </cell>
          <cell r="AV744" t="b">
            <v>0</v>
          </cell>
          <cell r="AW744" t="str">
            <v>minute</v>
          </cell>
        </row>
        <row r="745">
          <cell r="S745" t="str">
            <v>DOM NDL NDR01</v>
          </cell>
          <cell r="T745" t="str">
            <v>DOM</v>
          </cell>
          <cell r="U745" t="str">
            <v>NDL</v>
          </cell>
          <cell r="V745" t="str">
            <v>NDR01</v>
          </cell>
          <cell r="X745">
            <v>4.6600000000000003E-2</v>
          </cell>
          <cell r="Y745">
            <v>0</v>
          </cell>
          <cell r="Z745">
            <v>4.6600000000000003E-2</v>
          </cell>
          <cell r="AA745">
            <v>0</v>
          </cell>
          <cell r="AB745">
            <v>4.6600000000000003E-2</v>
          </cell>
          <cell r="AC745">
            <v>0</v>
          </cell>
          <cell r="AD745">
            <v>4.6600000000000003E-2</v>
          </cell>
          <cell r="AE745">
            <v>0</v>
          </cell>
          <cell r="AG745" t="str">
            <v/>
          </cell>
          <cell r="AH745" t="str">
            <v/>
          </cell>
          <cell r="AJ745">
            <v>4.6600000000000003E-2</v>
          </cell>
          <cell r="AK745">
            <v>0</v>
          </cell>
          <cell r="AL745">
            <v>4.6600000000000003E-2</v>
          </cell>
          <cell r="AM745">
            <v>0</v>
          </cell>
          <cell r="AN745">
            <v>4.6600000000000003E-2</v>
          </cell>
          <cell r="AO745">
            <v>0</v>
          </cell>
          <cell r="AP745">
            <v>4.6600000000000003E-2</v>
          </cell>
          <cell r="AQ745">
            <v>0</v>
          </cell>
          <cell r="AS745" t="str">
            <v/>
          </cell>
          <cell r="AT745" t="str">
            <v/>
          </cell>
          <cell r="AV745" t="b">
            <v>0</v>
          </cell>
          <cell r="AW745" t="str">
            <v>minute</v>
          </cell>
        </row>
        <row r="746">
          <cell r="S746" t="str">
            <v>DOM NDL NDR10</v>
          </cell>
          <cell r="T746" t="str">
            <v>DOM</v>
          </cell>
          <cell r="U746" t="str">
            <v>NDL</v>
          </cell>
          <cell r="V746" t="str">
            <v>NDR10</v>
          </cell>
          <cell r="X746">
            <v>0.10539999999999999</v>
          </cell>
          <cell r="Y746">
            <v>0</v>
          </cell>
          <cell r="Z746">
            <v>0.10539999999999999</v>
          </cell>
          <cell r="AA746">
            <v>0</v>
          </cell>
          <cell r="AB746">
            <v>0.10539999999999999</v>
          </cell>
          <cell r="AC746">
            <v>0</v>
          </cell>
          <cell r="AD746">
            <v>0.10539999999999999</v>
          </cell>
          <cell r="AE746">
            <v>0</v>
          </cell>
          <cell r="AG746" t="str">
            <v/>
          </cell>
          <cell r="AH746" t="str">
            <v/>
          </cell>
          <cell r="AJ746">
            <v>0.10539999999999999</v>
          </cell>
          <cell r="AK746">
            <v>0</v>
          </cell>
          <cell r="AL746">
            <v>0.10539999999999999</v>
          </cell>
          <cell r="AM746">
            <v>0</v>
          </cell>
          <cell r="AN746">
            <v>0.10539999999999999</v>
          </cell>
          <cell r="AO746">
            <v>0</v>
          </cell>
          <cell r="AP746">
            <v>0.10539999999999999</v>
          </cell>
          <cell r="AQ746">
            <v>0</v>
          </cell>
          <cell r="AS746" t="str">
            <v/>
          </cell>
          <cell r="AT746" t="str">
            <v/>
          </cell>
          <cell r="AV746" t="b">
            <v>0</v>
          </cell>
          <cell r="AW746" t="str">
            <v>minute</v>
          </cell>
        </row>
        <row r="747">
          <cell r="S747" t="str">
            <v>DOM NDL NDR11</v>
          </cell>
          <cell r="T747" t="str">
            <v>DOM</v>
          </cell>
          <cell r="U747" t="str">
            <v>NDL</v>
          </cell>
          <cell r="V747" t="str">
            <v>NDR11</v>
          </cell>
          <cell r="X747">
            <v>0.1138</v>
          </cell>
          <cell r="Y747">
            <v>0</v>
          </cell>
          <cell r="Z747">
            <v>0.1138</v>
          </cell>
          <cell r="AA747">
            <v>0</v>
          </cell>
          <cell r="AB747">
            <v>0.1138</v>
          </cell>
          <cell r="AC747">
            <v>0</v>
          </cell>
          <cell r="AD747">
            <v>0.1138</v>
          </cell>
          <cell r="AE747">
            <v>0</v>
          </cell>
          <cell r="AG747" t="str">
            <v/>
          </cell>
          <cell r="AH747" t="str">
            <v/>
          </cell>
          <cell r="AJ747">
            <v>0.1138</v>
          </cell>
          <cell r="AK747">
            <v>0</v>
          </cell>
          <cell r="AL747">
            <v>0.1138</v>
          </cell>
          <cell r="AM747">
            <v>0</v>
          </cell>
          <cell r="AN747">
            <v>0.1138</v>
          </cell>
          <cell r="AO747">
            <v>0</v>
          </cell>
          <cell r="AP747">
            <v>0.1138</v>
          </cell>
          <cell r="AQ747">
            <v>0</v>
          </cell>
          <cell r="AS747" t="str">
            <v/>
          </cell>
          <cell r="AT747" t="str">
            <v/>
          </cell>
          <cell r="AV747" t="b">
            <v>0</v>
          </cell>
          <cell r="AW747" t="str">
            <v>minute</v>
          </cell>
        </row>
        <row r="748">
          <cell r="S748" t="str">
            <v>DOM NDL NDR12</v>
          </cell>
          <cell r="T748" t="str">
            <v>DOM</v>
          </cell>
          <cell r="U748" t="str">
            <v>NDL</v>
          </cell>
          <cell r="V748" t="str">
            <v>NDR12</v>
          </cell>
          <cell r="X748">
            <v>0.1222</v>
          </cell>
          <cell r="Y748">
            <v>0</v>
          </cell>
          <cell r="Z748">
            <v>0.1222</v>
          </cell>
          <cell r="AA748">
            <v>0</v>
          </cell>
          <cell r="AB748">
            <v>0.1222</v>
          </cell>
          <cell r="AC748">
            <v>0</v>
          </cell>
          <cell r="AD748">
            <v>0.1222</v>
          </cell>
          <cell r="AE748">
            <v>0</v>
          </cell>
          <cell r="AG748" t="str">
            <v/>
          </cell>
          <cell r="AH748" t="str">
            <v/>
          </cell>
          <cell r="AJ748">
            <v>0.1222</v>
          </cell>
          <cell r="AK748">
            <v>0</v>
          </cell>
          <cell r="AL748">
            <v>0.1222</v>
          </cell>
          <cell r="AM748">
            <v>0</v>
          </cell>
          <cell r="AN748">
            <v>0.1222</v>
          </cell>
          <cell r="AO748">
            <v>0</v>
          </cell>
          <cell r="AP748">
            <v>0.1222</v>
          </cell>
          <cell r="AQ748">
            <v>0</v>
          </cell>
          <cell r="AS748" t="str">
            <v/>
          </cell>
          <cell r="AT748" t="str">
            <v/>
          </cell>
          <cell r="AV748" t="b">
            <v>0</v>
          </cell>
          <cell r="AW748" t="str">
            <v>minute</v>
          </cell>
        </row>
        <row r="749">
          <cell r="S749" t="str">
            <v>DOM NDL NDR13</v>
          </cell>
          <cell r="T749" t="str">
            <v>DOM</v>
          </cell>
          <cell r="U749" t="str">
            <v>NDL</v>
          </cell>
          <cell r="V749" t="str">
            <v>NDR13</v>
          </cell>
          <cell r="X749">
            <v>0.1474</v>
          </cell>
          <cell r="Y749">
            <v>0</v>
          </cell>
          <cell r="Z749">
            <v>0.1474</v>
          </cell>
          <cell r="AA749">
            <v>0</v>
          </cell>
          <cell r="AB749">
            <v>0.1474</v>
          </cell>
          <cell r="AC749">
            <v>0</v>
          </cell>
          <cell r="AD749">
            <v>0.1474</v>
          </cell>
          <cell r="AE749">
            <v>0</v>
          </cell>
          <cell r="AG749" t="str">
            <v/>
          </cell>
          <cell r="AH749" t="str">
            <v/>
          </cell>
          <cell r="AJ749">
            <v>0.1474</v>
          </cell>
          <cell r="AK749">
            <v>0</v>
          </cell>
          <cell r="AL749">
            <v>0.1474</v>
          </cell>
          <cell r="AM749">
            <v>0</v>
          </cell>
          <cell r="AN749">
            <v>0.1474</v>
          </cell>
          <cell r="AO749">
            <v>0</v>
          </cell>
          <cell r="AP749">
            <v>0.1474</v>
          </cell>
          <cell r="AQ749">
            <v>0</v>
          </cell>
          <cell r="AS749" t="str">
            <v/>
          </cell>
          <cell r="AT749" t="str">
            <v/>
          </cell>
          <cell r="AV749" t="b">
            <v>0</v>
          </cell>
          <cell r="AW749" t="str">
            <v>minute</v>
          </cell>
        </row>
        <row r="750">
          <cell r="S750" t="str">
            <v>DOM NDL NDR14</v>
          </cell>
          <cell r="T750" t="str">
            <v>DOM</v>
          </cell>
          <cell r="U750" t="str">
            <v>NDL</v>
          </cell>
          <cell r="V750" t="str">
            <v>NDR14</v>
          </cell>
          <cell r="X750">
            <v>0.16420000000000001</v>
          </cell>
          <cell r="Y750">
            <v>0</v>
          </cell>
          <cell r="Z750">
            <v>0.16420000000000001</v>
          </cell>
          <cell r="AA750">
            <v>0</v>
          </cell>
          <cell r="AB750">
            <v>0.16420000000000001</v>
          </cell>
          <cell r="AC750">
            <v>0</v>
          </cell>
          <cell r="AD750">
            <v>0.16420000000000001</v>
          </cell>
          <cell r="AE750">
            <v>0</v>
          </cell>
          <cell r="AG750" t="str">
            <v/>
          </cell>
          <cell r="AH750" t="str">
            <v/>
          </cell>
          <cell r="AJ750">
            <v>0.16420000000000001</v>
          </cell>
          <cell r="AK750">
            <v>0</v>
          </cell>
          <cell r="AL750">
            <v>0.16420000000000001</v>
          </cell>
          <cell r="AM750">
            <v>0</v>
          </cell>
          <cell r="AN750">
            <v>0.16420000000000001</v>
          </cell>
          <cell r="AO750">
            <v>0</v>
          </cell>
          <cell r="AP750">
            <v>0.16420000000000001</v>
          </cell>
          <cell r="AQ750">
            <v>0</v>
          </cell>
          <cell r="AS750" t="str">
            <v/>
          </cell>
          <cell r="AT750" t="str">
            <v/>
          </cell>
          <cell r="AV750" t="b">
            <v>0</v>
          </cell>
          <cell r="AW750" t="str">
            <v>minute</v>
          </cell>
        </row>
        <row r="751">
          <cell r="S751" t="str">
            <v>DOM NDL NDR15</v>
          </cell>
          <cell r="T751" t="str">
            <v>DOM</v>
          </cell>
          <cell r="U751" t="str">
            <v>NDL</v>
          </cell>
          <cell r="V751" t="str">
            <v>NDR15</v>
          </cell>
          <cell r="X751">
            <v>0.18940000000000001</v>
          </cell>
          <cell r="Y751">
            <v>0</v>
          </cell>
          <cell r="Z751">
            <v>0.18940000000000001</v>
          </cell>
          <cell r="AA751">
            <v>0</v>
          </cell>
          <cell r="AB751">
            <v>0.18940000000000001</v>
          </cell>
          <cell r="AC751">
            <v>0</v>
          </cell>
          <cell r="AD751">
            <v>0.18940000000000001</v>
          </cell>
          <cell r="AE751">
            <v>0</v>
          </cell>
          <cell r="AG751" t="str">
            <v/>
          </cell>
          <cell r="AH751" t="str">
            <v/>
          </cell>
          <cell r="AJ751">
            <v>0.18940000000000001</v>
          </cell>
          <cell r="AK751">
            <v>0</v>
          </cell>
          <cell r="AL751">
            <v>0.18940000000000001</v>
          </cell>
          <cell r="AM751">
            <v>0</v>
          </cell>
          <cell r="AN751">
            <v>0.18940000000000001</v>
          </cell>
          <cell r="AO751">
            <v>0</v>
          </cell>
          <cell r="AP751">
            <v>0.18940000000000001</v>
          </cell>
          <cell r="AQ751">
            <v>0</v>
          </cell>
          <cell r="AS751" t="str">
            <v/>
          </cell>
          <cell r="AT751" t="str">
            <v/>
          </cell>
          <cell r="AV751" t="b">
            <v>0</v>
          </cell>
          <cell r="AW751" t="str">
            <v>minute</v>
          </cell>
        </row>
        <row r="752">
          <cell r="S752" t="str">
            <v>DOM NDL NDR16</v>
          </cell>
          <cell r="T752" t="str">
            <v>DOM</v>
          </cell>
          <cell r="U752" t="str">
            <v>NDL</v>
          </cell>
          <cell r="V752" t="str">
            <v>NDR16</v>
          </cell>
          <cell r="X752">
            <v>0.20619999999999999</v>
          </cell>
          <cell r="Y752">
            <v>0</v>
          </cell>
          <cell r="Z752">
            <v>0.20619999999999999</v>
          </cell>
          <cell r="AA752">
            <v>0</v>
          </cell>
          <cell r="AB752">
            <v>0.20619999999999999</v>
          </cell>
          <cell r="AC752">
            <v>0</v>
          </cell>
          <cell r="AD752">
            <v>0.20619999999999999</v>
          </cell>
          <cell r="AE752">
            <v>0</v>
          </cell>
          <cell r="AG752" t="str">
            <v/>
          </cell>
          <cell r="AH752" t="str">
            <v/>
          </cell>
          <cell r="AJ752">
            <v>0.20619999999999999</v>
          </cell>
          <cell r="AK752">
            <v>0</v>
          </cell>
          <cell r="AL752">
            <v>0.20619999999999999</v>
          </cell>
          <cell r="AM752">
            <v>0</v>
          </cell>
          <cell r="AN752">
            <v>0.20619999999999999</v>
          </cell>
          <cell r="AO752">
            <v>0</v>
          </cell>
          <cell r="AP752">
            <v>0.20619999999999999</v>
          </cell>
          <cell r="AQ752">
            <v>0</v>
          </cell>
          <cell r="AS752" t="str">
            <v/>
          </cell>
          <cell r="AT752" t="str">
            <v/>
          </cell>
          <cell r="AV752" t="b">
            <v>0</v>
          </cell>
          <cell r="AW752" t="str">
            <v>minute</v>
          </cell>
        </row>
        <row r="753">
          <cell r="S753" t="str">
            <v>DOM NDL NDR17</v>
          </cell>
          <cell r="T753" t="str">
            <v>DOM</v>
          </cell>
          <cell r="U753" t="str">
            <v>NDL</v>
          </cell>
          <cell r="V753" t="str">
            <v>NDR17</v>
          </cell>
          <cell r="X753">
            <v>0.2482</v>
          </cell>
          <cell r="Y753">
            <v>0</v>
          </cell>
          <cell r="Z753">
            <v>0.2482</v>
          </cell>
          <cell r="AA753">
            <v>0</v>
          </cell>
          <cell r="AB753">
            <v>0.2482</v>
          </cell>
          <cell r="AC753">
            <v>0</v>
          </cell>
          <cell r="AD753">
            <v>0.2482</v>
          </cell>
          <cell r="AE753">
            <v>0</v>
          </cell>
          <cell r="AG753" t="str">
            <v/>
          </cell>
          <cell r="AH753" t="str">
            <v/>
          </cell>
          <cell r="AJ753">
            <v>0.2482</v>
          </cell>
          <cell r="AK753">
            <v>0</v>
          </cell>
          <cell r="AL753">
            <v>0.2482</v>
          </cell>
          <cell r="AM753">
            <v>0</v>
          </cell>
          <cell r="AN753">
            <v>0.2482</v>
          </cell>
          <cell r="AO753">
            <v>0</v>
          </cell>
          <cell r="AP753">
            <v>0.2482</v>
          </cell>
          <cell r="AQ753">
            <v>0</v>
          </cell>
          <cell r="AS753" t="str">
            <v/>
          </cell>
          <cell r="AT753" t="str">
            <v/>
          </cell>
          <cell r="AV753" t="b">
            <v>0</v>
          </cell>
          <cell r="AW753" t="str">
            <v>minute</v>
          </cell>
        </row>
        <row r="754">
          <cell r="S754" t="str">
            <v>DOM NDL NDR18</v>
          </cell>
          <cell r="T754" t="str">
            <v>DOM</v>
          </cell>
          <cell r="U754" t="str">
            <v>NDL</v>
          </cell>
          <cell r="V754" t="str">
            <v>NDR18</v>
          </cell>
          <cell r="X754">
            <v>0.2903</v>
          </cell>
          <cell r="Y754">
            <v>0</v>
          </cell>
          <cell r="Z754">
            <v>0.2903</v>
          </cell>
          <cell r="AA754">
            <v>0</v>
          </cell>
          <cell r="AB754">
            <v>0.2903</v>
          </cell>
          <cell r="AC754">
            <v>0</v>
          </cell>
          <cell r="AD754">
            <v>0.2903</v>
          </cell>
          <cell r="AE754">
            <v>0</v>
          </cell>
          <cell r="AG754" t="str">
            <v/>
          </cell>
          <cell r="AH754" t="str">
            <v/>
          </cell>
          <cell r="AJ754">
            <v>0.2903</v>
          </cell>
          <cell r="AK754">
            <v>0</v>
          </cell>
          <cell r="AL754">
            <v>0.2903</v>
          </cell>
          <cell r="AM754">
            <v>0</v>
          </cell>
          <cell r="AN754">
            <v>0.2903</v>
          </cell>
          <cell r="AO754">
            <v>0</v>
          </cell>
          <cell r="AP754">
            <v>0.2903</v>
          </cell>
          <cell r="AQ754">
            <v>0</v>
          </cell>
          <cell r="AS754" t="str">
            <v/>
          </cell>
          <cell r="AT754" t="str">
            <v/>
          </cell>
          <cell r="AV754" t="b">
            <v>0</v>
          </cell>
          <cell r="AW754" t="str">
            <v>minute</v>
          </cell>
        </row>
        <row r="755">
          <cell r="S755" t="str">
            <v>DOM NDL NDR19</v>
          </cell>
          <cell r="T755" t="str">
            <v>DOM</v>
          </cell>
          <cell r="U755" t="str">
            <v>NDL</v>
          </cell>
          <cell r="V755" t="str">
            <v>NDR19</v>
          </cell>
          <cell r="X755">
            <v>0.33229999999999998</v>
          </cell>
          <cell r="Y755">
            <v>0</v>
          </cell>
          <cell r="Z755">
            <v>0.33229999999999998</v>
          </cell>
          <cell r="AA755">
            <v>0</v>
          </cell>
          <cell r="AB755">
            <v>0.33229999999999998</v>
          </cell>
          <cell r="AC755">
            <v>0</v>
          </cell>
          <cell r="AD755">
            <v>0.33229999999999998</v>
          </cell>
          <cell r="AE755">
            <v>0</v>
          </cell>
          <cell r="AG755" t="str">
            <v/>
          </cell>
          <cell r="AH755" t="str">
            <v/>
          </cell>
          <cell r="AJ755">
            <v>0.33229999999999998</v>
          </cell>
          <cell r="AK755">
            <v>0</v>
          </cell>
          <cell r="AL755">
            <v>0.33229999999999998</v>
          </cell>
          <cell r="AM755">
            <v>0</v>
          </cell>
          <cell r="AN755">
            <v>0.33229999999999998</v>
          </cell>
          <cell r="AO755">
            <v>0</v>
          </cell>
          <cell r="AP755">
            <v>0.33229999999999998</v>
          </cell>
          <cell r="AQ755">
            <v>0</v>
          </cell>
          <cell r="AS755" t="str">
            <v/>
          </cell>
          <cell r="AT755" t="str">
            <v/>
          </cell>
          <cell r="AV755" t="b">
            <v>0</v>
          </cell>
          <cell r="AW755" t="str">
            <v>minute</v>
          </cell>
        </row>
        <row r="756">
          <cell r="S756" t="str">
            <v>DOM NDL NDR02</v>
          </cell>
          <cell r="T756" t="str">
            <v>DOM</v>
          </cell>
          <cell r="U756" t="str">
            <v>NDL</v>
          </cell>
          <cell r="V756" t="str">
            <v>NDR02</v>
          </cell>
          <cell r="X756">
            <v>5.5E-2</v>
          </cell>
          <cell r="Y756">
            <v>0</v>
          </cell>
          <cell r="Z756">
            <v>5.5E-2</v>
          </cell>
          <cell r="AA756">
            <v>0</v>
          </cell>
          <cell r="AB756">
            <v>5.5E-2</v>
          </cell>
          <cell r="AC756">
            <v>0</v>
          </cell>
          <cell r="AD756">
            <v>5.5E-2</v>
          </cell>
          <cell r="AE756">
            <v>0</v>
          </cell>
          <cell r="AG756" t="str">
            <v/>
          </cell>
          <cell r="AH756" t="str">
            <v/>
          </cell>
          <cell r="AJ756">
            <v>5.5E-2</v>
          </cell>
          <cell r="AK756">
            <v>0</v>
          </cell>
          <cell r="AL756">
            <v>5.5E-2</v>
          </cell>
          <cell r="AM756">
            <v>0</v>
          </cell>
          <cell r="AN756">
            <v>5.5E-2</v>
          </cell>
          <cell r="AO756">
            <v>0</v>
          </cell>
          <cell r="AP756">
            <v>5.5E-2</v>
          </cell>
          <cell r="AQ756">
            <v>0</v>
          </cell>
          <cell r="AS756" t="str">
            <v/>
          </cell>
          <cell r="AT756" t="str">
            <v/>
          </cell>
          <cell r="AV756" t="b">
            <v>0</v>
          </cell>
          <cell r="AW756" t="str">
            <v>minute</v>
          </cell>
        </row>
        <row r="757">
          <cell r="S757" t="str">
            <v>DOM NDL NDR20</v>
          </cell>
          <cell r="T757" t="str">
            <v>DOM</v>
          </cell>
          <cell r="U757" t="str">
            <v>NDL</v>
          </cell>
          <cell r="V757" t="str">
            <v>NDR20</v>
          </cell>
          <cell r="X757">
            <v>0.37430000000000002</v>
          </cell>
          <cell r="Y757">
            <v>0</v>
          </cell>
          <cell r="Z757">
            <v>0.37430000000000002</v>
          </cell>
          <cell r="AA757">
            <v>0</v>
          </cell>
          <cell r="AB757">
            <v>0.37430000000000002</v>
          </cell>
          <cell r="AC757">
            <v>0</v>
          </cell>
          <cell r="AD757">
            <v>0.37430000000000002</v>
          </cell>
          <cell r="AE757">
            <v>0</v>
          </cell>
          <cell r="AG757" t="str">
            <v/>
          </cell>
          <cell r="AH757" t="str">
            <v/>
          </cell>
          <cell r="AJ757">
            <v>0.37430000000000002</v>
          </cell>
          <cell r="AK757">
            <v>0</v>
          </cell>
          <cell r="AL757">
            <v>0.37430000000000002</v>
          </cell>
          <cell r="AM757">
            <v>0</v>
          </cell>
          <cell r="AN757">
            <v>0.37430000000000002</v>
          </cell>
          <cell r="AO757">
            <v>0</v>
          </cell>
          <cell r="AP757">
            <v>0.37430000000000002</v>
          </cell>
          <cell r="AQ757">
            <v>0</v>
          </cell>
          <cell r="AS757" t="str">
            <v/>
          </cell>
          <cell r="AT757" t="str">
            <v/>
          </cell>
          <cell r="AV757" t="b">
            <v>0</v>
          </cell>
          <cell r="AW757" t="str">
            <v>minute</v>
          </cell>
        </row>
        <row r="758">
          <cell r="S758" t="str">
            <v>DOM NDL NDR21</v>
          </cell>
          <cell r="T758" t="str">
            <v>DOM</v>
          </cell>
          <cell r="U758" t="str">
            <v>NDL</v>
          </cell>
          <cell r="V758" t="str">
            <v>NDR21</v>
          </cell>
          <cell r="X758">
            <v>0.4163</v>
          </cell>
          <cell r="Y758">
            <v>0</v>
          </cell>
          <cell r="Z758">
            <v>0.4163</v>
          </cell>
          <cell r="AA758">
            <v>0</v>
          </cell>
          <cell r="AB758">
            <v>0.4163</v>
          </cell>
          <cell r="AC758">
            <v>0</v>
          </cell>
          <cell r="AD758">
            <v>0.4163</v>
          </cell>
          <cell r="AE758">
            <v>0</v>
          </cell>
          <cell r="AG758" t="str">
            <v/>
          </cell>
          <cell r="AH758" t="str">
            <v/>
          </cell>
          <cell r="AJ758">
            <v>0.4163</v>
          </cell>
          <cell r="AK758">
            <v>0</v>
          </cell>
          <cell r="AL758">
            <v>0.4163</v>
          </cell>
          <cell r="AM758">
            <v>0</v>
          </cell>
          <cell r="AN758">
            <v>0.4163</v>
          </cell>
          <cell r="AO758">
            <v>0</v>
          </cell>
          <cell r="AP758">
            <v>0.4163</v>
          </cell>
          <cell r="AQ758">
            <v>0</v>
          </cell>
          <cell r="AS758" t="str">
            <v/>
          </cell>
          <cell r="AT758" t="str">
            <v/>
          </cell>
          <cell r="AV758" t="b">
            <v>0</v>
          </cell>
          <cell r="AW758" t="str">
            <v>minute</v>
          </cell>
        </row>
        <row r="759">
          <cell r="S759" t="str">
            <v>DOM NDL NDR22</v>
          </cell>
          <cell r="T759" t="str">
            <v>DOM</v>
          </cell>
          <cell r="U759" t="str">
            <v>NDL</v>
          </cell>
          <cell r="V759" t="str">
            <v>NDR22</v>
          </cell>
          <cell r="X759">
            <v>0.45829999999999999</v>
          </cell>
          <cell r="Y759">
            <v>0</v>
          </cell>
          <cell r="Z759">
            <v>0.45829999999999999</v>
          </cell>
          <cell r="AA759">
            <v>0</v>
          </cell>
          <cell r="AB759">
            <v>0.45829999999999999</v>
          </cell>
          <cell r="AC759">
            <v>0</v>
          </cell>
          <cell r="AD759">
            <v>0.45829999999999999</v>
          </cell>
          <cell r="AE759">
            <v>0</v>
          </cell>
          <cell r="AG759" t="str">
            <v/>
          </cell>
          <cell r="AH759" t="str">
            <v/>
          </cell>
          <cell r="AJ759">
            <v>0.45829999999999999</v>
          </cell>
          <cell r="AK759">
            <v>0</v>
          </cell>
          <cell r="AL759">
            <v>0.45829999999999999</v>
          </cell>
          <cell r="AM759">
            <v>0</v>
          </cell>
          <cell r="AN759">
            <v>0.45829999999999999</v>
          </cell>
          <cell r="AO759">
            <v>0</v>
          </cell>
          <cell r="AP759">
            <v>0.45829999999999999</v>
          </cell>
          <cell r="AQ759">
            <v>0</v>
          </cell>
          <cell r="AS759" t="str">
            <v/>
          </cell>
          <cell r="AT759" t="str">
            <v/>
          </cell>
          <cell r="AV759" t="b">
            <v>0</v>
          </cell>
          <cell r="AW759" t="str">
            <v>minute</v>
          </cell>
        </row>
        <row r="760">
          <cell r="S760" t="str">
            <v>DOM NDL NDR23</v>
          </cell>
          <cell r="T760" t="str">
            <v>DOM</v>
          </cell>
          <cell r="U760" t="str">
            <v>NDL</v>
          </cell>
          <cell r="V760" t="str">
            <v>NDR23</v>
          </cell>
          <cell r="X760">
            <v>0.50019999999999998</v>
          </cell>
          <cell r="Y760">
            <v>0</v>
          </cell>
          <cell r="Z760">
            <v>0.50019999999999998</v>
          </cell>
          <cell r="AA760">
            <v>0</v>
          </cell>
          <cell r="AB760">
            <v>0.50019999999999998</v>
          </cell>
          <cell r="AC760">
            <v>0</v>
          </cell>
          <cell r="AD760">
            <v>0.50019999999999998</v>
          </cell>
          <cell r="AE760">
            <v>0</v>
          </cell>
          <cell r="AG760" t="str">
            <v/>
          </cell>
          <cell r="AH760" t="str">
            <v/>
          </cell>
          <cell r="AJ760">
            <v>0.50019999999999998</v>
          </cell>
          <cell r="AK760">
            <v>0</v>
          </cell>
          <cell r="AL760">
            <v>0.50019999999999998</v>
          </cell>
          <cell r="AM760">
            <v>0</v>
          </cell>
          <cell r="AN760">
            <v>0.50019999999999998</v>
          </cell>
          <cell r="AO760">
            <v>0</v>
          </cell>
          <cell r="AP760">
            <v>0.50019999999999998</v>
          </cell>
          <cell r="AQ760">
            <v>0</v>
          </cell>
          <cell r="AS760" t="str">
            <v/>
          </cell>
          <cell r="AT760" t="str">
            <v/>
          </cell>
          <cell r="AV760" t="b">
            <v>0</v>
          </cell>
          <cell r="AW760" t="str">
            <v>minute</v>
          </cell>
        </row>
        <row r="761">
          <cell r="S761" t="str">
            <v>DOM NDL NDR24</v>
          </cell>
          <cell r="T761" t="str">
            <v>DOM</v>
          </cell>
          <cell r="U761" t="str">
            <v>NDL</v>
          </cell>
          <cell r="V761" t="str">
            <v>NDR24</v>
          </cell>
          <cell r="X761">
            <v>0.54239999999999999</v>
          </cell>
          <cell r="Y761">
            <v>0</v>
          </cell>
          <cell r="Z761">
            <v>0.54239999999999999</v>
          </cell>
          <cell r="AA761">
            <v>0</v>
          </cell>
          <cell r="AB761">
            <v>0.54239999999999999</v>
          </cell>
          <cell r="AC761">
            <v>0</v>
          </cell>
          <cell r="AD761">
            <v>0.54239999999999999</v>
          </cell>
          <cell r="AE761">
            <v>0</v>
          </cell>
          <cell r="AG761" t="str">
            <v/>
          </cell>
          <cell r="AH761" t="str">
            <v/>
          </cell>
          <cell r="AJ761">
            <v>0.54239999999999999</v>
          </cell>
          <cell r="AK761">
            <v>0</v>
          </cell>
          <cell r="AL761">
            <v>0.54239999999999999</v>
          </cell>
          <cell r="AM761">
            <v>0</v>
          </cell>
          <cell r="AN761">
            <v>0.54239999999999999</v>
          </cell>
          <cell r="AO761">
            <v>0</v>
          </cell>
          <cell r="AP761">
            <v>0.54239999999999999</v>
          </cell>
          <cell r="AQ761">
            <v>0</v>
          </cell>
          <cell r="AS761" t="str">
            <v/>
          </cell>
          <cell r="AT761" t="str">
            <v/>
          </cell>
          <cell r="AV761" t="b">
            <v>0</v>
          </cell>
          <cell r="AW761" t="str">
            <v>minute</v>
          </cell>
        </row>
        <row r="762">
          <cell r="S762" t="str">
            <v>DOM NDL NDR25</v>
          </cell>
          <cell r="T762" t="str">
            <v>DOM</v>
          </cell>
          <cell r="U762" t="str">
            <v>NDL</v>
          </cell>
          <cell r="V762" t="str">
            <v>NDR25</v>
          </cell>
          <cell r="X762">
            <v>0.58440000000000003</v>
          </cell>
          <cell r="Y762">
            <v>0</v>
          </cell>
          <cell r="Z762">
            <v>0.58440000000000003</v>
          </cell>
          <cell r="AA762">
            <v>0</v>
          </cell>
          <cell r="AB762">
            <v>0.58440000000000003</v>
          </cell>
          <cell r="AC762">
            <v>0</v>
          </cell>
          <cell r="AD762">
            <v>0.58440000000000003</v>
          </cell>
          <cell r="AE762">
            <v>0</v>
          </cell>
          <cell r="AG762" t="str">
            <v/>
          </cell>
          <cell r="AH762" t="str">
            <v/>
          </cell>
          <cell r="AJ762">
            <v>0.58440000000000003</v>
          </cell>
          <cell r="AK762">
            <v>0</v>
          </cell>
          <cell r="AL762">
            <v>0.58440000000000003</v>
          </cell>
          <cell r="AM762">
            <v>0</v>
          </cell>
          <cell r="AN762">
            <v>0.58440000000000003</v>
          </cell>
          <cell r="AO762">
            <v>0</v>
          </cell>
          <cell r="AP762">
            <v>0.58440000000000003</v>
          </cell>
          <cell r="AQ762">
            <v>0</v>
          </cell>
          <cell r="AS762" t="str">
            <v/>
          </cell>
          <cell r="AT762" t="str">
            <v/>
          </cell>
          <cell r="AV762" t="b">
            <v>0</v>
          </cell>
          <cell r="AW762" t="str">
            <v>minute</v>
          </cell>
        </row>
        <row r="763">
          <cell r="S763" t="str">
            <v>DOM NDL NDR26</v>
          </cell>
          <cell r="T763" t="str">
            <v>DOM</v>
          </cell>
          <cell r="U763" t="str">
            <v>NDL</v>
          </cell>
          <cell r="V763" t="str">
            <v>NDR26</v>
          </cell>
          <cell r="X763">
            <v>0.62639999999999996</v>
          </cell>
          <cell r="Y763">
            <v>0</v>
          </cell>
          <cell r="Z763">
            <v>0.62639999999999996</v>
          </cell>
          <cell r="AA763">
            <v>0</v>
          </cell>
          <cell r="AB763">
            <v>0.62639999999999996</v>
          </cell>
          <cell r="AC763">
            <v>0</v>
          </cell>
          <cell r="AD763">
            <v>0.62639999999999996</v>
          </cell>
          <cell r="AE763">
            <v>0</v>
          </cell>
          <cell r="AG763" t="str">
            <v/>
          </cell>
          <cell r="AH763" t="str">
            <v/>
          </cell>
          <cell r="AJ763">
            <v>0.62639999999999996</v>
          </cell>
          <cell r="AK763">
            <v>0</v>
          </cell>
          <cell r="AL763">
            <v>0.62639999999999996</v>
          </cell>
          <cell r="AM763">
            <v>0</v>
          </cell>
          <cell r="AN763">
            <v>0.62639999999999996</v>
          </cell>
          <cell r="AO763">
            <v>0</v>
          </cell>
          <cell r="AP763">
            <v>0.62639999999999996</v>
          </cell>
          <cell r="AQ763">
            <v>0</v>
          </cell>
          <cell r="AS763" t="str">
            <v/>
          </cell>
          <cell r="AT763" t="str">
            <v/>
          </cell>
          <cell r="AV763" t="b">
            <v>0</v>
          </cell>
          <cell r="AW763" t="str">
            <v>minute</v>
          </cell>
        </row>
        <row r="764">
          <cell r="S764" t="str">
            <v>DOM NDL NDR27</v>
          </cell>
          <cell r="T764" t="str">
            <v>DOM</v>
          </cell>
          <cell r="U764" t="str">
            <v>NDL</v>
          </cell>
          <cell r="V764" t="str">
            <v>NDR27</v>
          </cell>
          <cell r="X764">
            <v>0.71040000000000003</v>
          </cell>
          <cell r="Y764">
            <v>0</v>
          </cell>
          <cell r="Z764">
            <v>0.71040000000000003</v>
          </cell>
          <cell r="AA764">
            <v>0</v>
          </cell>
          <cell r="AB764">
            <v>0.71040000000000003</v>
          </cell>
          <cell r="AC764">
            <v>0</v>
          </cell>
          <cell r="AD764">
            <v>0.71040000000000003</v>
          </cell>
          <cell r="AE764">
            <v>0</v>
          </cell>
          <cell r="AG764" t="str">
            <v/>
          </cell>
          <cell r="AH764" t="str">
            <v/>
          </cell>
          <cell r="AJ764">
            <v>0.71040000000000003</v>
          </cell>
          <cell r="AK764">
            <v>0</v>
          </cell>
          <cell r="AL764">
            <v>0.71040000000000003</v>
          </cell>
          <cell r="AM764">
            <v>0</v>
          </cell>
          <cell r="AN764">
            <v>0.71040000000000003</v>
          </cell>
          <cell r="AO764">
            <v>0</v>
          </cell>
          <cell r="AP764">
            <v>0.71040000000000003</v>
          </cell>
          <cell r="AQ764">
            <v>0</v>
          </cell>
          <cell r="AS764" t="str">
            <v/>
          </cell>
          <cell r="AT764" t="str">
            <v/>
          </cell>
          <cell r="AV764" t="b">
            <v>0</v>
          </cell>
          <cell r="AW764" t="str">
            <v>minute</v>
          </cell>
        </row>
        <row r="765">
          <cell r="S765" t="str">
            <v>DOM NDL NDR28</v>
          </cell>
          <cell r="T765" t="str">
            <v>DOM</v>
          </cell>
          <cell r="U765" t="str">
            <v>NDL</v>
          </cell>
          <cell r="V765" t="str">
            <v>NDR28</v>
          </cell>
          <cell r="X765">
            <v>0</v>
          </cell>
          <cell r="Y765">
            <v>6.3E-2</v>
          </cell>
          <cell r="Z765">
            <v>0</v>
          </cell>
          <cell r="AA765">
            <v>6.3E-2</v>
          </cell>
          <cell r="AB765">
            <v>0</v>
          </cell>
          <cell r="AC765">
            <v>6.3E-2</v>
          </cell>
          <cell r="AD765">
            <v>0</v>
          </cell>
          <cell r="AE765">
            <v>6.3E-2</v>
          </cell>
          <cell r="AG765" t="str">
            <v/>
          </cell>
          <cell r="AH765" t="str">
            <v/>
          </cell>
          <cell r="AJ765">
            <v>0</v>
          </cell>
          <cell r="AK765">
            <v>6.3E-2</v>
          </cell>
          <cell r="AL765">
            <v>0</v>
          </cell>
          <cell r="AM765">
            <v>6.3E-2</v>
          </cell>
          <cell r="AN765">
            <v>0</v>
          </cell>
          <cell r="AO765">
            <v>6.3E-2</v>
          </cell>
          <cell r="AP765">
            <v>0</v>
          </cell>
          <cell r="AQ765">
            <v>6.3E-2</v>
          </cell>
          <cell r="AS765" t="str">
            <v/>
          </cell>
          <cell r="AT765" t="str">
            <v/>
          </cell>
          <cell r="AV765" t="b">
            <v>0</v>
          </cell>
          <cell r="AW765" t="str">
            <v>call</v>
          </cell>
        </row>
        <row r="766">
          <cell r="S766" t="str">
            <v>DOM NDL NDR29</v>
          </cell>
          <cell r="T766" t="str">
            <v>DOM</v>
          </cell>
          <cell r="U766" t="str">
            <v>NDL</v>
          </cell>
          <cell r="V766" t="str">
            <v>NDR29</v>
          </cell>
          <cell r="X766">
            <v>0</v>
          </cell>
          <cell r="Y766">
            <v>0.18490000000000001</v>
          </cell>
          <cell r="Z766">
            <v>0</v>
          </cell>
          <cell r="AA766">
            <v>0.18490000000000001</v>
          </cell>
          <cell r="AB766">
            <v>0</v>
          </cell>
          <cell r="AC766">
            <v>0.18490000000000001</v>
          </cell>
          <cell r="AD766">
            <v>0</v>
          </cell>
          <cell r="AE766">
            <v>0.18490000000000001</v>
          </cell>
          <cell r="AG766" t="str">
            <v/>
          </cell>
          <cell r="AH766" t="str">
            <v/>
          </cell>
          <cell r="AJ766">
            <v>0</v>
          </cell>
          <cell r="AK766">
            <v>0.18490000000000001</v>
          </cell>
          <cell r="AL766">
            <v>0</v>
          </cell>
          <cell r="AM766">
            <v>0.18490000000000001</v>
          </cell>
          <cell r="AN766">
            <v>0</v>
          </cell>
          <cell r="AO766">
            <v>0.18490000000000001</v>
          </cell>
          <cell r="AP766">
            <v>0</v>
          </cell>
          <cell r="AQ766">
            <v>0.18490000000000001</v>
          </cell>
          <cell r="AS766" t="str">
            <v/>
          </cell>
          <cell r="AT766" t="str">
            <v/>
          </cell>
          <cell r="AV766" t="b">
            <v>0</v>
          </cell>
          <cell r="AW766" t="str">
            <v>call</v>
          </cell>
        </row>
        <row r="767">
          <cell r="S767" t="str">
            <v>DOM NDL NDR03</v>
          </cell>
          <cell r="T767" t="str">
            <v>DOM</v>
          </cell>
          <cell r="U767" t="str">
            <v>NDL</v>
          </cell>
          <cell r="V767" t="str">
            <v>NDR03</v>
          </cell>
          <cell r="X767">
            <v>5.9200000000000003E-2</v>
          </cell>
          <cell r="Y767">
            <v>0</v>
          </cell>
          <cell r="Z767">
            <v>5.9200000000000003E-2</v>
          </cell>
          <cell r="AA767">
            <v>0</v>
          </cell>
          <cell r="AB767">
            <v>5.9200000000000003E-2</v>
          </cell>
          <cell r="AC767">
            <v>0</v>
          </cell>
          <cell r="AD767">
            <v>5.9200000000000003E-2</v>
          </cell>
          <cell r="AE767">
            <v>0</v>
          </cell>
          <cell r="AG767" t="str">
            <v/>
          </cell>
          <cell r="AH767" t="str">
            <v/>
          </cell>
          <cell r="AJ767">
            <v>5.9200000000000003E-2</v>
          </cell>
          <cell r="AK767">
            <v>0</v>
          </cell>
          <cell r="AL767">
            <v>5.9200000000000003E-2</v>
          </cell>
          <cell r="AM767">
            <v>0</v>
          </cell>
          <cell r="AN767">
            <v>5.9200000000000003E-2</v>
          </cell>
          <cell r="AO767">
            <v>0</v>
          </cell>
          <cell r="AP767">
            <v>5.9200000000000003E-2</v>
          </cell>
          <cell r="AQ767">
            <v>0</v>
          </cell>
          <cell r="AS767" t="str">
            <v/>
          </cell>
          <cell r="AT767" t="str">
            <v/>
          </cell>
          <cell r="AV767" t="b">
            <v>0</v>
          </cell>
          <cell r="AW767" t="str">
            <v>minute</v>
          </cell>
        </row>
        <row r="768">
          <cell r="S768" t="str">
            <v>DOM NDL NDR30</v>
          </cell>
          <cell r="T768" t="str">
            <v>DOM</v>
          </cell>
          <cell r="U768" t="str">
            <v>NDL</v>
          </cell>
          <cell r="V768" t="str">
            <v>NDR30</v>
          </cell>
          <cell r="X768">
            <v>0</v>
          </cell>
          <cell r="Y768">
            <v>0.29409999999999997</v>
          </cell>
          <cell r="Z768">
            <v>0</v>
          </cell>
          <cell r="AA768">
            <v>0.29409999999999997</v>
          </cell>
          <cell r="AB768">
            <v>0</v>
          </cell>
          <cell r="AC768">
            <v>0.29409999999999997</v>
          </cell>
          <cell r="AD768">
            <v>0</v>
          </cell>
          <cell r="AE768">
            <v>0.29409999999999997</v>
          </cell>
          <cell r="AG768" t="str">
            <v/>
          </cell>
          <cell r="AH768" t="str">
            <v/>
          </cell>
          <cell r="AJ768">
            <v>0</v>
          </cell>
          <cell r="AK768">
            <v>0.29409999999999997</v>
          </cell>
          <cell r="AL768">
            <v>0</v>
          </cell>
          <cell r="AM768">
            <v>0.29409999999999997</v>
          </cell>
          <cell r="AN768">
            <v>0</v>
          </cell>
          <cell r="AO768">
            <v>0.29409999999999997</v>
          </cell>
          <cell r="AP768">
            <v>0</v>
          </cell>
          <cell r="AQ768">
            <v>0.29409999999999997</v>
          </cell>
          <cell r="AS768" t="str">
            <v/>
          </cell>
          <cell r="AT768" t="str">
            <v/>
          </cell>
          <cell r="AV768" t="b">
            <v>0</v>
          </cell>
          <cell r="AW768" t="str">
            <v>call</v>
          </cell>
        </row>
        <row r="769">
          <cell r="S769" t="str">
            <v>DOM NDL NDR31</v>
          </cell>
          <cell r="T769" t="str">
            <v>DOM</v>
          </cell>
          <cell r="U769" t="str">
            <v>NDL</v>
          </cell>
          <cell r="V769" t="str">
            <v>NDR31</v>
          </cell>
          <cell r="X769">
            <v>0</v>
          </cell>
          <cell r="Y769">
            <v>0.37819999999999998</v>
          </cell>
          <cell r="Z769">
            <v>0</v>
          </cell>
          <cell r="AA769">
            <v>0.37819999999999998</v>
          </cell>
          <cell r="AB769">
            <v>0</v>
          </cell>
          <cell r="AC769">
            <v>0.37819999999999998</v>
          </cell>
          <cell r="AD769">
            <v>0</v>
          </cell>
          <cell r="AE769">
            <v>0.37819999999999998</v>
          </cell>
          <cell r="AG769" t="str">
            <v/>
          </cell>
          <cell r="AH769" t="str">
            <v/>
          </cell>
          <cell r="AJ769">
            <v>0</v>
          </cell>
          <cell r="AK769">
            <v>0.37819999999999998</v>
          </cell>
          <cell r="AL769">
            <v>0</v>
          </cell>
          <cell r="AM769">
            <v>0.37819999999999998</v>
          </cell>
          <cell r="AN769">
            <v>0</v>
          </cell>
          <cell r="AO769">
            <v>0.37819999999999998</v>
          </cell>
          <cell r="AP769">
            <v>0</v>
          </cell>
          <cell r="AQ769">
            <v>0.37819999999999998</v>
          </cell>
          <cell r="AS769" t="str">
            <v/>
          </cell>
          <cell r="AT769" t="str">
            <v/>
          </cell>
          <cell r="AV769" t="b">
            <v>0</v>
          </cell>
          <cell r="AW769" t="str">
            <v>call</v>
          </cell>
        </row>
        <row r="770">
          <cell r="S770" t="str">
            <v>DOM NDL NDR32</v>
          </cell>
          <cell r="T770" t="str">
            <v>DOM</v>
          </cell>
          <cell r="U770" t="str">
            <v>NDL</v>
          </cell>
          <cell r="V770" t="str">
            <v>NDR32</v>
          </cell>
          <cell r="X770">
            <v>0</v>
          </cell>
          <cell r="Y770">
            <v>0.42020000000000002</v>
          </cell>
          <cell r="Z770">
            <v>0</v>
          </cell>
          <cell r="AA770">
            <v>0.42020000000000002</v>
          </cell>
          <cell r="AB770">
            <v>0</v>
          </cell>
          <cell r="AC770">
            <v>0.42020000000000002</v>
          </cell>
          <cell r="AD770">
            <v>0</v>
          </cell>
          <cell r="AE770">
            <v>0.42020000000000002</v>
          </cell>
          <cell r="AG770" t="str">
            <v/>
          </cell>
          <cell r="AH770" t="str">
            <v/>
          </cell>
          <cell r="AJ770">
            <v>0</v>
          </cell>
          <cell r="AK770">
            <v>0.42020000000000002</v>
          </cell>
          <cell r="AL770">
            <v>0</v>
          </cell>
          <cell r="AM770">
            <v>0.42020000000000002</v>
          </cell>
          <cell r="AN770">
            <v>0</v>
          </cell>
          <cell r="AO770">
            <v>0.42020000000000002</v>
          </cell>
          <cell r="AP770">
            <v>0</v>
          </cell>
          <cell r="AQ770">
            <v>0.42020000000000002</v>
          </cell>
          <cell r="AS770" t="str">
            <v/>
          </cell>
          <cell r="AT770" t="str">
            <v/>
          </cell>
          <cell r="AV770" t="b">
            <v>0</v>
          </cell>
          <cell r="AW770" t="str">
            <v>call</v>
          </cell>
        </row>
        <row r="771">
          <cell r="S771" t="str">
            <v>DOM NDL NDR33</v>
          </cell>
          <cell r="T771" t="str">
            <v>DOM</v>
          </cell>
          <cell r="U771" t="str">
            <v>NDL</v>
          </cell>
          <cell r="V771" t="str">
            <v>NDR33</v>
          </cell>
          <cell r="X771">
            <v>0</v>
          </cell>
          <cell r="Y771">
            <v>0.4622</v>
          </cell>
          <cell r="Z771">
            <v>0</v>
          </cell>
          <cell r="AA771">
            <v>0.4622</v>
          </cell>
          <cell r="AB771">
            <v>0</v>
          </cell>
          <cell r="AC771">
            <v>0.4622</v>
          </cell>
          <cell r="AD771">
            <v>0</v>
          </cell>
          <cell r="AE771">
            <v>0.4622</v>
          </cell>
          <cell r="AG771" t="str">
            <v/>
          </cell>
          <cell r="AH771" t="str">
            <v/>
          </cell>
          <cell r="AJ771">
            <v>0</v>
          </cell>
          <cell r="AK771">
            <v>0.4622</v>
          </cell>
          <cell r="AL771">
            <v>0</v>
          </cell>
          <cell r="AM771">
            <v>0.4622</v>
          </cell>
          <cell r="AN771">
            <v>0</v>
          </cell>
          <cell r="AO771">
            <v>0.4622</v>
          </cell>
          <cell r="AP771">
            <v>0</v>
          </cell>
          <cell r="AQ771">
            <v>0.4622</v>
          </cell>
          <cell r="AS771" t="str">
            <v/>
          </cell>
          <cell r="AT771" t="str">
            <v/>
          </cell>
          <cell r="AV771" t="b">
            <v>0</v>
          </cell>
          <cell r="AW771" t="str">
            <v>call</v>
          </cell>
        </row>
        <row r="772">
          <cell r="S772" t="str">
            <v>DOM NDL NDR34</v>
          </cell>
          <cell r="T772" t="str">
            <v>DOM</v>
          </cell>
          <cell r="U772" t="str">
            <v>NDL</v>
          </cell>
          <cell r="V772" t="str">
            <v>NDR34</v>
          </cell>
          <cell r="X772">
            <v>0</v>
          </cell>
          <cell r="Y772">
            <v>0.50419999999999998</v>
          </cell>
          <cell r="Z772">
            <v>0</v>
          </cell>
          <cell r="AA772">
            <v>0.50419999999999998</v>
          </cell>
          <cell r="AB772">
            <v>0</v>
          </cell>
          <cell r="AC772">
            <v>0.50419999999999998</v>
          </cell>
          <cell r="AD772">
            <v>0</v>
          </cell>
          <cell r="AE772">
            <v>0.50419999999999998</v>
          </cell>
          <cell r="AG772" t="str">
            <v/>
          </cell>
          <cell r="AH772" t="str">
            <v/>
          </cell>
          <cell r="AJ772">
            <v>0</v>
          </cell>
          <cell r="AK772">
            <v>0.50419999999999998</v>
          </cell>
          <cell r="AL772">
            <v>0</v>
          </cell>
          <cell r="AM772">
            <v>0.50419999999999998</v>
          </cell>
          <cell r="AN772">
            <v>0</v>
          </cell>
          <cell r="AO772">
            <v>0.50419999999999998</v>
          </cell>
          <cell r="AP772">
            <v>0</v>
          </cell>
          <cell r="AQ772">
            <v>0.50419999999999998</v>
          </cell>
          <cell r="AS772" t="str">
            <v/>
          </cell>
          <cell r="AT772" t="str">
            <v/>
          </cell>
          <cell r="AV772" t="b">
            <v>0</v>
          </cell>
          <cell r="AW772" t="str">
            <v>call</v>
          </cell>
        </row>
        <row r="773">
          <cell r="S773" t="str">
            <v>DOM NDL NDR35</v>
          </cell>
          <cell r="T773" t="str">
            <v>DOM</v>
          </cell>
          <cell r="U773" t="str">
            <v>NDL</v>
          </cell>
          <cell r="V773" t="str">
            <v>NDR35</v>
          </cell>
          <cell r="X773">
            <v>0</v>
          </cell>
          <cell r="Y773">
            <v>0.55459999999999998</v>
          </cell>
          <cell r="Z773">
            <v>0</v>
          </cell>
          <cell r="AA773">
            <v>0.55459999999999998</v>
          </cell>
          <cell r="AB773">
            <v>0</v>
          </cell>
          <cell r="AC773">
            <v>0.55459999999999998</v>
          </cell>
          <cell r="AD773">
            <v>0</v>
          </cell>
          <cell r="AE773">
            <v>0.55459999999999998</v>
          </cell>
          <cell r="AG773" t="str">
            <v/>
          </cell>
          <cell r="AH773" t="str">
            <v/>
          </cell>
          <cell r="AJ773">
            <v>0</v>
          </cell>
          <cell r="AK773">
            <v>0.55459999999999998</v>
          </cell>
          <cell r="AL773">
            <v>0</v>
          </cell>
          <cell r="AM773">
            <v>0.55459999999999998</v>
          </cell>
          <cell r="AN773">
            <v>0</v>
          </cell>
          <cell r="AO773">
            <v>0.55459999999999998</v>
          </cell>
          <cell r="AP773">
            <v>0</v>
          </cell>
          <cell r="AQ773">
            <v>0.55459999999999998</v>
          </cell>
          <cell r="AS773" t="str">
            <v/>
          </cell>
          <cell r="AT773" t="str">
            <v/>
          </cell>
          <cell r="AV773" t="b">
            <v>0</v>
          </cell>
          <cell r="AW773" t="str">
            <v>call</v>
          </cell>
        </row>
        <row r="774">
          <cell r="S774" t="str">
            <v>DOM NDL NDR36</v>
          </cell>
          <cell r="T774" t="str">
            <v>DOM</v>
          </cell>
          <cell r="U774" t="str">
            <v>NDL</v>
          </cell>
          <cell r="V774" t="str">
            <v>NDR36</v>
          </cell>
          <cell r="X774">
            <v>0</v>
          </cell>
          <cell r="Y774">
            <v>0.58819999999999995</v>
          </cell>
          <cell r="Z774">
            <v>0</v>
          </cell>
          <cell r="AA774">
            <v>0.58819999999999995</v>
          </cell>
          <cell r="AB774">
            <v>0</v>
          </cell>
          <cell r="AC774">
            <v>0.58819999999999995</v>
          </cell>
          <cell r="AD774">
            <v>0</v>
          </cell>
          <cell r="AE774">
            <v>0.58819999999999995</v>
          </cell>
          <cell r="AG774" t="str">
            <v/>
          </cell>
          <cell r="AH774" t="str">
            <v/>
          </cell>
          <cell r="AJ774">
            <v>0</v>
          </cell>
          <cell r="AK774">
            <v>0.58819999999999995</v>
          </cell>
          <cell r="AL774">
            <v>0</v>
          </cell>
          <cell r="AM774">
            <v>0.58819999999999995</v>
          </cell>
          <cell r="AN774">
            <v>0</v>
          </cell>
          <cell r="AO774">
            <v>0.58819999999999995</v>
          </cell>
          <cell r="AP774">
            <v>0</v>
          </cell>
          <cell r="AQ774">
            <v>0.58819999999999995</v>
          </cell>
          <cell r="AS774" t="str">
            <v/>
          </cell>
          <cell r="AT774" t="str">
            <v/>
          </cell>
          <cell r="AV774" t="b">
            <v>0</v>
          </cell>
          <cell r="AW774" t="str">
            <v>call</v>
          </cell>
        </row>
        <row r="775">
          <cell r="S775" t="str">
            <v>DOM NDL NDR37</v>
          </cell>
          <cell r="T775" t="str">
            <v>DOM</v>
          </cell>
          <cell r="U775" t="str">
            <v>NDL</v>
          </cell>
          <cell r="V775" t="str">
            <v>NDR37</v>
          </cell>
          <cell r="X775">
            <v>0</v>
          </cell>
          <cell r="Y775">
            <v>0.63029999999999997</v>
          </cell>
          <cell r="Z775">
            <v>0</v>
          </cell>
          <cell r="AA775">
            <v>0.63029999999999997</v>
          </cell>
          <cell r="AB775">
            <v>0</v>
          </cell>
          <cell r="AC775">
            <v>0.63029999999999997</v>
          </cell>
          <cell r="AD775">
            <v>0</v>
          </cell>
          <cell r="AE775">
            <v>0.63029999999999997</v>
          </cell>
          <cell r="AG775" t="str">
            <v/>
          </cell>
          <cell r="AH775" t="str">
            <v/>
          </cell>
          <cell r="AJ775">
            <v>0</v>
          </cell>
          <cell r="AK775">
            <v>0.63029999999999997</v>
          </cell>
          <cell r="AL775">
            <v>0</v>
          </cell>
          <cell r="AM775">
            <v>0.63029999999999997</v>
          </cell>
          <cell r="AN775">
            <v>0</v>
          </cell>
          <cell r="AO775">
            <v>0.63029999999999997</v>
          </cell>
          <cell r="AP775">
            <v>0</v>
          </cell>
          <cell r="AQ775">
            <v>0.63029999999999997</v>
          </cell>
          <cell r="AS775" t="str">
            <v/>
          </cell>
          <cell r="AT775" t="str">
            <v/>
          </cell>
          <cell r="AV775" t="b">
            <v>0</v>
          </cell>
          <cell r="AW775" t="str">
            <v>call</v>
          </cell>
        </row>
        <row r="776">
          <cell r="S776" t="str">
            <v>DOM NDL NDR38</v>
          </cell>
          <cell r="T776" t="str">
            <v>DOM</v>
          </cell>
          <cell r="U776" t="str">
            <v>NDL</v>
          </cell>
          <cell r="V776" t="str">
            <v>NDR38</v>
          </cell>
          <cell r="X776">
            <v>0</v>
          </cell>
          <cell r="Y776">
            <v>0.67230000000000001</v>
          </cell>
          <cell r="Z776">
            <v>0</v>
          </cell>
          <cell r="AA776">
            <v>0.67230000000000001</v>
          </cell>
          <cell r="AB776">
            <v>0</v>
          </cell>
          <cell r="AC776">
            <v>0.67230000000000001</v>
          </cell>
          <cell r="AD776">
            <v>0</v>
          </cell>
          <cell r="AE776">
            <v>0.67230000000000001</v>
          </cell>
          <cell r="AG776" t="str">
            <v/>
          </cell>
          <cell r="AH776" t="str">
            <v/>
          </cell>
          <cell r="AJ776">
            <v>0</v>
          </cell>
          <cell r="AK776">
            <v>0.67230000000000001</v>
          </cell>
          <cell r="AL776">
            <v>0</v>
          </cell>
          <cell r="AM776">
            <v>0.67230000000000001</v>
          </cell>
          <cell r="AN776">
            <v>0</v>
          </cell>
          <cell r="AO776">
            <v>0.67230000000000001</v>
          </cell>
          <cell r="AP776">
            <v>0</v>
          </cell>
          <cell r="AQ776">
            <v>0.67230000000000001</v>
          </cell>
          <cell r="AS776" t="str">
            <v/>
          </cell>
          <cell r="AT776" t="str">
            <v/>
          </cell>
          <cell r="AV776" t="b">
            <v>0</v>
          </cell>
          <cell r="AW776" t="str">
            <v>call</v>
          </cell>
        </row>
        <row r="777">
          <cell r="S777" t="str">
            <v>DOM NDL NDR39</v>
          </cell>
          <cell r="T777" t="str">
            <v>DOM</v>
          </cell>
          <cell r="U777" t="str">
            <v>NDL</v>
          </cell>
          <cell r="V777" t="str">
            <v>NDR39</v>
          </cell>
          <cell r="X777">
            <v>0</v>
          </cell>
          <cell r="Y777">
            <v>0.75629999999999997</v>
          </cell>
          <cell r="Z777">
            <v>0</v>
          </cell>
          <cell r="AA777">
            <v>0.75629999999999997</v>
          </cell>
          <cell r="AB777">
            <v>0</v>
          </cell>
          <cell r="AC777">
            <v>0.75629999999999997</v>
          </cell>
          <cell r="AD777">
            <v>0</v>
          </cell>
          <cell r="AE777">
            <v>0.75629999999999997</v>
          </cell>
          <cell r="AG777" t="str">
            <v/>
          </cell>
          <cell r="AH777" t="str">
            <v/>
          </cell>
          <cell r="AJ777">
            <v>0</v>
          </cell>
          <cell r="AK777">
            <v>0.75629999999999997</v>
          </cell>
          <cell r="AL777">
            <v>0</v>
          </cell>
          <cell r="AM777">
            <v>0.75629999999999997</v>
          </cell>
          <cell r="AN777">
            <v>0</v>
          </cell>
          <cell r="AO777">
            <v>0.75629999999999997</v>
          </cell>
          <cell r="AP777">
            <v>0</v>
          </cell>
          <cell r="AQ777">
            <v>0.75629999999999997</v>
          </cell>
          <cell r="AS777" t="str">
            <v/>
          </cell>
          <cell r="AT777" t="str">
            <v/>
          </cell>
          <cell r="AV777" t="b">
            <v>0</v>
          </cell>
          <cell r="AW777" t="str">
            <v>call</v>
          </cell>
        </row>
        <row r="778">
          <cell r="S778" t="str">
            <v>DOM NDL NDR04</v>
          </cell>
          <cell r="T778" t="str">
            <v>DOM</v>
          </cell>
          <cell r="U778" t="str">
            <v>NDL</v>
          </cell>
          <cell r="V778" t="str">
            <v>NDR04</v>
          </cell>
          <cell r="X778">
            <v>6.3399999999999998E-2</v>
          </cell>
          <cell r="Y778">
            <v>0</v>
          </cell>
          <cell r="Z778">
            <v>6.3399999999999998E-2</v>
          </cell>
          <cell r="AA778">
            <v>0</v>
          </cell>
          <cell r="AB778">
            <v>6.3399999999999998E-2</v>
          </cell>
          <cell r="AC778">
            <v>0</v>
          </cell>
          <cell r="AD778">
            <v>6.3399999999999998E-2</v>
          </cell>
          <cell r="AE778">
            <v>0</v>
          </cell>
          <cell r="AG778" t="str">
            <v/>
          </cell>
          <cell r="AH778" t="str">
            <v/>
          </cell>
          <cell r="AJ778">
            <v>6.3399999999999998E-2</v>
          </cell>
          <cell r="AK778">
            <v>0</v>
          </cell>
          <cell r="AL778">
            <v>6.3399999999999998E-2</v>
          </cell>
          <cell r="AM778">
            <v>0</v>
          </cell>
          <cell r="AN778">
            <v>6.3399999999999998E-2</v>
          </cell>
          <cell r="AO778">
            <v>0</v>
          </cell>
          <cell r="AP778">
            <v>6.3399999999999998E-2</v>
          </cell>
          <cell r="AQ778">
            <v>0</v>
          </cell>
          <cell r="AS778" t="str">
            <v/>
          </cell>
          <cell r="AT778" t="str">
            <v/>
          </cell>
          <cell r="AV778" t="b">
            <v>0</v>
          </cell>
          <cell r="AW778" t="str">
            <v>minute</v>
          </cell>
        </row>
        <row r="779">
          <cell r="S779" t="str">
            <v>DOM NDL NDR40</v>
          </cell>
          <cell r="T779" t="str">
            <v>DOM</v>
          </cell>
          <cell r="U779" t="str">
            <v>NDL</v>
          </cell>
          <cell r="V779" t="str">
            <v>NDR40</v>
          </cell>
          <cell r="X779">
            <v>0</v>
          </cell>
          <cell r="Y779">
            <v>0.77310000000000001</v>
          </cell>
          <cell r="Z779">
            <v>0</v>
          </cell>
          <cell r="AA779">
            <v>0.77310000000000001</v>
          </cell>
          <cell r="AB779">
            <v>0</v>
          </cell>
          <cell r="AC779">
            <v>0.77310000000000001</v>
          </cell>
          <cell r="AD779">
            <v>0</v>
          </cell>
          <cell r="AE779">
            <v>0.77310000000000001</v>
          </cell>
          <cell r="AG779" t="str">
            <v/>
          </cell>
          <cell r="AH779" t="str">
            <v/>
          </cell>
          <cell r="AJ779">
            <v>0</v>
          </cell>
          <cell r="AK779">
            <v>0.77310000000000001</v>
          </cell>
          <cell r="AL779">
            <v>0</v>
          </cell>
          <cell r="AM779">
            <v>0.77310000000000001</v>
          </cell>
          <cell r="AN779">
            <v>0</v>
          </cell>
          <cell r="AO779">
            <v>0.77310000000000001</v>
          </cell>
          <cell r="AP779">
            <v>0</v>
          </cell>
          <cell r="AQ779">
            <v>0.77310000000000001</v>
          </cell>
          <cell r="AS779" t="str">
            <v/>
          </cell>
          <cell r="AT779" t="str">
            <v/>
          </cell>
          <cell r="AV779" t="b">
            <v>0</v>
          </cell>
          <cell r="AW779" t="str">
            <v>call</v>
          </cell>
        </row>
        <row r="780">
          <cell r="S780" t="str">
            <v>DOM NDL NDR41</v>
          </cell>
          <cell r="T780" t="str">
            <v>DOM</v>
          </cell>
          <cell r="U780" t="str">
            <v>NDL</v>
          </cell>
          <cell r="V780" t="str">
            <v>NDR41</v>
          </cell>
          <cell r="X780">
            <v>0</v>
          </cell>
          <cell r="Y780">
            <v>0.83189999999999997</v>
          </cell>
          <cell r="Z780">
            <v>0</v>
          </cell>
          <cell r="AA780">
            <v>0.83189999999999997</v>
          </cell>
          <cell r="AB780">
            <v>0</v>
          </cell>
          <cell r="AC780">
            <v>0.83189999999999997</v>
          </cell>
          <cell r="AD780">
            <v>0</v>
          </cell>
          <cell r="AE780">
            <v>0.83189999999999997</v>
          </cell>
          <cell r="AG780" t="str">
            <v/>
          </cell>
          <cell r="AH780" t="str">
            <v/>
          </cell>
          <cell r="AJ780">
            <v>0</v>
          </cell>
          <cell r="AK780">
            <v>0.83189999999999997</v>
          </cell>
          <cell r="AL780">
            <v>0</v>
          </cell>
          <cell r="AM780">
            <v>0.83189999999999997</v>
          </cell>
          <cell r="AN780">
            <v>0</v>
          </cell>
          <cell r="AO780">
            <v>0.83189999999999997</v>
          </cell>
          <cell r="AP780">
            <v>0</v>
          </cell>
          <cell r="AQ780">
            <v>0.83189999999999997</v>
          </cell>
          <cell r="AS780" t="str">
            <v/>
          </cell>
          <cell r="AT780" t="str">
            <v/>
          </cell>
          <cell r="AV780" t="b">
            <v>0</v>
          </cell>
          <cell r="AW780" t="str">
            <v>call</v>
          </cell>
        </row>
        <row r="781">
          <cell r="S781" t="str">
            <v>DOM NDL NDR42</v>
          </cell>
          <cell r="T781" t="str">
            <v>DOM</v>
          </cell>
          <cell r="U781" t="str">
            <v>NDL</v>
          </cell>
          <cell r="V781" t="str">
            <v>NDR42</v>
          </cell>
          <cell r="X781">
            <v>0</v>
          </cell>
          <cell r="Y781">
            <v>0.84030000000000005</v>
          </cell>
          <cell r="Z781">
            <v>0</v>
          </cell>
          <cell r="AA781">
            <v>0.84030000000000005</v>
          </cell>
          <cell r="AB781">
            <v>0</v>
          </cell>
          <cell r="AC781">
            <v>0.84030000000000005</v>
          </cell>
          <cell r="AD781">
            <v>0</v>
          </cell>
          <cell r="AE781">
            <v>0.84030000000000005</v>
          </cell>
          <cell r="AG781" t="str">
            <v/>
          </cell>
          <cell r="AH781" t="str">
            <v/>
          </cell>
          <cell r="AJ781">
            <v>0</v>
          </cell>
          <cell r="AK781">
            <v>0.84030000000000005</v>
          </cell>
          <cell r="AL781">
            <v>0</v>
          </cell>
          <cell r="AM781">
            <v>0.84030000000000005</v>
          </cell>
          <cell r="AN781">
            <v>0</v>
          </cell>
          <cell r="AO781">
            <v>0.84030000000000005</v>
          </cell>
          <cell r="AP781">
            <v>0</v>
          </cell>
          <cell r="AQ781">
            <v>0.84030000000000005</v>
          </cell>
          <cell r="AS781" t="str">
            <v/>
          </cell>
          <cell r="AT781" t="str">
            <v/>
          </cell>
          <cell r="AV781" t="b">
            <v>0</v>
          </cell>
          <cell r="AW781" t="str">
            <v>call</v>
          </cell>
        </row>
        <row r="782">
          <cell r="S782" t="str">
            <v>DOM NDL NDR43</v>
          </cell>
          <cell r="T782" t="str">
            <v>DOM</v>
          </cell>
          <cell r="U782" t="str">
            <v>NDL</v>
          </cell>
          <cell r="V782" t="str">
            <v>NDR43</v>
          </cell>
          <cell r="X782">
            <v>0</v>
          </cell>
          <cell r="Y782">
            <v>0.91600000000000004</v>
          </cell>
          <cell r="Z782">
            <v>0</v>
          </cell>
          <cell r="AA782">
            <v>0.91600000000000004</v>
          </cell>
          <cell r="AB782">
            <v>0</v>
          </cell>
          <cell r="AC782">
            <v>0.91600000000000004</v>
          </cell>
          <cell r="AD782">
            <v>0</v>
          </cell>
          <cell r="AE782">
            <v>0.91600000000000004</v>
          </cell>
          <cell r="AG782" t="str">
            <v/>
          </cell>
          <cell r="AH782" t="str">
            <v/>
          </cell>
          <cell r="AJ782">
            <v>0</v>
          </cell>
          <cell r="AK782">
            <v>0.91600000000000004</v>
          </cell>
          <cell r="AL782">
            <v>0</v>
          </cell>
          <cell r="AM782">
            <v>0.91600000000000004</v>
          </cell>
          <cell r="AN782">
            <v>0</v>
          </cell>
          <cell r="AO782">
            <v>0.91600000000000004</v>
          </cell>
          <cell r="AP782">
            <v>0</v>
          </cell>
          <cell r="AQ782">
            <v>0.91600000000000004</v>
          </cell>
          <cell r="AS782" t="str">
            <v/>
          </cell>
          <cell r="AT782" t="str">
            <v/>
          </cell>
          <cell r="AV782" t="b">
            <v>0</v>
          </cell>
          <cell r="AW782" t="str">
            <v>call</v>
          </cell>
        </row>
        <row r="783">
          <cell r="S783" t="str">
            <v>DOM NDL NDR44</v>
          </cell>
          <cell r="T783" t="str">
            <v>DOM</v>
          </cell>
          <cell r="U783" t="str">
            <v>NDL</v>
          </cell>
          <cell r="V783" t="str">
            <v>NDR44</v>
          </cell>
          <cell r="X783">
            <v>0</v>
          </cell>
          <cell r="Y783">
            <v>0.96640000000000004</v>
          </cell>
          <cell r="Z783">
            <v>0</v>
          </cell>
          <cell r="AA783">
            <v>0.96640000000000004</v>
          </cell>
          <cell r="AB783">
            <v>0</v>
          </cell>
          <cell r="AC783">
            <v>0.96640000000000004</v>
          </cell>
          <cell r="AD783">
            <v>0</v>
          </cell>
          <cell r="AE783">
            <v>0.96640000000000004</v>
          </cell>
          <cell r="AG783" t="str">
            <v/>
          </cell>
          <cell r="AH783" t="str">
            <v/>
          </cell>
          <cell r="AJ783">
            <v>0</v>
          </cell>
          <cell r="AK783">
            <v>0.96640000000000004</v>
          </cell>
          <cell r="AL783">
            <v>0</v>
          </cell>
          <cell r="AM783">
            <v>0.96640000000000004</v>
          </cell>
          <cell r="AN783">
            <v>0</v>
          </cell>
          <cell r="AO783">
            <v>0.96640000000000004</v>
          </cell>
          <cell r="AP783">
            <v>0</v>
          </cell>
          <cell r="AQ783">
            <v>0.96640000000000004</v>
          </cell>
          <cell r="AS783" t="str">
            <v/>
          </cell>
          <cell r="AT783" t="str">
            <v/>
          </cell>
          <cell r="AV783" t="b">
            <v>0</v>
          </cell>
          <cell r="AW783" t="str">
            <v>call</v>
          </cell>
        </row>
        <row r="784">
          <cell r="S784" t="str">
            <v>DOM NDL NDR45</v>
          </cell>
          <cell r="T784" t="str">
            <v>DOM</v>
          </cell>
          <cell r="U784" t="str">
            <v>NDL</v>
          </cell>
          <cell r="V784" t="str">
            <v>NDR45</v>
          </cell>
          <cell r="X784">
            <v>0</v>
          </cell>
          <cell r="Y784">
            <v>1.0084</v>
          </cell>
          <cell r="Z784">
            <v>0</v>
          </cell>
          <cell r="AA784">
            <v>1.0084</v>
          </cell>
          <cell r="AB784">
            <v>0</v>
          </cell>
          <cell r="AC784">
            <v>1.0084</v>
          </cell>
          <cell r="AD784">
            <v>0</v>
          </cell>
          <cell r="AE784">
            <v>1.0084</v>
          </cell>
          <cell r="AG784" t="str">
            <v/>
          </cell>
          <cell r="AH784" t="str">
            <v/>
          </cell>
          <cell r="AJ784">
            <v>0</v>
          </cell>
          <cell r="AK784">
            <v>1.0084</v>
          </cell>
          <cell r="AL784">
            <v>0</v>
          </cell>
          <cell r="AM784">
            <v>1.0084</v>
          </cell>
          <cell r="AN784">
            <v>0</v>
          </cell>
          <cell r="AO784">
            <v>1.0084</v>
          </cell>
          <cell r="AP784">
            <v>0</v>
          </cell>
          <cell r="AQ784">
            <v>1.0084</v>
          </cell>
          <cell r="AS784" t="str">
            <v/>
          </cell>
          <cell r="AT784" t="str">
            <v/>
          </cell>
          <cell r="AV784" t="b">
            <v>0</v>
          </cell>
          <cell r="AW784" t="str">
            <v>call</v>
          </cell>
        </row>
        <row r="785">
          <cell r="S785" t="str">
            <v>DOM NDL NDR46</v>
          </cell>
          <cell r="T785" t="str">
            <v>DOM</v>
          </cell>
          <cell r="U785" t="str">
            <v>NDL</v>
          </cell>
          <cell r="V785" t="str">
            <v>NDR46</v>
          </cell>
          <cell r="X785">
            <v>0</v>
          </cell>
          <cell r="Y785">
            <v>1.0924</v>
          </cell>
          <cell r="Z785">
            <v>0</v>
          </cell>
          <cell r="AA785">
            <v>1.0924</v>
          </cell>
          <cell r="AB785">
            <v>0</v>
          </cell>
          <cell r="AC785">
            <v>1.0924</v>
          </cell>
          <cell r="AD785">
            <v>0</v>
          </cell>
          <cell r="AE785">
            <v>1.0924</v>
          </cell>
          <cell r="AG785" t="str">
            <v/>
          </cell>
          <cell r="AH785" t="str">
            <v/>
          </cell>
          <cell r="AJ785">
            <v>0</v>
          </cell>
          <cell r="AK785">
            <v>1.0924</v>
          </cell>
          <cell r="AL785">
            <v>0</v>
          </cell>
          <cell r="AM785">
            <v>1.0924</v>
          </cell>
          <cell r="AN785">
            <v>0</v>
          </cell>
          <cell r="AO785">
            <v>1.0924</v>
          </cell>
          <cell r="AP785">
            <v>0</v>
          </cell>
          <cell r="AQ785">
            <v>1.0924</v>
          </cell>
          <cell r="AS785" t="str">
            <v/>
          </cell>
          <cell r="AT785" t="str">
            <v/>
          </cell>
          <cell r="AV785" t="b">
            <v>0</v>
          </cell>
          <cell r="AW785" t="str">
            <v>call</v>
          </cell>
        </row>
        <row r="786">
          <cell r="S786" t="str">
            <v>DOM NDL NDR05</v>
          </cell>
          <cell r="T786" t="str">
            <v>DOM</v>
          </cell>
          <cell r="U786" t="str">
            <v>NDL</v>
          </cell>
          <cell r="V786" t="str">
            <v>NDR05</v>
          </cell>
          <cell r="X786">
            <v>7.1800000000000003E-2</v>
          </cell>
          <cell r="Y786">
            <v>0</v>
          </cell>
          <cell r="Z786">
            <v>7.1800000000000003E-2</v>
          </cell>
          <cell r="AA786">
            <v>0</v>
          </cell>
          <cell r="AB786">
            <v>7.1800000000000003E-2</v>
          </cell>
          <cell r="AC786">
            <v>0</v>
          </cell>
          <cell r="AD786">
            <v>7.1800000000000003E-2</v>
          </cell>
          <cell r="AE786">
            <v>0</v>
          </cell>
          <cell r="AG786" t="str">
            <v/>
          </cell>
          <cell r="AH786" t="str">
            <v/>
          </cell>
          <cell r="AJ786">
            <v>7.1800000000000003E-2</v>
          </cell>
          <cell r="AK786">
            <v>0</v>
          </cell>
          <cell r="AL786">
            <v>7.1800000000000003E-2</v>
          </cell>
          <cell r="AM786">
            <v>0</v>
          </cell>
          <cell r="AN786">
            <v>7.1800000000000003E-2</v>
          </cell>
          <cell r="AO786">
            <v>0</v>
          </cell>
          <cell r="AP786">
            <v>7.1800000000000003E-2</v>
          </cell>
          <cell r="AQ786">
            <v>0</v>
          </cell>
          <cell r="AS786" t="str">
            <v/>
          </cell>
          <cell r="AT786" t="str">
            <v/>
          </cell>
          <cell r="AV786" t="b">
            <v>0</v>
          </cell>
          <cell r="AW786" t="str">
            <v>minute</v>
          </cell>
        </row>
        <row r="787">
          <cell r="S787" t="str">
            <v>DOM NDL NDR06</v>
          </cell>
          <cell r="T787" t="str">
            <v>DOM</v>
          </cell>
          <cell r="U787" t="str">
            <v>NDL</v>
          </cell>
          <cell r="V787" t="str">
            <v>NDR06</v>
          </cell>
          <cell r="X787">
            <v>7.5999999999999998E-2</v>
          </cell>
          <cell r="Y787">
            <v>0</v>
          </cell>
          <cell r="Z787">
            <v>7.5999999999999998E-2</v>
          </cell>
          <cell r="AA787">
            <v>0</v>
          </cell>
          <cell r="AB787">
            <v>7.5999999999999998E-2</v>
          </cell>
          <cell r="AC787">
            <v>0</v>
          </cell>
          <cell r="AD787">
            <v>7.5999999999999998E-2</v>
          </cell>
          <cell r="AE787">
            <v>0</v>
          </cell>
          <cell r="AG787" t="str">
            <v/>
          </cell>
          <cell r="AH787" t="str">
            <v/>
          </cell>
          <cell r="AJ787">
            <v>7.5999999999999998E-2</v>
          </cell>
          <cell r="AK787">
            <v>0</v>
          </cell>
          <cell r="AL787">
            <v>7.5999999999999998E-2</v>
          </cell>
          <cell r="AM787">
            <v>0</v>
          </cell>
          <cell r="AN787">
            <v>7.5999999999999998E-2</v>
          </cell>
          <cell r="AO787">
            <v>0</v>
          </cell>
          <cell r="AP787">
            <v>7.5999999999999998E-2</v>
          </cell>
          <cell r="AQ787">
            <v>0</v>
          </cell>
          <cell r="AS787" t="str">
            <v/>
          </cell>
          <cell r="AT787" t="str">
            <v/>
          </cell>
          <cell r="AV787" t="b">
            <v>0</v>
          </cell>
          <cell r="AW787" t="str">
            <v>minute</v>
          </cell>
        </row>
        <row r="788">
          <cell r="S788" t="str">
            <v>DOM NDL NDR07</v>
          </cell>
          <cell r="T788" t="str">
            <v>DOM</v>
          </cell>
          <cell r="U788" t="str">
            <v>NDL</v>
          </cell>
          <cell r="V788" t="str">
            <v>NDR07</v>
          </cell>
          <cell r="X788">
            <v>8.0199999999999994E-2</v>
          </cell>
          <cell r="Y788">
            <v>0</v>
          </cell>
          <cell r="Z788">
            <v>8.0199999999999994E-2</v>
          </cell>
          <cell r="AA788">
            <v>0</v>
          </cell>
          <cell r="AB788">
            <v>8.0199999999999994E-2</v>
          </cell>
          <cell r="AC788">
            <v>0</v>
          </cell>
          <cell r="AD788">
            <v>8.0199999999999994E-2</v>
          </cell>
          <cell r="AE788">
            <v>0</v>
          </cell>
          <cell r="AG788" t="str">
            <v/>
          </cell>
          <cell r="AH788" t="str">
            <v/>
          </cell>
          <cell r="AJ788">
            <v>8.0199999999999994E-2</v>
          </cell>
          <cell r="AK788">
            <v>0</v>
          </cell>
          <cell r="AL788">
            <v>8.0199999999999994E-2</v>
          </cell>
          <cell r="AM788">
            <v>0</v>
          </cell>
          <cell r="AN788">
            <v>8.0199999999999994E-2</v>
          </cell>
          <cell r="AO788">
            <v>0</v>
          </cell>
          <cell r="AP788">
            <v>8.0199999999999994E-2</v>
          </cell>
          <cell r="AQ788">
            <v>0</v>
          </cell>
          <cell r="AS788" t="str">
            <v/>
          </cell>
          <cell r="AT788" t="str">
            <v/>
          </cell>
          <cell r="AV788" t="b">
            <v>0</v>
          </cell>
          <cell r="AW788" t="str">
            <v>minute</v>
          </cell>
        </row>
        <row r="789">
          <cell r="S789" t="str">
            <v>DOM NDL NDR08</v>
          </cell>
          <cell r="T789" t="str">
            <v>DOM</v>
          </cell>
          <cell r="U789" t="str">
            <v>NDL</v>
          </cell>
          <cell r="V789" t="str">
            <v>NDR08</v>
          </cell>
          <cell r="X789">
            <v>8.8599999999999998E-2</v>
          </cell>
          <cell r="Y789">
            <v>0</v>
          </cell>
          <cell r="Z789">
            <v>8.8599999999999998E-2</v>
          </cell>
          <cell r="AA789">
            <v>0</v>
          </cell>
          <cell r="AB789">
            <v>8.8599999999999998E-2</v>
          </cell>
          <cell r="AC789">
            <v>0</v>
          </cell>
          <cell r="AD789">
            <v>8.8599999999999998E-2</v>
          </cell>
          <cell r="AE789">
            <v>0</v>
          </cell>
          <cell r="AG789" t="str">
            <v/>
          </cell>
          <cell r="AH789" t="str">
            <v/>
          </cell>
          <cell r="AJ789">
            <v>8.8599999999999998E-2</v>
          </cell>
          <cell r="AK789">
            <v>0</v>
          </cell>
          <cell r="AL789">
            <v>8.8599999999999998E-2</v>
          </cell>
          <cell r="AM789">
            <v>0</v>
          </cell>
          <cell r="AN789">
            <v>8.8599999999999998E-2</v>
          </cell>
          <cell r="AO789">
            <v>0</v>
          </cell>
          <cell r="AP789">
            <v>8.8599999999999998E-2</v>
          </cell>
          <cell r="AQ789">
            <v>0</v>
          </cell>
          <cell r="AS789" t="str">
            <v/>
          </cell>
          <cell r="AT789" t="str">
            <v/>
          </cell>
          <cell r="AV789" t="b">
            <v>0</v>
          </cell>
          <cell r="AW789" t="str">
            <v>minute</v>
          </cell>
        </row>
        <row r="790">
          <cell r="S790" t="str">
            <v>DOM NDL NDR09</v>
          </cell>
          <cell r="T790" t="str">
            <v>DOM</v>
          </cell>
          <cell r="U790" t="str">
            <v>NDL</v>
          </cell>
          <cell r="V790" t="str">
            <v>NDR09</v>
          </cell>
          <cell r="X790">
            <v>9.7000000000000003E-2</v>
          </cell>
          <cell r="Y790">
            <v>0</v>
          </cell>
          <cell r="Z790">
            <v>9.7000000000000003E-2</v>
          </cell>
          <cell r="AA790">
            <v>0</v>
          </cell>
          <cell r="AB790">
            <v>9.7000000000000003E-2</v>
          </cell>
          <cell r="AC790">
            <v>0</v>
          </cell>
          <cell r="AD790">
            <v>9.7000000000000003E-2</v>
          </cell>
          <cell r="AE790">
            <v>0</v>
          </cell>
          <cell r="AG790" t="str">
            <v/>
          </cell>
          <cell r="AH790" t="str">
            <v/>
          </cell>
          <cell r="AJ790">
            <v>9.7000000000000003E-2</v>
          </cell>
          <cell r="AK790">
            <v>0</v>
          </cell>
          <cell r="AL790">
            <v>9.7000000000000003E-2</v>
          </cell>
          <cell r="AM790">
            <v>0</v>
          </cell>
          <cell r="AN790">
            <v>9.7000000000000003E-2</v>
          </cell>
          <cell r="AO790">
            <v>0</v>
          </cell>
          <cell r="AP790">
            <v>9.7000000000000003E-2</v>
          </cell>
          <cell r="AQ790">
            <v>0</v>
          </cell>
          <cell r="AS790" t="str">
            <v/>
          </cell>
          <cell r="AT790" t="str">
            <v/>
          </cell>
          <cell r="AV790" t="b">
            <v>0</v>
          </cell>
          <cell r="AW790" t="str">
            <v>minute</v>
          </cell>
        </row>
        <row r="791">
          <cell r="S791" t="str">
            <v>DOM NDL NDFRE</v>
          </cell>
          <cell r="T791" t="str">
            <v>DOM</v>
          </cell>
          <cell r="U791" t="str">
            <v>NDL</v>
          </cell>
          <cell r="V791" t="str">
            <v>NDFRE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G791" t="str">
            <v/>
          </cell>
          <cell r="AH791" t="str">
            <v/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S791" t="str">
            <v/>
          </cell>
          <cell r="AT791" t="str">
            <v/>
          </cell>
          <cell r="AV791" t="b">
            <v>0</v>
          </cell>
          <cell r="AW791" t="str">
            <v>minute</v>
          </cell>
        </row>
        <row r="792">
          <cell r="S792" t="str">
            <v>DOM NDL NDVPN</v>
          </cell>
          <cell r="T792" t="str">
            <v>DOM</v>
          </cell>
          <cell r="U792" t="str">
            <v>NDL</v>
          </cell>
          <cell r="V792" t="str">
            <v>NDVPN</v>
          </cell>
          <cell r="X792">
            <v>2.0299999999999999E-2</v>
          </cell>
          <cell r="Y792">
            <v>0</v>
          </cell>
          <cell r="Z792">
            <v>1.8599999999999998E-2</v>
          </cell>
          <cell r="AA792">
            <v>0</v>
          </cell>
          <cell r="AB792">
            <v>1.6899999999999998E-2</v>
          </cell>
          <cell r="AC792">
            <v>0</v>
          </cell>
          <cell r="AD792">
            <v>1.52E-2</v>
          </cell>
          <cell r="AE792">
            <v>0</v>
          </cell>
          <cell r="AG792" t="str">
            <v/>
          </cell>
          <cell r="AH792" t="str">
            <v/>
          </cell>
          <cell r="AJ792">
            <v>2.0299999999999999E-2</v>
          </cell>
          <cell r="AK792">
            <v>0</v>
          </cell>
          <cell r="AL792">
            <v>1.8599999999999998E-2</v>
          </cell>
          <cell r="AM792">
            <v>0</v>
          </cell>
          <cell r="AN792">
            <v>1.6899999999999998E-2</v>
          </cell>
          <cell r="AO792">
            <v>0</v>
          </cell>
          <cell r="AP792">
            <v>1.52E-2</v>
          </cell>
          <cell r="AQ792">
            <v>0</v>
          </cell>
          <cell r="AS792" t="str">
            <v/>
          </cell>
          <cell r="AT792" t="str">
            <v/>
          </cell>
          <cell r="AV792" t="b">
            <v>0</v>
          </cell>
          <cell r="AW792" t="str">
            <v>minute</v>
          </cell>
        </row>
        <row r="793">
          <cell r="S793" t="str">
            <v>DOM NZL NZDRN</v>
          </cell>
          <cell r="T793" t="str">
            <v>DOM</v>
          </cell>
          <cell r="U793" t="str">
            <v>NZL</v>
          </cell>
          <cell r="V793" t="str">
            <v>NZDRN</v>
          </cell>
          <cell r="X793">
            <v>0.53</v>
          </cell>
          <cell r="Y793">
            <v>0.88</v>
          </cell>
          <cell r="Z793">
            <v>0.53</v>
          </cell>
          <cell r="AA793">
            <v>0.88</v>
          </cell>
          <cell r="AB793">
            <v>0.53</v>
          </cell>
          <cell r="AC793">
            <v>0.88</v>
          </cell>
          <cell r="AD793">
            <v>0.53</v>
          </cell>
          <cell r="AE793">
            <v>0.88</v>
          </cell>
          <cell r="AG793" t="str">
            <v/>
          </cell>
          <cell r="AH793" t="str">
            <v/>
          </cell>
          <cell r="AJ793">
            <v>0.53</v>
          </cell>
          <cell r="AK793">
            <v>0.88</v>
          </cell>
          <cell r="AL793">
            <v>0.53</v>
          </cell>
          <cell r="AM793">
            <v>0.88</v>
          </cell>
          <cell r="AN793">
            <v>0.53</v>
          </cell>
          <cell r="AO793">
            <v>0.88</v>
          </cell>
          <cell r="AP793">
            <v>0.53</v>
          </cell>
          <cell r="AQ793">
            <v>0.88</v>
          </cell>
          <cell r="AS793" t="str">
            <v/>
          </cell>
          <cell r="AT793" t="str">
            <v/>
          </cell>
          <cell r="AV793" t="b">
            <v>0</v>
          </cell>
          <cell r="AW793" t="str">
            <v>minute</v>
          </cell>
        </row>
        <row r="794">
          <cell r="S794" t="str">
            <v>DOM NZL AREA3</v>
          </cell>
          <cell r="T794" t="str">
            <v>DOM</v>
          </cell>
          <cell r="U794" t="str">
            <v>NZL</v>
          </cell>
          <cell r="V794" t="str">
            <v>AREA3</v>
          </cell>
          <cell r="X794">
            <v>0.08</v>
          </cell>
          <cell r="Y794">
            <v>0</v>
          </cell>
          <cell r="Z794">
            <v>7.3999999999999996E-2</v>
          </cell>
          <cell r="AA794">
            <v>0</v>
          </cell>
          <cell r="AB794">
            <v>6.5000000000000002E-2</v>
          </cell>
          <cell r="AC794">
            <v>0</v>
          </cell>
          <cell r="AD794">
            <v>5.6000000000000001E-2</v>
          </cell>
          <cell r="AE794">
            <v>0</v>
          </cell>
          <cell r="AG794" t="str">
            <v/>
          </cell>
          <cell r="AH794" t="str">
            <v/>
          </cell>
          <cell r="AJ794">
            <v>0.08</v>
          </cell>
          <cell r="AK794">
            <v>0</v>
          </cell>
          <cell r="AL794">
            <v>7.3999999999999996E-2</v>
          </cell>
          <cell r="AM794">
            <v>0</v>
          </cell>
          <cell r="AN794">
            <v>6.5000000000000002E-2</v>
          </cell>
          <cell r="AO794">
            <v>0</v>
          </cell>
          <cell r="AP794">
            <v>5.6000000000000001E-2</v>
          </cell>
          <cell r="AQ794">
            <v>0</v>
          </cell>
          <cell r="AS794" t="str">
            <v/>
          </cell>
          <cell r="AT794" t="str">
            <v/>
          </cell>
          <cell r="AV794" t="b">
            <v>1</v>
          </cell>
          <cell r="AW794" t="str">
            <v>minute</v>
          </cell>
        </row>
        <row r="795">
          <cell r="S795" t="str">
            <v>DOM NZL AREA2</v>
          </cell>
          <cell r="T795" t="str">
            <v>DOM</v>
          </cell>
          <cell r="U795" t="str">
            <v>NZL</v>
          </cell>
          <cell r="V795" t="str">
            <v>AREA2</v>
          </cell>
          <cell r="X795">
            <v>0.03</v>
          </cell>
          <cell r="Y795">
            <v>0</v>
          </cell>
          <cell r="Z795">
            <v>2.5399999999999999E-2</v>
          </cell>
          <cell r="AA795">
            <v>0</v>
          </cell>
          <cell r="AB795">
            <v>2.0299999999999999E-2</v>
          </cell>
          <cell r="AC795">
            <v>0</v>
          </cell>
          <cell r="AD795">
            <v>1.6299999999999999E-2</v>
          </cell>
          <cell r="AE795">
            <v>0</v>
          </cell>
          <cell r="AG795" t="str">
            <v/>
          </cell>
          <cell r="AH795" t="str">
            <v/>
          </cell>
          <cell r="AJ795">
            <v>0.03</v>
          </cell>
          <cell r="AK795">
            <v>0</v>
          </cell>
          <cell r="AL795">
            <v>2.5399999999999999E-2</v>
          </cell>
          <cell r="AM795">
            <v>0</v>
          </cell>
          <cell r="AN795">
            <v>2.0299999999999999E-2</v>
          </cell>
          <cell r="AO795">
            <v>0</v>
          </cell>
          <cell r="AP795">
            <v>1.6299999999999999E-2</v>
          </cell>
          <cell r="AQ795">
            <v>0</v>
          </cell>
          <cell r="AS795" t="str">
            <v/>
          </cell>
          <cell r="AT795" t="str">
            <v/>
          </cell>
          <cell r="AV795" t="b">
            <v>1</v>
          </cell>
          <cell r="AW795" t="str">
            <v>minute</v>
          </cell>
        </row>
        <row r="796">
          <cell r="S796" t="str">
            <v>DOM NZL NZDRI</v>
          </cell>
          <cell r="T796" t="str">
            <v>DOM</v>
          </cell>
          <cell r="U796" t="str">
            <v>NZL</v>
          </cell>
          <cell r="V796" t="str">
            <v>NZDRI</v>
          </cell>
          <cell r="X796">
            <v>0.53</v>
          </cell>
          <cell r="Y796">
            <v>1.77</v>
          </cell>
          <cell r="Z796">
            <v>0.53</v>
          </cell>
          <cell r="AA796">
            <v>1.77</v>
          </cell>
          <cell r="AB796">
            <v>0.53</v>
          </cell>
          <cell r="AC796">
            <v>1.77</v>
          </cell>
          <cell r="AD796">
            <v>0.53</v>
          </cell>
          <cell r="AE796">
            <v>1.77</v>
          </cell>
          <cell r="AG796" t="str">
            <v/>
          </cell>
          <cell r="AH796" t="str">
            <v/>
          </cell>
          <cell r="AJ796">
            <v>0.53</v>
          </cell>
          <cell r="AK796">
            <v>1.77</v>
          </cell>
          <cell r="AL796">
            <v>0.53</v>
          </cell>
          <cell r="AM796">
            <v>1.77</v>
          </cell>
          <cell r="AN796">
            <v>0.53</v>
          </cell>
          <cell r="AO796">
            <v>1.77</v>
          </cell>
          <cell r="AP796">
            <v>0.53</v>
          </cell>
          <cell r="AQ796">
            <v>1.77</v>
          </cell>
          <cell r="AS796" t="str">
            <v/>
          </cell>
          <cell r="AT796" t="str">
            <v/>
          </cell>
          <cell r="AV796" t="b">
            <v>0</v>
          </cell>
          <cell r="AW796" t="str">
            <v>minute</v>
          </cell>
        </row>
        <row r="797">
          <cell r="S797" t="str">
            <v>DOM NZL NZSOS</v>
          </cell>
          <cell r="T797" t="str">
            <v>DOM</v>
          </cell>
          <cell r="U797" t="str">
            <v>NZL</v>
          </cell>
          <cell r="V797" t="str">
            <v>NZSOS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G797" t="str">
            <v/>
          </cell>
          <cell r="AH797" t="str">
            <v/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S797" t="str">
            <v/>
          </cell>
          <cell r="AT797" t="str">
            <v/>
          </cell>
          <cell r="AV797" t="b">
            <v>0</v>
          </cell>
          <cell r="AW797" t="str">
            <v>minute</v>
          </cell>
        </row>
        <row r="798">
          <cell r="S798" t="str">
            <v>DOM NZL NZFRE</v>
          </cell>
          <cell r="T798" t="str">
            <v>DOM</v>
          </cell>
          <cell r="U798" t="str">
            <v>NZL</v>
          </cell>
          <cell r="V798" t="str">
            <v>NZFRE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G798" t="str">
            <v/>
          </cell>
          <cell r="AH798" t="str">
            <v/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S798" t="str">
            <v/>
          </cell>
          <cell r="AT798" t="str">
            <v/>
          </cell>
          <cell r="AV798" t="b">
            <v>0</v>
          </cell>
          <cell r="AW798" t="str">
            <v>minute</v>
          </cell>
        </row>
        <row r="799">
          <cell r="S799" t="str">
            <v>DOM MNP FIX</v>
          </cell>
          <cell r="T799" t="str">
            <v>DOM</v>
          </cell>
          <cell r="U799" t="str">
            <v>MNP</v>
          </cell>
          <cell r="V799" t="str">
            <v>FIX</v>
          </cell>
          <cell r="X799">
            <v>3.1399999999999997E-2</v>
          </cell>
          <cell r="Y799">
            <v>0</v>
          </cell>
          <cell r="Z799">
            <v>2.6700000000000002E-2</v>
          </cell>
          <cell r="AA799">
            <v>0</v>
          </cell>
          <cell r="AB799">
            <v>2.5999999999999999E-2</v>
          </cell>
          <cell r="AC799">
            <v>0</v>
          </cell>
          <cell r="AD799">
            <v>2.5999999999999999E-2</v>
          </cell>
          <cell r="AE799">
            <v>0</v>
          </cell>
          <cell r="AG799" t="str">
            <v/>
          </cell>
          <cell r="AH799" t="str">
            <v/>
          </cell>
          <cell r="AJ799">
            <v>3.1399999999999997E-2</v>
          </cell>
          <cell r="AK799">
            <v>0</v>
          </cell>
          <cell r="AL799">
            <v>2.6700000000000002E-2</v>
          </cell>
          <cell r="AM799">
            <v>0</v>
          </cell>
          <cell r="AN799">
            <v>2.5999999999999999E-2</v>
          </cell>
          <cell r="AO799">
            <v>0</v>
          </cell>
          <cell r="AP799">
            <v>2.5999999999999999E-2</v>
          </cell>
          <cell r="AQ799">
            <v>0</v>
          </cell>
          <cell r="AS799" t="str">
            <v/>
          </cell>
          <cell r="AT799" t="str">
            <v/>
          </cell>
          <cell r="AV799" t="b">
            <v>1</v>
          </cell>
          <cell r="AW799" t="str">
            <v>minute</v>
          </cell>
        </row>
        <row r="800">
          <cell r="S800" t="str">
            <v>DOM NOR AREA2</v>
          </cell>
          <cell r="T800" t="str">
            <v>DOM</v>
          </cell>
          <cell r="U800" t="str">
            <v>NOR</v>
          </cell>
          <cell r="V800" t="str">
            <v>AREA2</v>
          </cell>
          <cell r="X800">
            <v>1.29E-2</v>
          </cell>
          <cell r="Y800">
            <v>0</v>
          </cell>
          <cell r="Z800">
            <v>1.21E-2</v>
          </cell>
          <cell r="AA800">
            <v>0</v>
          </cell>
          <cell r="AB800">
            <v>1.1299999999999999E-2</v>
          </cell>
          <cell r="AC800">
            <v>0</v>
          </cell>
          <cell r="AD800">
            <v>1.06E-2</v>
          </cell>
          <cell r="AE800">
            <v>0</v>
          </cell>
          <cell r="AG800" t="str">
            <v/>
          </cell>
          <cell r="AH800" t="str">
            <v/>
          </cell>
          <cell r="AJ800">
            <v>1.29E-2</v>
          </cell>
          <cell r="AK800">
            <v>0</v>
          </cell>
          <cell r="AL800">
            <v>1.21E-2</v>
          </cell>
          <cell r="AM800">
            <v>0</v>
          </cell>
          <cell r="AN800">
            <v>1.1299999999999999E-2</v>
          </cell>
          <cell r="AO800">
            <v>0</v>
          </cell>
          <cell r="AP800">
            <v>1.06E-2</v>
          </cell>
          <cell r="AQ800">
            <v>0</v>
          </cell>
          <cell r="AS800" t="str">
            <v/>
          </cell>
          <cell r="AT800" t="str">
            <v/>
          </cell>
          <cell r="AV800" t="b">
            <v>1</v>
          </cell>
          <cell r="AW800" t="str">
            <v>minute</v>
          </cell>
        </row>
        <row r="801">
          <cell r="S801" t="str">
            <v>DOM NOR AREA4</v>
          </cell>
          <cell r="T801" t="str">
            <v>DOM</v>
          </cell>
          <cell r="U801" t="str">
            <v>NOR</v>
          </cell>
          <cell r="V801" t="str">
            <v>AREA4</v>
          </cell>
          <cell r="X801">
            <v>3.7600000000000001E-2</v>
          </cell>
          <cell r="Y801">
            <v>0</v>
          </cell>
          <cell r="Z801">
            <v>3.5099999999999999E-2</v>
          </cell>
          <cell r="AA801">
            <v>0</v>
          </cell>
          <cell r="AB801">
            <v>3.2800000000000003E-2</v>
          </cell>
          <cell r="AC801">
            <v>0</v>
          </cell>
          <cell r="AD801">
            <v>3.0700000000000002E-2</v>
          </cell>
          <cell r="AE801">
            <v>0</v>
          </cell>
          <cell r="AG801" t="str">
            <v/>
          </cell>
          <cell r="AH801" t="str">
            <v/>
          </cell>
          <cell r="AJ801">
            <v>3.7600000000000001E-2</v>
          </cell>
          <cell r="AK801">
            <v>0</v>
          </cell>
          <cell r="AL801">
            <v>3.5099999999999999E-2</v>
          </cell>
          <cell r="AM801">
            <v>0</v>
          </cell>
          <cell r="AN801">
            <v>3.2800000000000003E-2</v>
          </cell>
          <cell r="AO801">
            <v>0</v>
          </cell>
          <cell r="AP801">
            <v>3.0700000000000002E-2</v>
          </cell>
          <cell r="AQ801">
            <v>0</v>
          </cell>
          <cell r="AS801" t="str">
            <v/>
          </cell>
          <cell r="AT801" t="str">
            <v/>
          </cell>
          <cell r="AV801" t="b">
            <v>1</v>
          </cell>
          <cell r="AW801" t="str">
            <v>minute</v>
          </cell>
        </row>
        <row r="802">
          <cell r="S802" t="str">
            <v>DOM NOR AREA3</v>
          </cell>
          <cell r="T802" t="str">
            <v>DOM</v>
          </cell>
          <cell r="U802" t="str">
            <v>NOR</v>
          </cell>
          <cell r="V802" t="str">
            <v>AREA3</v>
          </cell>
          <cell r="X802">
            <v>3.7600000000000001E-2</v>
          </cell>
          <cell r="Y802">
            <v>0</v>
          </cell>
          <cell r="Z802">
            <v>3.5099999999999999E-2</v>
          </cell>
          <cell r="AA802">
            <v>0</v>
          </cell>
          <cell r="AB802">
            <v>3.2800000000000003E-2</v>
          </cell>
          <cell r="AC802">
            <v>0</v>
          </cell>
          <cell r="AD802">
            <v>3.0700000000000002E-2</v>
          </cell>
          <cell r="AE802">
            <v>0</v>
          </cell>
          <cell r="AG802" t="str">
            <v/>
          </cell>
          <cell r="AH802" t="str">
            <v/>
          </cell>
          <cell r="AJ802">
            <v>3.7600000000000001E-2</v>
          </cell>
          <cell r="AK802">
            <v>0</v>
          </cell>
          <cell r="AL802">
            <v>3.5099999999999999E-2</v>
          </cell>
          <cell r="AM802">
            <v>0</v>
          </cell>
          <cell r="AN802">
            <v>3.2800000000000003E-2</v>
          </cell>
          <cell r="AO802">
            <v>0</v>
          </cell>
          <cell r="AP802">
            <v>3.0700000000000002E-2</v>
          </cell>
          <cell r="AQ802">
            <v>0</v>
          </cell>
          <cell r="AS802" t="str">
            <v/>
          </cell>
          <cell r="AT802" t="str">
            <v/>
          </cell>
          <cell r="AV802" t="b">
            <v>1</v>
          </cell>
          <cell r="AW802" t="str">
            <v>minute</v>
          </cell>
        </row>
        <row r="803">
          <cell r="S803" t="str">
            <v>DOM NOR AREA5</v>
          </cell>
          <cell r="T803" t="str">
            <v>DOM</v>
          </cell>
          <cell r="U803" t="str">
            <v>NOR</v>
          </cell>
          <cell r="V803" t="str">
            <v>AREA5</v>
          </cell>
          <cell r="X803">
            <v>3.7600000000000001E-2</v>
          </cell>
          <cell r="Y803">
            <v>0</v>
          </cell>
          <cell r="Z803">
            <v>3.5099999999999999E-2</v>
          </cell>
          <cell r="AA803">
            <v>0</v>
          </cell>
          <cell r="AB803">
            <v>3.2800000000000003E-2</v>
          </cell>
          <cell r="AC803">
            <v>0</v>
          </cell>
          <cell r="AD803">
            <v>3.0700000000000002E-2</v>
          </cell>
          <cell r="AE803">
            <v>0</v>
          </cell>
          <cell r="AG803" t="str">
            <v/>
          </cell>
          <cell r="AH803" t="str">
            <v/>
          </cell>
          <cell r="AJ803">
            <v>3.7600000000000001E-2</v>
          </cell>
          <cell r="AK803">
            <v>0</v>
          </cell>
          <cell r="AL803">
            <v>3.5099999999999999E-2</v>
          </cell>
          <cell r="AM803">
            <v>0</v>
          </cell>
          <cell r="AN803">
            <v>3.2800000000000003E-2</v>
          </cell>
          <cell r="AO803">
            <v>0</v>
          </cell>
          <cell r="AP803">
            <v>3.0700000000000002E-2</v>
          </cell>
          <cell r="AQ803">
            <v>0</v>
          </cell>
          <cell r="AS803" t="str">
            <v/>
          </cell>
          <cell r="AT803" t="str">
            <v/>
          </cell>
          <cell r="AV803" t="b">
            <v>1</v>
          </cell>
          <cell r="AW803" t="str">
            <v>minute</v>
          </cell>
        </row>
        <row r="804">
          <cell r="S804" t="str">
            <v>DOM NOR NOREN</v>
          </cell>
          <cell r="T804" t="str">
            <v>DOM</v>
          </cell>
          <cell r="U804" t="str">
            <v>NOR</v>
          </cell>
          <cell r="V804" t="str">
            <v>NOREN</v>
          </cell>
          <cell r="X804">
            <v>1.5422</v>
          </cell>
          <cell r="Y804">
            <v>0.55079999999999996</v>
          </cell>
          <cell r="Z804">
            <v>1.5422</v>
          </cell>
          <cell r="AA804">
            <v>0.55079999999999996</v>
          </cell>
          <cell r="AB804">
            <v>1.5422</v>
          </cell>
          <cell r="AC804">
            <v>0.55079999999999996</v>
          </cell>
          <cell r="AD804">
            <v>1.5422</v>
          </cell>
          <cell r="AE804">
            <v>0.55079999999999996</v>
          </cell>
          <cell r="AG804" t="str">
            <v/>
          </cell>
          <cell r="AH804" t="str">
            <v/>
          </cell>
          <cell r="AJ804">
            <v>1.5422</v>
          </cell>
          <cell r="AK804">
            <v>0.55079999999999996</v>
          </cell>
          <cell r="AL804">
            <v>1.5422</v>
          </cell>
          <cell r="AM804">
            <v>0.55079999999999996</v>
          </cell>
          <cell r="AN804">
            <v>1.5422</v>
          </cell>
          <cell r="AO804">
            <v>0.55079999999999996</v>
          </cell>
          <cell r="AP804">
            <v>1.5422</v>
          </cell>
          <cell r="AQ804">
            <v>0.55079999999999996</v>
          </cell>
          <cell r="AS804" t="str">
            <v/>
          </cell>
          <cell r="AT804" t="str">
            <v/>
          </cell>
          <cell r="AV804" t="b">
            <v>0</v>
          </cell>
          <cell r="AW804" t="str">
            <v>minute &amp; call</v>
          </cell>
        </row>
        <row r="805">
          <cell r="S805" t="str">
            <v>DOM NOR NEM1N</v>
          </cell>
          <cell r="T805" t="str">
            <v>DOM</v>
          </cell>
          <cell r="U805" t="str">
            <v>NOR</v>
          </cell>
          <cell r="V805" t="str">
            <v>NEM1N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G805" t="str">
            <v/>
          </cell>
          <cell r="AH805" t="str">
            <v/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S805" t="str">
            <v/>
          </cell>
          <cell r="AT805" t="str">
            <v/>
          </cell>
          <cell r="AV805" t="b">
            <v>0</v>
          </cell>
          <cell r="AW805" t="str">
            <v>minute</v>
          </cell>
        </row>
        <row r="806">
          <cell r="S806" t="str">
            <v>DOM NOR NEM2N</v>
          </cell>
          <cell r="T806" t="str">
            <v>DOM</v>
          </cell>
          <cell r="U806" t="str">
            <v>NOR</v>
          </cell>
          <cell r="V806" t="str">
            <v>NEM2N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G806" t="str">
            <v/>
          </cell>
          <cell r="AH806" t="str">
            <v/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S806" t="str">
            <v/>
          </cell>
          <cell r="AT806" t="str">
            <v/>
          </cell>
          <cell r="AV806" t="b">
            <v>0</v>
          </cell>
          <cell r="AW806" t="str">
            <v>minute</v>
          </cell>
        </row>
        <row r="807">
          <cell r="S807" t="str">
            <v>DOM NOR NORPN</v>
          </cell>
          <cell r="T807" t="str">
            <v>DOM</v>
          </cell>
          <cell r="U807" t="str">
            <v>NOR</v>
          </cell>
          <cell r="V807" t="str">
            <v>NORPN</v>
          </cell>
          <cell r="X807">
            <v>1.21E-2</v>
          </cell>
          <cell r="Y807">
            <v>6.5000000000000002E-2</v>
          </cell>
          <cell r="Z807">
            <v>1.21E-2</v>
          </cell>
          <cell r="AA807">
            <v>6.5000000000000002E-2</v>
          </cell>
          <cell r="AB807">
            <v>1.21E-2</v>
          </cell>
          <cell r="AC807">
            <v>6.5000000000000002E-2</v>
          </cell>
          <cell r="AD807">
            <v>1.21E-2</v>
          </cell>
          <cell r="AE807">
            <v>6.5000000000000002E-2</v>
          </cell>
          <cell r="AG807" t="str">
            <v/>
          </cell>
          <cell r="AH807" t="str">
            <v/>
          </cell>
          <cell r="AJ807">
            <v>1.21E-2</v>
          </cell>
          <cell r="AK807">
            <v>6.5000000000000002E-2</v>
          </cell>
          <cell r="AL807">
            <v>1.21E-2</v>
          </cell>
          <cell r="AM807">
            <v>6.5000000000000002E-2</v>
          </cell>
          <cell r="AN807">
            <v>1.21E-2</v>
          </cell>
          <cell r="AO807">
            <v>6.5000000000000002E-2</v>
          </cell>
          <cell r="AP807">
            <v>1.21E-2</v>
          </cell>
          <cell r="AQ807">
            <v>6.5000000000000002E-2</v>
          </cell>
          <cell r="AS807" t="str">
            <v/>
          </cell>
          <cell r="AT807" t="str">
            <v/>
          </cell>
          <cell r="AV807" t="b">
            <v>0</v>
          </cell>
          <cell r="AW807" t="str">
            <v>minute &amp; call</v>
          </cell>
        </row>
        <row r="808">
          <cell r="S808" t="str">
            <v>DOM NOR NOR1A</v>
          </cell>
          <cell r="T808" t="str">
            <v>DOM</v>
          </cell>
          <cell r="U808" t="str">
            <v>NOR</v>
          </cell>
          <cell r="V808" t="str">
            <v>NOR1A</v>
          </cell>
          <cell r="X808">
            <v>0.39660000000000001</v>
          </cell>
          <cell r="Y808">
            <v>6.5000000000000002E-2</v>
          </cell>
          <cell r="Z808">
            <v>0.39660000000000001</v>
          </cell>
          <cell r="AA808">
            <v>6.5000000000000002E-2</v>
          </cell>
          <cell r="AB808">
            <v>0.39660000000000001</v>
          </cell>
          <cell r="AC808">
            <v>6.5000000000000002E-2</v>
          </cell>
          <cell r="AD808">
            <v>0.39660000000000001</v>
          </cell>
          <cell r="AE808">
            <v>6.5000000000000002E-2</v>
          </cell>
          <cell r="AG808" t="str">
            <v/>
          </cell>
          <cell r="AH808" t="str">
            <v/>
          </cell>
          <cell r="AJ808">
            <v>0.39660000000000001</v>
          </cell>
          <cell r="AK808">
            <v>6.5000000000000002E-2</v>
          </cell>
          <cell r="AL808">
            <v>0.39660000000000001</v>
          </cell>
          <cell r="AM808">
            <v>6.5000000000000002E-2</v>
          </cell>
          <cell r="AN808">
            <v>0.39660000000000001</v>
          </cell>
          <cell r="AO808">
            <v>6.5000000000000002E-2</v>
          </cell>
          <cell r="AP808">
            <v>0.39660000000000001</v>
          </cell>
          <cell r="AQ808">
            <v>6.5000000000000002E-2</v>
          </cell>
          <cell r="AS808" t="str">
            <v/>
          </cell>
          <cell r="AT808" t="str">
            <v/>
          </cell>
          <cell r="AV808" t="b">
            <v>0</v>
          </cell>
          <cell r="AW808" t="str">
            <v>minute &amp; call</v>
          </cell>
        </row>
        <row r="809">
          <cell r="S809" t="str">
            <v>DOM NOR NOR1B</v>
          </cell>
          <cell r="T809" t="str">
            <v>DOM</v>
          </cell>
          <cell r="U809" t="str">
            <v>NOR</v>
          </cell>
          <cell r="V809" t="str">
            <v>NOR1B</v>
          </cell>
          <cell r="X809">
            <v>0.17630000000000001</v>
          </cell>
          <cell r="Y809">
            <v>6.5000000000000002E-2</v>
          </cell>
          <cell r="Z809">
            <v>0.17630000000000001</v>
          </cell>
          <cell r="AA809">
            <v>6.5000000000000002E-2</v>
          </cell>
          <cell r="AB809">
            <v>0.17630000000000001</v>
          </cell>
          <cell r="AC809">
            <v>6.5000000000000002E-2</v>
          </cell>
          <cell r="AD809">
            <v>0.17630000000000001</v>
          </cell>
          <cell r="AE809">
            <v>6.5000000000000002E-2</v>
          </cell>
          <cell r="AG809" t="str">
            <v/>
          </cell>
          <cell r="AH809" t="str">
            <v/>
          </cell>
          <cell r="AJ809">
            <v>0.17630000000000001</v>
          </cell>
          <cell r="AK809">
            <v>6.5000000000000002E-2</v>
          </cell>
          <cell r="AL809">
            <v>0.17630000000000001</v>
          </cell>
          <cell r="AM809">
            <v>6.5000000000000002E-2</v>
          </cell>
          <cell r="AN809">
            <v>0.17630000000000001</v>
          </cell>
          <cell r="AO809">
            <v>6.5000000000000002E-2</v>
          </cell>
          <cell r="AP809">
            <v>0.17630000000000001</v>
          </cell>
          <cell r="AQ809">
            <v>6.5000000000000002E-2</v>
          </cell>
          <cell r="AS809" t="str">
            <v/>
          </cell>
          <cell r="AT809" t="str">
            <v/>
          </cell>
          <cell r="AV809" t="b">
            <v>0</v>
          </cell>
          <cell r="AW809" t="str">
            <v>minute &amp; call</v>
          </cell>
        </row>
        <row r="810">
          <cell r="S810" t="str">
            <v>DOM NOR NOR1C</v>
          </cell>
          <cell r="T810" t="str">
            <v>DOM</v>
          </cell>
          <cell r="U810" t="str">
            <v>NOR</v>
          </cell>
          <cell r="V810" t="str">
            <v>NOR1C</v>
          </cell>
          <cell r="X810">
            <v>0.17630000000000001</v>
          </cell>
          <cell r="Y810">
            <v>6.5000000000000002E-2</v>
          </cell>
          <cell r="Z810">
            <v>0.17630000000000001</v>
          </cell>
          <cell r="AA810">
            <v>6.5000000000000002E-2</v>
          </cell>
          <cell r="AB810">
            <v>0.17630000000000001</v>
          </cell>
          <cell r="AC810">
            <v>6.5000000000000002E-2</v>
          </cell>
          <cell r="AD810">
            <v>0.17630000000000001</v>
          </cell>
          <cell r="AE810">
            <v>6.5000000000000002E-2</v>
          </cell>
          <cell r="AG810" t="str">
            <v/>
          </cell>
          <cell r="AH810" t="str">
            <v/>
          </cell>
          <cell r="AJ810">
            <v>0.17630000000000001</v>
          </cell>
          <cell r="AK810">
            <v>6.5000000000000002E-2</v>
          </cell>
          <cell r="AL810">
            <v>0.17630000000000001</v>
          </cell>
          <cell r="AM810">
            <v>6.5000000000000002E-2</v>
          </cell>
          <cell r="AN810">
            <v>0.17630000000000001</v>
          </cell>
          <cell r="AO810">
            <v>6.5000000000000002E-2</v>
          </cell>
          <cell r="AP810">
            <v>0.17630000000000001</v>
          </cell>
          <cell r="AQ810">
            <v>6.5000000000000002E-2</v>
          </cell>
          <cell r="AS810" t="str">
            <v/>
          </cell>
          <cell r="AT810" t="str">
            <v/>
          </cell>
          <cell r="AV810" t="b">
            <v>0</v>
          </cell>
          <cell r="AW810" t="str">
            <v>minute &amp; call</v>
          </cell>
        </row>
        <row r="811">
          <cell r="S811" t="str">
            <v>DOM NOR NOR1D</v>
          </cell>
          <cell r="T811" t="str">
            <v>DOM</v>
          </cell>
          <cell r="U811" t="str">
            <v>NOR</v>
          </cell>
          <cell r="V811" t="str">
            <v>NOR1D</v>
          </cell>
          <cell r="X811">
            <v>0.92530000000000001</v>
          </cell>
          <cell r="Y811">
            <v>6.5000000000000002E-2</v>
          </cell>
          <cell r="Z811">
            <v>0.92530000000000001</v>
          </cell>
          <cell r="AA811">
            <v>6.5000000000000002E-2</v>
          </cell>
          <cell r="AB811">
            <v>0.92530000000000001</v>
          </cell>
          <cell r="AC811">
            <v>6.5000000000000002E-2</v>
          </cell>
          <cell r="AD811">
            <v>0.92530000000000001</v>
          </cell>
          <cell r="AE811">
            <v>6.5000000000000002E-2</v>
          </cell>
          <cell r="AG811" t="str">
            <v/>
          </cell>
          <cell r="AH811" t="str">
            <v/>
          </cell>
          <cell r="AJ811">
            <v>0.92530000000000001</v>
          </cell>
          <cell r="AK811">
            <v>6.5000000000000002E-2</v>
          </cell>
          <cell r="AL811">
            <v>0.92530000000000001</v>
          </cell>
          <cell r="AM811">
            <v>6.5000000000000002E-2</v>
          </cell>
          <cell r="AN811">
            <v>0.92530000000000001</v>
          </cell>
          <cell r="AO811">
            <v>6.5000000000000002E-2</v>
          </cell>
          <cell r="AP811">
            <v>0.92530000000000001</v>
          </cell>
          <cell r="AQ811">
            <v>6.5000000000000002E-2</v>
          </cell>
          <cell r="AS811" t="str">
            <v/>
          </cell>
          <cell r="AT811" t="str">
            <v/>
          </cell>
          <cell r="AV811" t="b">
            <v>0</v>
          </cell>
          <cell r="AW811" t="str">
            <v>minute &amp; call</v>
          </cell>
        </row>
        <row r="812">
          <cell r="S812" t="str">
            <v>DOM NOR NOR1E</v>
          </cell>
          <cell r="T812" t="str">
            <v>DOM</v>
          </cell>
          <cell r="U812" t="str">
            <v>NOR</v>
          </cell>
          <cell r="V812" t="str">
            <v>NOR1E</v>
          </cell>
          <cell r="X812">
            <v>0.92530000000000001</v>
          </cell>
          <cell r="Y812">
            <v>6.5000000000000002E-2</v>
          </cell>
          <cell r="Z812">
            <v>0.92530000000000001</v>
          </cell>
          <cell r="AA812">
            <v>6.5000000000000002E-2</v>
          </cell>
          <cell r="AB812">
            <v>0.92530000000000001</v>
          </cell>
          <cell r="AC812">
            <v>6.5000000000000002E-2</v>
          </cell>
          <cell r="AD812">
            <v>0.92530000000000001</v>
          </cell>
          <cell r="AE812">
            <v>6.5000000000000002E-2</v>
          </cell>
          <cell r="AG812" t="str">
            <v/>
          </cell>
          <cell r="AH812" t="str">
            <v/>
          </cell>
          <cell r="AJ812">
            <v>0.92530000000000001</v>
          </cell>
          <cell r="AK812">
            <v>6.5000000000000002E-2</v>
          </cell>
          <cell r="AL812">
            <v>0.92530000000000001</v>
          </cell>
          <cell r="AM812">
            <v>6.5000000000000002E-2</v>
          </cell>
          <cell r="AN812">
            <v>0.92530000000000001</v>
          </cell>
          <cell r="AO812">
            <v>6.5000000000000002E-2</v>
          </cell>
          <cell r="AP812">
            <v>0.92530000000000001</v>
          </cell>
          <cell r="AQ812">
            <v>6.5000000000000002E-2</v>
          </cell>
          <cell r="AS812" t="str">
            <v/>
          </cell>
          <cell r="AT812" t="str">
            <v/>
          </cell>
          <cell r="AV812" t="b">
            <v>0</v>
          </cell>
          <cell r="AW812" t="str">
            <v>minute &amp; call</v>
          </cell>
        </row>
        <row r="813">
          <cell r="S813" t="str">
            <v>DOM NOR NOR1F</v>
          </cell>
          <cell r="T813" t="str">
            <v>DOM</v>
          </cell>
          <cell r="U813" t="str">
            <v>NOR</v>
          </cell>
          <cell r="V813" t="str">
            <v>NOR1F</v>
          </cell>
          <cell r="X813">
            <v>0.30840000000000001</v>
          </cell>
          <cell r="Y813">
            <v>6.5000000000000002E-2</v>
          </cell>
          <cell r="Z813">
            <v>0.30840000000000001</v>
          </cell>
          <cell r="AA813">
            <v>6.5000000000000002E-2</v>
          </cell>
          <cell r="AB813">
            <v>0.30840000000000001</v>
          </cell>
          <cell r="AC813">
            <v>6.5000000000000002E-2</v>
          </cell>
          <cell r="AD813">
            <v>0.30840000000000001</v>
          </cell>
          <cell r="AE813">
            <v>6.5000000000000002E-2</v>
          </cell>
          <cell r="AG813" t="str">
            <v/>
          </cell>
          <cell r="AH813" t="str">
            <v/>
          </cell>
          <cell r="AJ813">
            <v>0.30840000000000001</v>
          </cell>
          <cell r="AK813">
            <v>6.5000000000000002E-2</v>
          </cell>
          <cell r="AL813">
            <v>0.30840000000000001</v>
          </cell>
          <cell r="AM813">
            <v>6.5000000000000002E-2</v>
          </cell>
          <cell r="AN813">
            <v>0.30840000000000001</v>
          </cell>
          <cell r="AO813">
            <v>6.5000000000000002E-2</v>
          </cell>
          <cell r="AP813">
            <v>0.30840000000000001</v>
          </cell>
          <cell r="AQ813">
            <v>6.5000000000000002E-2</v>
          </cell>
          <cell r="AS813" t="str">
            <v/>
          </cell>
          <cell r="AT813" t="str">
            <v/>
          </cell>
          <cell r="AV813" t="b">
            <v>0</v>
          </cell>
          <cell r="AW813" t="str">
            <v>minute &amp; call</v>
          </cell>
        </row>
        <row r="814">
          <cell r="S814" t="str">
            <v>DOM NOR NOR1G</v>
          </cell>
          <cell r="T814" t="str">
            <v>DOM</v>
          </cell>
          <cell r="U814" t="str">
            <v>NOR</v>
          </cell>
          <cell r="V814" t="str">
            <v>NOR1G</v>
          </cell>
          <cell r="X814">
            <v>0.52880000000000005</v>
          </cell>
          <cell r="Y814">
            <v>6.5000000000000002E-2</v>
          </cell>
          <cell r="Z814">
            <v>0.52880000000000005</v>
          </cell>
          <cell r="AA814">
            <v>6.5000000000000002E-2</v>
          </cell>
          <cell r="AB814">
            <v>0.52880000000000005</v>
          </cell>
          <cell r="AC814">
            <v>6.5000000000000002E-2</v>
          </cell>
          <cell r="AD814">
            <v>0.52880000000000005</v>
          </cell>
          <cell r="AE814">
            <v>6.5000000000000002E-2</v>
          </cell>
          <cell r="AG814" t="str">
            <v/>
          </cell>
          <cell r="AH814" t="str">
            <v/>
          </cell>
          <cell r="AJ814">
            <v>0.52880000000000005</v>
          </cell>
          <cell r="AK814">
            <v>6.5000000000000002E-2</v>
          </cell>
          <cell r="AL814">
            <v>0.52880000000000005</v>
          </cell>
          <cell r="AM814">
            <v>6.5000000000000002E-2</v>
          </cell>
          <cell r="AN814">
            <v>0.52880000000000005</v>
          </cell>
          <cell r="AO814">
            <v>6.5000000000000002E-2</v>
          </cell>
          <cell r="AP814">
            <v>0.52880000000000005</v>
          </cell>
          <cell r="AQ814">
            <v>6.5000000000000002E-2</v>
          </cell>
          <cell r="AS814" t="str">
            <v/>
          </cell>
          <cell r="AT814" t="str">
            <v/>
          </cell>
          <cell r="AV814" t="b">
            <v>0</v>
          </cell>
          <cell r="AW814" t="str">
            <v>minute &amp; call</v>
          </cell>
        </row>
        <row r="815">
          <cell r="S815" t="str">
            <v>DOM NOR NOR1H</v>
          </cell>
          <cell r="T815" t="str">
            <v>DOM</v>
          </cell>
          <cell r="U815" t="str">
            <v>NOR</v>
          </cell>
          <cell r="V815" t="str">
            <v>NOR1H</v>
          </cell>
          <cell r="X815">
            <v>0.92530000000000001</v>
          </cell>
          <cell r="Y815">
            <v>6.5000000000000002E-2</v>
          </cell>
          <cell r="Z815">
            <v>0.92530000000000001</v>
          </cell>
          <cell r="AA815">
            <v>6.5000000000000002E-2</v>
          </cell>
          <cell r="AB815">
            <v>0.92530000000000001</v>
          </cell>
          <cell r="AC815">
            <v>6.5000000000000002E-2</v>
          </cell>
          <cell r="AD815">
            <v>0.92530000000000001</v>
          </cell>
          <cell r="AE815">
            <v>6.5000000000000002E-2</v>
          </cell>
          <cell r="AG815" t="str">
            <v/>
          </cell>
          <cell r="AH815" t="str">
            <v/>
          </cell>
          <cell r="AJ815">
            <v>0.92530000000000001</v>
          </cell>
          <cell r="AK815">
            <v>6.5000000000000002E-2</v>
          </cell>
          <cell r="AL815">
            <v>0.92530000000000001</v>
          </cell>
          <cell r="AM815">
            <v>6.5000000000000002E-2</v>
          </cell>
          <cell r="AN815">
            <v>0.92530000000000001</v>
          </cell>
          <cell r="AO815">
            <v>6.5000000000000002E-2</v>
          </cell>
          <cell r="AP815">
            <v>0.92530000000000001</v>
          </cell>
          <cell r="AQ815">
            <v>6.5000000000000002E-2</v>
          </cell>
          <cell r="AS815" t="str">
            <v/>
          </cell>
          <cell r="AT815" t="str">
            <v/>
          </cell>
          <cell r="AV815" t="b">
            <v>0</v>
          </cell>
          <cell r="AW815" t="str">
            <v>minute &amp; call</v>
          </cell>
        </row>
        <row r="816">
          <cell r="S816" t="str">
            <v>DOM NOR NOR1I</v>
          </cell>
          <cell r="T816" t="str">
            <v>DOM</v>
          </cell>
          <cell r="U816" t="str">
            <v>NOR</v>
          </cell>
          <cell r="V816" t="str">
            <v>NOR1I</v>
          </cell>
          <cell r="X816">
            <v>1.2338</v>
          </cell>
          <cell r="Y816">
            <v>6.5000000000000002E-2</v>
          </cell>
          <cell r="Z816">
            <v>1.2338</v>
          </cell>
          <cell r="AA816">
            <v>6.5000000000000002E-2</v>
          </cell>
          <cell r="AB816">
            <v>1.2338</v>
          </cell>
          <cell r="AC816">
            <v>6.5000000000000002E-2</v>
          </cell>
          <cell r="AD816">
            <v>1.2338</v>
          </cell>
          <cell r="AE816">
            <v>6.5000000000000002E-2</v>
          </cell>
          <cell r="AG816" t="str">
            <v/>
          </cell>
          <cell r="AH816" t="str">
            <v/>
          </cell>
          <cell r="AJ816">
            <v>1.2338</v>
          </cell>
          <cell r="AK816">
            <v>6.5000000000000002E-2</v>
          </cell>
          <cell r="AL816">
            <v>1.2338</v>
          </cell>
          <cell r="AM816">
            <v>6.5000000000000002E-2</v>
          </cell>
          <cell r="AN816">
            <v>1.2338</v>
          </cell>
          <cell r="AO816">
            <v>6.5000000000000002E-2</v>
          </cell>
          <cell r="AP816">
            <v>1.2338</v>
          </cell>
          <cell r="AQ816">
            <v>6.5000000000000002E-2</v>
          </cell>
          <cell r="AS816" t="str">
            <v/>
          </cell>
          <cell r="AT816" t="str">
            <v/>
          </cell>
          <cell r="AV816" t="b">
            <v>0</v>
          </cell>
          <cell r="AW816" t="str">
            <v>minute &amp; call</v>
          </cell>
        </row>
        <row r="817">
          <cell r="S817" t="str">
            <v>DOM NOR NOR1J</v>
          </cell>
          <cell r="T817" t="str">
            <v>DOM</v>
          </cell>
          <cell r="U817" t="str">
            <v>NOR</v>
          </cell>
          <cell r="V817" t="str">
            <v>NOR1J</v>
          </cell>
          <cell r="X817">
            <v>2.2894000000000001</v>
          </cell>
          <cell r="Y817">
            <v>6.5000000000000002E-2</v>
          </cell>
          <cell r="Z817">
            <v>2.2894000000000001</v>
          </cell>
          <cell r="AA817">
            <v>6.5000000000000002E-2</v>
          </cell>
          <cell r="AB817">
            <v>2.2894000000000001</v>
          </cell>
          <cell r="AC817">
            <v>6.5000000000000002E-2</v>
          </cell>
          <cell r="AD817">
            <v>2.2894000000000001</v>
          </cell>
          <cell r="AE817">
            <v>6.5000000000000002E-2</v>
          </cell>
          <cell r="AG817" t="str">
            <v/>
          </cell>
          <cell r="AH817" t="str">
            <v/>
          </cell>
          <cell r="AJ817">
            <v>2.2894000000000001</v>
          </cell>
          <cell r="AK817">
            <v>6.5000000000000002E-2</v>
          </cell>
          <cell r="AL817">
            <v>2.2894000000000001</v>
          </cell>
          <cell r="AM817">
            <v>6.5000000000000002E-2</v>
          </cell>
          <cell r="AN817">
            <v>2.2894000000000001</v>
          </cell>
          <cell r="AO817">
            <v>6.5000000000000002E-2</v>
          </cell>
          <cell r="AP817">
            <v>2.2894000000000001</v>
          </cell>
          <cell r="AQ817">
            <v>6.5000000000000002E-2</v>
          </cell>
          <cell r="AS817" t="str">
            <v/>
          </cell>
          <cell r="AT817" t="str">
            <v/>
          </cell>
          <cell r="AV817" t="b">
            <v>0</v>
          </cell>
          <cell r="AW817" t="str">
            <v>minute &amp; call</v>
          </cell>
        </row>
        <row r="818">
          <cell r="S818" t="str">
            <v>DOM NOR NOR1K</v>
          </cell>
          <cell r="T818" t="str">
            <v>DOM</v>
          </cell>
          <cell r="U818" t="str">
            <v>NOR</v>
          </cell>
          <cell r="V818" t="str">
            <v>NOR1K</v>
          </cell>
          <cell r="X818">
            <v>2.2894000000000001</v>
          </cell>
          <cell r="Y818">
            <v>6.5000000000000002E-2</v>
          </cell>
          <cell r="Z818">
            <v>2.2894000000000001</v>
          </cell>
          <cell r="AA818">
            <v>6.5000000000000002E-2</v>
          </cell>
          <cell r="AB818">
            <v>2.2894000000000001</v>
          </cell>
          <cell r="AC818">
            <v>6.5000000000000002E-2</v>
          </cell>
          <cell r="AD818">
            <v>2.2894000000000001</v>
          </cell>
          <cell r="AE818">
            <v>6.5000000000000002E-2</v>
          </cell>
          <cell r="AG818" t="str">
            <v/>
          </cell>
          <cell r="AH818" t="str">
            <v/>
          </cell>
          <cell r="AJ818">
            <v>2.2894000000000001</v>
          </cell>
          <cell r="AK818">
            <v>6.5000000000000002E-2</v>
          </cell>
          <cell r="AL818">
            <v>2.2894000000000001</v>
          </cell>
          <cell r="AM818">
            <v>6.5000000000000002E-2</v>
          </cell>
          <cell r="AN818">
            <v>2.2894000000000001</v>
          </cell>
          <cell r="AO818">
            <v>6.5000000000000002E-2</v>
          </cell>
          <cell r="AP818">
            <v>2.2894000000000001</v>
          </cell>
          <cell r="AQ818">
            <v>6.5000000000000002E-2</v>
          </cell>
          <cell r="AS818" t="str">
            <v/>
          </cell>
          <cell r="AT818" t="str">
            <v/>
          </cell>
          <cell r="AV818" t="b">
            <v>0</v>
          </cell>
          <cell r="AW818" t="str">
            <v>minute &amp; call</v>
          </cell>
        </row>
        <row r="819">
          <cell r="S819" t="str">
            <v>DOM NOR NOR2A</v>
          </cell>
          <cell r="T819" t="str">
            <v>DOM</v>
          </cell>
          <cell r="U819" t="str">
            <v>NOR</v>
          </cell>
          <cell r="V819" t="str">
            <v>NOR2A</v>
          </cell>
          <cell r="X819">
            <v>0.39660000000000001</v>
          </cell>
          <cell r="Y819">
            <v>6.5000000000000002E-2</v>
          </cell>
          <cell r="Z819">
            <v>0.39660000000000001</v>
          </cell>
          <cell r="AA819">
            <v>6.5000000000000002E-2</v>
          </cell>
          <cell r="AB819">
            <v>0.39660000000000001</v>
          </cell>
          <cell r="AC819">
            <v>6.5000000000000002E-2</v>
          </cell>
          <cell r="AD819">
            <v>0.39660000000000001</v>
          </cell>
          <cell r="AE819">
            <v>6.5000000000000002E-2</v>
          </cell>
          <cell r="AG819" t="str">
            <v/>
          </cell>
          <cell r="AH819" t="str">
            <v/>
          </cell>
          <cell r="AJ819">
            <v>0.39660000000000001</v>
          </cell>
          <cell r="AK819">
            <v>6.5000000000000002E-2</v>
          </cell>
          <cell r="AL819">
            <v>0.39660000000000001</v>
          </cell>
          <cell r="AM819">
            <v>6.5000000000000002E-2</v>
          </cell>
          <cell r="AN819">
            <v>0.39660000000000001</v>
          </cell>
          <cell r="AO819">
            <v>6.5000000000000002E-2</v>
          </cell>
          <cell r="AP819">
            <v>0.39660000000000001</v>
          </cell>
          <cell r="AQ819">
            <v>6.5000000000000002E-2</v>
          </cell>
          <cell r="AS819" t="str">
            <v/>
          </cell>
          <cell r="AT819" t="str">
            <v/>
          </cell>
          <cell r="AV819" t="b">
            <v>0</v>
          </cell>
          <cell r="AW819" t="str">
            <v>minute &amp; call</v>
          </cell>
        </row>
        <row r="820">
          <cell r="S820" t="str">
            <v>DOM NOR NOR2B</v>
          </cell>
          <cell r="T820" t="str">
            <v>DOM</v>
          </cell>
          <cell r="U820" t="str">
            <v>NOR</v>
          </cell>
          <cell r="V820" t="str">
            <v>NOR2B</v>
          </cell>
          <cell r="X820">
            <v>0.17630000000000001</v>
          </cell>
          <cell r="Y820">
            <v>6.5000000000000002E-2</v>
          </cell>
          <cell r="Z820">
            <v>0.17630000000000001</v>
          </cell>
          <cell r="AA820">
            <v>6.5000000000000002E-2</v>
          </cell>
          <cell r="AB820">
            <v>0.17630000000000001</v>
          </cell>
          <cell r="AC820">
            <v>6.5000000000000002E-2</v>
          </cell>
          <cell r="AD820">
            <v>0.17630000000000001</v>
          </cell>
          <cell r="AE820">
            <v>6.5000000000000002E-2</v>
          </cell>
          <cell r="AG820" t="str">
            <v/>
          </cell>
          <cell r="AH820" t="str">
            <v/>
          </cell>
          <cell r="AJ820">
            <v>0.17630000000000001</v>
          </cell>
          <cell r="AK820">
            <v>6.5000000000000002E-2</v>
          </cell>
          <cell r="AL820">
            <v>0.17630000000000001</v>
          </cell>
          <cell r="AM820">
            <v>6.5000000000000002E-2</v>
          </cell>
          <cell r="AN820">
            <v>0.17630000000000001</v>
          </cell>
          <cell r="AO820">
            <v>6.5000000000000002E-2</v>
          </cell>
          <cell r="AP820">
            <v>0.17630000000000001</v>
          </cell>
          <cell r="AQ820">
            <v>6.5000000000000002E-2</v>
          </cell>
          <cell r="AS820" t="str">
            <v/>
          </cell>
          <cell r="AT820" t="str">
            <v/>
          </cell>
          <cell r="AV820" t="b">
            <v>0</v>
          </cell>
          <cell r="AW820" t="str">
            <v>minute &amp; call</v>
          </cell>
        </row>
        <row r="821">
          <cell r="S821" t="str">
            <v>DOM NOR NOR2C</v>
          </cell>
          <cell r="T821" t="str">
            <v>DOM</v>
          </cell>
          <cell r="U821" t="str">
            <v>NOR</v>
          </cell>
          <cell r="V821" t="str">
            <v>NOR2C</v>
          </cell>
          <cell r="X821">
            <v>0.17630000000000001</v>
          </cell>
          <cell r="Y821">
            <v>6.5000000000000002E-2</v>
          </cell>
          <cell r="Z821">
            <v>0.17630000000000001</v>
          </cell>
          <cell r="AA821">
            <v>6.5000000000000002E-2</v>
          </cell>
          <cell r="AB821">
            <v>0.17630000000000001</v>
          </cell>
          <cell r="AC821">
            <v>6.5000000000000002E-2</v>
          </cell>
          <cell r="AD821">
            <v>0.17630000000000001</v>
          </cell>
          <cell r="AE821">
            <v>6.5000000000000002E-2</v>
          </cell>
          <cell r="AG821" t="str">
            <v/>
          </cell>
          <cell r="AH821" t="str">
            <v/>
          </cell>
          <cell r="AJ821">
            <v>0.17630000000000001</v>
          </cell>
          <cell r="AK821">
            <v>6.5000000000000002E-2</v>
          </cell>
          <cell r="AL821">
            <v>0.17630000000000001</v>
          </cell>
          <cell r="AM821">
            <v>6.5000000000000002E-2</v>
          </cell>
          <cell r="AN821">
            <v>0.17630000000000001</v>
          </cell>
          <cell r="AO821">
            <v>6.5000000000000002E-2</v>
          </cell>
          <cell r="AP821">
            <v>0.17630000000000001</v>
          </cell>
          <cell r="AQ821">
            <v>6.5000000000000002E-2</v>
          </cell>
          <cell r="AS821" t="str">
            <v/>
          </cell>
          <cell r="AT821" t="str">
            <v/>
          </cell>
          <cell r="AV821" t="b">
            <v>0</v>
          </cell>
          <cell r="AW821" t="str">
            <v>minute &amp; call</v>
          </cell>
        </row>
        <row r="822">
          <cell r="S822" t="str">
            <v>DOM NOR NOR2D</v>
          </cell>
          <cell r="T822" t="str">
            <v>DOM</v>
          </cell>
          <cell r="U822" t="str">
            <v>NOR</v>
          </cell>
          <cell r="V822" t="str">
            <v>NOR2D</v>
          </cell>
          <cell r="X822">
            <v>0.92530000000000001</v>
          </cell>
          <cell r="Y822">
            <v>6.5000000000000002E-2</v>
          </cell>
          <cell r="Z822">
            <v>0.92530000000000001</v>
          </cell>
          <cell r="AA822">
            <v>6.5000000000000002E-2</v>
          </cell>
          <cell r="AB822">
            <v>0.92530000000000001</v>
          </cell>
          <cell r="AC822">
            <v>6.5000000000000002E-2</v>
          </cell>
          <cell r="AD822">
            <v>0.92530000000000001</v>
          </cell>
          <cell r="AE822">
            <v>6.5000000000000002E-2</v>
          </cell>
          <cell r="AG822" t="str">
            <v/>
          </cell>
          <cell r="AH822" t="str">
            <v/>
          </cell>
          <cell r="AJ822">
            <v>0.92530000000000001</v>
          </cell>
          <cell r="AK822">
            <v>6.5000000000000002E-2</v>
          </cell>
          <cell r="AL822">
            <v>0.92530000000000001</v>
          </cell>
          <cell r="AM822">
            <v>6.5000000000000002E-2</v>
          </cell>
          <cell r="AN822">
            <v>0.92530000000000001</v>
          </cell>
          <cell r="AO822">
            <v>6.5000000000000002E-2</v>
          </cell>
          <cell r="AP822">
            <v>0.92530000000000001</v>
          </cell>
          <cell r="AQ822">
            <v>6.5000000000000002E-2</v>
          </cell>
          <cell r="AS822" t="str">
            <v/>
          </cell>
          <cell r="AT822" t="str">
            <v/>
          </cell>
          <cell r="AV822" t="b">
            <v>0</v>
          </cell>
          <cell r="AW822" t="str">
            <v>minute &amp; call</v>
          </cell>
        </row>
        <row r="823">
          <cell r="S823" t="str">
            <v>DOM NOR NOR2E</v>
          </cell>
          <cell r="T823" t="str">
            <v>DOM</v>
          </cell>
          <cell r="U823" t="str">
            <v>NOR</v>
          </cell>
          <cell r="V823" t="str">
            <v>NOR2E</v>
          </cell>
          <cell r="X823">
            <v>0.92530000000000001</v>
          </cell>
          <cell r="Y823">
            <v>6.5000000000000002E-2</v>
          </cell>
          <cell r="Z823">
            <v>0.92530000000000001</v>
          </cell>
          <cell r="AA823">
            <v>6.5000000000000002E-2</v>
          </cell>
          <cell r="AB823">
            <v>0.92530000000000001</v>
          </cell>
          <cell r="AC823">
            <v>6.5000000000000002E-2</v>
          </cell>
          <cell r="AD823">
            <v>0.92530000000000001</v>
          </cell>
          <cell r="AE823">
            <v>6.5000000000000002E-2</v>
          </cell>
          <cell r="AG823" t="str">
            <v/>
          </cell>
          <cell r="AH823" t="str">
            <v/>
          </cell>
          <cell r="AJ823">
            <v>0.92530000000000001</v>
          </cell>
          <cell r="AK823">
            <v>6.5000000000000002E-2</v>
          </cell>
          <cell r="AL823">
            <v>0.92530000000000001</v>
          </cell>
          <cell r="AM823">
            <v>6.5000000000000002E-2</v>
          </cell>
          <cell r="AN823">
            <v>0.92530000000000001</v>
          </cell>
          <cell r="AO823">
            <v>6.5000000000000002E-2</v>
          </cell>
          <cell r="AP823">
            <v>0.92530000000000001</v>
          </cell>
          <cell r="AQ823">
            <v>6.5000000000000002E-2</v>
          </cell>
          <cell r="AS823" t="str">
            <v/>
          </cell>
          <cell r="AT823" t="str">
            <v/>
          </cell>
          <cell r="AV823" t="b">
            <v>0</v>
          </cell>
          <cell r="AW823" t="str">
            <v>minute &amp; call</v>
          </cell>
        </row>
        <row r="824">
          <cell r="S824" t="str">
            <v>DOM NOR NOR2F</v>
          </cell>
          <cell r="T824" t="str">
            <v>DOM</v>
          </cell>
          <cell r="U824" t="str">
            <v>NOR</v>
          </cell>
          <cell r="V824" t="str">
            <v>NOR2F</v>
          </cell>
          <cell r="X824">
            <v>0.30840000000000001</v>
          </cell>
          <cell r="Y824">
            <v>6.5000000000000002E-2</v>
          </cell>
          <cell r="Z824">
            <v>0.30840000000000001</v>
          </cell>
          <cell r="AA824">
            <v>6.5000000000000002E-2</v>
          </cell>
          <cell r="AB824">
            <v>0.30840000000000001</v>
          </cell>
          <cell r="AC824">
            <v>6.5000000000000002E-2</v>
          </cell>
          <cell r="AD824">
            <v>0.30840000000000001</v>
          </cell>
          <cell r="AE824">
            <v>6.5000000000000002E-2</v>
          </cell>
          <cell r="AG824" t="str">
            <v/>
          </cell>
          <cell r="AH824" t="str">
            <v/>
          </cell>
          <cell r="AJ824">
            <v>0.30840000000000001</v>
          </cell>
          <cell r="AK824">
            <v>6.5000000000000002E-2</v>
          </cell>
          <cell r="AL824">
            <v>0.30840000000000001</v>
          </cell>
          <cell r="AM824">
            <v>6.5000000000000002E-2</v>
          </cell>
          <cell r="AN824">
            <v>0.30840000000000001</v>
          </cell>
          <cell r="AO824">
            <v>6.5000000000000002E-2</v>
          </cell>
          <cell r="AP824">
            <v>0.30840000000000001</v>
          </cell>
          <cell r="AQ824">
            <v>6.5000000000000002E-2</v>
          </cell>
          <cell r="AS824" t="str">
            <v/>
          </cell>
          <cell r="AT824" t="str">
            <v/>
          </cell>
          <cell r="AV824" t="b">
            <v>0</v>
          </cell>
          <cell r="AW824" t="str">
            <v>minute &amp; call</v>
          </cell>
        </row>
        <row r="825">
          <cell r="S825" t="str">
            <v>DOM NOR NOR2G</v>
          </cell>
          <cell r="T825" t="str">
            <v>DOM</v>
          </cell>
          <cell r="U825" t="str">
            <v>NOR</v>
          </cell>
          <cell r="V825" t="str">
            <v>NOR2G</v>
          </cell>
          <cell r="X825">
            <v>0.52880000000000005</v>
          </cell>
          <cell r="Y825">
            <v>6.5000000000000002E-2</v>
          </cell>
          <cell r="Z825">
            <v>0.52880000000000005</v>
          </cell>
          <cell r="AA825">
            <v>6.5000000000000002E-2</v>
          </cell>
          <cell r="AB825">
            <v>0.52880000000000005</v>
          </cell>
          <cell r="AC825">
            <v>6.5000000000000002E-2</v>
          </cell>
          <cell r="AD825">
            <v>0.52880000000000005</v>
          </cell>
          <cell r="AE825">
            <v>6.5000000000000002E-2</v>
          </cell>
          <cell r="AG825" t="str">
            <v/>
          </cell>
          <cell r="AH825" t="str">
            <v/>
          </cell>
          <cell r="AJ825">
            <v>0.52880000000000005</v>
          </cell>
          <cell r="AK825">
            <v>6.5000000000000002E-2</v>
          </cell>
          <cell r="AL825">
            <v>0.52880000000000005</v>
          </cell>
          <cell r="AM825">
            <v>6.5000000000000002E-2</v>
          </cell>
          <cell r="AN825">
            <v>0.52880000000000005</v>
          </cell>
          <cell r="AO825">
            <v>6.5000000000000002E-2</v>
          </cell>
          <cell r="AP825">
            <v>0.52880000000000005</v>
          </cell>
          <cell r="AQ825">
            <v>6.5000000000000002E-2</v>
          </cell>
          <cell r="AS825" t="str">
            <v/>
          </cell>
          <cell r="AT825" t="str">
            <v/>
          </cell>
          <cell r="AV825" t="b">
            <v>0</v>
          </cell>
          <cell r="AW825" t="str">
            <v>minute &amp; call</v>
          </cell>
        </row>
        <row r="826">
          <cell r="S826" t="str">
            <v>DOM NOR NOR2H</v>
          </cell>
          <cell r="T826" t="str">
            <v>DOM</v>
          </cell>
          <cell r="U826" t="str">
            <v>NOR</v>
          </cell>
          <cell r="V826" t="str">
            <v>NOR2H</v>
          </cell>
          <cell r="X826">
            <v>0.92530000000000001</v>
          </cell>
          <cell r="Y826">
            <v>6.5000000000000002E-2</v>
          </cell>
          <cell r="Z826">
            <v>0.92530000000000001</v>
          </cell>
          <cell r="AA826">
            <v>6.5000000000000002E-2</v>
          </cell>
          <cell r="AB826">
            <v>0.92530000000000001</v>
          </cell>
          <cell r="AC826">
            <v>6.5000000000000002E-2</v>
          </cell>
          <cell r="AD826">
            <v>0.92530000000000001</v>
          </cell>
          <cell r="AE826">
            <v>6.5000000000000002E-2</v>
          </cell>
          <cell r="AG826" t="str">
            <v/>
          </cell>
          <cell r="AH826" t="str">
            <v/>
          </cell>
          <cell r="AJ826">
            <v>0.92530000000000001</v>
          </cell>
          <cell r="AK826">
            <v>6.5000000000000002E-2</v>
          </cell>
          <cell r="AL826">
            <v>0.92530000000000001</v>
          </cell>
          <cell r="AM826">
            <v>6.5000000000000002E-2</v>
          </cell>
          <cell r="AN826">
            <v>0.92530000000000001</v>
          </cell>
          <cell r="AO826">
            <v>6.5000000000000002E-2</v>
          </cell>
          <cell r="AP826">
            <v>0.92530000000000001</v>
          </cell>
          <cell r="AQ826">
            <v>6.5000000000000002E-2</v>
          </cell>
          <cell r="AS826" t="str">
            <v/>
          </cell>
          <cell r="AT826" t="str">
            <v/>
          </cell>
          <cell r="AV826" t="b">
            <v>0</v>
          </cell>
          <cell r="AW826" t="str">
            <v>minute &amp; call</v>
          </cell>
        </row>
        <row r="827">
          <cell r="S827" t="str">
            <v>DOM NOR NOR2I</v>
          </cell>
          <cell r="T827" t="str">
            <v>DOM</v>
          </cell>
          <cell r="U827" t="str">
            <v>NOR</v>
          </cell>
          <cell r="V827" t="str">
            <v>NOR2I</v>
          </cell>
          <cell r="X827">
            <v>1.2338</v>
          </cell>
          <cell r="Y827">
            <v>6.5000000000000002E-2</v>
          </cell>
          <cell r="Z827">
            <v>1.2338</v>
          </cell>
          <cell r="AA827">
            <v>6.5000000000000002E-2</v>
          </cell>
          <cell r="AB827">
            <v>1.2338</v>
          </cell>
          <cell r="AC827">
            <v>6.5000000000000002E-2</v>
          </cell>
          <cell r="AD827">
            <v>1.2338</v>
          </cell>
          <cell r="AE827">
            <v>6.5000000000000002E-2</v>
          </cell>
          <cell r="AG827" t="str">
            <v/>
          </cell>
          <cell r="AH827" t="str">
            <v/>
          </cell>
          <cell r="AJ827">
            <v>1.2338</v>
          </cell>
          <cell r="AK827">
            <v>6.5000000000000002E-2</v>
          </cell>
          <cell r="AL827">
            <v>1.2338</v>
          </cell>
          <cell r="AM827">
            <v>6.5000000000000002E-2</v>
          </cell>
          <cell r="AN827">
            <v>1.2338</v>
          </cell>
          <cell r="AO827">
            <v>6.5000000000000002E-2</v>
          </cell>
          <cell r="AP827">
            <v>1.2338</v>
          </cell>
          <cell r="AQ827">
            <v>6.5000000000000002E-2</v>
          </cell>
          <cell r="AS827" t="str">
            <v/>
          </cell>
          <cell r="AT827" t="str">
            <v/>
          </cell>
          <cell r="AV827" t="b">
            <v>0</v>
          </cell>
          <cell r="AW827" t="str">
            <v>minute &amp; call</v>
          </cell>
        </row>
        <row r="828">
          <cell r="S828" t="str">
            <v>DOM NOR NOR2J</v>
          </cell>
          <cell r="T828" t="str">
            <v>DOM</v>
          </cell>
          <cell r="U828" t="str">
            <v>NOR</v>
          </cell>
          <cell r="V828" t="str">
            <v>NOR2J</v>
          </cell>
          <cell r="X828">
            <v>2.2894000000000001</v>
          </cell>
          <cell r="Y828">
            <v>6.5000000000000002E-2</v>
          </cell>
          <cell r="Z828">
            <v>2.2894000000000001</v>
          </cell>
          <cell r="AA828">
            <v>6.5000000000000002E-2</v>
          </cell>
          <cell r="AB828">
            <v>2.2894000000000001</v>
          </cell>
          <cell r="AC828">
            <v>6.5000000000000002E-2</v>
          </cell>
          <cell r="AD828">
            <v>2.2894000000000001</v>
          </cell>
          <cell r="AE828">
            <v>6.5000000000000002E-2</v>
          </cell>
          <cell r="AG828" t="str">
            <v/>
          </cell>
          <cell r="AH828" t="str">
            <v/>
          </cell>
          <cell r="AJ828">
            <v>2.2894000000000001</v>
          </cell>
          <cell r="AK828">
            <v>6.5000000000000002E-2</v>
          </cell>
          <cell r="AL828">
            <v>2.2894000000000001</v>
          </cell>
          <cell r="AM828">
            <v>6.5000000000000002E-2</v>
          </cell>
          <cell r="AN828">
            <v>2.2894000000000001</v>
          </cell>
          <cell r="AO828">
            <v>6.5000000000000002E-2</v>
          </cell>
          <cell r="AP828">
            <v>2.2894000000000001</v>
          </cell>
          <cell r="AQ828">
            <v>6.5000000000000002E-2</v>
          </cell>
          <cell r="AS828" t="str">
            <v/>
          </cell>
          <cell r="AT828" t="str">
            <v/>
          </cell>
          <cell r="AV828" t="b">
            <v>0</v>
          </cell>
          <cell r="AW828" t="str">
            <v>minute &amp; call</v>
          </cell>
        </row>
        <row r="829">
          <cell r="S829" t="str">
            <v>DOM NOR NOR2K</v>
          </cell>
          <cell r="T829" t="str">
            <v>DOM</v>
          </cell>
          <cell r="U829" t="str">
            <v>NOR</v>
          </cell>
          <cell r="V829" t="str">
            <v>NOR2K</v>
          </cell>
          <cell r="X829">
            <v>2.2894000000000001</v>
          </cell>
          <cell r="Y829">
            <v>6.5000000000000002E-2</v>
          </cell>
          <cell r="Z829">
            <v>2.2894000000000001</v>
          </cell>
          <cell r="AA829">
            <v>6.5000000000000002E-2</v>
          </cell>
          <cell r="AB829">
            <v>2.2894000000000001</v>
          </cell>
          <cell r="AC829">
            <v>6.5000000000000002E-2</v>
          </cell>
          <cell r="AD829">
            <v>2.2894000000000001</v>
          </cell>
          <cell r="AE829">
            <v>6.5000000000000002E-2</v>
          </cell>
          <cell r="AG829" t="str">
            <v/>
          </cell>
          <cell r="AH829" t="str">
            <v/>
          </cell>
          <cell r="AJ829">
            <v>2.2894000000000001</v>
          </cell>
          <cell r="AK829">
            <v>6.5000000000000002E-2</v>
          </cell>
          <cell r="AL829">
            <v>2.2894000000000001</v>
          </cell>
          <cell r="AM829">
            <v>6.5000000000000002E-2</v>
          </cell>
          <cell r="AN829">
            <v>2.2894000000000001</v>
          </cell>
          <cell r="AO829">
            <v>6.5000000000000002E-2</v>
          </cell>
          <cell r="AP829">
            <v>2.2894000000000001</v>
          </cell>
          <cell r="AQ829">
            <v>6.5000000000000002E-2</v>
          </cell>
          <cell r="AS829" t="str">
            <v/>
          </cell>
          <cell r="AT829" t="str">
            <v/>
          </cell>
          <cell r="AV829" t="b">
            <v>0</v>
          </cell>
          <cell r="AW829" t="str">
            <v>minute &amp; call</v>
          </cell>
        </row>
        <row r="830">
          <cell r="S830" t="str">
            <v>DOM NOR NOR3A</v>
          </cell>
          <cell r="T830" t="str">
            <v>DOM</v>
          </cell>
          <cell r="U830" t="str">
            <v>NOR</v>
          </cell>
          <cell r="V830" t="str">
            <v>NOR3A</v>
          </cell>
          <cell r="X830">
            <v>5.8200000000000002E-2</v>
          </cell>
          <cell r="Y830">
            <v>2.2031000000000001</v>
          </cell>
          <cell r="Z830">
            <v>5.8200000000000002E-2</v>
          </cell>
          <cell r="AA830">
            <v>2.2031000000000001</v>
          </cell>
          <cell r="AB830">
            <v>5.8200000000000002E-2</v>
          </cell>
          <cell r="AC830">
            <v>2.2031000000000001</v>
          </cell>
          <cell r="AD830">
            <v>5.8200000000000002E-2</v>
          </cell>
          <cell r="AE830">
            <v>2.2031000000000001</v>
          </cell>
          <cell r="AG830" t="str">
            <v/>
          </cell>
          <cell r="AH830" t="str">
            <v/>
          </cell>
          <cell r="AJ830">
            <v>5.8200000000000002E-2</v>
          </cell>
          <cell r="AK830">
            <v>2.2031000000000001</v>
          </cell>
          <cell r="AL830">
            <v>5.8200000000000002E-2</v>
          </cell>
          <cell r="AM830">
            <v>2.2031000000000001</v>
          </cell>
          <cell r="AN830">
            <v>5.8200000000000002E-2</v>
          </cell>
          <cell r="AO830">
            <v>2.2031000000000001</v>
          </cell>
          <cell r="AP830">
            <v>5.8200000000000002E-2</v>
          </cell>
          <cell r="AQ830">
            <v>2.2031000000000001</v>
          </cell>
          <cell r="AS830" t="str">
            <v/>
          </cell>
          <cell r="AT830" t="str">
            <v/>
          </cell>
          <cell r="AV830" t="b">
            <v>0</v>
          </cell>
          <cell r="AW830" t="str">
            <v>minute &amp; call</v>
          </cell>
        </row>
        <row r="831">
          <cell r="S831" t="str">
            <v>DOM NOR NOR3B</v>
          </cell>
          <cell r="T831" t="str">
            <v>DOM</v>
          </cell>
          <cell r="U831" t="str">
            <v>NOR</v>
          </cell>
          <cell r="V831" t="str">
            <v>NOR3B</v>
          </cell>
          <cell r="X831">
            <v>5.8200000000000002E-2</v>
          </cell>
          <cell r="Y831">
            <v>4.4062000000000001</v>
          </cell>
          <cell r="Z831">
            <v>5.8200000000000002E-2</v>
          </cell>
          <cell r="AA831">
            <v>4.4062000000000001</v>
          </cell>
          <cell r="AB831">
            <v>5.8200000000000002E-2</v>
          </cell>
          <cell r="AC831">
            <v>4.4062000000000001</v>
          </cell>
          <cell r="AD831">
            <v>5.8200000000000002E-2</v>
          </cell>
          <cell r="AE831">
            <v>4.4062000000000001</v>
          </cell>
          <cell r="AG831" t="str">
            <v/>
          </cell>
          <cell r="AH831" t="str">
            <v/>
          </cell>
          <cell r="AJ831">
            <v>5.8200000000000002E-2</v>
          </cell>
          <cell r="AK831">
            <v>4.4062000000000001</v>
          </cell>
          <cell r="AL831">
            <v>5.8200000000000002E-2</v>
          </cell>
          <cell r="AM831">
            <v>4.4062000000000001</v>
          </cell>
          <cell r="AN831">
            <v>5.8200000000000002E-2</v>
          </cell>
          <cell r="AO831">
            <v>4.4062000000000001</v>
          </cell>
          <cell r="AP831">
            <v>5.8200000000000002E-2</v>
          </cell>
          <cell r="AQ831">
            <v>4.4062000000000001</v>
          </cell>
          <cell r="AS831" t="str">
            <v/>
          </cell>
          <cell r="AT831" t="str">
            <v/>
          </cell>
          <cell r="AV831" t="b">
            <v>0</v>
          </cell>
          <cell r="AW831" t="str">
            <v>minute &amp; call</v>
          </cell>
        </row>
        <row r="832">
          <cell r="S832" t="str">
            <v>DOM NOR NOR3C</v>
          </cell>
          <cell r="T832" t="str">
            <v>DOM</v>
          </cell>
          <cell r="U832" t="str">
            <v>NOR</v>
          </cell>
          <cell r="V832" t="str">
            <v>NOR3C</v>
          </cell>
          <cell r="X832">
            <v>5.8200000000000002E-2</v>
          </cell>
          <cell r="Y832">
            <v>6.6093999999999999</v>
          </cell>
          <cell r="Z832">
            <v>5.8200000000000002E-2</v>
          </cell>
          <cell r="AA832">
            <v>6.6093999999999999</v>
          </cell>
          <cell r="AB832">
            <v>5.8200000000000002E-2</v>
          </cell>
          <cell r="AC832">
            <v>6.6093999999999999</v>
          </cell>
          <cell r="AD832">
            <v>5.8200000000000002E-2</v>
          </cell>
          <cell r="AE832">
            <v>6.6093999999999999</v>
          </cell>
          <cell r="AG832" t="str">
            <v/>
          </cell>
          <cell r="AH832" t="str">
            <v/>
          </cell>
          <cell r="AJ832">
            <v>5.8200000000000002E-2</v>
          </cell>
          <cell r="AK832">
            <v>6.6093999999999999</v>
          </cell>
          <cell r="AL832">
            <v>5.8200000000000002E-2</v>
          </cell>
          <cell r="AM832">
            <v>6.6093999999999999</v>
          </cell>
          <cell r="AN832">
            <v>5.8200000000000002E-2</v>
          </cell>
          <cell r="AO832">
            <v>6.6093999999999999</v>
          </cell>
          <cell r="AP832">
            <v>5.8200000000000002E-2</v>
          </cell>
          <cell r="AQ832">
            <v>6.6093999999999999</v>
          </cell>
          <cell r="AS832" t="str">
            <v/>
          </cell>
          <cell r="AT832" t="str">
            <v/>
          </cell>
          <cell r="AV832" t="b">
            <v>0</v>
          </cell>
          <cell r="AW832" t="str">
            <v>minute &amp; call</v>
          </cell>
        </row>
        <row r="833">
          <cell r="S833" t="str">
            <v>DOM NOR NOR3D</v>
          </cell>
          <cell r="T833" t="str">
            <v>DOM</v>
          </cell>
          <cell r="U833" t="str">
            <v>NOR</v>
          </cell>
          <cell r="V833" t="str">
            <v>NOR3D</v>
          </cell>
          <cell r="X833">
            <v>5.8200000000000002E-2</v>
          </cell>
          <cell r="Y833">
            <v>8.8125</v>
          </cell>
          <cell r="Z833">
            <v>5.8200000000000002E-2</v>
          </cell>
          <cell r="AA833">
            <v>8.8125</v>
          </cell>
          <cell r="AB833">
            <v>5.8200000000000002E-2</v>
          </cell>
          <cell r="AC833">
            <v>8.8125</v>
          </cell>
          <cell r="AD833">
            <v>5.8200000000000002E-2</v>
          </cell>
          <cell r="AE833">
            <v>8.8125</v>
          </cell>
          <cell r="AG833" t="str">
            <v/>
          </cell>
          <cell r="AH833" t="str">
            <v/>
          </cell>
          <cell r="AJ833">
            <v>5.8200000000000002E-2</v>
          </cell>
          <cell r="AK833">
            <v>8.8125</v>
          </cell>
          <cell r="AL833">
            <v>5.8200000000000002E-2</v>
          </cell>
          <cell r="AM833">
            <v>8.8125</v>
          </cell>
          <cell r="AN833">
            <v>5.8200000000000002E-2</v>
          </cell>
          <cell r="AO833">
            <v>8.8125</v>
          </cell>
          <cell r="AP833">
            <v>5.8200000000000002E-2</v>
          </cell>
          <cell r="AQ833">
            <v>8.8125</v>
          </cell>
          <cell r="AS833" t="str">
            <v/>
          </cell>
          <cell r="AT833" t="str">
            <v/>
          </cell>
          <cell r="AV833" t="b">
            <v>0</v>
          </cell>
          <cell r="AW833" t="str">
            <v>minute &amp; call</v>
          </cell>
        </row>
        <row r="834">
          <cell r="S834" t="str">
            <v>DOM NOR NOR3E</v>
          </cell>
          <cell r="T834" t="str">
            <v>DOM</v>
          </cell>
          <cell r="U834" t="str">
            <v>NOR</v>
          </cell>
          <cell r="V834" t="str">
            <v>NOR3E</v>
          </cell>
          <cell r="X834">
            <v>5.8200000000000002E-2</v>
          </cell>
          <cell r="Y834">
            <v>15.421900000000001</v>
          </cell>
          <cell r="Z834">
            <v>5.8200000000000002E-2</v>
          </cell>
          <cell r="AA834">
            <v>15.421900000000001</v>
          </cell>
          <cell r="AB834">
            <v>5.8200000000000002E-2</v>
          </cell>
          <cell r="AC834">
            <v>15.421900000000001</v>
          </cell>
          <cell r="AD834">
            <v>5.8200000000000002E-2</v>
          </cell>
          <cell r="AE834">
            <v>15.421900000000001</v>
          </cell>
          <cell r="AG834" t="str">
            <v/>
          </cell>
          <cell r="AH834" t="str">
            <v/>
          </cell>
          <cell r="AJ834">
            <v>5.8200000000000002E-2</v>
          </cell>
          <cell r="AK834">
            <v>15.421900000000001</v>
          </cell>
          <cell r="AL834">
            <v>5.8200000000000002E-2</v>
          </cell>
          <cell r="AM834">
            <v>15.421900000000001</v>
          </cell>
          <cell r="AN834">
            <v>5.8200000000000002E-2</v>
          </cell>
          <cell r="AO834">
            <v>15.421900000000001</v>
          </cell>
          <cell r="AP834">
            <v>5.8200000000000002E-2</v>
          </cell>
          <cell r="AQ834">
            <v>15.421900000000001</v>
          </cell>
          <cell r="AS834" t="str">
            <v/>
          </cell>
          <cell r="AT834" t="str">
            <v/>
          </cell>
          <cell r="AV834" t="b">
            <v>0</v>
          </cell>
          <cell r="AW834" t="str">
            <v>minute &amp; call</v>
          </cell>
        </row>
        <row r="835">
          <cell r="S835" t="str">
            <v>DOM NOR NOR3F</v>
          </cell>
          <cell r="T835" t="str">
            <v>DOM</v>
          </cell>
          <cell r="U835" t="str">
            <v>NOR</v>
          </cell>
          <cell r="V835" t="str">
            <v>NOR3F</v>
          </cell>
          <cell r="X835">
            <v>5.8200000000000002E-2</v>
          </cell>
          <cell r="Y835">
            <v>2.6438000000000001</v>
          </cell>
          <cell r="Z835">
            <v>5.8200000000000002E-2</v>
          </cell>
          <cell r="AA835">
            <v>2.6438000000000001</v>
          </cell>
          <cell r="AB835">
            <v>5.8200000000000002E-2</v>
          </cell>
          <cell r="AC835">
            <v>2.6438000000000001</v>
          </cell>
          <cell r="AD835">
            <v>5.8200000000000002E-2</v>
          </cell>
          <cell r="AE835">
            <v>2.6438000000000001</v>
          </cell>
          <cell r="AG835" t="str">
            <v/>
          </cell>
          <cell r="AH835" t="str">
            <v/>
          </cell>
          <cell r="AJ835">
            <v>5.8200000000000002E-2</v>
          </cell>
          <cell r="AK835">
            <v>2.6438000000000001</v>
          </cell>
          <cell r="AL835">
            <v>5.8200000000000002E-2</v>
          </cell>
          <cell r="AM835">
            <v>2.6438000000000001</v>
          </cell>
          <cell r="AN835">
            <v>5.8200000000000002E-2</v>
          </cell>
          <cell r="AO835">
            <v>2.6438000000000001</v>
          </cell>
          <cell r="AP835">
            <v>5.8200000000000002E-2</v>
          </cell>
          <cell r="AQ835">
            <v>2.6438000000000001</v>
          </cell>
          <cell r="AS835" t="str">
            <v/>
          </cell>
          <cell r="AT835" t="str">
            <v/>
          </cell>
          <cell r="AV835" t="b">
            <v>0</v>
          </cell>
          <cell r="AW835" t="str">
            <v>minute &amp; call</v>
          </cell>
        </row>
        <row r="836">
          <cell r="S836" t="str">
            <v>DOM NOR NOR3G</v>
          </cell>
          <cell r="T836" t="str">
            <v>DOM</v>
          </cell>
          <cell r="U836" t="str">
            <v>NOR</v>
          </cell>
          <cell r="V836" t="str">
            <v>NOR3G</v>
          </cell>
          <cell r="X836">
            <v>5.8200000000000002E-2</v>
          </cell>
          <cell r="Y836">
            <v>5.2873000000000001</v>
          </cell>
          <cell r="Z836">
            <v>5.8200000000000002E-2</v>
          </cell>
          <cell r="AA836">
            <v>5.2873000000000001</v>
          </cell>
          <cell r="AB836">
            <v>5.8200000000000002E-2</v>
          </cell>
          <cell r="AC836">
            <v>5.2873000000000001</v>
          </cell>
          <cell r="AD836">
            <v>5.8200000000000002E-2</v>
          </cell>
          <cell r="AE836">
            <v>5.2873000000000001</v>
          </cell>
          <cell r="AG836" t="str">
            <v/>
          </cell>
          <cell r="AH836" t="str">
            <v/>
          </cell>
          <cell r="AJ836">
            <v>5.8200000000000002E-2</v>
          </cell>
          <cell r="AK836">
            <v>5.2873000000000001</v>
          </cell>
          <cell r="AL836">
            <v>5.8200000000000002E-2</v>
          </cell>
          <cell r="AM836">
            <v>5.2873000000000001</v>
          </cell>
          <cell r="AN836">
            <v>5.8200000000000002E-2</v>
          </cell>
          <cell r="AO836">
            <v>5.2873000000000001</v>
          </cell>
          <cell r="AP836">
            <v>5.8200000000000002E-2</v>
          </cell>
          <cell r="AQ836">
            <v>5.2873000000000001</v>
          </cell>
          <cell r="AS836" t="str">
            <v/>
          </cell>
          <cell r="AT836" t="str">
            <v/>
          </cell>
          <cell r="AV836" t="b">
            <v>0</v>
          </cell>
          <cell r="AW836" t="str">
            <v>minute &amp; call</v>
          </cell>
        </row>
        <row r="837">
          <cell r="S837" t="str">
            <v>DOM NOR NOR3H</v>
          </cell>
          <cell r="T837" t="str">
            <v>DOM</v>
          </cell>
          <cell r="U837" t="str">
            <v>NOR</v>
          </cell>
          <cell r="V837" t="str">
            <v>NOR3H</v>
          </cell>
          <cell r="X837">
            <v>5.7299999999999997E-2</v>
          </cell>
          <cell r="Y837">
            <v>0.19919999999999999</v>
          </cell>
          <cell r="Z837">
            <v>5.7299999999999997E-2</v>
          </cell>
          <cell r="AA837">
            <v>0.19919999999999999</v>
          </cell>
          <cell r="AB837">
            <v>5.7299999999999997E-2</v>
          </cell>
          <cell r="AC837">
            <v>0.19919999999999999</v>
          </cell>
          <cell r="AD837">
            <v>5.7299999999999997E-2</v>
          </cell>
          <cell r="AE837">
            <v>0.19919999999999999</v>
          </cell>
          <cell r="AG837" t="str">
            <v/>
          </cell>
          <cell r="AH837" t="str">
            <v/>
          </cell>
          <cell r="AJ837">
            <v>5.7299999999999997E-2</v>
          </cell>
          <cell r="AK837">
            <v>0.19919999999999999</v>
          </cell>
          <cell r="AL837">
            <v>5.7299999999999997E-2</v>
          </cell>
          <cell r="AM837">
            <v>0.19919999999999999</v>
          </cell>
          <cell r="AN837">
            <v>5.7299999999999997E-2</v>
          </cell>
          <cell r="AO837">
            <v>0.19919999999999999</v>
          </cell>
          <cell r="AP837">
            <v>5.7299999999999997E-2</v>
          </cell>
          <cell r="AQ837">
            <v>0.19919999999999999</v>
          </cell>
          <cell r="AS837" t="str">
            <v/>
          </cell>
          <cell r="AT837" t="str">
            <v/>
          </cell>
          <cell r="AV837" t="b">
            <v>0</v>
          </cell>
          <cell r="AW837" t="str">
            <v>minute &amp; call</v>
          </cell>
        </row>
        <row r="838">
          <cell r="S838" t="str">
            <v>DOM NOR NOR3I</v>
          </cell>
          <cell r="T838" t="str">
            <v>DOM</v>
          </cell>
          <cell r="U838" t="str">
            <v>NOR</v>
          </cell>
          <cell r="V838" t="str">
            <v>NOR3I</v>
          </cell>
          <cell r="X838">
            <v>0</v>
          </cell>
          <cell r="Y838">
            <v>0.44059999999999999</v>
          </cell>
          <cell r="Z838">
            <v>0</v>
          </cell>
          <cell r="AA838">
            <v>0.44059999999999999</v>
          </cell>
          <cell r="AB838">
            <v>0</v>
          </cell>
          <cell r="AC838">
            <v>0.44059999999999999</v>
          </cell>
          <cell r="AD838">
            <v>0</v>
          </cell>
          <cell r="AE838">
            <v>0.44059999999999999</v>
          </cell>
          <cell r="AG838" t="str">
            <v/>
          </cell>
          <cell r="AH838" t="str">
            <v/>
          </cell>
          <cell r="AJ838">
            <v>0</v>
          </cell>
          <cell r="AK838">
            <v>0.44059999999999999</v>
          </cell>
          <cell r="AL838">
            <v>0</v>
          </cell>
          <cell r="AM838">
            <v>0.44059999999999999</v>
          </cell>
          <cell r="AN838">
            <v>0</v>
          </cell>
          <cell r="AO838">
            <v>0.44059999999999999</v>
          </cell>
          <cell r="AP838">
            <v>0</v>
          </cell>
          <cell r="AQ838">
            <v>0.44059999999999999</v>
          </cell>
          <cell r="AS838" t="str">
            <v/>
          </cell>
          <cell r="AT838" t="str">
            <v/>
          </cell>
          <cell r="AV838" t="b">
            <v>0</v>
          </cell>
          <cell r="AW838" t="str">
            <v>call</v>
          </cell>
        </row>
        <row r="839">
          <cell r="S839" t="str">
            <v>DOM NOR NORT1</v>
          </cell>
          <cell r="T839" t="str">
            <v>DOM</v>
          </cell>
          <cell r="U839" t="str">
            <v>NOR</v>
          </cell>
          <cell r="V839" t="str">
            <v>NORT1</v>
          </cell>
          <cell r="X839">
            <v>2.12E-2</v>
          </cell>
          <cell r="Y839">
            <v>6.5000000000000002E-2</v>
          </cell>
          <cell r="Z839">
            <v>2.12E-2</v>
          </cell>
          <cell r="AA839">
            <v>6.5000000000000002E-2</v>
          </cell>
          <cell r="AB839">
            <v>2.12E-2</v>
          </cell>
          <cell r="AC839">
            <v>6.5000000000000002E-2</v>
          </cell>
          <cell r="AD839">
            <v>2.12E-2</v>
          </cell>
          <cell r="AE839">
            <v>6.5000000000000002E-2</v>
          </cell>
          <cell r="AG839" t="str">
            <v/>
          </cell>
          <cell r="AH839" t="str">
            <v/>
          </cell>
          <cell r="AJ839">
            <v>2.12E-2</v>
          </cell>
          <cell r="AK839">
            <v>6.5000000000000002E-2</v>
          </cell>
          <cell r="AL839">
            <v>2.12E-2</v>
          </cell>
          <cell r="AM839">
            <v>6.5000000000000002E-2</v>
          </cell>
          <cell r="AN839">
            <v>2.12E-2</v>
          </cell>
          <cell r="AO839">
            <v>6.5000000000000002E-2</v>
          </cell>
          <cell r="AP839">
            <v>2.12E-2</v>
          </cell>
          <cell r="AQ839">
            <v>6.5000000000000002E-2</v>
          </cell>
          <cell r="AS839" t="str">
            <v/>
          </cell>
          <cell r="AT839" t="str">
            <v/>
          </cell>
          <cell r="AV839" t="b">
            <v>0</v>
          </cell>
          <cell r="AW839" t="str">
            <v>minute &amp; call</v>
          </cell>
        </row>
        <row r="840">
          <cell r="S840" t="str">
            <v>DOM NOR NORT3</v>
          </cell>
          <cell r="T840" t="str">
            <v>DOM</v>
          </cell>
          <cell r="U840" t="str">
            <v>NOR</v>
          </cell>
          <cell r="V840" t="str">
            <v>NORT3</v>
          </cell>
          <cell r="X840">
            <v>3.44E-2</v>
          </cell>
          <cell r="Y840">
            <v>6.5000000000000002E-2</v>
          </cell>
          <cell r="Z840">
            <v>3.44E-2</v>
          </cell>
          <cell r="AA840">
            <v>6.5000000000000002E-2</v>
          </cell>
          <cell r="AB840">
            <v>3.44E-2</v>
          </cell>
          <cell r="AC840">
            <v>6.5000000000000002E-2</v>
          </cell>
          <cell r="AD840">
            <v>3.44E-2</v>
          </cell>
          <cell r="AE840">
            <v>6.5000000000000002E-2</v>
          </cell>
          <cell r="AG840" t="str">
            <v/>
          </cell>
          <cell r="AH840" t="str">
            <v/>
          </cell>
          <cell r="AJ840">
            <v>3.44E-2</v>
          </cell>
          <cell r="AK840">
            <v>6.5000000000000002E-2</v>
          </cell>
          <cell r="AL840">
            <v>3.44E-2</v>
          </cell>
          <cell r="AM840">
            <v>6.5000000000000002E-2</v>
          </cell>
          <cell r="AN840">
            <v>3.44E-2</v>
          </cell>
          <cell r="AO840">
            <v>6.5000000000000002E-2</v>
          </cell>
          <cell r="AP840">
            <v>3.44E-2</v>
          </cell>
          <cell r="AQ840">
            <v>6.5000000000000002E-2</v>
          </cell>
          <cell r="AS840" t="str">
            <v/>
          </cell>
          <cell r="AT840" t="str">
            <v/>
          </cell>
          <cell r="AV840" t="b">
            <v>0</v>
          </cell>
          <cell r="AW840" t="str">
            <v>minute &amp; call</v>
          </cell>
        </row>
        <row r="841">
          <cell r="S841" t="str">
            <v>DOM NOR NORT2</v>
          </cell>
          <cell r="T841" t="str">
            <v>DOM</v>
          </cell>
          <cell r="U841" t="str">
            <v>NOR</v>
          </cell>
          <cell r="V841" t="str">
            <v>NORT2</v>
          </cell>
          <cell r="X841">
            <v>5.1999999999999998E-2</v>
          </cell>
          <cell r="Y841">
            <v>6.5000000000000002E-2</v>
          </cell>
          <cell r="Z841">
            <v>5.1999999999999998E-2</v>
          </cell>
          <cell r="AA841">
            <v>6.5000000000000002E-2</v>
          </cell>
          <cell r="AB841">
            <v>5.1999999999999998E-2</v>
          </cell>
          <cell r="AC841">
            <v>6.5000000000000002E-2</v>
          </cell>
          <cell r="AD841">
            <v>5.1999999999999998E-2</v>
          </cell>
          <cell r="AE841">
            <v>6.5000000000000002E-2</v>
          </cell>
          <cell r="AG841" t="str">
            <v/>
          </cell>
          <cell r="AH841" t="str">
            <v/>
          </cell>
          <cell r="AJ841">
            <v>5.1999999999999998E-2</v>
          </cell>
          <cell r="AK841">
            <v>6.5000000000000002E-2</v>
          </cell>
          <cell r="AL841">
            <v>5.1999999999999998E-2</v>
          </cell>
          <cell r="AM841">
            <v>6.5000000000000002E-2</v>
          </cell>
          <cell r="AN841">
            <v>5.1999999999999998E-2</v>
          </cell>
          <cell r="AO841">
            <v>6.5000000000000002E-2</v>
          </cell>
          <cell r="AP841">
            <v>5.1999999999999998E-2</v>
          </cell>
          <cell r="AQ841">
            <v>6.5000000000000002E-2</v>
          </cell>
          <cell r="AS841" t="str">
            <v/>
          </cell>
          <cell r="AT841" t="str">
            <v/>
          </cell>
          <cell r="AV841" t="b">
            <v>0</v>
          </cell>
          <cell r="AW841" t="str">
            <v>minute &amp; call</v>
          </cell>
        </row>
        <row r="842">
          <cell r="S842" t="str">
            <v>DOM NOR NORTF</v>
          </cell>
          <cell r="T842" t="str">
            <v>DOM</v>
          </cell>
          <cell r="U842" t="str">
            <v>NOR</v>
          </cell>
          <cell r="V842" t="str">
            <v>NORTF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G842" t="str">
            <v/>
          </cell>
          <cell r="AH842" t="str">
            <v/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S842" t="str">
            <v/>
          </cell>
          <cell r="AT842" t="str">
            <v/>
          </cell>
          <cell r="AV842" t="b">
            <v>0</v>
          </cell>
          <cell r="AW842" t="str">
            <v>minute</v>
          </cell>
        </row>
        <row r="843">
          <cell r="S843" t="str">
            <v>DOM POL MOBPL</v>
          </cell>
          <cell r="T843" t="str">
            <v>DOM</v>
          </cell>
          <cell r="U843" t="str">
            <v>POL</v>
          </cell>
          <cell r="V843" t="str">
            <v>MOBPL</v>
          </cell>
          <cell r="X843">
            <v>3.09E-2</v>
          </cell>
          <cell r="Y843">
            <v>0</v>
          </cell>
          <cell r="Z843">
            <v>2.7799999999999998E-2</v>
          </cell>
          <cell r="AA843">
            <v>0</v>
          </cell>
          <cell r="AB843">
            <v>2.63E-2</v>
          </cell>
          <cell r="AC843">
            <v>0</v>
          </cell>
          <cell r="AD843">
            <v>2.47E-2</v>
          </cell>
          <cell r="AE843">
            <v>0</v>
          </cell>
          <cell r="AG843" t="str">
            <v/>
          </cell>
          <cell r="AH843" t="str">
            <v/>
          </cell>
          <cell r="AJ843">
            <v>3.09E-2</v>
          </cell>
          <cell r="AK843">
            <v>0</v>
          </cell>
          <cell r="AL843">
            <v>2.7799999999999998E-2</v>
          </cell>
          <cell r="AM843">
            <v>0</v>
          </cell>
          <cell r="AN843">
            <v>2.63E-2</v>
          </cell>
          <cell r="AO843">
            <v>0</v>
          </cell>
          <cell r="AP843">
            <v>2.47E-2</v>
          </cell>
          <cell r="AQ843">
            <v>0</v>
          </cell>
          <cell r="AS843" t="str">
            <v/>
          </cell>
          <cell r="AT843" t="str">
            <v/>
          </cell>
          <cell r="AV843" t="b">
            <v>1</v>
          </cell>
          <cell r="AW843" t="str">
            <v>minute</v>
          </cell>
        </row>
        <row r="844">
          <cell r="S844" t="str">
            <v>DOM POL PLMOR</v>
          </cell>
          <cell r="T844" t="str">
            <v>DOM</v>
          </cell>
          <cell r="U844" t="str">
            <v>POL</v>
          </cell>
          <cell r="V844" t="str">
            <v>PLMOR</v>
          </cell>
          <cell r="X844">
            <v>3.09E-2</v>
          </cell>
          <cell r="Y844">
            <v>0</v>
          </cell>
          <cell r="Z844">
            <v>2.7799999999999998E-2</v>
          </cell>
          <cell r="AA844">
            <v>0</v>
          </cell>
          <cell r="AB844">
            <v>2.41E-2</v>
          </cell>
          <cell r="AC844">
            <v>0</v>
          </cell>
          <cell r="AD844">
            <v>2.47E-2</v>
          </cell>
          <cell r="AE844">
            <v>0</v>
          </cell>
          <cell r="AG844" t="str">
            <v/>
          </cell>
          <cell r="AH844" t="str">
            <v/>
          </cell>
          <cell r="AJ844">
            <v>3.09E-2</v>
          </cell>
          <cell r="AK844">
            <v>0</v>
          </cell>
          <cell r="AL844">
            <v>2.7799999999999998E-2</v>
          </cell>
          <cell r="AM844">
            <v>0</v>
          </cell>
          <cell r="AN844">
            <v>2.41E-2</v>
          </cell>
          <cell r="AO844">
            <v>0</v>
          </cell>
          <cell r="AP844">
            <v>2.47E-2</v>
          </cell>
          <cell r="AQ844">
            <v>0</v>
          </cell>
          <cell r="AS844" t="str">
            <v/>
          </cell>
          <cell r="AT844" t="str">
            <v/>
          </cell>
          <cell r="AV844" t="b">
            <v>1</v>
          </cell>
          <cell r="AW844" t="str">
            <v>minute</v>
          </cell>
        </row>
        <row r="845">
          <cell r="S845" t="str">
            <v>DOM POL POL</v>
          </cell>
          <cell r="T845" t="str">
            <v>DOM</v>
          </cell>
          <cell r="U845" t="str">
            <v>POL</v>
          </cell>
          <cell r="V845" t="str">
            <v>POL</v>
          </cell>
          <cell r="X845">
            <v>2.3800000000000002E-2</v>
          </cell>
          <cell r="Y845">
            <v>0</v>
          </cell>
          <cell r="Z845">
            <v>2.1399999999999999E-2</v>
          </cell>
          <cell r="AA845">
            <v>0</v>
          </cell>
          <cell r="AB845">
            <v>2.0199999999999999E-2</v>
          </cell>
          <cell r="AC845">
            <v>0</v>
          </cell>
          <cell r="AD845">
            <v>1.9E-2</v>
          </cell>
          <cell r="AE845">
            <v>0</v>
          </cell>
          <cell r="AG845" t="str">
            <v/>
          </cell>
          <cell r="AH845" t="str">
            <v/>
          </cell>
          <cell r="AJ845">
            <v>2.3800000000000002E-2</v>
          </cell>
          <cell r="AK845">
            <v>0</v>
          </cell>
          <cell r="AL845">
            <v>2.1399999999999999E-2</v>
          </cell>
          <cell r="AM845">
            <v>0</v>
          </cell>
          <cell r="AN845">
            <v>2.0199999999999999E-2</v>
          </cell>
          <cell r="AO845">
            <v>0</v>
          </cell>
          <cell r="AP845">
            <v>1.9E-2</v>
          </cell>
          <cell r="AQ845">
            <v>0</v>
          </cell>
          <cell r="AS845" t="str">
            <v/>
          </cell>
          <cell r="AT845" t="str">
            <v/>
          </cell>
          <cell r="AV845" t="b">
            <v>1</v>
          </cell>
          <cell r="AW845" t="str">
            <v>minute</v>
          </cell>
        </row>
        <row r="846">
          <cell r="S846" t="str">
            <v>DOM PRT PTDSM</v>
          </cell>
          <cell r="T846" t="str">
            <v>DOM</v>
          </cell>
          <cell r="U846" t="str">
            <v>PRT</v>
          </cell>
          <cell r="V846" t="str">
            <v>PTDSM</v>
          </cell>
          <cell r="X846">
            <v>0.5</v>
          </cell>
          <cell r="Y846">
            <v>0.5</v>
          </cell>
          <cell r="Z846">
            <v>0.5</v>
          </cell>
          <cell r="AA846">
            <v>0.5</v>
          </cell>
          <cell r="AB846">
            <v>0.5</v>
          </cell>
          <cell r="AC846">
            <v>0.5</v>
          </cell>
          <cell r="AD846">
            <v>0.5</v>
          </cell>
          <cell r="AE846">
            <v>0.5</v>
          </cell>
          <cell r="AG846" t="str">
            <v/>
          </cell>
          <cell r="AH846" t="str">
            <v/>
          </cell>
          <cell r="AJ846">
            <v>0.5</v>
          </cell>
          <cell r="AK846">
            <v>0.5</v>
          </cell>
          <cell r="AL846">
            <v>0.5</v>
          </cell>
          <cell r="AM846">
            <v>0.5</v>
          </cell>
          <cell r="AN846">
            <v>0.5</v>
          </cell>
          <cell r="AO846">
            <v>0.5</v>
          </cell>
          <cell r="AP846">
            <v>0.5</v>
          </cell>
          <cell r="AQ846">
            <v>0.5</v>
          </cell>
          <cell r="AS846" t="str">
            <v/>
          </cell>
          <cell r="AT846" t="str">
            <v/>
          </cell>
          <cell r="AV846" t="b">
            <v>0</v>
          </cell>
          <cell r="AW846" t="str">
            <v>minute &amp; call</v>
          </cell>
        </row>
        <row r="847">
          <cell r="S847" t="str">
            <v>DOM PRT PTFSM</v>
          </cell>
          <cell r="T847" t="str">
            <v>DOM</v>
          </cell>
          <cell r="U847" t="str">
            <v>PRT</v>
          </cell>
          <cell r="V847" t="str">
            <v>PTFSM</v>
          </cell>
          <cell r="X847">
            <v>0.5</v>
          </cell>
          <cell r="Y847">
            <v>0.5</v>
          </cell>
          <cell r="Z847">
            <v>0.5</v>
          </cell>
          <cell r="AA847">
            <v>0.5</v>
          </cell>
          <cell r="AB847">
            <v>0.5</v>
          </cell>
          <cell r="AC847">
            <v>0.5</v>
          </cell>
          <cell r="AD847">
            <v>0.5</v>
          </cell>
          <cell r="AE847">
            <v>0.5</v>
          </cell>
          <cell r="AG847" t="str">
            <v/>
          </cell>
          <cell r="AH847" t="str">
            <v/>
          </cell>
          <cell r="AJ847">
            <v>0.5</v>
          </cell>
          <cell r="AK847">
            <v>0.5</v>
          </cell>
          <cell r="AL847">
            <v>0.5</v>
          </cell>
          <cell r="AM847">
            <v>0.5</v>
          </cell>
          <cell r="AN847">
            <v>0.5</v>
          </cell>
          <cell r="AO847">
            <v>0.5</v>
          </cell>
          <cell r="AP847">
            <v>0.5</v>
          </cell>
          <cell r="AQ847">
            <v>0.5</v>
          </cell>
          <cell r="AS847" t="str">
            <v/>
          </cell>
          <cell r="AT847" t="str">
            <v/>
          </cell>
          <cell r="AV847" t="b">
            <v>0</v>
          </cell>
          <cell r="AW847" t="str">
            <v>minute &amp; call</v>
          </cell>
        </row>
        <row r="848">
          <cell r="S848" t="str">
            <v>DOM PRT ZPOR5</v>
          </cell>
          <cell r="T848" t="str">
            <v>DOM</v>
          </cell>
          <cell r="U848" t="str">
            <v>PRT</v>
          </cell>
          <cell r="V848" t="str">
            <v>ZPOR5</v>
          </cell>
          <cell r="X848">
            <v>3.9600000000000003E-2</v>
          </cell>
          <cell r="Y848">
            <v>0</v>
          </cell>
          <cell r="Z848">
            <v>3.5700000000000003E-2</v>
          </cell>
          <cell r="AA848">
            <v>0</v>
          </cell>
          <cell r="AB848">
            <v>3.3700000000000001E-2</v>
          </cell>
          <cell r="AC848">
            <v>0</v>
          </cell>
          <cell r="AD848">
            <v>3.1699999999999999E-2</v>
          </cell>
          <cell r="AE848">
            <v>0</v>
          </cell>
          <cell r="AG848" t="str">
            <v/>
          </cell>
          <cell r="AH848" t="str">
            <v/>
          </cell>
          <cell r="AJ848">
            <v>3.9600000000000003E-2</v>
          </cell>
          <cell r="AK848">
            <v>0</v>
          </cell>
          <cell r="AL848">
            <v>3.5700000000000003E-2</v>
          </cell>
          <cell r="AM848">
            <v>0</v>
          </cell>
          <cell r="AN848">
            <v>3.3700000000000001E-2</v>
          </cell>
          <cell r="AO848">
            <v>0</v>
          </cell>
          <cell r="AP848">
            <v>3.1699999999999999E-2</v>
          </cell>
          <cell r="AQ848">
            <v>0</v>
          </cell>
          <cell r="AS848" t="str">
            <v/>
          </cell>
          <cell r="AT848" t="str">
            <v/>
          </cell>
          <cell r="AV848" t="b">
            <v>1</v>
          </cell>
          <cell r="AW848" t="str">
            <v>minute</v>
          </cell>
        </row>
        <row r="849">
          <cell r="S849" t="str">
            <v>DOM PRT ZPOR1</v>
          </cell>
          <cell r="T849" t="str">
            <v>DOM</v>
          </cell>
          <cell r="U849" t="str">
            <v>PRT</v>
          </cell>
          <cell r="V849" t="str">
            <v>ZPOR1</v>
          </cell>
          <cell r="X849">
            <v>1.2800000000000001E-2</v>
          </cell>
          <cell r="Y849">
            <v>0</v>
          </cell>
          <cell r="Z849">
            <v>1.23E-2</v>
          </cell>
          <cell r="AA849">
            <v>0</v>
          </cell>
          <cell r="AB849">
            <v>1.18E-2</v>
          </cell>
          <cell r="AC849">
            <v>0</v>
          </cell>
          <cell r="AD849">
            <v>1.1299999999999999E-2</v>
          </cell>
          <cell r="AE849">
            <v>0</v>
          </cell>
          <cell r="AG849" t="str">
            <v/>
          </cell>
          <cell r="AH849" t="str">
            <v/>
          </cell>
          <cell r="AJ849">
            <v>1.2800000000000001E-2</v>
          </cell>
          <cell r="AK849">
            <v>0</v>
          </cell>
          <cell r="AL849">
            <v>1.23E-2</v>
          </cell>
          <cell r="AM849">
            <v>0</v>
          </cell>
          <cell r="AN849">
            <v>1.18E-2</v>
          </cell>
          <cell r="AO849">
            <v>0</v>
          </cell>
          <cell r="AP849">
            <v>1.1299999999999999E-2</v>
          </cell>
          <cell r="AQ849">
            <v>0</v>
          </cell>
          <cell r="AS849" t="str">
            <v/>
          </cell>
          <cell r="AT849" t="str">
            <v/>
          </cell>
          <cell r="AV849" t="b">
            <v>1</v>
          </cell>
          <cell r="AW849" t="str">
            <v>minute</v>
          </cell>
        </row>
        <row r="850">
          <cell r="S850" t="str">
            <v>DOM PRT PTBN</v>
          </cell>
          <cell r="T850" t="str">
            <v>DOM</v>
          </cell>
          <cell r="U850" t="str">
            <v>PRT</v>
          </cell>
          <cell r="V850" t="str">
            <v>PTBN</v>
          </cell>
          <cell r="X850">
            <v>2.58E-2</v>
          </cell>
          <cell r="Y850">
            <v>7.0000000000000007E-2</v>
          </cell>
          <cell r="Z850">
            <v>2.58E-2</v>
          </cell>
          <cell r="AA850">
            <v>7.0000000000000007E-2</v>
          </cell>
          <cell r="AB850">
            <v>2.58E-2</v>
          </cell>
          <cell r="AC850">
            <v>7.0000000000000007E-2</v>
          </cell>
          <cell r="AD850">
            <v>2.58E-2</v>
          </cell>
          <cell r="AE850">
            <v>7.0000000000000007E-2</v>
          </cell>
          <cell r="AG850" t="str">
            <v/>
          </cell>
          <cell r="AH850" t="str">
            <v/>
          </cell>
          <cell r="AJ850">
            <v>2.58E-2</v>
          </cell>
          <cell r="AK850">
            <v>7.0000000000000007E-2</v>
          </cell>
          <cell r="AL850">
            <v>2.58E-2</v>
          </cell>
          <cell r="AM850">
            <v>7.0000000000000007E-2</v>
          </cell>
          <cell r="AN850">
            <v>2.58E-2</v>
          </cell>
          <cell r="AO850">
            <v>7.0000000000000007E-2</v>
          </cell>
          <cell r="AP850">
            <v>2.58E-2</v>
          </cell>
          <cell r="AQ850">
            <v>7.0000000000000007E-2</v>
          </cell>
          <cell r="AS850" t="str">
            <v/>
          </cell>
          <cell r="AT850" t="str">
            <v/>
          </cell>
          <cell r="AV850" t="b">
            <v>0</v>
          </cell>
          <cell r="AW850" t="str">
            <v>minute &amp; call</v>
          </cell>
        </row>
        <row r="851">
          <cell r="S851" t="str">
            <v>DOM PRT PTCUS</v>
          </cell>
          <cell r="T851" t="str">
            <v>DOM</v>
          </cell>
          <cell r="U851" t="str">
            <v>PRT</v>
          </cell>
          <cell r="V851" t="str">
            <v>PTCUS</v>
          </cell>
          <cell r="X851">
            <v>1.2699999999999999E-2</v>
          </cell>
          <cell r="Y851">
            <v>0</v>
          </cell>
          <cell r="Z851">
            <v>1.2699999999999999E-2</v>
          </cell>
          <cell r="AA851">
            <v>0</v>
          </cell>
          <cell r="AB851">
            <v>1.2699999999999999E-2</v>
          </cell>
          <cell r="AC851">
            <v>0</v>
          </cell>
          <cell r="AD851">
            <v>1.2699999999999999E-2</v>
          </cell>
          <cell r="AE851">
            <v>0</v>
          </cell>
          <cell r="AG851" t="str">
            <v/>
          </cell>
          <cell r="AH851" t="str">
            <v/>
          </cell>
          <cell r="AJ851">
            <v>1.2699999999999999E-2</v>
          </cell>
          <cell r="AK851">
            <v>0</v>
          </cell>
          <cell r="AL851">
            <v>1.2699999999999999E-2</v>
          </cell>
          <cell r="AM851">
            <v>0</v>
          </cell>
          <cell r="AN851">
            <v>1.2699999999999999E-2</v>
          </cell>
          <cell r="AO851">
            <v>0</v>
          </cell>
          <cell r="AP851">
            <v>1.2699999999999999E-2</v>
          </cell>
          <cell r="AQ851">
            <v>0</v>
          </cell>
          <cell r="AS851" t="str">
            <v/>
          </cell>
          <cell r="AT851" t="str">
            <v/>
          </cell>
          <cell r="AV851" t="b">
            <v>0</v>
          </cell>
          <cell r="AW851" t="str">
            <v>minute</v>
          </cell>
        </row>
        <row r="852">
          <cell r="S852" t="str">
            <v>DOM PRT PTCSP</v>
          </cell>
          <cell r="T852" t="str">
            <v>DOM</v>
          </cell>
          <cell r="U852" t="str">
            <v>PRT</v>
          </cell>
          <cell r="V852" t="str">
            <v>PTCSP</v>
          </cell>
          <cell r="X852">
            <v>0.38</v>
          </cell>
          <cell r="Y852">
            <v>0</v>
          </cell>
          <cell r="Z852">
            <v>0.38</v>
          </cell>
          <cell r="AA852">
            <v>0</v>
          </cell>
          <cell r="AB852">
            <v>0.38</v>
          </cell>
          <cell r="AC852">
            <v>0</v>
          </cell>
          <cell r="AD852">
            <v>0.38</v>
          </cell>
          <cell r="AE852">
            <v>0</v>
          </cell>
          <cell r="AG852" t="str">
            <v/>
          </cell>
          <cell r="AH852" t="str">
            <v/>
          </cell>
          <cell r="AJ852">
            <v>0.38</v>
          </cell>
          <cell r="AK852">
            <v>0</v>
          </cell>
          <cell r="AL852">
            <v>0.38</v>
          </cell>
          <cell r="AM852">
            <v>0</v>
          </cell>
          <cell r="AN852">
            <v>0.38</v>
          </cell>
          <cell r="AO852">
            <v>0</v>
          </cell>
          <cell r="AP852">
            <v>0.38</v>
          </cell>
          <cell r="AQ852">
            <v>0</v>
          </cell>
          <cell r="AS852" t="str">
            <v/>
          </cell>
          <cell r="AT852" t="str">
            <v/>
          </cell>
          <cell r="AV852" t="b">
            <v>0</v>
          </cell>
          <cell r="AW852" t="str">
            <v>minute</v>
          </cell>
        </row>
        <row r="853">
          <cell r="S853" t="str">
            <v>DOM PRT PTDE</v>
          </cell>
          <cell r="T853" t="str">
            <v>DOM</v>
          </cell>
          <cell r="U853" t="str">
            <v>PRT</v>
          </cell>
          <cell r="V853" t="str">
            <v>PTDE</v>
          </cell>
          <cell r="X853">
            <v>0</v>
          </cell>
          <cell r="Y853">
            <v>0.56100000000000005</v>
          </cell>
          <cell r="Z853">
            <v>0</v>
          </cell>
          <cell r="AA853">
            <v>0.56100000000000005</v>
          </cell>
          <cell r="AB853">
            <v>0</v>
          </cell>
          <cell r="AC853">
            <v>0.56100000000000005</v>
          </cell>
          <cell r="AD853">
            <v>0</v>
          </cell>
          <cell r="AE853">
            <v>0.56100000000000005</v>
          </cell>
          <cell r="AG853" t="str">
            <v/>
          </cell>
          <cell r="AH853" t="str">
            <v/>
          </cell>
          <cell r="AJ853">
            <v>0</v>
          </cell>
          <cell r="AK853">
            <v>0.56100000000000005</v>
          </cell>
          <cell r="AL853">
            <v>0</v>
          </cell>
          <cell r="AM853">
            <v>0.56100000000000005</v>
          </cell>
          <cell r="AN853">
            <v>0</v>
          </cell>
          <cell r="AO853">
            <v>0.56100000000000005</v>
          </cell>
          <cell r="AP853">
            <v>0</v>
          </cell>
          <cell r="AQ853">
            <v>0.56100000000000005</v>
          </cell>
          <cell r="AS853" t="str">
            <v/>
          </cell>
          <cell r="AT853" t="str">
            <v/>
          </cell>
          <cell r="AV853" t="b">
            <v>0</v>
          </cell>
          <cell r="AW853" t="str">
            <v>call</v>
          </cell>
        </row>
        <row r="854">
          <cell r="S854" t="str">
            <v>DOM PRT PTSOS</v>
          </cell>
          <cell r="T854" t="str">
            <v>DOM</v>
          </cell>
          <cell r="U854" t="str">
            <v>PRT</v>
          </cell>
          <cell r="V854" t="str">
            <v>PTSOS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 t="str">
            <v/>
          </cell>
          <cell r="AH854" t="str">
            <v/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S854" t="str">
            <v/>
          </cell>
          <cell r="AT854" t="str">
            <v/>
          </cell>
          <cell r="AV854" t="b">
            <v>0</v>
          </cell>
          <cell r="AW854" t="str">
            <v>minute</v>
          </cell>
        </row>
        <row r="855">
          <cell r="S855" t="str">
            <v>DOM PRT PTFIC</v>
          </cell>
          <cell r="T855" t="str">
            <v>DOM</v>
          </cell>
          <cell r="U855" t="str">
            <v>PRT</v>
          </cell>
          <cell r="V855" t="str">
            <v>PTFIC</v>
          </cell>
          <cell r="X855">
            <v>4.99E-2</v>
          </cell>
          <cell r="Y855">
            <v>4.99E-2</v>
          </cell>
          <cell r="Z855">
            <v>4.99E-2</v>
          </cell>
          <cell r="AA855">
            <v>4.99E-2</v>
          </cell>
          <cell r="AB855">
            <v>4.99E-2</v>
          </cell>
          <cell r="AC855">
            <v>4.99E-2</v>
          </cell>
          <cell r="AD855">
            <v>4.99E-2</v>
          </cell>
          <cell r="AE855">
            <v>4.99E-2</v>
          </cell>
          <cell r="AG855" t="str">
            <v/>
          </cell>
          <cell r="AH855" t="str">
            <v/>
          </cell>
          <cell r="AJ855">
            <v>4.99E-2</v>
          </cell>
          <cell r="AK855">
            <v>4.99E-2</v>
          </cell>
          <cell r="AL855">
            <v>4.99E-2</v>
          </cell>
          <cell r="AM855">
            <v>4.99E-2</v>
          </cell>
          <cell r="AN855">
            <v>4.99E-2</v>
          </cell>
          <cell r="AO855">
            <v>4.99E-2</v>
          </cell>
          <cell r="AP855">
            <v>4.99E-2</v>
          </cell>
          <cell r="AQ855">
            <v>4.99E-2</v>
          </cell>
          <cell r="AS855" t="str">
            <v/>
          </cell>
          <cell r="AT855" t="str">
            <v/>
          </cell>
          <cell r="AV855" t="b">
            <v>0</v>
          </cell>
          <cell r="AW855" t="str">
            <v>minute &amp; call</v>
          </cell>
        </row>
        <row r="856">
          <cell r="S856" t="str">
            <v>DOM PRT PTGAS</v>
          </cell>
          <cell r="T856" t="str">
            <v>DOM</v>
          </cell>
          <cell r="U856" t="str">
            <v>PRT</v>
          </cell>
          <cell r="V856" t="str">
            <v>PTGAS</v>
          </cell>
          <cell r="X856">
            <v>4.99E-2</v>
          </cell>
          <cell r="Y856">
            <v>0</v>
          </cell>
          <cell r="Z856">
            <v>4.99E-2</v>
          </cell>
          <cell r="AA856">
            <v>0</v>
          </cell>
          <cell r="AB856">
            <v>4.99E-2</v>
          </cell>
          <cell r="AC856">
            <v>0</v>
          </cell>
          <cell r="AD856">
            <v>4.99E-2</v>
          </cell>
          <cell r="AE856">
            <v>0</v>
          </cell>
          <cell r="AG856" t="str">
            <v/>
          </cell>
          <cell r="AH856" t="str">
            <v/>
          </cell>
          <cell r="AJ856">
            <v>4.99E-2</v>
          </cell>
          <cell r="AK856">
            <v>0</v>
          </cell>
          <cell r="AL856">
            <v>4.99E-2</v>
          </cell>
          <cell r="AM856">
            <v>0</v>
          </cell>
          <cell r="AN856">
            <v>4.99E-2</v>
          </cell>
          <cell r="AO856">
            <v>0</v>
          </cell>
          <cell r="AP856">
            <v>4.99E-2</v>
          </cell>
          <cell r="AQ856">
            <v>0</v>
          </cell>
          <cell r="AS856" t="str">
            <v/>
          </cell>
          <cell r="AT856" t="str">
            <v/>
          </cell>
          <cell r="AV856" t="b">
            <v>0</v>
          </cell>
          <cell r="AW856" t="str">
            <v>minute</v>
          </cell>
        </row>
        <row r="857">
          <cell r="S857" t="str">
            <v>DOM PRT PTMC</v>
          </cell>
          <cell r="T857" t="str">
            <v>DOM</v>
          </cell>
          <cell r="U857" t="str">
            <v>PRT</v>
          </cell>
          <cell r="V857" t="str">
            <v>PTMC</v>
          </cell>
          <cell r="X857">
            <v>0.5</v>
          </cell>
          <cell r="Y857">
            <v>0.5</v>
          </cell>
          <cell r="Z857">
            <v>0.5</v>
          </cell>
          <cell r="AA857">
            <v>0.5</v>
          </cell>
          <cell r="AB857">
            <v>0.5</v>
          </cell>
          <cell r="AC857">
            <v>0.5</v>
          </cell>
          <cell r="AD857">
            <v>0.5</v>
          </cell>
          <cell r="AE857">
            <v>0.5</v>
          </cell>
          <cell r="AG857" t="str">
            <v/>
          </cell>
          <cell r="AH857" t="str">
            <v/>
          </cell>
          <cell r="AJ857">
            <v>0.5</v>
          </cell>
          <cell r="AK857">
            <v>0.5</v>
          </cell>
          <cell r="AL857">
            <v>0.5</v>
          </cell>
          <cell r="AM857">
            <v>0.5</v>
          </cell>
          <cell r="AN857">
            <v>0.5</v>
          </cell>
          <cell r="AO857">
            <v>0.5</v>
          </cell>
          <cell r="AP857">
            <v>0.5</v>
          </cell>
          <cell r="AQ857">
            <v>0.5</v>
          </cell>
          <cell r="AS857" t="str">
            <v/>
          </cell>
          <cell r="AT857" t="str">
            <v/>
          </cell>
          <cell r="AV857" t="b">
            <v>0</v>
          </cell>
          <cell r="AW857" t="str">
            <v>minute &amp; call</v>
          </cell>
        </row>
        <row r="858">
          <cell r="S858" t="str">
            <v>DOM PRT PTPN</v>
          </cell>
          <cell r="T858" t="str">
            <v>DOM</v>
          </cell>
          <cell r="U858" t="str">
            <v>PRT</v>
          </cell>
          <cell r="V858" t="str">
            <v>PTPN</v>
          </cell>
          <cell r="X858">
            <v>3.5400000000000001E-2</v>
          </cell>
          <cell r="Y858">
            <v>0</v>
          </cell>
          <cell r="Z858">
            <v>3.5400000000000001E-2</v>
          </cell>
          <cell r="AA858">
            <v>0</v>
          </cell>
          <cell r="AB858">
            <v>3.5400000000000001E-2</v>
          </cell>
          <cell r="AC858">
            <v>0</v>
          </cell>
          <cell r="AD858">
            <v>3.5400000000000001E-2</v>
          </cell>
          <cell r="AE858">
            <v>0</v>
          </cell>
          <cell r="AG858" t="str">
            <v/>
          </cell>
          <cell r="AH858" t="str">
            <v/>
          </cell>
          <cell r="AJ858">
            <v>3.5400000000000001E-2</v>
          </cell>
          <cell r="AK858">
            <v>0</v>
          </cell>
          <cell r="AL858">
            <v>3.5400000000000001E-2</v>
          </cell>
          <cell r="AM858">
            <v>0</v>
          </cell>
          <cell r="AN858">
            <v>3.5400000000000001E-2</v>
          </cell>
          <cell r="AO858">
            <v>0</v>
          </cell>
          <cell r="AP858">
            <v>3.5400000000000001E-2</v>
          </cell>
          <cell r="AQ858">
            <v>0</v>
          </cell>
          <cell r="AS858" t="str">
            <v/>
          </cell>
          <cell r="AT858" t="str">
            <v/>
          </cell>
          <cell r="AV858" t="b">
            <v>0</v>
          </cell>
          <cell r="AW858" t="str">
            <v>minute</v>
          </cell>
        </row>
        <row r="859">
          <cell r="S859" t="str">
            <v>DOM PRT PTSC0</v>
          </cell>
          <cell r="T859" t="str">
            <v>DOM</v>
          </cell>
          <cell r="U859" t="str">
            <v>PRT</v>
          </cell>
          <cell r="V859" t="str">
            <v>PTSC0</v>
          </cell>
          <cell r="X859">
            <v>0</v>
          </cell>
          <cell r="Y859">
            <v>0.6</v>
          </cell>
          <cell r="Z859">
            <v>0</v>
          </cell>
          <cell r="AA859">
            <v>0.6</v>
          </cell>
          <cell r="AB859">
            <v>0</v>
          </cell>
          <cell r="AC859">
            <v>0.6</v>
          </cell>
          <cell r="AD859">
            <v>0</v>
          </cell>
          <cell r="AE859">
            <v>0.6</v>
          </cell>
          <cell r="AG859" t="str">
            <v/>
          </cell>
          <cell r="AH859" t="str">
            <v/>
          </cell>
          <cell r="AJ859">
            <v>0</v>
          </cell>
          <cell r="AK859">
            <v>0.6</v>
          </cell>
          <cell r="AL859">
            <v>0</v>
          </cell>
          <cell r="AM859">
            <v>0.6</v>
          </cell>
          <cell r="AN859">
            <v>0</v>
          </cell>
          <cell r="AO859">
            <v>0.6</v>
          </cell>
          <cell r="AP859">
            <v>0</v>
          </cell>
          <cell r="AQ859">
            <v>0.6</v>
          </cell>
          <cell r="AS859" t="str">
            <v/>
          </cell>
          <cell r="AT859" t="str">
            <v/>
          </cell>
          <cell r="AV859" t="b">
            <v>0</v>
          </cell>
          <cell r="AW859" t="str">
            <v>call</v>
          </cell>
        </row>
        <row r="860">
          <cell r="S860" t="str">
            <v>DOM PRT PTSC1</v>
          </cell>
          <cell r="T860" t="str">
            <v>DOM</v>
          </cell>
          <cell r="U860" t="str">
            <v>PRT</v>
          </cell>
          <cell r="V860" t="str">
            <v>PTSC1</v>
          </cell>
          <cell r="X860">
            <v>0</v>
          </cell>
          <cell r="Y860">
            <v>1</v>
          </cell>
          <cell r="Z860">
            <v>0</v>
          </cell>
          <cell r="AA860">
            <v>1</v>
          </cell>
          <cell r="AB860">
            <v>0</v>
          </cell>
          <cell r="AC860">
            <v>1</v>
          </cell>
          <cell r="AD860">
            <v>0</v>
          </cell>
          <cell r="AE860">
            <v>1</v>
          </cell>
          <cell r="AG860" t="str">
            <v/>
          </cell>
          <cell r="AH860" t="str">
            <v/>
          </cell>
          <cell r="AJ860">
            <v>0</v>
          </cell>
          <cell r="AK860">
            <v>1</v>
          </cell>
          <cell r="AL860">
            <v>0</v>
          </cell>
          <cell r="AM860">
            <v>1</v>
          </cell>
          <cell r="AN860">
            <v>0</v>
          </cell>
          <cell r="AO860">
            <v>1</v>
          </cell>
          <cell r="AP860">
            <v>0</v>
          </cell>
          <cell r="AQ860">
            <v>1</v>
          </cell>
          <cell r="AS860" t="str">
            <v/>
          </cell>
          <cell r="AT860" t="str">
            <v/>
          </cell>
          <cell r="AV860" t="b">
            <v>0</v>
          </cell>
          <cell r="AW860" t="str">
            <v>call</v>
          </cell>
        </row>
        <row r="861">
          <cell r="S861" t="str">
            <v>DOM PRT PTSC2</v>
          </cell>
          <cell r="T861" t="str">
            <v>DOM</v>
          </cell>
          <cell r="U861" t="str">
            <v>PRT</v>
          </cell>
          <cell r="V861" t="str">
            <v>PTSC2</v>
          </cell>
          <cell r="X861">
            <v>0</v>
          </cell>
          <cell r="Y861">
            <v>2</v>
          </cell>
          <cell r="Z861">
            <v>0</v>
          </cell>
          <cell r="AA861">
            <v>2</v>
          </cell>
          <cell r="AB861">
            <v>0</v>
          </cell>
          <cell r="AC861">
            <v>2</v>
          </cell>
          <cell r="AD861">
            <v>0</v>
          </cell>
          <cell r="AE861">
            <v>2</v>
          </cell>
          <cell r="AG861" t="str">
            <v/>
          </cell>
          <cell r="AH861" t="str">
            <v/>
          </cell>
          <cell r="AJ861">
            <v>0</v>
          </cell>
          <cell r="AK861">
            <v>2</v>
          </cell>
          <cell r="AL861">
            <v>0</v>
          </cell>
          <cell r="AM861">
            <v>2</v>
          </cell>
          <cell r="AN861">
            <v>0</v>
          </cell>
          <cell r="AO861">
            <v>2</v>
          </cell>
          <cell r="AP861">
            <v>0</v>
          </cell>
          <cell r="AQ861">
            <v>2</v>
          </cell>
          <cell r="AS861" t="str">
            <v/>
          </cell>
          <cell r="AT861" t="str">
            <v/>
          </cell>
          <cell r="AV861" t="b">
            <v>0</v>
          </cell>
          <cell r="AW861" t="str">
            <v>call</v>
          </cell>
        </row>
        <row r="862">
          <cell r="S862" t="str">
            <v>DOM PRT PTSI</v>
          </cell>
          <cell r="T862" t="str">
            <v>DOM</v>
          </cell>
          <cell r="U862" t="str">
            <v>PRT</v>
          </cell>
          <cell r="V862" t="str">
            <v>PTSI</v>
          </cell>
          <cell r="X862">
            <v>0.77</v>
          </cell>
          <cell r="Y862">
            <v>0.77</v>
          </cell>
          <cell r="Z862">
            <v>0.77</v>
          </cell>
          <cell r="AA862">
            <v>0.77</v>
          </cell>
          <cell r="AB862">
            <v>0.77</v>
          </cell>
          <cell r="AC862">
            <v>0.77</v>
          </cell>
          <cell r="AD862">
            <v>0.77</v>
          </cell>
          <cell r="AE862">
            <v>0.77</v>
          </cell>
          <cell r="AG862" t="str">
            <v/>
          </cell>
          <cell r="AH862" t="str">
            <v/>
          </cell>
          <cell r="AJ862">
            <v>0.77</v>
          </cell>
          <cell r="AK862">
            <v>0.77</v>
          </cell>
          <cell r="AL862">
            <v>0.77</v>
          </cell>
          <cell r="AM862">
            <v>0.77</v>
          </cell>
          <cell r="AN862">
            <v>0.77</v>
          </cell>
          <cell r="AO862">
            <v>0.77</v>
          </cell>
          <cell r="AP862">
            <v>0.77</v>
          </cell>
          <cell r="AQ862">
            <v>0.77</v>
          </cell>
          <cell r="AS862" t="str">
            <v/>
          </cell>
          <cell r="AT862" t="str">
            <v/>
          </cell>
          <cell r="AV862" t="b">
            <v>0</v>
          </cell>
          <cell r="AW862" t="str">
            <v>minute &amp; call</v>
          </cell>
        </row>
        <row r="863">
          <cell r="S863" t="str">
            <v>DOM PRT PTSCS</v>
          </cell>
          <cell r="T863" t="str">
            <v>DOM</v>
          </cell>
          <cell r="U863" t="str">
            <v>PRT</v>
          </cell>
          <cell r="V863" t="str">
            <v>PTSCS</v>
          </cell>
          <cell r="X863">
            <v>2.58E-2</v>
          </cell>
          <cell r="Y863">
            <v>2.58E-2</v>
          </cell>
          <cell r="Z863">
            <v>2.58E-2</v>
          </cell>
          <cell r="AA863">
            <v>2.58E-2</v>
          </cell>
          <cell r="AB863">
            <v>2.58E-2</v>
          </cell>
          <cell r="AC863">
            <v>2.58E-2</v>
          </cell>
          <cell r="AD863">
            <v>2.58E-2</v>
          </cell>
          <cell r="AE863">
            <v>2.58E-2</v>
          </cell>
          <cell r="AG863" t="str">
            <v/>
          </cell>
          <cell r="AH863" t="str">
            <v/>
          </cell>
          <cell r="AJ863">
            <v>2.58E-2</v>
          </cell>
          <cell r="AK863">
            <v>2.58E-2</v>
          </cell>
          <cell r="AL863">
            <v>2.58E-2</v>
          </cell>
          <cell r="AM863">
            <v>2.58E-2</v>
          </cell>
          <cell r="AN863">
            <v>2.58E-2</v>
          </cell>
          <cell r="AO863">
            <v>2.58E-2</v>
          </cell>
          <cell r="AP863">
            <v>2.58E-2</v>
          </cell>
          <cell r="AQ863">
            <v>2.58E-2</v>
          </cell>
          <cell r="AS863" t="str">
            <v/>
          </cell>
          <cell r="AT863" t="str">
            <v/>
          </cell>
          <cell r="AV863" t="b">
            <v>0</v>
          </cell>
          <cell r="AW863" t="str">
            <v>minute &amp; call</v>
          </cell>
        </row>
        <row r="864">
          <cell r="S864" t="str">
            <v>DOM PRT PTTT</v>
          </cell>
          <cell r="T864" t="str">
            <v>DOM</v>
          </cell>
          <cell r="U864" t="str">
            <v>PRT</v>
          </cell>
          <cell r="V864" t="str">
            <v>PTTT</v>
          </cell>
          <cell r="X864">
            <v>0</v>
          </cell>
          <cell r="Y864">
            <v>1</v>
          </cell>
          <cell r="Z864">
            <v>0</v>
          </cell>
          <cell r="AA864">
            <v>1</v>
          </cell>
          <cell r="AB864">
            <v>0</v>
          </cell>
          <cell r="AC864">
            <v>1</v>
          </cell>
          <cell r="AD864">
            <v>0</v>
          </cell>
          <cell r="AE864">
            <v>1</v>
          </cell>
          <cell r="AG864" t="str">
            <v/>
          </cell>
          <cell r="AH864" t="str">
            <v/>
          </cell>
          <cell r="AJ864">
            <v>0</v>
          </cell>
          <cell r="AK864">
            <v>1</v>
          </cell>
          <cell r="AL864">
            <v>0</v>
          </cell>
          <cell r="AM864">
            <v>1</v>
          </cell>
          <cell r="AN864">
            <v>0</v>
          </cell>
          <cell r="AO864">
            <v>1</v>
          </cell>
          <cell r="AP864">
            <v>0</v>
          </cell>
          <cell r="AQ864">
            <v>1</v>
          </cell>
          <cell r="AS864" t="str">
            <v/>
          </cell>
          <cell r="AT864" t="str">
            <v/>
          </cell>
          <cell r="AV864" t="b">
            <v>0</v>
          </cell>
          <cell r="AW864" t="str">
            <v>call</v>
          </cell>
        </row>
        <row r="865">
          <cell r="S865" t="str">
            <v>DOM PRT PTFRE</v>
          </cell>
          <cell r="T865" t="str">
            <v>DOM</v>
          </cell>
          <cell r="U865" t="str">
            <v>PRT</v>
          </cell>
          <cell r="V865" t="str">
            <v>PTFRE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G865" t="str">
            <v/>
          </cell>
          <cell r="AH865" t="str">
            <v/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S865" t="str">
            <v/>
          </cell>
          <cell r="AT865" t="str">
            <v/>
          </cell>
          <cell r="AV865" t="b">
            <v>0</v>
          </cell>
          <cell r="AW865" t="str">
            <v>minute</v>
          </cell>
        </row>
        <row r="866">
          <cell r="S866" t="str">
            <v>DOM PRT PTVCS</v>
          </cell>
          <cell r="T866" t="str">
            <v>DOM</v>
          </cell>
          <cell r="U866" t="str">
            <v>PRT</v>
          </cell>
          <cell r="V866" t="str">
            <v>PTVCS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 t="str">
            <v/>
          </cell>
          <cell r="AH866" t="str">
            <v/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S866" t="str">
            <v/>
          </cell>
          <cell r="AT866" t="str">
            <v/>
          </cell>
          <cell r="AV866" t="b">
            <v>0</v>
          </cell>
          <cell r="AW866" t="str">
            <v>minute</v>
          </cell>
        </row>
        <row r="867">
          <cell r="S867" t="str">
            <v>DOM PRT PTVPN</v>
          </cell>
          <cell r="T867" t="str">
            <v>DOM</v>
          </cell>
          <cell r="U867" t="str">
            <v>PRT</v>
          </cell>
          <cell r="V867" t="str">
            <v>PTVPN</v>
          </cell>
          <cell r="X867">
            <v>0.1</v>
          </cell>
          <cell r="Y867">
            <v>0.1</v>
          </cell>
          <cell r="Z867">
            <v>0.1</v>
          </cell>
          <cell r="AA867">
            <v>0.1</v>
          </cell>
          <cell r="AB867">
            <v>0.1</v>
          </cell>
          <cell r="AC867">
            <v>0.1</v>
          </cell>
          <cell r="AD867">
            <v>0.1</v>
          </cell>
          <cell r="AE867">
            <v>0.1</v>
          </cell>
          <cell r="AG867" t="str">
            <v/>
          </cell>
          <cell r="AH867" t="str">
            <v/>
          </cell>
          <cell r="AJ867">
            <v>0.1</v>
          </cell>
          <cell r="AK867">
            <v>0.1</v>
          </cell>
          <cell r="AL867">
            <v>0.1</v>
          </cell>
          <cell r="AM867">
            <v>0.1</v>
          </cell>
          <cell r="AN867">
            <v>0.1</v>
          </cell>
          <cell r="AO867">
            <v>0.1</v>
          </cell>
          <cell r="AP867">
            <v>0.1</v>
          </cell>
          <cell r="AQ867">
            <v>0.1</v>
          </cell>
          <cell r="AS867" t="str">
            <v/>
          </cell>
          <cell r="AT867" t="str">
            <v/>
          </cell>
          <cell r="AV867" t="b">
            <v>0</v>
          </cell>
          <cell r="AW867" t="str">
            <v>minute &amp; call</v>
          </cell>
        </row>
        <row r="868">
          <cell r="S868" t="str">
            <v>DOM PRT PTVMS</v>
          </cell>
          <cell r="T868" t="str">
            <v>DOM</v>
          </cell>
          <cell r="U868" t="str">
            <v>PRT</v>
          </cell>
          <cell r="V868" t="str">
            <v>PTVMS</v>
          </cell>
          <cell r="X868">
            <v>0.3</v>
          </cell>
          <cell r="Y868">
            <v>0.8</v>
          </cell>
          <cell r="Z868">
            <v>0.3</v>
          </cell>
          <cell r="AA868">
            <v>0.8</v>
          </cell>
          <cell r="AB868">
            <v>0.3</v>
          </cell>
          <cell r="AC868">
            <v>0.8</v>
          </cell>
          <cell r="AD868">
            <v>0.3</v>
          </cell>
          <cell r="AE868">
            <v>0.8</v>
          </cell>
          <cell r="AG868" t="str">
            <v/>
          </cell>
          <cell r="AH868" t="str">
            <v/>
          </cell>
          <cell r="AJ868">
            <v>0.3</v>
          </cell>
          <cell r="AK868">
            <v>0.8</v>
          </cell>
          <cell r="AL868">
            <v>0.3</v>
          </cell>
          <cell r="AM868">
            <v>0.8</v>
          </cell>
          <cell r="AN868">
            <v>0.3</v>
          </cell>
          <cell r="AO868">
            <v>0.8</v>
          </cell>
          <cell r="AP868">
            <v>0.3</v>
          </cell>
          <cell r="AQ868">
            <v>0.8</v>
          </cell>
          <cell r="AS868" t="str">
            <v/>
          </cell>
          <cell r="AT868" t="str">
            <v/>
          </cell>
          <cell r="AV868" t="b">
            <v>0</v>
          </cell>
          <cell r="AW868" t="str">
            <v>minute &amp; call</v>
          </cell>
        </row>
        <row r="869">
          <cell r="S869" t="str">
            <v>DOM PRT PTVNS</v>
          </cell>
          <cell r="T869" t="str">
            <v>DOM</v>
          </cell>
          <cell r="U869" t="str">
            <v>PRT</v>
          </cell>
          <cell r="V869" t="str">
            <v>PTVNS</v>
          </cell>
          <cell r="X869">
            <v>4.3200000000000002E-2</v>
          </cell>
          <cell r="Y869">
            <v>8.6099999999999996E-2</v>
          </cell>
          <cell r="Z869">
            <v>4.3200000000000002E-2</v>
          </cell>
          <cell r="AA869">
            <v>8.6099999999999996E-2</v>
          </cell>
          <cell r="AB869">
            <v>4.3200000000000002E-2</v>
          </cell>
          <cell r="AC869">
            <v>8.6099999999999996E-2</v>
          </cell>
          <cell r="AD869">
            <v>4.3200000000000002E-2</v>
          </cell>
          <cell r="AE869">
            <v>8.6099999999999996E-2</v>
          </cell>
          <cell r="AG869" t="str">
            <v/>
          </cell>
          <cell r="AH869" t="str">
            <v/>
          </cell>
          <cell r="AJ869">
            <v>4.3200000000000002E-2</v>
          </cell>
          <cell r="AK869">
            <v>8.6099999999999996E-2</v>
          </cell>
          <cell r="AL869">
            <v>4.3200000000000002E-2</v>
          </cell>
          <cell r="AM869">
            <v>8.6099999999999996E-2</v>
          </cell>
          <cell r="AN869">
            <v>4.3200000000000002E-2</v>
          </cell>
          <cell r="AO869">
            <v>8.6099999999999996E-2</v>
          </cell>
          <cell r="AP869">
            <v>4.3200000000000002E-2</v>
          </cell>
          <cell r="AQ869">
            <v>8.6099999999999996E-2</v>
          </cell>
          <cell r="AS869" t="str">
            <v/>
          </cell>
          <cell r="AT869" t="str">
            <v/>
          </cell>
          <cell r="AV869" t="b">
            <v>0</v>
          </cell>
          <cell r="AW869" t="str">
            <v>minute &amp; call</v>
          </cell>
        </row>
        <row r="870">
          <cell r="S870" t="str">
            <v>DOM PRI FIX</v>
          </cell>
          <cell r="T870" t="str">
            <v>DOM</v>
          </cell>
          <cell r="U870" t="str">
            <v>PRI</v>
          </cell>
          <cell r="V870" t="str">
            <v>FIX</v>
          </cell>
          <cell r="X870">
            <v>2.1700000000000001E-2</v>
          </cell>
          <cell r="Y870">
            <v>0</v>
          </cell>
          <cell r="Z870">
            <v>1.95E-2</v>
          </cell>
          <cell r="AA870">
            <v>0</v>
          </cell>
          <cell r="AB870">
            <v>1.84E-2</v>
          </cell>
          <cell r="AC870">
            <v>0</v>
          </cell>
          <cell r="AD870">
            <v>1.7399999999999999E-2</v>
          </cell>
          <cell r="AE870">
            <v>0</v>
          </cell>
          <cell r="AG870" t="str">
            <v/>
          </cell>
          <cell r="AH870" t="str">
            <v/>
          </cell>
          <cell r="AJ870">
            <v>2.1700000000000001E-2</v>
          </cell>
          <cell r="AK870">
            <v>0</v>
          </cell>
          <cell r="AL870">
            <v>1.95E-2</v>
          </cell>
          <cell r="AM870">
            <v>0</v>
          </cell>
          <cell r="AN870">
            <v>1.84E-2</v>
          </cell>
          <cell r="AO870">
            <v>0</v>
          </cell>
          <cell r="AP870">
            <v>1.7399999999999999E-2</v>
          </cell>
          <cell r="AQ870">
            <v>0</v>
          </cell>
          <cell r="AS870" t="str">
            <v/>
          </cell>
          <cell r="AT870" t="str">
            <v/>
          </cell>
          <cell r="AV870" t="b">
            <v>1</v>
          </cell>
          <cell r="AW870" t="str">
            <v>minute</v>
          </cell>
        </row>
        <row r="871">
          <cell r="S871" t="str">
            <v>DOM REU MOB</v>
          </cell>
          <cell r="T871" t="str">
            <v>DOM</v>
          </cell>
          <cell r="U871" t="str">
            <v>REU</v>
          </cell>
          <cell r="V871" t="str">
            <v>MOB</v>
          </cell>
          <cell r="X871">
            <v>3.7699999999999997E-2</v>
          </cell>
          <cell r="Y871">
            <v>0</v>
          </cell>
          <cell r="Z871">
            <v>3.39E-2</v>
          </cell>
          <cell r="AA871">
            <v>0</v>
          </cell>
          <cell r="AB871">
            <v>3.2000000000000001E-2</v>
          </cell>
          <cell r="AC871">
            <v>0</v>
          </cell>
          <cell r="AD871">
            <v>3.0099999999999998E-2</v>
          </cell>
          <cell r="AE871">
            <v>0</v>
          </cell>
          <cell r="AG871" t="str">
            <v/>
          </cell>
          <cell r="AH871" t="str">
            <v/>
          </cell>
          <cell r="AJ871">
            <v>3.7699999999999997E-2</v>
          </cell>
          <cell r="AK871">
            <v>0</v>
          </cell>
          <cell r="AL871">
            <v>3.39E-2</v>
          </cell>
          <cell r="AM871">
            <v>0</v>
          </cell>
          <cell r="AN871">
            <v>3.2000000000000001E-2</v>
          </cell>
          <cell r="AO871">
            <v>0</v>
          </cell>
          <cell r="AP871">
            <v>3.0099999999999998E-2</v>
          </cell>
          <cell r="AQ871">
            <v>0</v>
          </cell>
          <cell r="AS871" t="str">
            <v/>
          </cell>
          <cell r="AT871" t="str">
            <v/>
          </cell>
          <cell r="AV871" t="b">
            <v>1</v>
          </cell>
          <cell r="AW871" t="str">
            <v>minute</v>
          </cell>
        </row>
        <row r="872">
          <cell r="S872" t="str">
            <v>DOM REU FIX</v>
          </cell>
          <cell r="T872" t="str">
            <v>DOM</v>
          </cell>
          <cell r="U872" t="str">
            <v>REU</v>
          </cell>
          <cell r="V872" t="str">
            <v>FIX</v>
          </cell>
          <cell r="X872">
            <v>1.7999999999999999E-2</v>
          </cell>
          <cell r="Y872">
            <v>0</v>
          </cell>
          <cell r="Z872">
            <v>1.6500000000000001E-2</v>
          </cell>
          <cell r="AA872">
            <v>0</v>
          </cell>
          <cell r="AB872">
            <v>1.4999999999999999E-2</v>
          </cell>
          <cell r="AC872">
            <v>0</v>
          </cell>
          <cell r="AD872">
            <v>1.4E-2</v>
          </cell>
          <cell r="AE872">
            <v>0</v>
          </cell>
          <cell r="AG872" t="str">
            <v/>
          </cell>
          <cell r="AH872" t="str">
            <v/>
          </cell>
          <cell r="AJ872">
            <v>1.7999999999999999E-2</v>
          </cell>
          <cell r="AK872">
            <v>0</v>
          </cell>
          <cell r="AL872">
            <v>1.6500000000000001E-2</v>
          </cell>
          <cell r="AM872">
            <v>0</v>
          </cell>
          <cell r="AN872">
            <v>1.4999999999999999E-2</v>
          </cell>
          <cell r="AO872">
            <v>0</v>
          </cell>
          <cell r="AP872">
            <v>1.4E-2</v>
          </cell>
          <cell r="AQ872">
            <v>0</v>
          </cell>
          <cell r="AS872" t="str">
            <v/>
          </cell>
          <cell r="AT872" t="str">
            <v/>
          </cell>
          <cell r="AV872" t="b">
            <v>1</v>
          </cell>
          <cell r="AW872" t="str">
            <v>minute</v>
          </cell>
        </row>
        <row r="873">
          <cell r="S873" t="str">
            <v>DOM REU RE1FR</v>
          </cell>
          <cell r="T873" t="str">
            <v>DOM</v>
          </cell>
          <cell r="U873" t="str">
            <v>REU</v>
          </cell>
          <cell r="V873" t="str">
            <v>RE1FR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 t="str">
            <v/>
          </cell>
          <cell r="AH873" t="str">
            <v/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S873" t="str">
            <v/>
          </cell>
          <cell r="AT873" t="str">
            <v/>
          </cell>
          <cell r="AV873" t="b">
            <v>0</v>
          </cell>
          <cell r="AW873" t="str">
            <v>minute</v>
          </cell>
        </row>
        <row r="874">
          <cell r="S874" t="str">
            <v>DOM REU RE1TS</v>
          </cell>
          <cell r="T874" t="str">
            <v>DOM</v>
          </cell>
          <cell r="U874" t="str">
            <v>REU</v>
          </cell>
          <cell r="V874" t="str">
            <v>RE1TS</v>
          </cell>
          <cell r="X874">
            <v>2.3E-2</v>
          </cell>
          <cell r="Y874">
            <v>6.5000000000000002E-2</v>
          </cell>
          <cell r="Z874">
            <v>2.3E-2</v>
          </cell>
          <cell r="AA874">
            <v>6.5000000000000002E-2</v>
          </cell>
          <cell r="AB874">
            <v>2.3E-2</v>
          </cell>
          <cell r="AC874">
            <v>6.5000000000000002E-2</v>
          </cell>
          <cell r="AD874">
            <v>2.3E-2</v>
          </cell>
          <cell r="AE874">
            <v>6.5000000000000002E-2</v>
          </cell>
          <cell r="AG874" t="str">
            <v/>
          </cell>
          <cell r="AH874" t="str">
            <v/>
          </cell>
          <cell r="AJ874">
            <v>2.3E-2</v>
          </cell>
          <cell r="AK874">
            <v>6.5000000000000002E-2</v>
          </cell>
          <cell r="AL874">
            <v>2.3E-2</v>
          </cell>
          <cell r="AM874">
            <v>6.5000000000000002E-2</v>
          </cell>
          <cell r="AN874">
            <v>2.3E-2</v>
          </cell>
          <cell r="AO874">
            <v>6.5000000000000002E-2</v>
          </cell>
          <cell r="AP874">
            <v>2.3E-2</v>
          </cell>
          <cell r="AQ874">
            <v>6.5000000000000002E-2</v>
          </cell>
          <cell r="AS874" t="str">
            <v/>
          </cell>
          <cell r="AT874" t="str">
            <v/>
          </cell>
          <cell r="AV874" t="b">
            <v>0</v>
          </cell>
          <cell r="AW874" t="str">
            <v>minute &amp; call</v>
          </cell>
        </row>
        <row r="875">
          <cell r="S875" t="str">
            <v>DOM REU RE300</v>
          </cell>
          <cell r="T875" t="str">
            <v>DOM</v>
          </cell>
          <cell r="U875" t="str">
            <v>REU</v>
          </cell>
          <cell r="V875" t="str">
            <v>RE300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 t="str">
            <v/>
          </cell>
          <cell r="AH875" t="str">
            <v/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S875" t="str">
            <v/>
          </cell>
          <cell r="AT875" t="str">
            <v/>
          </cell>
          <cell r="AV875" t="b">
            <v>0</v>
          </cell>
          <cell r="AW875" t="str">
            <v>minute</v>
          </cell>
        </row>
        <row r="876">
          <cell r="S876" t="str">
            <v>DOM REU RE301</v>
          </cell>
          <cell r="T876" t="str">
            <v>DOM</v>
          </cell>
          <cell r="U876" t="str">
            <v>REU</v>
          </cell>
          <cell r="V876" t="str">
            <v>RE301</v>
          </cell>
          <cell r="X876">
            <v>5.04E-2</v>
          </cell>
          <cell r="Y876">
            <v>0</v>
          </cell>
          <cell r="Z876">
            <v>5.04E-2</v>
          </cell>
          <cell r="AA876">
            <v>0</v>
          </cell>
          <cell r="AB876">
            <v>5.04E-2</v>
          </cell>
          <cell r="AC876">
            <v>0</v>
          </cell>
          <cell r="AD876">
            <v>5.04E-2</v>
          </cell>
          <cell r="AE876">
            <v>0</v>
          </cell>
          <cell r="AG876" t="str">
            <v/>
          </cell>
          <cell r="AH876" t="str">
            <v/>
          </cell>
          <cell r="AJ876">
            <v>5.04E-2</v>
          </cell>
          <cell r="AK876">
            <v>0</v>
          </cell>
          <cell r="AL876">
            <v>5.04E-2</v>
          </cell>
          <cell r="AM876">
            <v>0</v>
          </cell>
          <cell r="AN876">
            <v>5.04E-2</v>
          </cell>
          <cell r="AO876">
            <v>0</v>
          </cell>
          <cell r="AP876">
            <v>5.04E-2</v>
          </cell>
          <cell r="AQ876">
            <v>0</v>
          </cell>
          <cell r="AS876" t="str">
            <v/>
          </cell>
          <cell r="AT876" t="str">
            <v/>
          </cell>
          <cell r="AV876" t="b">
            <v>0</v>
          </cell>
          <cell r="AW876" t="str">
            <v>minute</v>
          </cell>
        </row>
        <row r="877">
          <cell r="S877" t="str">
            <v>DOM REU RE302</v>
          </cell>
          <cell r="T877" t="str">
            <v>DOM</v>
          </cell>
          <cell r="U877" t="str">
            <v>REU</v>
          </cell>
          <cell r="V877" t="str">
            <v>RE302</v>
          </cell>
          <cell r="X877">
            <v>5.9400000000000001E-2</v>
          </cell>
          <cell r="Y877">
            <v>0</v>
          </cell>
          <cell r="Z877">
            <v>5.9400000000000001E-2</v>
          </cell>
          <cell r="AA877">
            <v>0</v>
          </cell>
          <cell r="AB877">
            <v>5.9400000000000001E-2</v>
          </cell>
          <cell r="AC877">
            <v>0</v>
          </cell>
          <cell r="AD877">
            <v>5.9400000000000001E-2</v>
          </cell>
          <cell r="AE877">
            <v>0</v>
          </cell>
          <cell r="AG877" t="str">
            <v/>
          </cell>
          <cell r="AH877" t="str">
            <v/>
          </cell>
          <cell r="AJ877">
            <v>5.9400000000000001E-2</v>
          </cell>
          <cell r="AK877">
            <v>0</v>
          </cell>
          <cell r="AL877">
            <v>5.9400000000000001E-2</v>
          </cell>
          <cell r="AM877">
            <v>0</v>
          </cell>
          <cell r="AN877">
            <v>5.9400000000000001E-2</v>
          </cell>
          <cell r="AO877">
            <v>0</v>
          </cell>
          <cell r="AP877">
            <v>5.9400000000000001E-2</v>
          </cell>
          <cell r="AQ877">
            <v>0</v>
          </cell>
          <cell r="AS877" t="str">
            <v/>
          </cell>
          <cell r="AT877" t="str">
            <v/>
          </cell>
          <cell r="AV877" t="b">
            <v>0</v>
          </cell>
          <cell r="AW877" t="str">
            <v>minute</v>
          </cell>
        </row>
        <row r="878">
          <cell r="S878" t="str">
            <v>DOM REU RE303</v>
          </cell>
          <cell r="T878" t="str">
            <v>DOM</v>
          </cell>
          <cell r="U878" t="str">
            <v>REU</v>
          </cell>
          <cell r="V878" t="str">
            <v>RE303</v>
          </cell>
          <cell r="X878">
            <v>9.4E-2</v>
          </cell>
          <cell r="Y878">
            <v>0</v>
          </cell>
          <cell r="Z878">
            <v>9.4E-2</v>
          </cell>
          <cell r="AA878">
            <v>0</v>
          </cell>
          <cell r="AB878">
            <v>9.4E-2</v>
          </cell>
          <cell r="AC878">
            <v>0</v>
          </cell>
          <cell r="AD878">
            <v>9.4E-2</v>
          </cell>
          <cell r="AE878">
            <v>0</v>
          </cell>
          <cell r="AG878" t="str">
            <v/>
          </cell>
          <cell r="AH878" t="str">
            <v/>
          </cell>
          <cell r="AJ878">
            <v>9.4E-2</v>
          </cell>
          <cell r="AK878">
            <v>0</v>
          </cell>
          <cell r="AL878">
            <v>9.4E-2</v>
          </cell>
          <cell r="AM878">
            <v>0</v>
          </cell>
          <cell r="AN878">
            <v>9.4E-2</v>
          </cell>
          <cell r="AO878">
            <v>0</v>
          </cell>
          <cell r="AP878">
            <v>9.4E-2</v>
          </cell>
          <cell r="AQ878">
            <v>0</v>
          </cell>
          <cell r="AS878" t="str">
            <v/>
          </cell>
          <cell r="AT878" t="str">
            <v/>
          </cell>
          <cell r="AV878" t="b">
            <v>0</v>
          </cell>
          <cell r="AW878" t="str">
            <v>minute</v>
          </cell>
        </row>
        <row r="879">
          <cell r="S879" t="str">
            <v>DOM REU RE304</v>
          </cell>
          <cell r="T879" t="str">
            <v>DOM</v>
          </cell>
          <cell r="U879" t="str">
            <v>REU</v>
          </cell>
          <cell r="V879" t="str">
            <v>RE304</v>
          </cell>
          <cell r="X879">
            <v>0.125</v>
          </cell>
          <cell r="Y879">
            <v>0</v>
          </cell>
          <cell r="Z879">
            <v>0.125</v>
          </cell>
          <cell r="AA879">
            <v>0</v>
          </cell>
          <cell r="AB879">
            <v>0.125</v>
          </cell>
          <cell r="AC879">
            <v>0</v>
          </cell>
          <cell r="AD879">
            <v>0.125</v>
          </cell>
          <cell r="AE879">
            <v>0</v>
          </cell>
          <cell r="AG879" t="str">
            <v/>
          </cell>
          <cell r="AH879" t="str">
            <v/>
          </cell>
          <cell r="AJ879">
            <v>0.125</v>
          </cell>
          <cell r="AK879">
            <v>0</v>
          </cell>
          <cell r="AL879">
            <v>0.125</v>
          </cell>
          <cell r="AM879">
            <v>0</v>
          </cell>
          <cell r="AN879">
            <v>0.125</v>
          </cell>
          <cell r="AO879">
            <v>0</v>
          </cell>
          <cell r="AP879">
            <v>0.125</v>
          </cell>
          <cell r="AQ879">
            <v>0</v>
          </cell>
          <cell r="AS879" t="str">
            <v/>
          </cell>
          <cell r="AT879" t="str">
            <v/>
          </cell>
          <cell r="AV879" t="b">
            <v>0</v>
          </cell>
          <cell r="AW879" t="str">
            <v>minute</v>
          </cell>
        </row>
        <row r="880">
          <cell r="S880" t="str">
            <v>DOM REU RE305</v>
          </cell>
          <cell r="T880" t="str">
            <v>DOM</v>
          </cell>
          <cell r="U880" t="str">
            <v>REU</v>
          </cell>
          <cell r="V880" t="str">
            <v>RE305</v>
          </cell>
          <cell r="X880">
            <v>0.17630000000000001</v>
          </cell>
          <cell r="Y880">
            <v>0</v>
          </cell>
          <cell r="Z880">
            <v>0.17630000000000001</v>
          </cell>
          <cell r="AA880">
            <v>0</v>
          </cell>
          <cell r="AB880">
            <v>0.17630000000000001</v>
          </cell>
          <cell r="AC880">
            <v>0</v>
          </cell>
          <cell r="AD880">
            <v>0.17630000000000001</v>
          </cell>
          <cell r="AE880">
            <v>0</v>
          </cell>
          <cell r="AG880" t="str">
            <v/>
          </cell>
          <cell r="AH880" t="str">
            <v/>
          </cell>
          <cell r="AJ880">
            <v>0.17630000000000001</v>
          </cell>
          <cell r="AK880">
            <v>0</v>
          </cell>
          <cell r="AL880">
            <v>0.17630000000000001</v>
          </cell>
          <cell r="AM880">
            <v>0</v>
          </cell>
          <cell r="AN880">
            <v>0.17630000000000001</v>
          </cell>
          <cell r="AO880">
            <v>0</v>
          </cell>
          <cell r="AP880">
            <v>0.17630000000000001</v>
          </cell>
          <cell r="AQ880">
            <v>0</v>
          </cell>
          <cell r="AS880" t="str">
            <v/>
          </cell>
          <cell r="AT880" t="str">
            <v/>
          </cell>
          <cell r="AV880" t="b">
            <v>0</v>
          </cell>
          <cell r="AW880" t="str">
            <v>minute</v>
          </cell>
        </row>
        <row r="881">
          <cell r="S881" t="str">
            <v>DOM REU RE306</v>
          </cell>
          <cell r="T881" t="str">
            <v>DOM</v>
          </cell>
          <cell r="U881" t="str">
            <v>REU</v>
          </cell>
          <cell r="V881" t="str">
            <v>RE306</v>
          </cell>
          <cell r="X881">
            <v>0.188</v>
          </cell>
          <cell r="Y881">
            <v>0</v>
          </cell>
          <cell r="Z881">
            <v>0.188</v>
          </cell>
          <cell r="AA881">
            <v>0</v>
          </cell>
          <cell r="AB881">
            <v>0.188</v>
          </cell>
          <cell r="AC881">
            <v>0</v>
          </cell>
          <cell r="AD881">
            <v>0.188</v>
          </cell>
          <cell r="AE881">
            <v>0</v>
          </cell>
          <cell r="AG881" t="str">
            <v/>
          </cell>
          <cell r="AH881" t="str">
            <v/>
          </cell>
          <cell r="AJ881">
            <v>0.188</v>
          </cell>
          <cell r="AK881">
            <v>0</v>
          </cell>
          <cell r="AL881">
            <v>0.188</v>
          </cell>
          <cell r="AM881">
            <v>0</v>
          </cell>
          <cell r="AN881">
            <v>0.188</v>
          </cell>
          <cell r="AO881">
            <v>0</v>
          </cell>
          <cell r="AP881">
            <v>0.188</v>
          </cell>
          <cell r="AQ881">
            <v>0</v>
          </cell>
          <cell r="AS881" t="str">
            <v/>
          </cell>
          <cell r="AT881" t="str">
            <v/>
          </cell>
          <cell r="AV881" t="b">
            <v>0</v>
          </cell>
          <cell r="AW881" t="str">
            <v>minute</v>
          </cell>
        </row>
        <row r="882">
          <cell r="S882" t="str">
            <v>DOM REU RE307</v>
          </cell>
          <cell r="T882" t="str">
            <v>DOM</v>
          </cell>
          <cell r="U882" t="str">
            <v>REU</v>
          </cell>
          <cell r="V882" t="str">
            <v>RE307</v>
          </cell>
          <cell r="X882">
            <v>0.28100000000000003</v>
          </cell>
          <cell r="Y882">
            <v>0</v>
          </cell>
          <cell r="Z882">
            <v>0.28100000000000003</v>
          </cell>
          <cell r="AA882">
            <v>0</v>
          </cell>
          <cell r="AB882">
            <v>0.28100000000000003</v>
          </cell>
          <cell r="AC882">
            <v>0</v>
          </cell>
          <cell r="AD882">
            <v>0.28100000000000003</v>
          </cell>
          <cell r="AE882">
            <v>0</v>
          </cell>
          <cell r="AG882" t="str">
            <v/>
          </cell>
          <cell r="AH882" t="str">
            <v/>
          </cell>
          <cell r="AJ882">
            <v>0.28100000000000003</v>
          </cell>
          <cell r="AK882">
            <v>0</v>
          </cell>
          <cell r="AL882">
            <v>0.28100000000000003</v>
          </cell>
          <cell r="AM882">
            <v>0</v>
          </cell>
          <cell r="AN882">
            <v>0.28100000000000003</v>
          </cell>
          <cell r="AO882">
            <v>0</v>
          </cell>
          <cell r="AP882">
            <v>0.28100000000000003</v>
          </cell>
          <cell r="AQ882">
            <v>0</v>
          </cell>
          <cell r="AS882" t="str">
            <v/>
          </cell>
          <cell r="AT882" t="str">
            <v/>
          </cell>
          <cell r="AV882" t="b">
            <v>0</v>
          </cell>
          <cell r="AW882" t="str">
            <v>minute</v>
          </cell>
        </row>
        <row r="883">
          <cell r="S883" t="str">
            <v>DOM REU RE308</v>
          </cell>
          <cell r="T883" t="str">
            <v>DOM</v>
          </cell>
          <cell r="U883" t="str">
            <v>REU</v>
          </cell>
          <cell r="V883" t="str">
            <v>RE308</v>
          </cell>
          <cell r="X883">
            <v>0.29680000000000001</v>
          </cell>
          <cell r="Y883">
            <v>0</v>
          </cell>
          <cell r="Z883">
            <v>0.29680000000000001</v>
          </cell>
          <cell r="AA883">
            <v>0</v>
          </cell>
          <cell r="AB883">
            <v>0.29680000000000001</v>
          </cell>
          <cell r="AC883">
            <v>0</v>
          </cell>
          <cell r="AD883">
            <v>0.29680000000000001</v>
          </cell>
          <cell r="AE883">
            <v>0</v>
          </cell>
          <cell r="AG883" t="str">
            <v/>
          </cell>
          <cell r="AH883" t="str">
            <v/>
          </cell>
          <cell r="AJ883">
            <v>0.29680000000000001</v>
          </cell>
          <cell r="AK883">
            <v>0</v>
          </cell>
          <cell r="AL883">
            <v>0.29680000000000001</v>
          </cell>
          <cell r="AM883">
            <v>0</v>
          </cell>
          <cell r="AN883">
            <v>0.29680000000000001</v>
          </cell>
          <cell r="AO883">
            <v>0</v>
          </cell>
          <cell r="AP883">
            <v>0.29680000000000001</v>
          </cell>
          <cell r="AQ883">
            <v>0</v>
          </cell>
          <cell r="AS883" t="str">
            <v/>
          </cell>
          <cell r="AT883" t="str">
            <v/>
          </cell>
          <cell r="AV883" t="b">
            <v>0</v>
          </cell>
          <cell r="AW883" t="str">
            <v>minute</v>
          </cell>
        </row>
        <row r="884">
          <cell r="S884" t="str">
            <v>DOM REU RE309</v>
          </cell>
          <cell r="T884" t="str">
            <v>DOM</v>
          </cell>
          <cell r="U884" t="str">
            <v>REU</v>
          </cell>
          <cell r="V884" t="str">
            <v>RE309</v>
          </cell>
          <cell r="X884">
            <v>0.34499999999999997</v>
          </cell>
          <cell r="Y884">
            <v>0</v>
          </cell>
          <cell r="Z884">
            <v>0.34499999999999997</v>
          </cell>
          <cell r="AA884">
            <v>0</v>
          </cell>
          <cell r="AB884">
            <v>0.34499999999999997</v>
          </cell>
          <cell r="AC884">
            <v>0</v>
          </cell>
          <cell r="AD884">
            <v>0.34499999999999997</v>
          </cell>
          <cell r="AE884">
            <v>0</v>
          </cell>
          <cell r="AG884" t="str">
            <v/>
          </cell>
          <cell r="AH884" t="str">
            <v/>
          </cell>
          <cell r="AJ884">
            <v>0.34499999999999997</v>
          </cell>
          <cell r="AK884">
            <v>0</v>
          </cell>
          <cell r="AL884">
            <v>0.34499999999999997</v>
          </cell>
          <cell r="AM884">
            <v>0</v>
          </cell>
          <cell r="AN884">
            <v>0.34499999999999997</v>
          </cell>
          <cell r="AO884">
            <v>0</v>
          </cell>
          <cell r="AP884">
            <v>0.34499999999999997</v>
          </cell>
          <cell r="AQ884">
            <v>0</v>
          </cell>
          <cell r="AS884" t="str">
            <v/>
          </cell>
          <cell r="AT884" t="str">
            <v/>
          </cell>
          <cell r="AV884" t="b">
            <v>0</v>
          </cell>
          <cell r="AW884" t="str">
            <v>minute</v>
          </cell>
        </row>
        <row r="885">
          <cell r="S885" t="str">
            <v>DOM REU RE310</v>
          </cell>
          <cell r="T885" t="str">
            <v>DOM</v>
          </cell>
          <cell r="U885" t="str">
            <v>REU</v>
          </cell>
          <cell r="V885" t="str">
            <v>RE310</v>
          </cell>
          <cell r="X885">
            <v>0.72309999999999997</v>
          </cell>
          <cell r="Y885">
            <v>0</v>
          </cell>
          <cell r="Z885">
            <v>0.72309999999999997</v>
          </cell>
          <cell r="AA885">
            <v>0</v>
          </cell>
          <cell r="AB885">
            <v>0.72309999999999997</v>
          </cell>
          <cell r="AC885">
            <v>0</v>
          </cell>
          <cell r="AD885">
            <v>0.72309999999999997</v>
          </cell>
          <cell r="AE885">
            <v>0</v>
          </cell>
          <cell r="AG885" t="str">
            <v/>
          </cell>
          <cell r="AH885" t="str">
            <v/>
          </cell>
          <cell r="AJ885">
            <v>0.72309999999999997</v>
          </cell>
          <cell r="AK885">
            <v>0</v>
          </cell>
          <cell r="AL885">
            <v>0.72309999999999997</v>
          </cell>
          <cell r="AM885">
            <v>0</v>
          </cell>
          <cell r="AN885">
            <v>0.72309999999999997</v>
          </cell>
          <cell r="AO885">
            <v>0</v>
          </cell>
          <cell r="AP885">
            <v>0.72309999999999997</v>
          </cell>
          <cell r="AQ885">
            <v>0</v>
          </cell>
          <cell r="AS885" t="str">
            <v/>
          </cell>
          <cell r="AT885" t="str">
            <v/>
          </cell>
          <cell r="AV885" t="b">
            <v>0</v>
          </cell>
          <cell r="AW885" t="str">
            <v>minute</v>
          </cell>
        </row>
        <row r="886">
          <cell r="S886" t="str">
            <v>DOM REU RE311</v>
          </cell>
          <cell r="T886" t="str">
            <v>DOM</v>
          </cell>
          <cell r="U886" t="str">
            <v>REU</v>
          </cell>
          <cell r="V886" t="str">
            <v>RE311</v>
          </cell>
          <cell r="X886">
            <v>1.1279999999999999</v>
          </cell>
          <cell r="Y886">
            <v>0</v>
          </cell>
          <cell r="Z886">
            <v>1.1279999999999999</v>
          </cell>
          <cell r="AA886">
            <v>0</v>
          </cell>
          <cell r="AB886">
            <v>1.1279999999999999</v>
          </cell>
          <cell r="AC886">
            <v>0</v>
          </cell>
          <cell r="AD886">
            <v>1.1279999999999999</v>
          </cell>
          <cell r="AE886">
            <v>0</v>
          </cell>
          <cell r="AG886" t="str">
            <v/>
          </cell>
          <cell r="AH886" t="str">
            <v/>
          </cell>
          <cell r="AJ886">
            <v>1.1279999999999999</v>
          </cell>
          <cell r="AK886">
            <v>0</v>
          </cell>
          <cell r="AL886">
            <v>1.1279999999999999</v>
          </cell>
          <cell r="AM886">
            <v>0</v>
          </cell>
          <cell r="AN886">
            <v>1.1279999999999999</v>
          </cell>
          <cell r="AO886">
            <v>0</v>
          </cell>
          <cell r="AP886">
            <v>1.1279999999999999</v>
          </cell>
          <cell r="AQ886">
            <v>0</v>
          </cell>
          <cell r="AS886" t="str">
            <v/>
          </cell>
          <cell r="AT886" t="str">
            <v/>
          </cell>
          <cell r="AV886" t="b">
            <v>0</v>
          </cell>
          <cell r="AW886" t="str">
            <v>minute</v>
          </cell>
        </row>
        <row r="887">
          <cell r="S887" t="str">
            <v>DOM REU RE312</v>
          </cell>
          <cell r="T887" t="str">
            <v>DOM</v>
          </cell>
          <cell r="U887" t="str">
            <v>REU</v>
          </cell>
          <cell r="V887" t="str">
            <v>RE312</v>
          </cell>
          <cell r="X887">
            <v>9.9000000000000005E-2</v>
          </cell>
          <cell r="Y887">
            <v>2E-3</v>
          </cell>
          <cell r="Z887">
            <v>9.9000000000000005E-2</v>
          </cell>
          <cell r="AA887">
            <v>2E-3</v>
          </cell>
          <cell r="AB887">
            <v>9.9000000000000005E-2</v>
          </cell>
          <cell r="AC887">
            <v>2E-3</v>
          </cell>
          <cell r="AD887">
            <v>9.9000000000000005E-2</v>
          </cell>
          <cell r="AE887">
            <v>2E-3</v>
          </cell>
          <cell r="AG887" t="str">
            <v/>
          </cell>
          <cell r="AH887" t="str">
            <v/>
          </cell>
          <cell r="AJ887">
            <v>9.9000000000000005E-2</v>
          </cell>
          <cell r="AK887">
            <v>2E-3</v>
          </cell>
          <cell r="AL887">
            <v>9.9000000000000005E-2</v>
          </cell>
          <cell r="AM887">
            <v>2E-3</v>
          </cell>
          <cell r="AN887">
            <v>9.9000000000000005E-2</v>
          </cell>
          <cell r="AO887">
            <v>2E-3</v>
          </cell>
          <cell r="AP887">
            <v>9.9000000000000005E-2</v>
          </cell>
          <cell r="AQ887">
            <v>2E-3</v>
          </cell>
          <cell r="AS887" t="str">
            <v/>
          </cell>
          <cell r="AT887" t="str">
            <v/>
          </cell>
          <cell r="AV887" t="b">
            <v>0</v>
          </cell>
          <cell r="AW887" t="str">
            <v>minute &amp; call</v>
          </cell>
        </row>
        <row r="888">
          <cell r="S888" t="str">
            <v>DOM REU RE313</v>
          </cell>
          <cell r="T888" t="str">
            <v>DOM</v>
          </cell>
          <cell r="U888" t="str">
            <v>REU</v>
          </cell>
          <cell r="V888" t="str">
            <v>RE313</v>
          </cell>
          <cell r="X888">
            <v>6.7100000000000007E-2</v>
          </cell>
          <cell r="Y888">
            <v>1.7000000000000001E-2</v>
          </cell>
          <cell r="Z888">
            <v>6.7100000000000007E-2</v>
          </cell>
          <cell r="AA888">
            <v>1.7000000000000001E-2</v>
          </cell>
          <cell r="AB888">
            <v>6.7100000000000007E-2</v>
          </cell>
          <cell r="AC888">
            <v>1.7000000000000001E-2</v>
          </cell>
          <cell r="AD888">
            <v>6.7100000000000007E-2</v>
          </cell>
          <cell r="AE888">
            <v>1.7000000000000001E-2</v>
          </cell>
          <cell r="AG888" t="str">
            <v/>
          </cell>
          <cell r="AH888" t="str">
            <v/>
          </cell>
          <cell r="AJ888">
            <v>6.7100000000000007E-2</v>
          </cell>
          <cell r="AK888">
            <v>1.7000000000000001E-2</v>
          </cell>
          <cell r="AL888">
            <v>6.7100000000000007E-2</v>
          </cell>
          <cell r="AM888">
            <v>1.7000000000000001E-2</v>
          </cell>
          <cell r="AN888">
            <v>6.7100000000000007E-2</v>
          </cell>
          <cell r="AO888">
            <v>1.7000000000000001E-2</v>
          </cell>
          <cell r="AP888">
            <v>6.7100000000000007E-2</v>
          </cell>
          <cell r="AQ888">
            <v>1.7000000000000001E-2</v>
          </cell>
          <cell r="AS888" t="str">
            <v/>
          </cell>
          <cell r="AT888" t="str">
            <v/>
          </cell>
          <cell r="AV888" t="b">
            <v>0</v>
          </cell>
          <cell r="AW888" t="str">
            <v>minute &amp; call</v>
          </cell>
        </row>
        <row r="889">
          <cell r="S889" t="str">
            <v>DOM REU RE314</v>
          </cell>
          <cell r="T889" t="str">
            <v>DOM</v>
          </cell>
          <cell r="U889" t="str">
            <v>REU</v>
          </cell>
          <cell r="V889" t="str">
            <v>RE314</v>
          </cell>
          <cell r="X889">
            <v>7.4999999999999997E-2</v>
          </cell>
          <cell r="Y889">
            <v>2.4E-2</v>
          </cell>
          <cell r="Z889">
            <v>7.4999999999999997E-2</v>
          </cell>
          <cell r="AA889">
            <v>2.4E-2</v>
          </cell>
          <cell r="AB889">
            <v>7.4999999999999997E-2</v>
          </cell>
          <cell r="AC889">
            <v>2.4E-2</v>
          </cell>
          <cell r="AD889">
            <v>7.4999999999999997E-2</v>
          </cell>
          <cell r="AE889">
            <v>2.4E-2</v>
          </cell>
          <cell r="AG889" t="str">
            <v/>
          </cell>
          <cell r="AH889" t="str">
            <v/>
          </cell>
          <cell r="AJ889">
            <v>7.4999999999999997E-2</v>
          </cell>
          <cell r="AK889">
            <v>2.4E-2</v>
          </cell>
          <cell r="AL889">
            <v>7.4999999999999997E-2</v>
          </cell>
          <cell r="AM889">
            <v>2.4E-2</v>
          </cell>
          <cell r="AN889">
            <v>7.4999999999999997E-2</v>
          </cell>
          <cell r="AO889">
            <v>2.4E-2</v>
          </cell>
          <cell r="AP889">
            <v>7.4999999999999997E-2</v>
          </cell>
          <cell r="AQ889">
            <v>2.4E-2</v>
          </cell>
          <cell r="AS889" t="str">
            <v/>
          </cell>
          <cell r="AT889" t="str">
            <v/>
          </cell>
          <cell r="AV889" t="b">
            <v>0</v>
          </cell>
          <cell r="AW889" t="str">
            <v>minute &amp; call</v>
          </cell>
        </row>
        <row r="890">
          <cell r="S890" t="str">
            <v>DOM REU RE315</v>
          </cell>
          <cell r="T890" t="str">
            <v>DOM</v>
          </cell>
          <cell r="U890" t="str">
            <v>REU</v>
          </cell>
          <cell r="V890" t="str">
            <v>RE315</v>
          </cell>
          <cell r="X890">
            <v>5.0999999999999997E-2</v>
          </cell>
          <cell r="Y890">
            <v>4.2999999999999997E-2</v>
          </cell>
          <cell r="Z890">
            <v>5.0999999999999997E-2</v>
          </cell>
          <cell r="AA890">
            <v>4.2999999999999997E-2</v>
          </cell>
          <cell r="AB890">
            <v>5.0999999999999997E-2</v>
          </cell>
          <cell r="AC890">
            <v>4.2999999999999997E-2</v>
          </cell>
          <cell r="AD890">
            <v>5.0999999999999997E-2</v>
          </cell>
          <cell r="AE890">
            <v>4.2999999999999997E-2</v>
          </cell>
          <cell r="AG890" t="str">
            <v/>
          </cell>
          <cell r="AH890" t="str">
            <v/>
          </cell>
          <cell r="AJ890">
            <v>5.0999999999999997E-2</v>
          </cell>
          <cell r="AK890">
            <v>4.2999999999999997E-2</v>
          </cell>
          <cell r="AL890">
            <v>5.0999999999999997E-2</v>
          </cell>
          <cell r="AM890">
            <v>4.2999999999999997E-2</v>
          </cell>
          <cell r="AN890">
            <v>5.0999999999999997E-2</v>
          </cell>
          <cell r="AO890">
            <v>4.2999999999999997E-2</v>
          </cell>
          <cell r="AP890">
            <v>5.0999999999999997E-2</v>
          </cell>
          <cell r="AQ890">
            <v>4.2999999999999997E-2</v>
          </cell>
          <cell r="AS890" t="str">
            <v/>
          </cell>
          <cell r="AT890" t="str">
            <v/>
          </cell>
          <cell r="AV890" t="b">
            <v>0</v>
          </cell>
          <cell r="AW890" t="str">
            <v>minute &amp; call</v>
          </cell>
        </row>
        <row r="891">
          <cell r="S891" t="str">
            <v>DOM REU RE316</v>
          </cell>
          <cell r="T891" t="str">
            <v>DOM</v>
          </cell>
          <cell r="U891" t="str">
            <v>REU</v>
          </cell>
          <cell r="V891" t="str">
            <v>RE316</v>
          </cell>
          <cell r="X891">
            <v>2.3E-2</v>
          </cell>
          <cell r="Y891">
            <v>6.5000000000000002E-2</v>
          </cell>
          <cell r="Z891">
            <v>2.3E-2</v>
          </cell>
          <cell r="AA891">
            <v>6.5000000000000002E-2</v>
          </cell>
          <cell r="AB891">
            <v>2.3E-2</v>
          </cell>
          <cell r="AC891">
            <v>6.5000000000000002E-2</v>
          </cell>
          <cell r="AD891">
            <v>2.3E-2</v>
          </cell>
          <cell r="AE891">
            <v>6.5000000000000002E-2</v>
          </cell>
          <cell r="AG891" t="str">
            <v/>
          </cell>
          <cell r="AH891" t="str">
            <v/>
          </cell>
          <cell r="AJ891">
            <v>2.3E-2</v>
          </cell>
          <cell r="AK891">
            <v>6.5000000000000002E-2</v>
          </cell>
          <cell r="AL891">
            <v>2.3E-2</v>
          </cell>
          <cell r="AM891">
            <v>6.5000000000000002E-2</v>
          </cell>
          <cell r="AN891">
            <v>2.3E-2</v>
          </cell>
          <cell r="AO891">
            <v>6.5000000000000002E-2</v>
          </cell>
          <cell r="AP891">
            <v>2.3E-2</v>
          </cell>
          <cell r="AQ891">
            <v>6.5000000000000002E-2</v>
          </cell>
          <cell r="AS891" t="str">
            <v/>
          </cell>
          <cell r="AT891" t="str">
            <v/>
          </cell>
          <cell r="AV891" t="b">
            <v>0</v>
          </cell>
          <cell r="AW891" t="str">
            <v>minute &amp; call</v>
          </cell>
        </row>
        <row r="892">
          <cell r="S892" t="str">
            <v>DOM REU RE317</v>
          </cell>
          <cell r="T892" t="str">
            <v>DOM</v>
          </cell>
          <cell r="U892" t="str">
            <v>REU</v>
          </cell>
          <cell r="V892" t="str">
            <v>RE317</v>
          </cell>
          <cell r="X892">
            <v>2.4E-2</v>
          </cell>
          <cell r="Y892">
            <v>7.5999999999999998E-2</v>
          </cell>
          <cell r="Z892">
            <v>2.4E-2</v>
          </cell>
          <cell r="AA892">
            <v>7.5999999999999998E-2</v>
          </cell>
          <cell r="AB892">
            <v>2.4E-2</v>
          </cell>
          <cell r="AC892">
            <v>7.5999999999999998E-2</v>
          </cell>
          <cell r="AD892">
            <v>2.4E-2</v>
          </cell>
          <cell r="AE892">
            <v>7.5999999999999998E-2</v>
          </cell>
          <cell r="AG892" t="str">
            <v/>
          </cell>
          <cell r="AH892" t="str">
            <v/>
          </cell>
          <cell r="AJ892">
            <v>2.4E-2</v>
          </cell>
          <cell r="AK892">
            <v>7.5999999999999998E-2</v>
          </cell>
          <cell r="AL892">
            <v>2.4E-2</v>
          </cell>
          <cell r="AM892">
            <v>7.5999999999999998E-2</v>
          </cell>
          <cell r="AN892">
            <v>2.4E-2</v>
          </cell>
          <cell r="AO892">
            <v>7.5999999999999998E-2</v>
          </cell>
          <cell r="AP892">
            <v>2.4E-2</v>
          </cell>
          <cell r="AQ892">
            <v>7.5999999999999998E-2</v>
          </cell>
          <cell r="AS892" t="str">
            <v/>
          </cell>
          <cell r="AT892" t="str">
            <v/>
          </cell>
          <cell r="AV892" t="b">
            <v>0</v>
          </cell>
          <cell r="AW892" t="str">
            <v>minute &amp; call</v>
          </cell>
        </row>
        <row r="893">
          <cell r="S893" t="str">
            <v>DOM REU RE318</v>
          </cell>
          <cell r="T893" t="str">
            <v>DOM</v>
          </cell>
          <cell r="U893" t="str">
            <v>REU</v>
          </cell>
          <cell r="V893" t="str">
            <v>RE318</v>
          </cell>
          <cell r="X893">
            <v>0</v>
          </cell>
          <cell r="Y893">
            <v>9.4E-2</v>
          </cell>
          <cell r="Z893">
            <v>0</v>
          </cell>
          <cell r="AA893">
            <v>9.4E-2</v>
          </cell>
          <cell r="AB893">
            <v>0</v>
          </cell>
          <cell r="AC893">
            <v>9.4E-2</v>
          </cell>
          <cell r="AD893">
            <v>0</v>
          </cell>
          <cell r="AE893">
            <v>9.4E-2</v>
          </cell>
          <cell r="AG893" t="str">
            <v/>
          </cell>
          <cell r="AH893" t="str">
            <v/>
          </cell>
          <cell r="AJ893">
            <v>0</v>
          </cell>
          <cell r="AK893">
            <v>9.4E-2</v>
          </cell>
          <cell r="AL893">
            <v>0</v>
          </cell>
          <cell r="AM893">
            <v>9.4E-2</v>
          </cell>
          <cell r="AN893">
            <v>0</v>
          </cell>
          <cell r="AO893">
            <v>9.4E-2</v>
          </cell>
          <cell r="AP893">
            <v>0</v>
          </cell>
          <cell r="AQ893">
            <v>9.4E-2</v>
          </cell>
          <cell r="AS893" t="str">
            <v/>
          </cell>
          <cell r="AT893" t="str">
            <v/>
          </cell>
          <cell r="AV893" t="b">
            <v>0</v>
          </cell>
          <cell r="AW893" t="str">
            <v>call</v>
          </cell>
        </row>
        <row r="894">
          <cell r="S894" t="str">
            <v>DOM REU RE319</v>
          </cell>
          <cell r="T894" t="str">
            <v>DOM</v>
          </cell>
          <cell r="U894" t="str">
            <v>REU</v>
          </cell>
          <cell r="V894" t="str">
            <v>RE319</v>
          </cell>
          <cell r="X894">
            <v>0.125</v>
          </cell>
          <cell r="Y894">
            <v>9.4E-2</v>
          </cell>
          <cell r="Z894">
            <v>0.125</v>
          </cell>
          <cell r="AA894">
            <v>9.4E-2</v>
          </cell>
          <cell r="AB894">
            <v>0.125</v>
          </cell>
          <cell r="AC894">
            <v>9.4E-2</v>
          </cell>
          <cell r="AD894">
            <v>0.125</v>
          </cell>
          <cell r="AE894">
            <v>9.4E-2</v>
          </cell>
          <cell r="AG894" t="str">
            <v/>
          </cell>
          <cell r="AH894" t="str">
            <v/>
          </cell>
          <cell r="AJ894">
            <v>0.125</v>
          </cell>
          <cell r="AK894">
            <v>9.4E-2</v>
          </cell>
          <cell r="AL894">
            <v>0.125</v>
          </cell>
          <cell r="AM894">
            <v>9.4E-2</v>
          </cell>
          <cell r="AN894">
            <v>0.125</v>
          </cell>
          <cell r="AO894">
            <v>9.4E-2</v>
          </cell>
          <cell r="AP894">
            <v>0.125</v>
          </cell>
          <cell r="AQ894">
            <v>9.4E-2</v>
          </cell>
          <cell r="AS894" t="str">
            <v/>
          </cell>
          <cell r="AT894" t="str">
            <v/>
          </cell>
          <cell r="AV894" t="b">
            <v>0</v>
          </cell>
          <cell r="AW894" t="str">
            <v>minute &amp; call</v>
          </cell>
        </row>
        <row r="895">
          <cell r="S895" t="str">
            <v>DOM REU RE320</v>
          </cell>
          <cell r="T895" t="str">
            <v>DOM</v>
          </cell>
          <cell r="U895" t="str">
            <v>REU</v>
          </cell>
          <cell r="V895" t="str">
            <v>RE320</v>
          </cell>
          <cell r="X895">
            <v>4.7E-2</v>
          </cell>
          <cell r="Y895">
            <v>0.14099999999999999</v>
          </cell>
          <cell r="Z895">
            <v>4.7E-2</v>
          </cell>
          <cell r="AA895">
            <v>0.14099999999999999</v>
          </cell>
          <cell r="AB895">
            <v>4.7E-2</v>
          </cell>
          <cell r="AC895">
            <v>0.14099999999999999</v>
          </cell>
          <cell r="AD895">
            <v>4.7E-2</v>
          </cell>
          <cell r="AE895">
            <v>0.14099999999999999</v>
          </cell>
          <cell r="AG895" t="str">
            <v/>
          </cell>
          <cell r="AH895" t="str">
            <v/>
          </cell>
          <cell r="AJ895">
            <v>4.7E-2</v>
          </cell>
          <cell r="AK895">
            <v>0.14099999999999999</v>
          </cell>
          <cell r="AL895">
            <v>4.7E-2</v>
          </cell>
          <cell r="AM895">
            <v>0.14099999999999999</v>
          </cell>
          <cell r="AN895">
            <v>4.7E-2</v>
          </cell>
          <cell r="AO895">
            <v>0.14099999999999999</v>
          </cell>
          <cell r="AP895">
            <v>4.7E-2</v>
          </cell>
          <cell r="AQ895">
            <v>0.14099999999999999</v>
          </cell>
          <cell r="AS895" t="str">
            <v/>
          </cell>
          <cell r="AT895" t="str">
            <v/>
          </cell>
          <cell r="AV895" t="b">
            <v>0</v>
          </cell>
          <cell r="AW895" t="str">
            <v>minute &amp; call</v>
          </cell>
        </row>
        <row r="896">
          <cell r="S896" t="str">
            <v>DOM REU RE321</v>
          </cell>
          <cell r="T896" t="str">
            <v>DOM</v>
          </cell>
          <cell r="U896" t="str">
            <v>REU</v>
          </cell>
          <cell r="V896" t="str">
            <v>RE321</v>
          </cell>
          <cell r="X896">
            <v>0</v>
          </cell>
          <cell r="Y896">
            <v>0.47</v>
          </cell>
          <cell r="Z896">
            <v>0</v>
          </cell>
          <cell r="AA896">
            <v>0.47</v>
          </cell>
          <cell r="AB896">
            <v>0</v>
          </cell>
          <cell r="AC896">
            <v>0.47</v>
          </cell>
          <cell r="AD896">
            <v>0</v>
          </cell>
          <cell r="AE896">
            <v>0.47</v>
          </cell>
          <cell r="AG896" t="str">
            <v/>
          </cell>
          <cell r="AH896" t="str">
            <v/>
          </cell>
          <cell r="AJ896">
            <v>0</v>
          </cell>
          <cell r="AK896">
            <v>0.47</v>
          </cell>
          <cell r="AL896">
            <v>0</v>
          </cell>
          <cell r="AM896">
            <v>0.47</v>
          </cell>
          <cell r="AN896">
            <v>0</v>
          </cell>
          <cell r="AO896">
            <v>0.47</v>
          </cell>
          <cell r="AP896">
            <v>0</v>
          </cell>
          <cell r="AQ896">
            <v>0.47</v>
          </cell>
          <cell r="AS896" t="str">
            <v/>
          </cell>
          <cell r="AT896" t="str">
            <v/>
          </cell>
          <cell r="AV896" t="b">
            <v>0</v>
          </cell>
          <cell r="AW896" t="str">
            <v>call</v>
          </cell>
        </row>
        <row r="897">
          <cell r="S897" t="str">
            <v>DOM REU REVAS</v>
          </cell>
          <cell r="T897" t="str">
            <v>DOM</v>
          </cell>
          <cell r="U897" t="str">
            <v>REU</v>
          </cell>
          <cell r="V897" t="str">
            <v>REVAS</v>
          </cell>
          <cell r="X897">
            <v>0.28100000000000003</v>
          </cell>
          <cell r="Y897">
            <v>1.1297999999999999</v>
          </cell>
          <cell r="Z897">
            <v>0.28100000000000003</v>
          </cell>
          <cell r="AA897">
            <v>1.1297999999999999</v>
          </cell>
          <cell r="AB897">
            <v>0.28100000000000003</v>
          </cell>
          <cell r="AC897">
            <v>1.1297999999999999</v>
          </cell>
          <cell r="AD897">
            <v>0.28100000000000003</v>
          </cell>
          <cell r="AE897">
            <v>1.1297999999999999</v>
          </cell>
          <cell r="AG897" t="str">
            <v/>
          </cell>
          <cell r="AH897" t="str">
            <v/>
          </cell>
          <cell r="AJ897">
            <v>0.28100000000000003</v>
          </cell>
          <cell r="AK897">
            <v>1.1297999999999999</v>
          </cell>
          <cell r="AL897">
            <v>0.28100000000000003</v>
          </cell>
          <cell r="AM897">
            <v>1.1297999999999999</v>
          </cell>
          <cell r="AN897">
            <v>0.28100000000000003</v>
          </cell>
          <cell r="AO897">
            <v>1.1297999999999999</v>
          </cell>
          <cell r="AP897">
            <v>0.28100000000000003</v>
          </cell>
          <cell r="AQ897">
            <v>1.1297999999999999</v>
          </cell>
          <cell r="AS897" t="str">
            <v/>
          </cell>
          <cell r="AT897" t="str">
            <v/>
          </cell>
          <cell r="AV897" t="b">
            <v>0</v>
          </cell>
          <cell r="AW897" t="str">
            <v>minute &amp; call</v>
          </cell>
        </row>
        <row r="898">
          <cell r="S898" t="str">
            <v>DOM REU RESOS</v>
          </cell>
          <cell r="T898" t="str">
            <v>DOM</v>
          </cell>
          <cell r="U898" t="str">
            <v>REU</v>
          </cell>
          <cell r="V898" t="str">
            <v>RESOS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 t="str">
            <v/>
          </cell>
          <cell r="AH898" t="str">
            <v/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S898" t="str">
            <v/>
          </cell>
          <cell r="AT898" t="str">
            <v/>
          </cell>
          <cell r="AV898" t="b">
            <v>0</v>
          </cell>
          <cell r="AW898" t="str">
            <v>minute</v>
          </cell>
        </row>
        <row r="899">
          <cell r="S899" t="str">
            <v>DOM REU RE860</v>
          </cell>
          <cell r="T899" t="str">
            <v>DOM</v>
          </cell>
          <cell r="U899" t="str">
            <v>REU</v>
          </cell>
          <cell r="V899" t="str">
            <v>RE860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 t="str">
            <v/>
          </cell>
          <cell r="AH899" t="str">
            <v/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S899" t="str">
            <v/>
          </cell>
          <cell r="AT899" t="str">
            <v/>
          </cell>
          <cell r="AV899" t="b">
            <v>0</v>
          </cell>
          <cell r="AW899" t="str">
            <v>minute</v>
          </cell>
        </row>
        <row r="900">
          <cell r="S900" t="str">
            <v>DOM REU RE82H</v>
          </cell>
          <cell r="T900" t="str">
            <v>DOM</v>
          </cell>
          <cell r="U900" t="str">
            <v>REU</v>
          </cell>
          <cell r="V900" t="str">
            <v>RE82H</v>
          </cell>
          <cell r="X900">
            <v>9.9000000000000005E-2</v>
          </cell>
          <cell r="Y900">
            <v>9.4E-2</v>
          </cell>
          <cell r="Z900">
            <v>9.9000000000000005E-2</v>
          </cell>
          <cell r="AA900">
            <v>9.4E-2</v>
          </cell>
          <cell r="AB900">
            <v>9.9000000000000005E-2</v>
          </cell>
          <cell r="AC900">
            <v>9.4E-2</v>
          </cell>
          <cell r="AD900">
            <v>9.9000000000000005E-2</v>
          </cell>
          <cell r="AE900">
            <v>9.4E-2</v>
          </cell>
          <cell r="AG900" t="str">
            <v/>
          </cell>
          <cell r="AH900" t="str">
            <v/>
          </cell>
          <cell r="AJ900">
            <v>9.9000000000000005E-2</v>
          </cell>
          <cell r="AK900">
            <v>9.4E-2</v>
          </cell>
          <cell r="AL900">
            <v>9.9000000000000005E-2</v>
          </cell>
          <cell r="AM900">
            <v>9.4E-2</v>
          </cell>
          <cell r="AN900">
            <v>9.9000000000000005E-2</v>
          </cell>
          <cell r="AO900">
            <v>9.4E-2</v>
          </cell>
          <cell r="AP900">
            <v>9.9000000000000005E-2</v>
          </cell>
          <cell r="AQ900">
            <v>9.4E-2</v>
          </cell>
          <cell r="AS900" t="str">
            <v/>
          </cell>
          <cell r="AT900" t="str">
            <v/>
          </cell>
          <cell r="AV900" t="b">
            <v>0</v>
          </cell>
          <cell r="AW900" t="str">
            <v>minute &amp; call</v>
          </cell>
        </row>
        <row r="901">
          <cell r="S901" t="str">
            <v>DOM REU RE82L</v>
          </cell>
          <cell r="T901" t="str">
            <v>DOM</v>
          </cell>
          <cell r="U901" t="str">
            <v>REU</v>
          </cell>
          <cell r="V901" t="str">
            <v>RE82L</v>
          </cell>
          <cell r="X901">
            <v>7.4999999999999997E-2</v>
          </cell>
          <cell r="Y901">
            <v>9.4E-2</v>
          </cell>
          <cell r="Z901">
            <v>7.4999999999999997E-2</v>
          </cell>
          <cell r="AA901">
            <v>9.4E-2</v>
          </cell>
          <cell r="AB901">
            <v>7.4999999999999997E-2</v>
          </cell>
          <cell r="AC901">
            <v>9.4E-2</v>
          </cell>
          <cell r="AD901">
            <v>7.4999999999999997E-2</v>
          </cell>
          <cell r="AE901">
            <v>9.4E-2</v>
          </cell>
          <cell r="AG901" t="str">
            <v/>
          </cell>
          <cell r="AH901" t="str">
            <v/>
          </cell>
          <cell r="AJ901">
            <v>7.4999999999999997E-2</v>
          </cell>
          <cell r="AK901">
            <v>9.4E-2</v>
          </cell>
          <cell r="AL901">
            <v>7.4999999999999997E-2</v>
          </cell>
          <cell r="AM901">
            <v>9.4E-2</v>
          </cell>
          <cell r="AN901">
            <v>7.4999999999999997E-2</v>
          </cell>
          <cell r="AO901">
            <v>9.4E-2</v>
          </cell>
          <cell r="AP901">
            <v>7.4999999999999997E-2</v>
          </cell>
          <cell r="AQ901">
            <v>9.4E-2</v>
          </cell>
          <cell r="AS901" t="str">
            <v/>
          </cell>
          <cell r="AT901" t="str">
            <v/>
          </cell>
          <cell r="AV901" t="b">
            <v>0</v>
          </cell>
          <cell r="AW901" t="str">
            <v>minute &amp; call</v>
          </cell>
        </row>
        <row r="902">
          <cell r="S902" t="str">
            <v>DOM REU RE825</v>
          </cell>
          <cell r="T902" t="str">
            <v>DOM</v>
          </cell>
          <cell r="U902" t="str">
            <v>REU</v>
          </cell>
          <cell r="V902" t="str">
            <v>RE825</v>
          </cell>
          <cell r="X902">
            <v>0.12529999999999999</v>
          </cell>
          <cell r="Y902">
            <v>0</v>
          </cell>
          <cell r="Z902">
            <v>0.12529999999999999</v>
          </cell>
          <cell r="AA902">
            <v>0</v>
          </cell>
          <cell r="AB902">
            <v>0.12529999999999999</v>
          </cell>
          <cell r="AC902">
            <v>0</v>
          </cell>
          <cell r="AD902">
            <v>0.12529999999999999</v>
          </cell>
          <cell r="AE902">
            <v>0</v>
          </cell>
          <cell r="AG902" t="str">
            <v/>
          </cell>
          <cell r="AH902" t="str">
            <v/>
          </cell>
          <cell r="AJ902">
            <v>0.12529999999999999</v>
          </cell>
          <cell r="AK902">
            <v>0</v>
          </cell>
          <cell r="AL902">
            <v>0.12529999999999999</v>
          </cell>
          <cell r="AM902">
            <v>0</v>
          </cell>
          <cell r="AN902">
            <v>0.12529999999999999</v>
          </cell>
          <cell r="AO902">
            <v>0</v>
          </cell>
          <cell r="AP902">
            <v>0.12529999999999999</v>
          </cell>
          <cell r="AQ902">
            <v>0</v>
          </cell>
          <cell r="AS902" t="str">
            <v/>
          </cell>
          <cell r="AT902" t="str">
            <v/>
          </cell>
          <cell r="AV902" t="b">
            <v>0</v>
          </cell>
          <cell r="AW902" t="str">
            <v>minute</v>
          </cell>
        </row>
        <row r="903">
          <cell r="S903" t="str">
            <v>DOM REU RE89H</v>
          </cell>
          <cell r="T903" t="str">
            <v>DOM</v>
          </cell>
          <cell r="U903" t="str">
            <v>REU</v>
          </cell>
          <cell r="V903" t="str">
            <v>RE89H</v>
          </cell>
          <cell r="X903">
            <v>0.12529999999999999</v>
          </cell>
          <cell r="Y903">
            <v>0</v>
          </cell>
          <cell r="Z903">
            <v>0.12529999999999999</v>
          </cell>
          <cell r="AA903">
            <v>0</v>
          </cell>
          <cell r="AB903">
            <v>0.12529999999999999</v>
          </cell>
          <cell r="AC903">
            <v>0</v>
          </cell>
          <cell r="AD903">
            <v>0.12529999999999999</v>
          </cell>
          <cell r="AE903">
            <v>0</v>
          </cell>
          <cell r="AG903" t="str">
            <v/>
          </cell>
          <cell r="AH903" t="str">
            <v/>
          </cell>
          <cell r="AJ903">
            <v>0.12529999999999999</v>
          </cell>
          <cell r="AK903">
            <v>0</v>
          </cell>
          <cell r="AL903">
            <v>0.12529999999999999</v>
          </cell>
          <cell r="AM903">
            <v>0</v>
          </cell>
          <cell r="AN903">
            <v>0.12529999999999999</v>
          </cell>
          <cell r="AO903">
            <v>0</v>
          </cell>
          <cell r="AP903">
            <v>0.12529999999999999</v>
          </cell>
          <cell r="AQ903">
            <v>0</v>
          </cell>
          <cell r="AS903" t="str">
            <v/>
          </cell>
          <cell r="AT903" t="str">
            <v/>
          </cell>
          <cell r="AV903" t="b">
            <v>0</v>
          </cell>
          <cell r="AW903" t="str">
            <v>minute</v>
          </cell>
        </row>
        <row r="904">
          <cell r="S904" t="str">
            <v>DOM REU RE89L</v>
          </cell>
          <cell r="T904" t="str">
            <v>DOM</v>
          </cell>
          <cell r="U904" t="str">
            <v>REU</v>
          </cell>
          <cell r="V904" t="str">
            <v>RE89L</v>
          </cell>
          <cell r="X904">
            <v>9.4E-2</v>
          </cell>
          <cell r="Y904">
            <v>0</v>
          </cell>
          <cell r="Z904">
            <v>9.4E-2</v>
          </cell>
          <cell r="AA904">
            <v>0</v>
          </cell>
          <cell r="AB904">
            <v>9.4E-2</v>
          </cell>
          <cell r="AC904">
            <v>0</v>
          </cell>
          <cell r="AD904">
            <v>9.4E-2</v>
          </cell>
          <cell r="AE904">
            <v>0</v>
          </cell>
          <cell r="AG904" t="str">
            <v/>
          </cell>
          <cell r="AH904" t="str">
            <v/>
          </cell>
          <cell r="AJ904">
            <v>9.4E-2</v>
          </cell>
          <cell r="AK904">
            <v>0</v>
          </cell>
          <cell r="AL904">
            <v>9.4E-2</v>
          </cell>
          <cell r="AM904">
            <v>0</v>
          </cell>
          <cell r="AN904">
            <v>9.4E-2</v>
          </cell>
          <cell r="AO904">
            <v>0</v>
          </cell>
          <cell r="AP904">
            <v>9.4E-2</v>
          </cell>
          <cell r="AQ904">
            <v>0</v>
          </cell>
          <cell r="AS904" t="str">
            <v/>
          </cell>
          <cell r="AT904" t="str">
            <v/>
          </cell>
          <cell r="AV904" t="b">
            <v>0</v>
          </cell>
          <cell r="AW904" t="str">
            <v>minute</v>
          </cell>
        </row>
        <row r="905">
          <cell r="S905" t="str">
            <v>DOM REU RE891</v>
          </cell>
          <cell r="T905" t="str">
            <v>DOM</v>
          </cell>
          <cell r="U905" t="str">
            <v>REU</v>
          </cell>
          <cell r="V905" t="str">
            <v>RE891</v>
          </cell>
          <cell r="X905">
            <v>0.188</v>
          </cell>
          <cell r="Y905">
            <v>0</v>
          </cell>
          <cell r="Z905">
            <v>0.188</v>
          </cell>
          <cell r="AA905">
            <v>0</v>
          </cell>
          <cell r="AB905">
            <v>0.188</v>
          </cell>
          <cell r="AC905">
            <v>0</v>
          </cell>
          <cell r="AD905">
            <v>0.188</v>
          </cell>
          <cell r="AE905">
            <v>0</v>
          </cell>
          <cell r="AG905" t="str">
            <v/>
          </cell>
          <cell r="AH905" t="str">
            <v/>
          </cell>
          <cell r="AJ905">
            <v>0.188</v>
          </cell>
          <cell r="AK905">
            <v>0</v>
          </cell>
          <cell r="AL905">
            <v>0.188</v>
          </cell>
          <cell r="AM905">
            <v>0</v>
          </cell>
          <cell r="AN905">
            <v>0.188</v>
          </cell>
          <cell r="AO905">
            <v>0</v>
          </cell>
          <cell r="AP905">
            <v>0.188</v>
          </cell>
          <cell r="AQ905">
            <v>0</v>
          </cell>
          <cell r="AS905" t="str">
            <v/>
          </cell>
          <cell r="AT905" t="str">
            <v/>
          </cell>
          <cell r="AV905" t="b">
            <v>0</v>
          </cell>
          <cell r="AW905" t="str">
            <v>minute</v>
          </cell>
        </row>
        <row r="906">
          <cell r="S906" t="str">
            <v>DOM REU RE892</v>
          </cell>
          <cell r="T906" t="str">
            <v>DOM</v>
          </cell>
          <cell r="U906" t="str">
            <v>REU</v>
          </cell>
          <cell r="V906" t="str">
            <v>RE892</v>
          </cell>
          <cell r="X906">
            <v>0.28199999999999997</v>
          </cell>
          <cell r="Y906">
            <v>0</v>
          </cell>
          <cell r="Z906">
            <v>0.28199999999999997</v>
          </cell>
          <cell r="AA906">
            <v>0</v>
          </cell>
          <cell r="AB906">
            <v>0.28199999999999997</v>
          </cell>
          <cell r="AC906">
            <v>0</v>
          </cell>
          <cell r="AD906">
            <v>0.28199999999999997</v>
          </cell>
          <cell r="AE906">
            <v>0</v>
          </cell>
          <cell r="AG906" t="str">
            <v/>
          </cell>
          <cell r="AH906" t="str">
            <v/>
          </cell>
          <cell r="AJ906">
            <v>0.28199999999999997</v>
          </cell>
          <cell r="AK906">
            <v>0</v>
          </cell>
          <cell r="AL906">
            <v>0.28199999999999997</v>
          </cell>
          <cell r="AM906">
            <v>0</v>
          </cell>
          <cell r="AN906">
            <v>0.28199999999999997</v>
          </cell>
          <cell r="AO906">
            <v>0</v>
          </cell>
          <cell r="AP906">
            <v>0.28199999999999997</v>
          </cell>
          <cell r="AQ906">
            <v>0</v>
          </cell>
          <cell r="AS906" t="str">
            <v/>
          </cell>
          <cell r="AT906" t="str">
            <v/>
          </cell>
          <cell r="AV906" t="b">
            <v>0</v>
          </cell>
          <cell r="AW906" t="str">
            <v>minute</v>
          </cell>
        </row>
        <row r="907">
          <cell r="S907" t="str">
            <v>DOM REU RE897</v>
          </cell>
          <cell r="T907" t="str">
            <v>DOM</v>
          </cell>
          <cell r="U907" t="str">
            <v>REU</v>
          </cell>
          <cell r="V907" t="str">
            <v>RE897</v>
          </cell>
          <cell r="X907">
            <v>0</v>
          </cell>
          <cell r="Y907">
            <v>0.47</v>
          </cell>
          <cell r="Z907">
            <v>0</v>
          </cell>
          <cell r="AA907">
            <v>0.47</v>
          </cell>
          <cell r="AB907">
            <v>0</v>
          </cell>
          <cell r="AC907">
            <v>0.47</v>
          </cell>
          <cell r="AD907">
            <v>0</v>
          </cell>
          <cell r="AE907">
            <v>0.47</v>
          </cell>
          <cell r="AG907" t="str">
            <v/>
          </cell>
          <cell r="AH907" t="str">
            <v/>
          </cell>
          <cell r="AJ907">
            <v>0</v>
          </cell>
          <cell r="AK907">
            <v>0.47</v>
          </cell>
          <cell r="AL907">
            <v>0</v>
          </cell>
          <cell r="AM907">
            <v>0.47</v>
          </cell>
          <cell r="AN907">
            <v>0</v>
          </cell>
          <cell r="AO907">
            <v>0.47</v>
          </cell>
          <cell r="AP907">
            <v>0</v>
          </cell>
          <cell r="AQ907">
            <v>0.47</v>
          </cell>
          <cell r="AS907" t="str">
            <v/>
          </cell>
          <cell r="AT907" t="str">
            <v/>
          </cell>
          <cell r="AV907" t="b">
            <v>0</v>
          </cell>
          <cell r="AW907" t="str">
            <v>call</v>
          </cell>
        </row>
        <row r="908">
          <cell r="S908" t="str">
            <v>DOM REU RE899</v>
          </cell>
          <cell r="T908" t="str">
            <v>DOM</v>
          </cell>
          <cell r="U908" t="str">
            <v>REU</v>
          </cell>
          <cell r="V908" t="str">
            <v>RE899</v>
          </cell>
          <cell r="X908">
            <v>0.28199999999999997</v>
          </cell>
          <cell r="Y908">
            <v>1.1276999999999999</v>
          </cell>
          <cell r="Z908">
            <v>0.28199999999999997</v>
          </cell>
          <cell r="AA908">
            <v>1.1276999999999999</v>
          </cell>
          <cell r="AB908">
            <v>0.28199999999999997</v>
          </cell>
          <cell r="AC908">
            <v>1.1276999999999999</v>
          </cell>
          <cell r="AD908">
            <v>0.28199999999999997</v>
          </cell>
          <cell r="AE908">
            <v>1.1276999999999999</v>
          </cell>
          <cell r="AG908" t="str">
            <v/>
          </cell>
          <cell r="AH908" t="str">
            <v/>
          </cell>
          <cell r="AJ908">
            <v>0.28199999999999997</v>
          </cell>
          <cell r="AK908">
            <v>1.1276999999999999</v>
          </cell>
          <cell r="AL908">
            <v>0.28199999999999997</v>
          </cell>
          <cell r="AM908">
            <v>1.1276999999999999</v>
          </cell>
          <cell r="AN908">
            <v>0.28199999999999997</v>
          </cell>
          <cell r="AO908">
            <v>1.1276999999999999</v>
          </cell>
          <cell r="AP908">
            <v>0.28199999999999997</v>
          </cell>
          <cell r="AQ908">
            <v>1.1276999999999999</v>
          </cell>
          <cell r="AS908" t="str">
            <v/>
          </cell>
          <cell r="AT908" t="str">
            <v/>
          </cell>
          <cell r="AV908" t="b">
            <v>0</v>
          </cell>
          <cell r="AW908" t="str">
            <v>minute &amp; call</v>
          </cell>
        </row>
        <row r="909">
          <cell r="S909" t="str">
            <v>DOM REU RE006</v>
          </cell>
          <cell r="T909" t="str">
            <v>DOM</v>
          </cell>
          <cell r="U909" t="str">
            <v>REU</v>
          </cell>
          <cell r="V909" t="str">
            <v>RE006</v>
          </cell>
          <cell r="X909">
            <v>0.28199999999999997</v>
          </cell>
          <cell r="Y909">
            <v>1.1279999999999999</v>
          </cell>
          <cell r="Z909">
            <v>0.28199999999999997</v>
          </cell>
          <cell r="AA909">
            <v>1.1279999999999999</v>
          </cell>
          <cell r="AB909">
            <v>0.28199999999999997</v>
          </cell>
          <cell r="AC909">
            <v>1.1279999999999999</v>
          </cell>
          <cell r="AD909">
            <v>0.28199999999999997</v>
          </cell>
          <cell r="AE909">
            <v>1.1279999999999999</v>
          </cell>
          <cell r="AG909" t="str">
            <v/>
          </cell>
          <cell r="AH909" t="str">
            <v/>
          </cell>
          <cell r="AJ909">
            <v>0.28199999999999997</v>
          </cell>
          <cell r="AK909">
            <v>1.1279999999999999</v>
          </cell>
          <cell r="AL909">
            <v>0.28199999999999997</v>
          </cell>
          <cell r="AM909">
            <v>1.1279999999999999</v>
          </cell>
          <cell r="AN909">
            <v>0.28199999999999997</v>
          </cell>
          <cell r="AO909">
            <v>1.1279999999999999</v>
          </cell>
          <cell r="AP909">
            <v>0.28199999999999997</v>
          </cell>
          <cell r="AQ909">
            <v>1.1279999999999999</v>
          </cell>
          <cell r="AS909" t="str">
            <v/>
          </cell>
          <cell r="AT909" t="str">
            <v/>
          </cell>
          <cell r="AV909" t="b">
            <v>0</v>
          </cell>
          <cell r="AW909" t="str">
            <v>minute &amp; call</v>
          </cell>
        </row>
        <row r="910">
          <cell r="S910" t="str">
            <v>DOM REU RE218</v>
          </cell>
          <cell r="T910" t="str">
            <v>DOM</v>
          </cell>
          <cell r="U910" t="str">
            <v>REU</v>
          </cell>
          <cell r="V910" t="str">
            <v>RE218</v>
          </cell>
          <cell r="X910">
            <v>0.752</v>
          </cell>
          <cell r="Y910">
            <v>0.752</v>
          </cell>
          <cell r="Z910">
            <v>0.752</v>
          </cell>
          <cell r="AA910">
            <v>0.752</v>
          </cell>
          <cell r="AB910">
            <v>0.752</v>
          </cell>
          <cell r="AC910">
            <v>0.752</v>
          </cell>
          <cell r="AD910">
            <v>0.752</v>
          </cell>
          <cell r="AE910">
            <v>0.752</v>
          </cell>
          <cell r="AG910" t="str">
            <v/>
          </cell>
          <cell r="AH910" t="str">
            <v/>
          </cell>
          <cell r="AJ910">
            <v>0.752</v>
          </cell>
          <cell r="AK910">
            <v>0.752</v>
          </cell>
          <cell r="AL910">
            <v>0.752</v>
          </cell>
          <cell r="AM910">
            <v>0.752</v>
          </cell>
          <cell r="AN910">
            <v>0.752</v>
          </cell>
          <cell r="AO910">
            <v>0.752</v>
          </cell>
          <cell r="AP910">
            <v>0.752</v>
          </cell>
          <cell r="AQ910">
            <v>0.752</v>
          </cell>
          <cell r="AS910" t="str">
            <v/>
          </cell>
          <cell r="AT910" t="str">
            <v/>
          </cell>
          <cell r="AV910" t="b">
            <v>0</v>
          </cell>
          <cell r="AW910" t="str">
            <v>minute &amp; call</v>
          </cell>
        </row>
        <row r="911">
          <cell r="S911" t="str">
            <v>DOM REU RE222</v>
          </cell>
          <cell r="T911" t="str">
            <v>DOM</v>
          </cell>
          <cell r="U911" t="str">
            <v>REU</v>
          </cell>
          <cell r="V911" t="str">
            <v>RE222</v>
          </cell>
          <cell r="X911">
            <v>0.188</v>
          </cell>
          <cell r="Y911">
            <v>1.1279999999999999</v>
          </cell>
          <cell r="Z911">
            <v>0.188</v>
          </cell>
          <cell r="AA911">
            <v>1.1279999999999999</v>
          </cell>
          <cell r="AB911">
            <v>0.188</v>
          </cell>
          <cell r="AC911">
            <v>1.1279999999999999</v>
          </cell>
          <cell r="AD911">
            <v>0.188</v>
          </cell>
          <cell r="AE911">
            <v>1.1279999999999999</v>
          </cell>
          <cell r="AG911" t="str">
            <v/>
          </cell>
          <cell r="AH911" t="str">
            <v/>
          </cell>
          <cell r="AJ911">
            <v>0.188</v>
          </cell>
          <cell r="AK911">
            <v>1.1279999999999999</v>
          </cell>
          <cell r="AL911">
            <v>0.188</v>
          </cell>
          <cell r="AM911">
            <v>1.1279999999999999</v>
          </cell>
          <cell r="AN911">
            <v>0.188</v>
          </cell>
          <cell r="AO911">
            <v>1.1279999999999999</v>
          </cell>
          <cell r="AP911">
            <v>0.188</v>
          </cell>
          <cell r="AQ911">
            <v>1.1279999999999999</v>
          </cell>
          <cell r="AS911" t="str">
            <v/>
          </cell>
          <cell r="AT911" t="str">
            <v/>
          </cell>
          <cell r="AV911" t="b">
            <v>0</v>
          </cell>
          <cell r="AW911" t="str">
            <v>minute &amp; call</v>
          </cell>
        </row>
        <row r="912">
          <cell r="S912" t="str">
            <v>DOM REU RE700</v>
          </cell>
          <cell r="T912" t="str">
            <v>DOM</v>
          </cell>
          <cell r="U912" t="str">
            <v>REU</v>
          </cell>
          <cell r="V912" t="str">
            <v>RE700</v>
          </cell>
          <cell r="X912">
            <v>0</v>
          </cell>
          <cell r="Y912">
            <v>2.5099999999999998</v>
          </cell>
          <cell r="Z912">
            <v>0</v>
          </cell>
          <cell r="AA912">
            <v>2.5099999999999998</v>
          </cell>
          <cell r="AB912">
            <v>0</v>
          </cell>
          <cell r="AC912">
            <v>2.5099999999999998</v>
          </cell>
          <cell r="AD912">
            <v>0</v>
          </cell>
          <cell r="AE912">
            <v>2.5099999999999998</v>
          </cell>
          <cell r="AG912" t="str">
            <v/>
          </cell>
          <cell r="AH912" t="str">
            <v/>
          </cell>
          <cell r="AJ912">
            <v>0</v>
          </cell>
          <cell r="AK912">
            <v>2.5099999999999998</v>
          </cell>
          <cell r="AL912">
            <v>0</v>
          </cell>
          <cell r="AM912">
            <v>2.5099999999999998</v>
          </cell>
          <cell r="AN912">
            <v>0</v>
          </cell>
          <cell r="AO912">
            <v>2.5099999999999998</v>
          </cell>
          <cell r="AP912">
            <v>0</v>
          </cell>
          <cell r="AQ912">
            <v>2.5099999999999998</v>
          </cell>
          <cell r="AS912" t="str">
            <v/>
          </cell>
          <cell r="AT912" t="str">
            <v/>
          </cell>
          <cell r="AV912" t="b">
            <v>0</v>
          </cell>
          <cell r="AW912" t="str">
            <v>call</v>
          </cell>
        </row>
        <row r="913">
          <cell r="S913" t="str">
            <v>DOM REU RE710</v>
          </cell>
          <cell r="T913" t="str">
            <v>DOM</v>
          </cell>
          <cell r="U913" t="str">
            <v>REU</v>
          </cell>
          <cell r="V913" t="str">
            <v>RE710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 t="str">
            <v/>
          </cell>
          <cell r="AH913" t="str">
            <v/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S913" t="str">
            <v/>
          </cell>
          <cell r="AT913" t="str">
            <v/>
          </cell>
          <cell r="AV913" t="b">
            <v>0</v>
          </cell>
          <cell r="AW913" t="str">
            <v>minute</v>
          </cell>
        </row>
        <row r="914">
          <cell r="S914" t="str">
            <v>DOM REU RE711</v>
          </cell>
          <cell r="T914" t="str">
            <v>DOM</v>
          </cell>
          <cell r="U914" t="str">
            <v>REU</v>
          </cell>
          <cell r="V914" t="str">
            <v>RE711</v>
          </cell>
          <cell r="X914">
            <v>0.28199999999999997</v>
          </cell>
          <cell r="Y914">
            <v>0.65800000000000003</v>
          </cell>
          <cell r="Z914">
            <v>0.28199999999999997</v>
          </cell>
          <cell r="AA914">
            <v>0.65800000000000003</v>
          </cell>
          <cell r="AB914">
            <v>0.28199999999999997</v>
          </cell>
          <cell r="AC914">
            <v>0.65800000000000003</v>
          </cell>
          <cell r="AD914">
            <v>0.28199999999999997</v>
          </cell>
          <cell r="AE914">
            <v>0.65800000000000003</v>
          </cell>
          <cell r="AG914" t="str">
            <v/>
          </cell>
          <cell r="AH914" t="str">
            <v/>
          </cell>
          <cell r="AJ914">
            <v>0.28199999999999997</v>
          </cell>
          <cell r="AK914">
            <v>0.65800000000000003</v>
          </cell>
          <cell r="AL914">
            <v>0.28199999999999997</v>
          </cell>
          <cell r="AM914">
            <v>0.65800000000000003</v>
          </cell>
          <cell r="AN914">
            <v>0.28199999999999997</v>
          </cell>
          <cell r="AO914">
            <v>0.65800000000000003</v>
          </cell>
          <cell r="AP914">
            <v>0.28199999999999997</v>
          </cell>
          <cell r="AQ914">
            <v>0.65800000000000003</v>
          </cell>
          <cell r="AS914" t="str">
            <v/>
          </cell>
          <cell r="AT914" t="str">
            <v/>
          </cell>
          <cell r="AV914" t="b">
            <v>0</v>
          </cell>
          <cell r="AW914" t="str">
            <v>minute &amp; call</v>
          </cell>
        </row>
        <row r="915">
          <cell r="S915" t="str">
            <v>DOM REU RE712</v>
          </cell>
          <cell r="T915" t="str">
            <v>DOM</v>
          </cell>
          <cell r="U915" t="str">
            <v>REU</v>
          </cell>
          <cell r="V915" t="str">
            <v>RE712</v>
          </cell>
          <cell r="X915">
            <v>0.376</v>
          </cell>
          <cell r="Y915">
            <v>1.222</v>
          </cell>
          <cell r="Z915">
            <v>0.376</v>
          </cell>
          <cell r="AA915">
            <v>1.222</v>
          </cell>
          <cell r="AB915">
            <v>0.376</v>
          </cell>
          <cell r="AC915">
            <v>1.222</v>
          </cell>
          <cell r="AD915">
            <v>0.376</v>
          </cell>
          <cell r="AE915">
            <v>1.222</v>
          </cell>
          <cell r="AG915" t="str">
            <v/>
          </cell>
          <cell r="AH915" t="str">
            <v/>
          </cell>
          <cell r="AJ915">
            <v>0.376</v>
          </cell>
          <cell r="AK915">
            <v>1.222</v>
          </cell>
          <cell r="AL915">
            <v>0.376</v>
          </cell>
          <cell r="AM915">
            <v>1.222</v>
          </cell>
          <cell r="AN915">
            <v>0.376</v>
          </cell>
          <cell r="AO915">
            <v>1.222</v>
          </cell>
          <cell r="AP915">
            <v>0.376</v>
          </cell>
          <cell r="AQ915">
            <v>1.222</v>
          </cell>
          <cell r="AS915" t="str">
            <v/>
          </cell>
          <cell r="AT915" t="str">
            <v/>
          </cell>
          <cell r="AV915" t="b">
            <v>0</v>
          </cell>
          <cell r="AW915" t="str">
            <v>minute &amp; call</v>
          </cell>
        </row>
        <row r="916">
          <cell r="S916" t="str">
            <v>DOM REU RE888</v>
          </cell>
          <cell r="T916" t="str">
            <v>DOM</v>
          </cell>
          <cell r="U916" t="str">
            <v>REU</v>
          </cell>
          <cell r="V916" t="str">
            <v>RE888</v>
          </cell>
          <cell r="X916">
            <v>9.4E-2</v>
          </cell>
          <cell r="Y916">
            <v>0.94</v>
          </cell>
          <cell r="Z916">
            <v>9.4E-2</v>
          </cell>
          <cell r="AA916">
            <v>0.94</v>
          </cell>
          <cell r="AB916">
            <v>9.4E-2</v>
          </cell>
          <cell r="AC916">
            <v>0.94</v>
          </cell>
          <cell r="AD916">
            <v>9.4E-2</v>
          </cell>
          <cell r="AE916">
            <v>0.94</v>
          </cell>
          <cell r="AG916" t="str">
            <v/>
          </cell>
          <cell r="AH916" t="str">
            <v/>
          </cell>
          <cell r="AJ916">
            <v>9.4E-2</v>
          </cell>
          <cell r="AK916">
            <v>0.94</v>
          </cell>
          <cell r="AL916">
            <v>9.4E-2</v>
          </cell>
          <cell r="AM916">
            <v>0.94</v>
          </cell>
          <cell r="AN916">
            <v>9.4E-2</v>
          </cell>
          <cell r="AO916">
            <v>0.94</v>
          </cell>
          <cell r="AP916">
            <v>9.4E-2</v>
          </cell>
          <cell r="AQ916">
            <v>0.94</v>
          </cell>
          <cell r="AS916" t="str">
            <v/>
          </cell>
          <cell r="AT916" t="str">
            <v/>
          </cell>
          <cell r="AV916" t="b">
            <v>0</v>
          </cell>
          <cell r="AW916" t="str">
            <v>minute &amp; call</v>
          </cell>
        </row>
        <row r="917">
          <cell r="S917" t="str">
            <v>DOM REU REFRE</v>
          </cell>
          <cell r="T917" t="str">
            <v>DOM</v>
          </cell>
          <cell r="U917" t="str">
            <v>REU</v>
          </cell>
          <cell r="V917" t="str">
            <v>REFRE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 t="str">
            <v/>
          </cell>
          <cell r="AH917" t="str">
            <v/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S917" t="str">
            <v/>
          </cell>
          <cell r="AT917" t="str">
            <v/>
          </cell>
          <cell r="AV917" t="b">
            <v>0</v>
          </cell>
          <cell r="AW917" t="str">
            <v>minute</v>
          </cell>
        </row>
        <row r="918">
          <cell r="S918" t="str">
            <v>DOM REU RE810</v>
          </cell>
          <cell r="T918" t="str">
            <v>DOM</v>
          </cell>
          <cell r="U918" t="str">
            <v>REU</v>
          </cell>
          <cell r="V918" t="str">
            <v>RE810</v>
          </cell>
          <cell r="X918">
            <v>2.3E-2</v>
          </cell>
          <cell r="Y918">
            <v>6.5000000000000002E-2</v>
          </cell>
          <cell r="Z918">
            <v>2.3E-2</v>
          </cell>
          <cell r="AA918">
            <v>6.5000000000000002E-2</v>
          </cell>
          <cell r="AB918">
            <v>2.3E-2</v>
          </cell>
          <cell r="AC918">
            <v>6.5000000000000002E-2</v>
          </cell>
          <cell r="AD918">
            <v>2.3E-2</v>
          </cell>
          <cell r="AE918">
            <v>6.5000000000000002E-2</v>
          </cell>
          <cell r="AG918" t="str">
            <v/>
          </cell>
          <cell r="AH918" t="str">
            <v/>
          </cell>
          <cell r="AJ918">
            <v>2.3E-2</v>
          </cell>
          <cell r="AK918">
            <v>6.5000000000000002E-2</v>
          </cell>
          <cell r="AL918">
            <v>2.3E-2</v>
          </cell>
          <cell r="AM918">
            <v>6.5000000000000002E-2</v>
          </cell>
          <cell r="AN918">
            <v>2.3E-2</v>
          </cell>
          <cell r="AO918">
            <v>6.5000000000000002E-2</v>
          </cell>
          <cell r="AP918">
            <v>2.3E-2</v>
          </cell>
          <cell r="AQ918">
            <v>6.5000000000000002E-2</v>
          </cell>
          <cell r="AS918" t="str">
            <v/>
          </cell>
          <cell r="AT918" t="str">
            <v/>
          </cell>
          <cell r="AV918" t="b">
            <v>0</v>
          </cell>
          <cell r="AW918" t="str">
            <v>minute &amp; call</v>
          </cell>
        </row>
        <row r="919">
          <cell r="S919" t="str">
            <v>DOM ROM MOB</v>
          </cell>
          <cell r="T919" t="str">
            <v>DOM</v>
          </cell>
          <cell r="U919" t="str">
            <v>ROM</v>
          </cell>
          <cell r="V919" t="str">
            <v>MOB</v>
          </cell>
          <cell r="X919">
            <v>5.3900000000000003E-2</v>
          </cell>
          <cell r="Y919">
            <v>0</v>
          </cell>
          <cell r="Z919">
            <v>5.04E-2</v>
          </cell>
          <cell r="AA919">
            <v>0</v>
          </cell>
          <cell r="AB919">
            <v>4.7100000000000003E-2</v>
          </cell>
          <cell r="AC919">
            <v>0</v>
          </cell>
          <cell r="AD919">
            <v>4.3999999999999997E-2</v>
          </cell>
          <cell r="AE919">
            <v>0</v>
          </cell>
          <cell r="AG919" t="str">
            <v/>
          </cell>
          <cell r="AH919" t="str">
            <v/>
          </cell>
          <cell r="AJ919">
            <v>5.3900000000000003E-2</v>
          </cell>
          <cell r="AK919">
            <v>0</v>
          </cell>
          <cell r="AL919">
            <v>5.04E-2</v>
          </cell>
          <cell r="AM919">
            <v>0</v>
          </cell>
          <cell r="AN919">
            <v>4.7100000000000003E-2</v>
          </cell>
          <cell r="AO919">
            <v>0</v>
          </cell>
          <cell r="AP919">
            <v>4.3999999999999997E-2</v>
          </cell>
          <cell r="AQ919">
            <v>0</v>
          </cell>
          <cell r="AS919" t="str">
            <v/>
          </cell>
          <cell r="AT919" t="str">
            <v/>
          </cell>
          <cell r="AV919" t="b">
            <v>1</v>
          </cell>
          <cell r="AW919" t="str">
            <v>minute</v>
          </cell>
        </row>
        <row r="920">
          <cell r="S920" t="str">
            <v>DOM ROM ROMOR</v>
          </cell>
          <cell r="T920" t="str">
            <v>DOM</v>
          </cell>
          <cell r="U920" t="str">
            <v>ROM</v>
          </cell>
          <cell r="V920" t="str">
            <v>ROMOR</v>
          </cell>
          <cell r="X920">
            <v>5.3900000000000003E-2</v>
          </cell>
          <cell r="Y920">
            <v>0</v>
          </cell>
          <cell r="Z920">
            <v>5.04E-2</v>
          </cell>
          <cell r="AA920">
            <v>0</v>
          </cell>
          <cell r="AB920">
            <v>4.7100000000000003E-2</v>
          </cell>
          <cell r="AC920">
            <v>0</v>
          </cell>
          <cell r="AD920">
            <v>4.3999999999999997E-2</v>
          </cell>
          <cell r="AE920">
            <v>0</v>
          </cell>
          <cell r="AG920" t="str">
            <v/>
          </cell>
          <cell r="AH920" t="str">
            <v/>
          </cell>
          <cell r="AJ920">
            <v>5.3900000000000003E-2</v>
          </cell>
          <cell r="AK920">
            <v>0</v>
          </cell>
          <cell r="AL920">
            <v>5.04E-2</v>
          </cell>
          <cell r="AM920">
            <v>0</v>
          </cell>
          <cell r="AN920">
            <v>4.7100000000000003E-2</v>
          </cell>
          <cell r="AO920">
            <v>0</v>
          </cell>
          <cell r="AP920">
            <v>4.3999999999999997E-2</v>
          </cell>
          <cell r="AQ920">
            <v>0</v>
          </cell>
          <cell r="AS920" t="str">
            <v/>
          </cell>
          <cell r="AT920" t="str">
            <v/>
          </cell>
          <cell r="AV920" t="b">
            <v>1</v>
          </cell>
          <cell r="AW920" t="str">
            <v>minute</v>
          </cell>
        </row>
        <row r="921">
          <cell r="S921" t="str">
            <v>DOM ROM FIX</v>
          </cell>
          <cell r="T921" t="str">
            <v>DOM</v>
          </cell>
          <cell r="U921" t="str">
            <v>ROM</v>
          </cell>
          <cell r="V921" t="str">
            <v>FIX</v>
          </cell>
          <cell r="X921">
            <v>1.9599999999999999E-2</v>
          </cell>
          <cell r="Y921">
            <v>0</v>
          </cell>
          <cell r="Z921">
            <v>1.83E-2</v>
          </cell>
          <cell r="AA921">
            <v>0</v>
          </cell>
          <cell r="AB921">
            <v>1.7100000000000001E-2</v>
          </cell>
          <cell r="AC921">
            <v>0</v>
          </cell>
          <cell r="AD921">
            <v>1.6E-2</v>
          </cell>
          <cell r="AE921">
            <v>0</v>
          </cell>
          <cell r="AG921" t="str">
            <v/>
          </cell>
          <cell r="AH921" t="str">
            <v/>
          </cell>
          <cell r="AJ921">
            <v>1.9599999999999999E-2</v>
          </cell>
          <cell r="AK921">
            <v>0</v>
          </cell>
          <cell r="AL921">
            <v>1.83E-2</v>
          </cell>
          <cell r="AM921">
            <v>0</v>
          </cell>
          <cell r="AN921">
            <v>1.7100000000000001E-2</v>
          </cell>
          <cell r="AO921">
            <v>0</v>
          </cell>
          <cell r="AP921">
            <v>1.6E-2</v>
          </cell>
          <cell r="AQ921">
            <v>0</v>
          </cell>
          <cell r="AS921" t="str">
            <v/>
          </cell>
          <cell r="AT921" t="str">
            <v/>
          </cell>
          <cell r="AV921" t="b">
            <v>1</v>
          </cell>
          <cell r="AW921" t="str">
            <v>minute</v>
          </cell>
        </row>
        <row r="922">
          <cell r="S922" t="str">
            <v>DOM SMR MOB</v>
          </cell>
          <cell r="T922" t="str">
            <v>DOM</v>
          </cell>
          <cell r="U922" t="str">
            <v>SMR</v>
          </cell>
          <cell r="V922" t="str">
            <v>MOB</v>
          </cell>
          <cell r="X922">
            <v>0.3846</v>
          </cell>
          <cell r="Y922">
            <v>0</v>
          </cell>
          <cell r="Z922">
            <v>0.33439999999999998</v>
          </cell>
          <cell r="AA922">
            <v>0</v>
          </cell>
          <cell r="AB922">
            <v>0.2908</v>
          </cell>
          <cell r="AC922">
            <v>0</v>
          </cell>
          <cell r="AD922">
            <v>0.25290000000000001</v>
          </cell>
          <cell r="AE922">
            <v>0</v>
          </cell>
          <cell r="AG922" t="str">
            <v/>
          </cell>
          <cell r="AH922" t="str">
            <v/>
          </cell>
          <cell r="AJ922">
            <v>0.3846</v>
          </cell>
          <cell r="AK922">
            <v>0</v>
          </cell>
          <cell r="AL922">
            <v>0.33439999999999998</v>
          </cell>
          <cell r="AM922">
            <v>0</v>
          </cell>
          <cell r="AN922">
            <v>0.2908</v>
          </cell>
          <cell r="AO922">
            <v>0</v>
          </cell>
          <cell r="AP922">
            <v>0.25290000000000001</v>
          </cell>
          <cell r="AQ922">
            <v>0</v>
          </cell>
          <cell r="AS922" t="str">
            <v/>
          </cell>
          <cell r="AT922" t="str">
            <v/>
          </cell>
          <cell r="AV922" t="b">
            <v>1</v>
          </cell>
          <cell r="AW922" t="str">
            <v>minute</v>
          </cell>
        </row>
        <row r="923">
          <cell r="S923" t="str">
            <v>DOM SMR FIX</v>
          </cell>
          <cell r="T923" t="str">
            <v>DOM</v>
          </cell>
          <cell r="U923" t="str">
            <v>SMR</v>
          </cell>
          <cell r="V923" t="str">
            <v>FIX</v>
          </cell>
          <cell r="X923">
            <v>0.2969</v>
          </cell>
          <cell r="Y923">
            <v>0</v>
          </cell>
          <cell r="Z923">
            <v>0.2581</v>
          </cell>
          <cell r="AA923">
            <v>0</v>
          </cell>
          <cell r="AB923">
            <v>0.22450000000000001</v>
          </cell>
          <cell r="AC923">
            <v>0</v>
          </cell>
          <cell r="AD923">
            <v>0.19520000000000001</v>
          </cell>
          <cell r="AE923">
            <v>0</v>
          </cell>
          <cell r="AG923" t="str">
            <v/>
          </cell>
          <cell r="AH923" t="str">
            <v/>
          </cell>
          <cell r="AJ923">
            <v>0.2969</v>
          </cell>
          <cell r="AK923">
            <v>0</v>
          </cell>
          <cell r="AL923">
            <v>0.2581</v>
          </cell>
          <cell r="AM923">
            <v>0</v>
          </cell>
          <cell r="AN923">
            <v>0.22450000000000001</v>
          </cell>
          <cell r="AO923">
            <v>0</v>
          </cell>
          <cell r="AP923">
            <v>0.19520000000000001</v>
          </cell>
          <cell r="AQ923">
            <v>0</v>
          </cell>
          <cell r="AS923" t="str">
            <v/>
          </cell>
          <cell r="AT923" t="str">
            <v/>
          </cell>
          <cell r="AV923" t="b">
            <v>1</v>
          </cell>
          <cell r="AW923" t="str">
            <v>minute</v>
          </cell>
        </row>
        <row r="924">
          <cell r="S924" t="str">
            <v>DOM SGP MOBSG</v>
          </cell>
          <cell r="T924" t="str">
            <v>DOM</v>
          </cell>
          <cell r="U924" t="str">
            <v>SGP</v>
          </cell>
          <cell r="V924" t="str">
            <v>MOBSG</v>
          </cell>
          <cell r="X924">
            <v>2.7300000000000001E-2</v>
          </cell>
          <cell r="Y924">
            <v>0</v>
          </cell>
          <cell r="Z924">
            <v>2.46E-2</v>
          </cell>
          <cell r="AA924">
            <v>0</v>
          </cell>
          <cell r="AB924">
            <v>2.3300000000000001E-2</v>
          </cell>
          <cell r="AC924">
            <v>0</v>
          </cell>
          <cell r="AD924">
            <v>2.18E-2</v>
          </cell>
          <cell r="AE924">
            <v>0</v>
          </cell>
          <cell r="AG924" t="str">
            <v/>
          </cell>
          <cell r="AH924" t="str">
            <v/>
          </cell>
          <cell r="AJ924">
            <v>2.7300000000000001E-2</v>
          </cell>
          <cell r="AK924">
            <v>0</v>
          </cell>
          <cell r="AL924">
            <v>2.46E-2</v>
          </cell>
          <cell r="AM924">
            <v>0</v>
          </cell>
          <cell r="AN924">
            <v>2.3300000000000001E-2</v>
          </cell>
          <cell r="AO924">
            <v>0</v>
          </cell>
          <cell r="AP924">
            <v>2.18E-2</v>
          </cell>
          <cell r="AQ924">
            <v>0</v>
          </cell>
          <cell r="AS924" t="str">
            <v/>
          </cell>
          <cell r="AT924" t="str">
            <v/>
          </cell>
          <cell r="AV924" t="b">
            <v>1</v>
          </cell>
          <cell r="AW924" t="str">
            <v>minute</v>
          </cell>
        </row>
        <row r="925">
          <cell r="S925" t="str">
            <v>DOM SGP FIXSG</v>
          </cell>
          <cell r="T925" t="str">
            <v>DOM</v>
          </cell>
          <cell r="U925" t="str">
            <v>SGP</v>
          </cell>
          <cell r="V925" t="str">
            <v>FIXSG</v>
          </cell>
          <cell r="X925">
            <v>2.1000000000000001E-2</v>
          </cell>
          <cell r="Y925">
            <v>0</v>
          </cell>
          <cell r="Z925">
            <v>1.89E-2</v>
          </cell>
          <cell r="AA925">
            <v>0</v>
          </cell>
          <cell r="AB925">
            <v>1.7899999999999999E-2</v>
          </cell>
          <cell r="AC925">
            <v>0</v>
          </cell>
          <cell r="AD925">
            <v>1.6799999999999999E-2</v>
          </cell>
          <cell r="AE925">
            <v>0</v>
          </cell>
          <cell r="AG925" t="str">
            <v/>
          </cell>
          <cell r="AH925" t="str">
            <v/>
          </cell>
          <cell r="AJ925">
            <v>2.1000000000000001E-2</v>
          </cell>
          <cell r="AK925">
            <v>0</v>
          </cell>
          <cell r="AL925">
            <v>1.89E-2</v>
          </cell>
          <cell r="AM925">
            <v>0</v>
          </cell>
          <cell r="AN925">
            <v>1.7899999999999999E-2</v>
          </cell>
          <cell r="AO925">
            <v>0</v>
          </cell>
          <cell r="AP925">
            <v>1.6799999999999999E-2</v>
          </cell>
          <cell r="AQ925">
            <v>0</v>
          </cell>
          <cell r="AS925" t="str">
            <v/>
          </cell>
          <cell r="AT925" t="str">
            <v/>
          </cell>
          <cell r="AV925" t="b">
            <v>1</v>
          </cell>
          <cell r="AW925" t="str">
            <v>minute</v>
          </cell>
        </row>
        <row r="926">
          <cell r="S926" t="str">
            <v>DOM SVK SKMOR</v>
          </cell>
          <cell r="T926" t="str">
            <v>DOM</v>
          </cell>
          <cell r="U926" t="str">
            <v>SVK</v>
          </cell>
          <cell r="V926" t="str">
            <v>SKMOR</v>
          </cell>
          <cell r="X926">
            <v>0.12429999999999999</v>
          </cell>
          <cell r="Y926">
            <v>0</v>
          </cell>
          <cell r="Z926">
            <v>0.1162</v>
          </cell>
          <cell r="AA926">
            <v>0</v>
          </cell>
          <cell r="AB926">
            <v>0.1086</v>
          </cell>
          <cell r="AC926">
            <v>0</v>
          </cell>
          <cell r="AD926">
            <v>0.10150000000000001</v>
          </cell>
          <cell r="AE926">
            <v>0</v>
          </cell>
          <cell r="AG926" t="str">
            <v/>
          </cell>
          <cell r="AH926" t="str">
            <v/>
          </cell>
          <cell r="AJ926">
            <v>0.12429999999999999</v>
          </cell>
          <cell r="AK926">
            <v>0</v>
          </cell>
          <cell r="AL926">
            <v>0.1162</v>
          </cell>
          <cell r="AM926">
            <v>0</v>
          </cell>
          <cell r="AN926">
            <v>0.1086</v>
          </cell>
          <cell r="AO926">
            <v>0</v>
          </cell>
          <cell r="AP926">
            <v>0.10150000000000001</v>
          </cell>
          <cell r="AQ926">
            <v>0</v>
          </cell>
          <cell r="AS926" t="str">
            <v/>
          </cell>
          <cell r="AT926" t="str">
            <v/>
          </cell>
          <cell r="AV926" t="b">
            <v>1</v>
          </cell>
          <cell r="AW926" t="str">
            <v>minute</v>
          </cell>
        </row>
        <row r="927">
          <cell r="S927" t="str">
            <v>DOM SVK MOB</v>
          </cell>
          <cell r="T927" t="str">
            <v>DOM</v>
          </cell>
          <cell r="U927" t="str">
            <v>SVK</v>
          </cell>
          <cell r="V927" t="str">
            <v>MOB</v>
          </cell>
          <cell r="X927">
            <v>0.12429999999999999</v>
          </cell>
          <cell r="Y927">
            <v>0</v>
          </cell>
          <cell r="Z927">
            <v>0.1162</v>
          </cell>
          <cell r="AA927">
            <v>0</v>
          </cell>
          <cell r="AB927">
            <v>0.1086</v>
          </cell>
          <cell r="AC927">
            <v>0</v>
          </cell>
          <cell r="AD927">
            <v>0.10150000000000001</v>
          </cell>
          <cell r="AE927">
            <v>0</v>
          </cell>
          <cell r="AG927" t="str">
            <v/>
          </cell>
          <cell r="AH927" t="str">
            <v/>
          </cell>
          <cell r="AJ927">
            <v>0.12429999999999999</v>
          </cell>
          <cell r="AK927">
            <v>0</v>
          </cell>
          <cell r="AL927">
            <v>0.1162</v>
          </cell>
          <cell r="AM927">
            <v>0</v>
          </cell>
          <cell r="AN927">
            <v>0.1086</v>
          </cell>
          <cell r="AO927">
            <v>0</v>
          </cell>
          <cell r="AP927">
            <v>0.10150000000000001</v>
          </cell>
          <cell r="AQ927">
            <v>0</v>
          </cell>
          <cell r="AS927" t="str">
            <v/>
          </cell>
          <cell r="AT927" t="str">
            <v/>
          </cell>
          <cell r="AV927" t="b">
            <v>1</v>
          </cell>
          <cell r="AW927" t="str">
            <v>minute</v>
          </cell>
        </row>
        <row r="928">
          <cell r="S928" t="str">
            <v>DOM SVK FIX</v>
          </cell>
          <cell r="T928" t="str">
            <v>DOM</v>
          </cell>
          <cell r="U928" t="str">
            <v>SVK</v>
          </cell>
          <cell r="V928" t="str">
            <v>FIX</v>
          </cell>
          <cell r="X928">
            <v>2.5600000000000001E-2</v>
          </cell>
          <cell r="Y928">
            <v>0</v>
          </cell>
          <cell r="Z928">
            <v>2.3900000000000001E-2</v>
          </cell>
          <cell r="AA928">
            <v>0</v>
          </cell>
          <cell r="AB928">
            <v>2.23E-2</v>
          </cell>
          <cell r="AC928">
            <v>0</v>
          </cell>
          <cell r="AD928">
            <v>2.0799999999999999E-2</v>
          </cell>
          <cell r="AE928">
            <v>0</v>
          </cell>
          <cell r="AG928" t="str">
            <v/>
          </cell>
          <cell r="AH928" t="str">
            <v/>
          </cell>
          <cell r="AJ928">
            <v>2.5600000000000001E-2</v>
          </cell>
          <cell r="AK928">
            <v>0</v>
          </cell>
          <cell r="AL928">
            <v>2.3900000000000001E-2</v>
          </cell>
          <cell r="AM928">
            <v>0</v>
          </cell>
          <cell r="AN928">
            <v>2.23E-2</v>
          </cell>
          <cell r="AO928">
            <v>0</v>
          </cell>
          <cell r="AP928">
            <v>2.0799999999999999E-2</v>
          </cell>
          <cell r="AQ928">
            <v>0</v>
          </cell>
          <cell r="AS928" t="str">
            <v/>
          </cell>
          <cell r="AT928" t="str">
            <v/>
          </cell>
          <cell r="AV928" t="b">
            <v>1</v>
          </cell>
          <cell r="AW928" t="str">
            <v>minute</v>
          </cell>
        </row>
        <row r="929">
          <cell r="S929" t="str">
            <v>DOM SVN MOB</v>
          </cell>
          <cell r="T929" t="str">
            <v>DOM</v>
          </cell>
          <cell r="U929" t="str">
            <v>SVN</v>
          </cell>
          <cell r="V929" t="str">
            <v>MOB</v>
          </cell>
          <cell r="X929">
            <v>0.49709999999999999</v>
          </cell>
          <cell r="Y929">
            <v>0</v>
          </cell>
          <cell r="Z929">
            <v>0.43230000000000002</v>
          </cell>
          <cell r="AA929">
            <v>0</v>
          </cell>
          <cell r="AB929">
            <v>0.37590000000000001</v>
          </cell>
          <cell r="AC929">
            <v>0</v>
          </cell>
          <cell r="AD929">
            <v>0.32690000000000002</v>
          </cell>
          <cell r="AE929">
            <v>0</v>
          </cell>
          <cell r="AG929" t="str">
            <v/>
          </cell>
          <cell r="AH929" t="str">
            <v/>
          </cell>
          <cell r="AJ929">
            <v>0.49709999999999999</v>
          </cell>
          <cell r="AK929">
            <v>0</v>
          </cell>
          <cell r="AL929">
            <v>0.43230000000000002</v>
          </cell>
          <cell r="AM929">
            <v>0</v>
          </cell>
          <cell r="AN929">
            <v>0.37590000000000001</v>
          </cell>
          <cell r="AO929">
            <v>0</v>
          </cell>
          <cell r="AP929">
            <v>0.32690000000000002</v>
          </cell>
          <cell r="AQ929">
            <v>0</v>
          </cell>
          <cell r="AS929" t="str">
            <v/>
          </cell>
          <cell r="AT929" t="str">
            <v/>
          </cell>
          <cell r="AV929" t="b">
            <v>1</v>
          </cell>
          <cell r="AW929" t="str">
            <v>minute</v>
          </cell>
        </row>
        <row r="930">
          <cell r="S930" t="str">
            <v>DOM SVN SIMMO</v>
          </cell>
          <cell r="T930" t="str">
            <v>DOM</v>
          </cell>
          <cell r="U930" t="str">
            <v>SVN</v>
          </cell>
          <cell r="V930" t="str">
            <v>SIMMO</v>
          </cell>
          <cell r="X930">
            <v>0.49709999999999999</v>
          </cell>
          <cell r="Y930">
            <v>0</v>
          </cell>
          <cell r="Z930">
            <v>0.43230000000000002</v>
          </cell>
          <cell r="AA930">
            <v>0</v>
          </cell>
          <cell r="AB930">
            <v>0.37590000000000001</v>
          </cell>
          <cell r="AC930">
            <v>0</v>
          </cell>
          <cell r="AD930">
            <v>0.32690000000000002</v>
          </cell>
          <cell r="AE930">
            <v>0</v>
          </cell>
          <cell r="AG930" t="str">
            <v/>
          </cell>
          <cell r="AH930" t="str">
            <v/>
          </cell>
          <cell r="AJ930">
            <v>0.49709999999999999</v>
          </cell>
          <cell r="AK930">
            <v>0</v>
          </cell>
          <cell r="AL930">
            <v>0.43230000000000002</v>
          </cell>
          <cell r="AM930">
            <v>0</v>
          </cell>
          <cell r="AN930">
            <v>0.37590000000000001</v>
          </cell>
          <cell r="AO930">
            <v>0</v>
          </cell>
          <cell r="AP930">
            <v>0.32690000000000002</v>
          </cell>
          <cell r="AQ930">
            <v>0</v>
          </cell>
          <cell r="AS930" t="str">
            <v/>
          </cell>
          <cell r="AT930" t="str">
            <v/>
          </cell>
          <cell r="AV930" t="b">
            <v>1</v>
          </cell>
          <cell r="AW930" t="str">
            <v>minute</v>
          </cell>
        </row>
        <row r="931">
          <cell r="S931" t="str">
            <v>DOM SVN FIX</v>
          </cell>
          <cell r="T931" t="str">
            <v>DOM</v>
          </cell>
          <cell r="U931" t="str">
            <v>SVN</v>
          </cell>
          <cell r="V931" t="str">
            <v>FIX</v>
          </cell>
          <cell r="X931">
            <v>2.6499999999999999E-2</v>
          </cell>
          <cell r="Y931">
            <v>0</v>
          </cell>
          <cell r="Z931">
            <v>2.3E-2</v>
          </cell>
          <cell r="AA931">
            <v>0</v>
          </cell>
          <cell r="AB931">
            <v>0.02</v>
          </cell>
          <cell r="AC931">
            <v>0</v>
          </cell>
          <cell r="AD931">
            <v>1.7399999999999999E-2</v>
          </cell>
          <cell r="AE931">
            <v>0</v>
          </cell>
          <cell r="AG931" t="str">
            <v/>
          </cell>
          <cell r="AH931" t="str">
            <v/>
          </cell>
          <cell r="AJ931">
            <v>2.6499999999999999E-2</v>
          </cell>
          <cell r="AK931">
            <v>0</v>
          </cell>
          <cell r="AL931">
            <v>2.3E-2</v>
          </cell>
          <cell r="AM931">
            <v>0</v>
          </cell>
          <cell r="AN931">
            <v>0.02</v>
          </cell>
          <cell r="AO931">
            <v>0</v>
          </cell>
          <cell r="AP931">
            <v>1.7399999999999999E-2</v>
          </cell>
          <cell r="AQ931">
            <v>0</v>
          </cell>
          <cell r="AS931" t="str">
            <v/>
          </cell>
          <cell r="AT931" t="str">
            <v/>
          </cell>
          <cell r="AV931" t="b">
            <v>1</v>
          </cell>
          <cell r="AW931" t="str">
            <v>minute</v>
          </cell>
        </row>
        <row r="932">
          <cell r="S932" t="str">
            <v>DOM ZAF MOB</v>
          </cell>
          <cell r="T932" t="str">
            <v>DOM</v>
          </cell>
          <cell r="U932" t="str">
            <v>ZAF</v>
          </cell>
          <cell r="V932" t="str">
            <v>MOB</v>
          </cell>
          <cell r="X932">
            <v>8.0699999999999994E-2</v>
          </cell>
          <cell r="Y932">
            <v>0</v>
          </cell>
          <cell r="Z932">
            <v>7.2599999999999998E-2</v>
          </cell>
          <cell r="AA932">
            <v>0</v>
          </cell>
          <cell r="AB932">
            <v>6.8599999999999994E-2</v>
          </cell>
          <cell r="AC932">
            <v>0</v>
          </cell>
          <cell r="AD932">
            <v>6.4600000000000005E-2</v>
          </cell>
          <cell r="AE932">
            <v>0</v>
          </cell>
          <cell r="AG932" t="str">
            <v/>
          </cell>
          <cell r="AH932" t="str">
            <v/>
          </cell>
          <cell r="AJ932">
            <v>8.0699999999999994E-2</v>
          </cell>
          <cell r="AK932">
            <v>0</v>
          </cell>
          <cell r="AL932">
            <v>7.2599999999999998E-2</v>
          </cell>
          <cell r="AM932">
            <v>0</v>
          </cell>
          <cell r="AN932">
            <v>6.8599999999999994E-2</v>
          </cell>
          <cell r="AO932">
            <v>0</v>
          </cell>
          <cell r="AP932">
            <v>6.4600000000000005E-2</v>
          </cell>
          <cell r="AQ932">
            <v>0</v>
          </cell>
          <cell r="AS932" t="str">
            <v/>
          </cell>
          <cell r="AT932" t="str">
            <v/>
          </cell>
          <cell r="AV932" t="b">
            <v>1</v>
          </cell>
          <cell r="AW932" t="str">
            <v>minute</v>
          </cell>
        </row>
        <row r="933">
          <cell r="S933" t="str">
            <v>DOM ZAF FIX</v>
          </cell>
          <cell r="T933" t="str">
            <v>DOM</v>
          </cell>
          <cell r="U933" t="str">
            <v>ZAF</v>
          </cell>
          <cell r="V933" t="str">
            <v>FIX</v>
          </cell>
          <cell r="X933">
            <v>4.7800000000000002E-2</v>
          </cell>
          <cell r="Y933">
            <v>0</v>
          </cell>
          <cell r="Z933">
            <v>4.2999999999999997E-2</v>
          </cell>
          <cell r="AA933">
            <v>0</v>
          </cell>
          <cell r="AB933">
            <v>4.0599999999999997E-2</v>
          </cell>
          <cell r="AC933">
            <v>0</v>
          </cell>
          <cell r="AD933">
            <v>3.8199999999999998E-2</v>
          </cell>
          <cell r="AE933">
            <v>0</v>
          </cell>
          <cell r="AG933" t="str">
            <v/>
          </cell>
          <cell r="AH933" t="str">
            <v/>
          </cell>
          <cell r="AJ933">
            <v>4.7800000000000002E-2</v>
          </cell>
          <cell r="AK933">
            <v>0</v>
          </cell>
          <cell r="AL933">
            <v>4.2999999999999997E-2</v>
          </cell>
          <cell r="AM933">
            <v>0</v>
          </cell>
          <cell r="AN933">
            <v>4.0599999999999997E-2</v>
          </cell>
          <cell r="AO933">
            <v>0</v>
          </cell>
          <cell r="AP933">
            <v>3.8199999999999998E-2</v>
          </cell>
          <cell r="AQ933">
            <v>0</v>
          </cell>
          <cell r="AS933" t="str">
            <v/>
          </cell>
          <cell r="AT933" t="str">
            <v/>
          </cell>
          <cell r="AV933" t="b">
            <v>1</v>
          </cell>
          <cell r="AW933" t="str">
            <v>minute</v>
          </cell>
        </row>
        <row r="934">
          <cell r="S934" t="str">
            <v>DOM ESP ZESP3</v>
          </cell>
          <cell r="T934" t="str">
            <v>DOM</v>
          </cell>
          <cell r="U934" t="str">
            <v>ESP</v>
          </cell>
          <cell r="V934" t="str">
            <v>ZESP3</v>
          </cell>
          <cell r="X934">
            <v>1.32E-2</v>
          </cell>
          <cell r="Y934">
            <v>0</v>
          </cell>
          <cell r="Z934">
            <v>1.1900000000000001E-2</v>
          </cell>
          <cell r="AA934">
            <v>0</v>
          </cell>
          <cell r="AB934">
            <v>1.12E-2</v>
          </cell>
          <cell r="AC934">
            <v>0</v>
          </cell>
          <cell r="AD934">
            <v>1.06E-2</v>
          </cell>
          <cell r="AE934">
            <v>0</v>
          </cell>
          <cell r="AG934" t="str">
            <v/>
          </cell>
          <cell r="AH934" t="str">
            <v/>
          </cell>
          <cell r="AJ934">
            <v>1.32E-2</v>
          </cell>
          <cell r="AK934">
            <v>0</v>
          </cell>
          <cell r="AL934">
            <v>1.1900000000000001E-2</v>
          </cell>
          <cell r="AM934">
            <v>0</v>
          </cell>
          <cell r="AN934">
            <v>1.12E-2</v>
          </cell>
          <cell r="AO934">
            <v>0</v>
          </cell>
          <cell r="AP934">
            <v>1.06E-2</v>
          </cell>
          <cell r="AQ934">
            <v>0</v>
          </cell>
          <cell r="AS934" t="str">
            <v/>
          </cell>
          <cell r="AT934" t="str">
            <v/>
          </cell>
          <cell r="AV934" t="b">
            <v>1</v>
          </cell>
          <cell r="AW934" t="str">
            <v>minute</v>
          </cell>
        </row>
        <row r="935">
          <cell r="S935" t="str">
            <v>DOM ESP SPMAM</v>
          </cell>
          <cell r="T935" t="str">
            <v>DOM</v>
          </cell>
          <cell r="U935" t="str">
            <v>ESP</v>
          </cell>
          <cell r="V935" t="str">
            <v>SPMAM</v>
          </cell>
          <cell r="X935">
            <v>2.5000000000000001E-2</v>
          </cell>
          <cell r="Y935">
            <v>0</v>
          </cell>
          <cell r="Z935">
            <v>2.2499999999999999E-2</v>
          </cell>
          <cell r="AA935">
            <v>0</v>
          </cell>
          <cell r="AB935">
            <v>2.1299999999999999E-2</v>
          </cell>
          <cell r="AC935">
            <v>0</v>
          </cell>
          <cell r="AD935">
            <v>0.02</v>
          </cell>
          <cell r="AE935">
            <v>0</v>
          </cell>
          <cell r="AG935" t="str">
            <v/>
          </cell>
          <cell r="AH935" t="str">
            <v/>
          </cell>
          <cell r="AJ935">
            <v>2.5000000000000001E-2</v>
          </cell>
          <cell r="AK935">
            <v>0</v>
          </cell>
          <cell r="AL935">
            <v>2.2499999999999999E-2</v>
          </cell>
          <cell r="AM935">
            <v>0</v>
          </cell>
          <cell r="AN935">
            <v>2.1299999999999999E-2</v>
          </cell>
          <cell r="AO935">
            <v>0</v>
          </cell>
          <cell r="AP935">
            <v>0.02</v>
          </cell>
          <cell r="AQ935">
            <v>0</v>
          </cell>
          <cell r="AS935" t="str">
            <v/>
          </cell>
          <cell r="AT935" t="str">
            <v/>
          </cell>
          <cell r="AV935" t="b">
            <v>1</v>
          </cell>
          <cell r="AW935" t="str">
            <v>minute</v>
          </cell>
        </row>
        <row r="936">
          <cell r="S936" t="str">
            <v>DOM ESP ZESP4</v>
          </cell>
          <cell r="T936" t="str">
            <v>DOM</v>
          </cell>
          <cell r="U936" t="str">
            <v>ESP</v>
          </cell>
          <cell r="V936" t="str">
            <v>ZESP4</v>
          </cell>
          <cell r="X936">
            <v>2.5000000000000001E-2</v>
          </cell>
          <cell r="Y936">
            <v>0</v>
          </cell>
          <cell r="Z936">
            <v>2.2499999999999999E-2</v>
          </cell>
          <cell r="AA936">
            <v>0</v>
          </cell>
          <cell r="AB936">
            <v>2.1299999999999999E-2</v>
          </cell>
          <cell r="AC936">
            <v>0</v>
          </cell>
          <cell r="AD936">
            <v>0.02</v>
          </cell>
          <cell r="AE936">
            <v>0</v>
          </cell>
          <cell r="AG936" t="str">
            <v/>
          </cell>
          <cell r="AH936" t="str">
            <v/>
          </cell>
          <cell r="AJ936">
            <v>2.5000000000000001E-2</v>
          </cell>
          <cell r="AK936">
            <v>0</v>
          </cell>
          <cell r="AL936">
            <v>2.2499999999999999E-2</v>
          </cell>
          <cell r="AM936">
            <v>0</v>
          </cell>
          <cell r="AN936">
            <v>2.1299999999999999E-2</v>
          </cell>
          <cell r="AO936">
            <v>0</v>
          </cell>
          <cell r="AP936">
            <v>0.02</v>
          </cell>
          <cell r="AQ936">
            <v>0</v>
          </cell>
          <cell r="AS936" t="str">
            <v/>
          </cell>
          <cell r="AT936" t="str">
            <v/>
          </cell>
          <cell r="AV936" t="b">
            <v>1</v>
          </cell>
          <cell r="AW936" t="str">
            <v>minute</v>
          </cell>
        </row>
        <row r="937">
          <cell r="S937" t="str">
            <v>DOM ESP SPMTE</v>
          </cell>
          <cell r="T937" t="str">
            <v>DOM</v>
          </cell>
          <cell r="U937" t="str">
            <v>ESP</v>
          </cell>
          <cell r="V937" t="str">
            <v>SPMTE</v>
          </cell>
          <cell r="X937">
            <v>2.5000000000000001E-2</v>
          </cell>
          <cell r="Y937">
            <v>0</v>
          </cell>
          <cell r="Z937">
            <v>2.2499999999999999E-2</v>
          </cell>
          <cell r="AA937">
            <v>0</v>
          </cell>
          <cell r="AB937">
            <v>2.1299999999999999E-2</v>
          </cell>
          <cell r="AC937">
            <v>0</v>
          </cell>
          <cell r="AD937">
            <v>0.02</v>
          </cell>
          <cell r="AE937">
            <v>0</v>
          </cell>
          <cell r="AG937" t="str">
            <v/>
          </cell>
          <cell r="AH937" t="str">
            <v/>
          </cell>
          <cell r="AJ937">
            <v>2.5000000000000001E-2</v>
          </cell>
          <cell r="AK937">
            <v>0</v>
          </cell>
          <cell r="AL937">
            <v>2.2499999999999999E-2</v>
          </cell>
          <cell r="AM937">
            <v>0</v>
          </cell>
          <cell r="AN937">
            <v>2.1299999999999999E-2</v>
          </cell>
          <cell r="AO937">
            <v>0</v>
          </cell>
          <cell r="AP937">
            <v>0.02</v>
          </cell>
          <cell r="AQ937">
            <v>0</v>
          </cell>
          <cell r="AS937" t="str">
            <v/>
          </cell>
          <cell r="AT937" t="str">
            <v/>
          </cell>
          <cell r="AV937" t="b">
            <v>1</v>
          </cell>
          <cell r="AW937" t="str">
            <v>minute</v>
          </cell>
        </row>
        <row r="938">
          <cell r="S938" t="str">
            <v>DOM ESP SPMVO</v>
          </cell>
          <cell r="T938" t="str">
            <v>DOM</v>
          </cell>
          <cell r="U938" t="str">
            <v>ESP</v>
          </cell>
          <cell r="V938" t="str">
            <v>SPMVO</v>
          </cell>
          <cell r="X938">
            <v>2.5000000000000001E-2</v>
          </cell>
          <cell r="Y938">
            <v>0</v>
          </cell>
          <cell r="Z938">
            <v>2.2499999999999999E-2</v>
          </cell>
          <cell r="AA938">
            <v>0</v>
          </cell>
          <cell r="AB938">
            <v>2.1299999999999999E-2</v>
          </cell>
          <cell r="AC938">
            <v>0</v>
          </cell>
          <cell r="AD938">
            <v>0.02</v>
          </cell>
          <cell r="AE938">
            <v>0</v>
          </cell>
          <cell r="AG938" t="str">
            <v/>
          </cell>
          <cell r="AH938" t="str">
            <v/>
          </cell>
          <cell r="AJ938">
            <v>2.5000000000000001E-2</v>
          </cell>
          <cell r="AK938">
            <v>0</v>
          </cell>
          <cell r="AL938">
            <v>2.2499999999999999E-2</v>
          </cell>
          <cell r="AM938">
            <v>0</v>
          </cell>
          <cell r="AN938">
            <v>2.1299999999999999E-2</v>
          </cell>
          <cell r="AO938">
            <v>0</v>
          </cell>
          <cell r="AP938">
            <v>0.02</v>
          </cell>
          <cell r="AQ938">
            <v>0</v>
          </cell>
          <cell r="AS938" t="str">
            <v/>
          </cell>
          <cell r="AT938" t="str">
            <v/>
          </cell>
          <cell r="AV938" t="b">
            <v>1</v>
          </cell>
          <cell r="AW938" t="str">
            <v>minute</v>
          </cell>
        </row>
        <row r="939">
          <cell r="S939" t="str">
            <v>DOM ESP SPADM</v>
          </cell>
          <cell r="T939" t="str">
            <v>DOM</v>
          </cell>
          <cell r="U939" t="str">
            <v>ESP</v>
          </cell>
          <cell r="V939" t="str">
            <v>SPADM</v>
          </cell>
          <cell r="X939">
            <v>0.08</v>
          </cell>
          <cell r="Y939">
            <v>0.12</v>
          </cell>
          <cell r="Z939">
            <v>0.08</v>
          </cell>
          <cell r="AA939">
            <v>0.12</v>
          </cell>
          <cell r="AB939">
            <v>0.08</v>
          </cell>
          <cell r="AC939">
            <v>0.12</v>
          </cell>
          <cell r="AD939">
            <v>0.08</v>
          </cell>
          <cell r="AE939">
            <v>0.12</v>
          </cell>
          <cell r="AG939" t="str">
            <v/>
          </cell>
          <cell r="AH939" t="str">
            <v/>
          </cell>
          <cell r="AJ939">
            <v>0.08</v>
          </cell>
          <cell r="AK939">
            <v>0.12</v>
          </cell>
          <cell r="AL939">
            <v>0.08</v>
          </cell>
          <cell r="AM939">
            <v>0.12</v>
          </cell>
          <cell r="AN939">
            <v>0.08</v>
          </cell>
          <cell r="AO939">
            <v>0.12</v>
          </cell>
          <cell r="AP939">
            <v>0.08</v>
          </cell>
          <cell r="AQ939">
            <v>0.12</v>
          </cell>
          <cell r="AS939" t="str">
            <v/>
          </cell>
          <cell r="AT939" t="str">
            <v/>
          </cell>
          <cell r="AV939" t="b">
            <v>0</v>
          </cell>
          <cell r="AW939" t="str">
            <v>minute &amp; call</v>
          </cell>
        </row>
        <row r="940">
          <cell r="S940" t="str">
            <v>DOM ESP SPDIA</v>
          </cell>
          <cell r="T940" t="str">
            <v>DOM</v>
          </cell>
          <cell r="U940" t="str">
            <v>ESP</v>
          </cell>
          <cell r="V940" t="str">
            <v>SPDIA</v>
          </cell>
          <cell r="X940">
            <v>1.1599999999999999E-2</v>
          </cell>
          <cell r="Y940">
            <v>0</v>
          </cell>
          <cell r="Z940">
            <v>1.1599999999999999E-2</v>
          </cell>
          <cell r="AA940">
            <v>0</v>
          </cell>
          <cell r="AB940">
            <v>8.2500000000000004E-2</v>
          </cell>
          <cell r="AC940">
            <v>0</v>
          </cell>
          <cell r="AD940">
            <v>7.9000000000000001E-2</v>
          </cell>
          <cell r="AE940">
            <v>0</v>
          </cell>
          <cell r="AG940" t="str">
            <v/>
          </cell>
          <cell r="AH940" t="str">
            <v/>
          </cell>
          <cell r="AJ940">
            <v>1.1599999999999999E-2</v>
          </cell>
          <cell r="AK940">
            <v>0</v>
          </cell>
          <cell r="AL940">
            <v>1.1599999999999999E-2</v>
          </cell>
          <cell r="AM940">
            <v>0</v>
          </cell>
          <cell r="AN940">
            <v>8.2500000000000004E-2</v>
          </cell>
          <cell r="AO940">
            <v>0</v>
          </cell>
          <cell r="AP940">
            <v>7.9000000000000001E-2</v>
          </cell>
          <cell r="AQ940">
            <v>0</v>
          </cell>
          <cell r="AS940" t="str">
            <v/>
          </cell>
          <cell r="AT940" t="str">
            <v/>
          </cell>
          <cell r="AV940" t="b">
            <v>0</v>
          </cell>
          <cell r="AW940" t="str">
            <v>minute</v>
          </cell>
        </row>
        <row r="941">
          <cell r="S941" t="str">
            <v>DOM ESP SPDIR</v>
          </cell>
          <cell r="T941" t="str">
            <v>DOM</v>
          </cell>
          <cell r="U941" t="str">
            <v>ESP</v>
          </cell>
          <cell r="V941" t="str">
            <v>SPDIR</v>
          </cell>
          <cell r="X941">
            <v>0.8367</v>
          </cell>
          <cell r="Y941">
            <v>0</v>
          </cell>
          <cell r="Z941">
            <v>0.8367</v>
          </cell>
          <cell r="AA941">
            <v>0</v>
          </cell>
          <cell r="AB941">
            <v>0.8367</v>
          </cell>
          <cell r="AC941">
            <v>0</v>
          </cell>
          <cell r="AD941">
            <v>0.8367</v>
          </cell>
          <cell r="AE941">
            <v>0</v>
          </cell>
          <cell r="AG941" t="str">
            <v/>
          </cell>
          <cell r="AH941" t="str">
            <v/>
          </cell>
          <cell r="AJ941">
            <v>0.8367</v>
          </cell>
          <cell r="AK941">
            <v>0</v>
          </cell>
          <cell r="AL941">
            <v>0.8367</v>
          </cell>
          <cell r="AM941">
            <v>0</v>
          </cell>
          <cell r="AN941">
            <v>0.8367</v>
          </cell>
          <cell r="AO941">
            <v>0</v>
          </cell>
          <cell r="AP941">
            <v>0.8367</v>
          </cell>
          <cell r="AQ941">
            <v>0</v>
          </cell>
          <cell r="AS941" t="str">
            <v/>
          </cell>
          <cell r="AT941" t="str">
            <v/>
          </cell>
          <cell r="AV941" t="b">
            <v>0</v>
          </cell>
          <cell r="AW941" t="str">
            <v>minute</v>
          </cell>
        </row>
        <row r="942">
          <cell r="S942" t="str">
            <v>DOM ESP SPSOS</v>
          </cell>
          <cell r="T942" t="str">
            <v>DOM</v>
          </cell>
          <cell r="U942" t="str">
            <v>ESP</v>
          </cell>
          <cell r="V942" t="str">
            <v>SPSOS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G942" t="str">
            <v/>
          </cell>
          <cell r="AH942" t="str">
            <v/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S942" t="str">
            <v/>
          </cell>
          <cell r="AT942" t="str">
            <v/>
          </cell>
          <cell r="AV942" t="b">
            <v>0</v>
          </cell>
          <cell r="AW942" t="str">
            <v>minute</v>
          </cell>
        </row>
        <row r="943">
          <cell r="S943" t="str">
            <v>DOM ESP SPEUH</v>
          </cell>
          <cell r="T943" t="str">
            <v>DOM</v>
          </cell>
          <cell r="U943" t="str">
            <v>ESP</v>
          </cell>
          <cell r="V943" t="str">
            <v>SPEUH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G943" t="str">
            <v/>
          </cell>
          <cell r="AH943" t="str">
            <v/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S943" t="str">
            <v/>
          </cell>
          <cell r="AT943" t="str">
            <v/>
          </cell>
          <cell r="AV943" t="b">
            <v>0</v>
          </cell>
          <cell r="AW943" t="str">
            <v>minute</v>
          </cell>
        </row>
        <row r="944">
          <cell r="S944" t="str">
            <v>DOM ESP SPPNS</v>
          </cell>
          <cell r="T944" t="str">
            <v>DOM</v>
          </cell>
          <cell r="U944" t="str">
            <v>ESP</v>
          </cell>
          <cell r="V944" t="str">
            <v>SPPNS</v>
          </cell>
          <cell r="X944">
            <v>0.03</v>
          </cell>
          <cell r="Y944">
            <v>0</v>
          </cell>
          <cell r="Z944">
            <v>2.7E-2</v>
          </cell>
          <cell r="AA944">
            <v>0</v>
          </cell>
          <cell r="AB944">
            <v>2.5000000000000001E-2</v>
          </cell>
          <cell r="AC944">
            <v>0</v>
          </cell>
          <cell r="AD944">
            <v>2.3E-2</v>
          </cell>
          <cell r="AE944">
            <v>0</v>
          </cell>
          <cell r="AG944" t="str">
            <v/>
          </cell>
          <cell r="AH944" t="str">
            <v/>
          </cell>
          <cell r="AJ944">
            <v>0.03</v>
          </cell>
          <cell r="AK944">
            <v>0</v>
          </cell>
          <cell r="AL944">
            <v>2.7E-2</v>
          </cell>
          <cell r="AM944">
            <v>0</v>
          </cell>
          <cell r="AN944">
            <v>2.5000000000000001E-2</v>
          </cell>
          <cell r="AO944">
            <v>0</v>
          </cell>
          <cell r="AP944">
            <v>2.3E-2</v>
          </cell>
          <cell r="AQ944">
            <v>0</v>
          </cell>
          <cell r="AS944" t="str">
            <v/>
          </cell>
          <cell r="AT944" t="str">
            <v/>
          </cell>
          <cell r="AV944" t="b">
            <v>0</v>
          </cell>
          <cell r="AW944" t="str">
            <v>minute</v>
          </cell>
        </row>
        <row r="945">
          <cell r="S945" t="str">
            <v>DOM ESP SPOPE</v>
          </cell>
          <cell r="T945" t="str">
            <v>DOM</v>
          </cell>
          <cell r="U945" t="str">
            <v>ESP</v>
          </cell>
          <cell r="V945" t="str">
            <v>SPOPE</v>
          </cell>
          <cell r="X945">
            <v>1.2699999999999999E-2</v>
          </cell>
          <cell r="Y945">
            <v>0</v>
          </cell>
          <cell r="Z945">
            <v>1.2699999999999999E-2</v>
          </cell>
          <cell r="AA945">
            <v>0</v>
          </cell>
          <cell r="AB945">
            <v>1.2699999999999999E-2</v>
          </cell>
          <cell r="AC945">
            <v>0</v>
          </cell>
          <cell r="AD945">
            <v>1.2699999999999999E-2</v>
          </cell>
          <cell r="AE945">
            <v>0</v>
          </cell>
          <cell r="AG945" t="str">
            <v/>
          </cell>
          <cell r="AH945" t="str">
            <v/>
          </cell>
          <cell r="AJ945">
            <v>1.2699999999999999E-2</v>
          </cell>
          <cell r="AK945">
            <v>0</v>
          </cell>
          <cell r="AL945">
            <v>1.2699999999999999E-2</v>
          </cell>
          <cell r="AM945">
            <v>0</v>
          </cell>
          <cell r="AN945">
            <v>1.2699999999999999E-2</v>
          </cell>
          <cell r="AO945">
            <v>0</v>
          </cell>
          <cell r="AP945">
            <v>1.2699999999999999E-2</v>
          </cell>
          <cell r="AQ945">
            <v>0</v>
          </cell>
          <cell r="AS945" t="str">
            <v/>
          </cell>
          <cell r="AT945" t="str">
            <v/>
          </cell>
          <cell r="AV945" t="b">
            <v>0</v>
          </cell>
          <cell r="AW945" t="str">
            <v>minute</v>
          </cell>
        </row>
        <row r="946">
          <cell r="S946" t="str">
            <v>DOM ESP SPPRS</v>
          </cell>
          <cell r="T946" t="str">
            <v>DOM</v>
          </cell>
          <cell r="U946" t="str">
            <v>ESP</v>
          </cell>
          <cell r="V946" t="str">
            <v>SPPRS</v>
          </cell>
          <cell r="X946">
            <v>4.4200000000000003E-2</v>
          </cell>
          <cell r="Y946">
            <v>8.3299999999999999E-2</v>
          </cell>
          <cell r="Z946">
            <v>4.4200000000000003E-2</v>
          </cell>
          <cell r="AA946">
            <v>8.3299999999999999E-2</v>
          </cell>
          <cell r="AB946">
            <v>4.4200000000000003E-2</v>
          </cell>
          <cell r="AC946">
            <v>8.3299999999999999E-2</v>
          </cell>
          <cell r="AD946">
            <v>4.4200000000000003E-2</v>
          </cell>
          <cell r="AE946">
            <v>8.3299999999999999E-2</v>
          </cell>
          <cell r="AG946" t="str">
            <v/>
          </cell>
          <cell r="AH946" t="str">
            <v/>
          </cell>
          <cell r="AJ946">
            <v>4.4200000000000003E-2</v>
          </cell>
          <cell r="AK946">
            <v>8.3299999999999999E-2</v>
          </cell>
          <cell r="AL946">
            <v>4.4200000000000003E-2</v>
          </cell>
          <cell r="AM946">
            <v>8.3299999999999999E-2</v>
          </cell>
          <cell r="AN946">
            <v>4.4200000000000003E-2</v>
          </cell>
          <cell r="AO946">
            <v>8.3299999999999999E-2</v>
          </cell>
          <cell r="AP946">
            <v>4.4200000000000003E-2</v>
          </cell>
          <cell r="AQ946">
            <v>8.3299999999999999E-2</v>
          </cell>
          <cell r="AS946" t="str">
            <v/>
          </cell>
          <cell r="AT946" t="str">
            <v/>
          </cell>
          <cell r="AV946" t="b">
            <v>0</v>
          </cell>
          <cell r="AW946" t="str">
            <v>minute &amp; call</v>
          </cell>
        </row>
        <row r="947">
          <cell r="S947" t="str">
            <v>DOM ESP SPP01</v>
          </cell>
          <cell r="T947" t="str">
            <v>DOM</v>
          </cell>
          <cell r="U947" t="str">
            <v>ESP</v>
          </cell>
          <cell r="V947" t="str">
            <v>SPP01</v>
          </cell>
          <cell r="X947">
            <v>0.02</v>
          </cell>
          <cell r="Y947">
            <v>0.05</v>
          </cell>
          <cell r="Z947">
            <v>0.02</v>
          </cell>
          <cell r="AA947">
            <v>0.05</v>
          </cell>
          <cell r="AB947">
            <v>0.02</v>
          </cell>
          <cell r="AC947">
            <v>0.05</v>
          </cell>
          <cell r="AD947">
            <v>0.02</v>
          </cell>
          <cell r="AE947">
            <v>0.05</v>
          </cell>
          <cell r="AG947" t="str">
            <v/>
          </cell>
          <cell r="AH947" t="str">
            <v/>
          </cell>
          <cell r="AJ947">
            <v>0.02</v>
          </cell>
          <cell r="AK947">
            <v>0.05</v>
          </cell>
          <cell r="AL947">
            <v>0.02</v>
          </cell>
          <cell r="AM947">
            <v>0.05</v>
          </cell>
          <cell r="AN947">
            <v>0.02</v>
          </cell>
          <cell r="AO947">
            <v>0.05</v>
          </cell>
          <cell r="AP947">
            <v>0.02</v>
          </cell>
          <cell r="AQ947">
            <v>0.05</v>
          </cell>
          <cell r="AS947" t="str">
            <v/>
          </cell>
          <cell r="AT947" t="str">
            <v/>
          </cell>
          <cell r="AV947" t="b">
            <v>0</v>
          </cell>
          <cell r="AW947" t="str">
            <v>minute &amp; call</v>
          </cell>
        </row>
        <row r="948">
          <cell r="S948" t="str">
            <v>DOM ESP SPP02</v>
          </cell>
          <cell r="T948" t="str">
            <v>DOM</v>
          </cell>
          <cell r="U948" t="str">
            <v>ESP</v>
          </cell>
          <cell r="V948" t="str">
            <v>SPP02</v>
          </cell>
          <cell r="X948">
            <v>3.5999999999999997E-2</v>
          </cell>
          <cell r="Y948">
            <v>0.05</v>
          </cell>
          <cell r="Z948">
            <v>3.5999999999999997E-2</v>
          </cell>
          <cell r="AA948">
            <v>0.05</v>
          </cell>
          <cell r="AB948">
            <v>3.5999999999999997E-2</v>
          </cell>
          <cell r="AC948">
            <v>0.05</v>
          </cell>
          <cell r="AD948">
            <v>3.5999999999999997E-2</v>
          </cell>
          <cell r="AE948">
            <v>0.05</v>
          </cell>
          <cell r="AG948" t="str">
            <v/>
          </cell>
          <cell r="AH948" t="str">
            <v/>
          </cell>
          <cell r="AJ948">
            <v>3.5999999999999997E-2</v>
          </cell>
          <cell r="AK948">
            <v>0.05</v>
          </cell>
          <cell r="AL948">
            <v>3.5999999999999997E-2</v>
          </cell>
          <cell r="AM948">
            <v>0.05</v>
          </cell>
          <cell r="AN948">
            <v>3.5999999999999997E-2</v>
          </cell>
          <cell r="AO948">
            <v>0.05</v>
          </cell>
          <cell r="AP948">
            <v>3.5999999999999997E-2</v>
          </cell>
          <cell r="AQ948">
            <v>0.05</v>
          </cell>
          <cell r="AS948" t="str">
            <v/>
          </cell>
          <cell r="AT948" t="str">
            <v/>
          </cell>
          <cell r="AV948" t="b">
            <v>0</v>
          </cell>
          <cell r="AW948" t="str">
            <v>minute &amp; call</v>
          </cell>
        </row>
        <row r="949">
          <cell r="S949" t="str">
            <v>DOM ESP SPP03</v>
          </cell>
          <cell r="T949" t="str">
            <v>DOM</v>
          </cell>
          <cell r="U949" t="str">
            <v>ESP</v>
          </cell>
          <cell r="V949" t="str">
            <v>SPP03</v>
          </cell>
          <cell r="X949">
            <v>0.33500000000000002</v>
          </cell>
          <cell r="Y949">
            <v>9.0200000000000002E-2</v>
          </cell>
          <cell r="Z949">
            <v>0.33500000000000002</v>
          </cell>
          <cell r="AA949">
            <v>9.0200000000000002E-2</v>
          </cell>
          <cell r="AB949">
            <v>0.33500000000000002</v>
          </cell>
          <cell r="AC949">
            <v>9.0200000000000002E-2</v>
          </cell>
          <cell r="AD949">
            <v>0.33500000000000002</v>
          </cell>
          <cell r="AE949">
            <v>9.0200000000000002E-2</v>
          </cell>
          <cell r="AG949" t="str">
            <v/>
          </cell>
          <cell r="AH949" t="str">
            <v/>
          </cell>
          <cell r="AJ949">
            <v>0.33500000000000002</v>
          </cell>
          <cell r="AK949">
            <v>9.0200000000000002E-2</v>
          </cell>
          <cell r="AL949">
            <v>0.33500000000000002</v>
          </cell>
          <cell r="AM949">
            <v>9.0200000000000002E-2</v>
          </cell>
          <cell r="AN949">
            <v>0.33500000000000002</v>
          </cell>
          <cell r="AO949">
            <v>9.0200000000000002E-2</v>
          </cell>
          <cell r="AP949">
            <v>0.33500000000000002</v>
          </cell>
          <cell r="AQ949">
            <v>9.0200000000000002E-2</v>
          </cell>
          <cell r="AS949" t="str">
            <v/>
          </cell>
          <cell r="AT949" t="str">
            <v/>
          </cell>
          <cell r="AV949" t="b">
            <v>0</v>
          </cell>
          <cell r="AW949" t="str">
            <v>minute &amp; call</v>
          </cell>
        </row>
        <row r="950">
          <cell r="S950" t="str">
            <v>DOM ESP SPP04</v>
          </cell>
          <cell r="T950" t="str">
            <v>DOM</v>
          </cell>
          <cell r="U950" t="str">
            <v>ESP</v>
          </cell>
          <cell r="V950" t="str">
            <v>SPP04</v>
          </cell>
          <cell r="X950">
            <v>0.73699999999999999</v>
          </cell>
          <cell r="Y950">
            <v>9.0200000000000002E-2</v>
          </cell>
          <cell r="Z950">
            <v>0.73699999999999999</v>
          </cell>
          <cell r="AA950">
            <v>9.0200000000000002E-2</v>
          </cell>
          <cell r="AB950">
            <v>0.73699999999999999</v>
          </cell>
          <cell r="AC950">
            <v>9.0200000000000002E-2</v>
          </cell>
          <cell r="AD950">
            <v>0.73699999999999999</v>
          </cell>
          <cell r="AE950">
            <v>9.0200000000000002E-2</v>
          </cell>
          <cell r="AG950" t="str">
            <v/>
          </cell>
          <cell r="AH950" t="str">
            <v/>
          </cell>
          <cell r="AJ950">
            <v>0.73699999999999999</v>
          </cell>
          <cell r="AK950">
            <v>9.0200000000000002E-2</v>
          </cell>
          <cell r="AL950">
            <v>0.73699999999999999</v>
          </cell>
          <cell r="AM950">
            <v>9.0200000000000002E-2</v>
          </cell>
          <cell r="AN950">
            <v>0.73699999999999999</v>
          </cell>
          <cell r="AO950">
            <v>9.0200000000000002E-2</v>
          </cell>
          <cell r="AP950">
            <v>0.73699999999999999</v>
          </cell>
          <cell r="AQ950">
            <v>9.0200000000000002E-2</v>
          </cell>
          <cell r="AS950" t="str">
            <v/>
          </cell>
          <cell r="AT950" t="str">
            <v/>
          </cell>
          <cell r="AV950" t="b">
            <v>0</v>
          </cell>
          <cell r="AW950" t="str">
            <v>minute &amp; call</v>
          </cell>
        </row>
        <row r="951">
          <cell r="S951" t="str">
            <v>DOM ESP SPP05</v>
          </cell>
          <cell r="T951" t="str">
            <v>DOM</v>
          </cell>
          <cell r="U951" t="str">
            <v>ESP</v>
          </cell>
          <cell r="V951" t="str">
            <v>SPP05</v>
          </cell>
          <cell r="X951">
            <v>0.98699999999999999</v>
          </cell>
          <cell r="Y951">
            <v>9.0200000000000002E-2</v>
          </cell>
          <cell r="Z951">
            <v>0.98699999999999999</v>
          </cell>
          <cell r="AA951">
            <v>9.0200000000000002E-2</v>
          </cell>
          <cell r="AB951">
            <v>0.98699999999999999</v>
          </cell>
          <cell r="AC951">
            <v>9.0200000000000002E-2</v>
          </cell>
          <cell r="AD951">
            <v>0.98699999999999999</v>
          </cell>
          <cell r="AE951">
            <v>9.0200000000000002E-2</v>
          </cell>
          <cell r="AG951" t="str">
            <v/>
          </cell>
          <cell r="AH951" t="str">
            <v/>
          </cell>
          <cell r="AJ951">
            <v>0.98699999999999999</v>
          </cell>
          <cell r="AK951">
            <v>9.0200000000000002E-2</v>
          </cell>
          <cell r="AL951">
            <v>0.98699999999999999</v>
          </cell>
          <cell r="AM951">
            <v>9.0200000000000002E-2</v>
          </cell>
          <cell r="AN951">
            <v>0.98699999999999999</v>
          </cell>
          <cell r="AO951">
            <v>9.0200000000000002E-2</v>
          </cell>
          <cell r="AP951">
            <v>0.98699999999999999</v>
          </cell>
          <cell r="AQ951">
            <v>9.0200000000000002E-2</v>
          </cell>
          <cell r="AS951" t="str">
            <v/>
          </cell>
          <cell r="AT951" t="str">
            <v/>
          </cell>
          <cell r="AV951" t="b">
            <v>0</v>
          </cell>
          <cell r="AW951" t="str">
            <v>minute &amp; call</v>
          </cell>
        </row>
        <row r="952">
          <cell r="S952" t="str">
            <v>DOM ESP SPP06</v>
          </cell>
          <cell r="T952" t="str">
            <v>DOM</v>
          </cell>
          <cell r="U952" t="str">
            <v>ESP</v>
          </cell>
          <cell r="V952" t="str">
            <v>SPP06</v>
          </cell>
          <cell r="X952">
            <v>1.29</v>
          </cell>
          <cell r="Y952">
            <v>9.0200000000000002E-2</v>
          </cell>
          <cell r="Z952">
            <v>1.29</v>
          </cell>
          <cell r="AA952">
            <v>9.0200000000000002E-2</v>
          </cell>
          <cell r="AB952">
            <v>1.29</v>
          </cell>
          <cell r="AC952">
            <v>9.0200000000000002E-2</v>
          </cell>
          <cell r="AD952">
            <v>1.29</v>
          </cell>
          <cell r="AE952">
            <v>9.0200000000000002E-2</v>
          </cell>
          <cell r="AG952" t="str">
            <v/>
          </cell>
          <cell r="AH952" t="str">
            <v/>
          </cell>
          <cell r="AJ952">
            <v>1.29</v>
          </cell>
          <cell r="AK952">
            <v>9.0200000000000002E-2</v>
          </cell>
          <cell r="AL952">
            <v>1.29</v>
          </cell>
          <cell r="AM952">
            <v>9.0200000000000002E-2</v>
          </cell>
          <cell r="AN952">
            <v>1.29</v>
          </cell>
          <cell r="AO952">
            <v>9.0200000000000002E-2</v>
          </cell>
          <cell r="AP952">
            <v>1.29</v>
          </cell>
          <cell r="AQ952">
            <v>9.0200000000000002E-2</v>
          </cell>
          <cell r="AS952" t="str">
            <v/>
          </cell>
          <cell r="AT952" t="str">
            <v/>
          </cell>
          <cell r="AV952" t="b">
            <v>0</v>
          </cell>
          <cell r="AW952" t="str">
            <v>minute &amp; call</v>
          </cell>
        </row>
        <row r="953">
          <cell r="S953" t="str">
            <v>DOM ESP SPP07</v>
          </cell>
          <cell r="T953" t="str">
            <v>DOM</v>
          </cell>
          <cell r="U953" t="str">
            <v>ESP</v>
          </cell>
          <cell r="V953" t="str">
            <v>SPP07</v>
          </cell>
          <cell r="X953">
            <v>2.1899000000000002</v>
          </cell>
          <cell r="Y953">
            <v>9.0200000000000002E-2</v>
          </cell>
          <cell r="Z953">
            <v>2.1899000000000002</v>
          </cell>
          <cell r="AA953">
            <v>9.0200000000000002E-2</v>
          </cell>
          <cell r="AB953">
            <v>2.1899000000000002</v>
          </cell>
          <cell r="AC953">
            <v>9.0200000000000002E-2</v>
          </cell>
          <cell r="AD953">
            <v>2.1899000000000002</v>
          </cell>
          <cell r="AE953">
            <v>9.0200000000000002E-2</v>
          </cell>
          <cell r="AG953" t="str">
            <v/>
          </cell>
          <cell r="AH953" t="str">
            <v/>
          </cell>
          <cell r="AJ953">
            <v>2.1899000000000002</v>
          </cell>
          <cell r="AK953">
            <v>9.0200000000000002E-2</v>
          </cell>
          <cell r="AL953">
            <v>2.1899000000000002</v>
          </cell>
          <cell r="AM953">
            <v>9.0200000000000002E-2</v>
          </cell>
          <cell r="AN953">
            <v>2.1899000000000002</v>
          </cell>
          <cell r="AO953">
            <v>9.0200000000000002E-2</v>
          </cell>
          <cell r="AP953">
            <v>2.1899000000000002</v>
          </cell>
          <cell r="AQ953">
            <v>9.0200000000000002E-2</v>
          </cell>
          <cell r="AS953" t="str">
            <v/>
          </cell>
          <cell r="AT953" t="str">
            <v/>
          </cell>
          <cell r="AV953" t="b">
            <v>0</v>
          </cell>
          <cell r="AW953" t="str">
            <v>minute &amp; call</v>
          </cell>
        </row>
        <row r="954">
          <cell r="S954" t="str">
            <v>DOM ESP SPP08</v>
          </cell>
          <cell r="T954" t="str">
            <v>DOM</v>
          </cell>
          <cell r="U954" t="str">
            <v>ESP</v>
          </cell>
          <cell r="V954" t="str">
            <v>SPP08</v>
          </cell>
          <cell r="X954">
            <v>3.39</v>
          </cell>
          <cell r="Y954">
            <v>9.0200000000000002E-2</v>
          </cell>
          <cell r="Z954">
            <v>3.39</v>
          </cell>
          <cell r="AA954">
            <v>9.0200000000000002E-2</v>
          </cell>
          <cell r="AB954">
            <v>3.39</v>
          </cell>
          <cell r="AC954">
            <v>9.0200000000000002E-2</v>
          </cell>
          <cell r="AD954">
            <v>3.39</v>
          </cell>
          <cell r="AE954">
            <v>9.0200000000000002E-2</v>
          </cell>
          <cell r="AG954" t="str">
            <v/>
          </cell>
          <cell r="AH954" t="str">
            <v/>
          </cell>
          <cell r="AJ954">
            <v>3.39</v>
          </cell>
          <cell r="AK954">
            <v>9.0200000000000002E-2</v>
          </cell>
          <cell r="AL954">
            <v>3.39</v>
          </cell>
          <cell r="AM954">
            <v>9.0200000000000002E-2</v>
          </cell>
          <cell r="AN954">
            <v>3.39</v>
          </cell>
          <cell r="AO954">
            <v>9.0200000000000002E-2</v>
          </cell>
          <cell r="AP954">
            <v>3.39</v>
          </cell>
          <cell r="AQ954">
            <v>9.0200000000000002E-2</v>
          </cell>
          <cell r="AS954" t="str">
            <v/>
          </cell>
          <cell r="AT954" t="str">
            <v/>
          </cell>
          <cell r="AV954" t="b">
            <v>0</v>
          </cell>
          <cell r="AW954" t="str">
            <v>minute &amp; call</v>
          </cell>
        </row>
        <row r="955">
          <cell r="S955" t="str">
            <v>DOM ESP SPP09</v>
          </cell>
          <cell r="T955" t="str">
            <v>DOM</v>
          </cell>
          <cell r="U955" t="str">
            <v>ESP</v>
          </cell>
          <cell r="V955" t="str">
            <v>SPP09</v>
          </cell>
          <cell r="X955">
            <v>2.3E-2</v>
          </cell>
          <cell r="Y955">
            <v>0.1</v>
          </cell>
          <cell r="Z955">
            <v>2.3E-2</v>
          </cell>
          <cell r="AA955">
            <v>0.1</v>
          </cell>
          <cell r="AB955">
            <v>2.3E-2</v>
          </cell>
          <cell r="AC955">
            <v>0.1</v>
          </cell>
          <cell r="AD955">
            <v>2.3E-2</v>
          </cell>
          <cell r="AE955">
            <v>0.1</v>
          </cell>
          <cell r="AG955" t="str">
            <v/>
          </cell>
          <cell r="AH955" t="str">
            <v/>
          </cell>
          <cell r="AJ955">
            <v>2.3E-2</v>
          </cell>
          <cell r="AK955">
            <v>0.1</v>
          </cell>
          <cell r="AL955">
            <v>2.3E-2</v>
          </cell>
          <cell r="AM955">
            <v>0.1</v>
          </cell>
          <cell r="AN955">
            <v>2.3E-2</v>
          </cell>
          <cell r="AO955">
            <v>0.1</v>
          </cell>
          <cell r="AP955">
            <v>2.3E-2</v>
          </cell>
          <cell r="AQ955">
            <v>0.1</v>
          </cell>
          <cell r="AS955" t="str">
            <v/>
          </cell>
          <cell r="AT955" t="str">
            <v/>
          </cell>
          <cell r="AV955" t="b">
            <v>0</v>
          </cell>
          <cell r="AW955" t="str">
            <v>minute &amp; call</v>
          </cell>
        </row>
        <row r="956">
          <cell r="S956" t="str">
            <v>DOM ESP SPP10</v>
          </cell>
          <cell r="T956" t="str">
            <v>DOM</v>
          </cell>
          <cell r="U956" t="str">
            <v>ESP</v>
          </cell>
          <cell r="V956" t="str">
            <v>SPP10</v>
          </cell>
          <cell r="X956">
            <v>7.1999999999999995E-2</v>
          </cell>
          <cell r="Y956">
            <v>0.1</v>
          </cell>
          <cell r="Z956">
            <v>7.1999999999999995E-2</v>
          </cell>
          <cell r="AA956">
            <v>0.1</v>
          </cell>
          <cell r="AB956">
            <v>7.1999999999999995E-2</v>
          </cell>
          <cell r="AC956">
            <v>0.1</v>
          </cell>
          <cell r="AD956">
            <v>7.1999999999999995E-2</v>
          </cell>
          <cell r="AE956">
            <v>0.1</v>
          </cell>
          <cell r="AG956" t="str">
            <v/>
          </cell>
          <cell r="AH956" t="str">
            <v/>
          </cell>
          <cell r="AJ956">
            <v>7.1999999999999995E-2</v>
          </cell>
          <cell r="AK956">
            <v>0.1</v>
          </cell>
          <cell r="AL956">
            <v>7.1999999999999995E-2</v>
          </cell>
          <cell r="AM956">
            <v>0.1</v>
          </cell>
          <cell r="AN956">
            <v>7.1999999999999995E-2</v>
          </cell>
          <cell r="AO956">
            <v>0.1</v>
          </cell>
          <cell r="AP956">
            <v>7.1999999999999995E-2</v>
          </cell>
          <cell r="AQ956">
            <v>0.1</v>
          </cell>
          <cell r="AS956" t="str">
            <v/>
          </cell>
          <cell r="AT956" t="str">
            <v/>
          </cell>
          <cell r="AV956" t="b">
            <v>0</v>
          </cell>
          <cell r="AW956" t="str">
            <v>minute &amp; call</v>
          </cell>
        </row>
        <row r="957">
          <cell r="S957" t="str">
            <v>DOM ESP SPP11</v>
          </cell>
          <cell r="T957" t="str">
            <v>DOM</v>
          </cell>
          <cell r="U957" t="str">
            <v>ESP</v>
          </cell>
          <cell r="V957" t="str">
            <v>SPP11</v>
          </cell>
          <cell r="X957">
            <v>0</v>
          </cell>
          <cell r="Y957">
            <v>0.3</v>
          </cell>
          <cell r="Z957">
            <v>0</v>
          </cell>
          <cell r="AA957">
            <v>0.3</v>
          </cell>
          <cell r="AB957">
            <v>0</v>
          </cell>
          <cell r="AC957">
            <v>0.3</v>
          </cell>
          <cell r="AD957">
            <v>0</v>
          </cell>
          <cell r="AE957">
            <v>0.3</v>
          </cell>
          <cell r="AG957" t="str">
            <v/>
          </cell>
          <cell r="AH957" t="str">
            <v/>
          </cell>
          <cell r="AJ957">
            <v>0</v>
          </cell>
          <cell r="AK957">
            <v>0.3</v>
          </cell>
          <cell r="AL957">
            <v>0</v>
          </cell>
          <cell r="AM957">
            <v>0.3</v>
          </cell>
          <cell r="AN957">
            <v>0</v>
          </cell>
          <cell r="AO957">
            <v>0.3</v>
          </cell>
          <cell r="AP957">
            <v>0</v>
          </cell>
          <cell r="AQ957">
            <v>0.3</v>
          </cell>
          <cell r="AS957" t="str">
            <v/>
          </cell>
          <cell r="AT957" t="str">
            <v/>
          </cell>
          <cell r="AV957" t="b">
            <v>0</v>
          </cell>
          <cell r="AW957" t="str">
            <v>call</v>
          </cell>
        </row>
        <row r="958">
          <cell r="S958" t="str">
            <v>DOM ESP SPP12</v>
          </cell>
          <cell r="T958" t="str">
            <v>DOM</v>
          </cell>
          <cell r="U958" t="str">
            <v>ESP</v>
          </cell>
          <cell r="V958" t="str">
            <v>SPP12</v>
          </cell>
          <cell r="X958">
            <v>0</v>
          </cell>
          <cell r="Y958">
            <v>0.5</v>
          </cell>
          <cell r="Z958">
            <v>0</v>
          </cell>
          <cell r="AA958">
            <v>0.5</v>
          </cell>
          <cell r="AB958">
            <v>0</v>
          </cell>
          <cell r="AC958">
            <v>0.5</v>
          </cell>
          <cell r="AD958">
            <v>0</v>
          </cell>
          <cell r="AE958">
            <v>0.5</v>
          </cell>
          <cell r="AG958" t="str">
            <v/>
          </cell>
          <cell r="AH958" t="str">
            <v/>
          </cell>
          <cell r="AJ958">
            <v>0</v>
          </cell>
          <cell r="AK958">
            <v>0.5</v>
          </cell>
          <cell r="AL958">
            <v>0</v>
          </cell>
          <cell r="AM958">
            <v>0.5</v>
          </cell>
          <cell r="AN958">
            <v>0</v>
          </cell>
          <cell r="AO958">
            <v>0.5</v>
          </cell>
          <cell r="AP958">
            <v>0</v>
          </cell>
          <cell r="AQ958">
            <v>0.5</v>
          </cell>
          <cell r="AS958" t="str">
            <v/>
          </cell>
          <cell r="AT958" t="str">
            <v/>
          </cell>
          <cell r="AV958" t="b">
            <v>0</v>
          </cell>
          <cell r="AW958" t="str">
            <v>call</v>
          </cell>
        </row>
        <row r="959">
          <cell r="S959" t="str">
            <v>DOM ESP SPP13</v>
          </cell>
          <cell r="T959" t="str">
            <v>DOM</v>
          </cell>
          <cell r="U959" t="str">
            <v>ESP</v>
          </cell>
          <cell r="V959" t="str">
            <v>SPP13</v>
          </cell>
          <cell r="X959">
            <v>0</v>
          </cell>
          <cell r="Y959">
            <v>1.2</v>
          </cell>
          <cell r="Z959">
            <v>0</v>
          </cell>
          <cell r="AA959">
            <v>1.2</v>
          </cell>
          <cell r="AB959">
            <v>0</v>
          </cell>
          <cell r="AC959">
            <v>1.2</v>
          </cell>
          <cell r="AD959">
            <v>0</v>
          </cell>
          <cell r="AE959">
            <v>1.2</v>
          </cell>
          <cell r="AG959" t="str">
            <v/>
          </cell>
          <cell r="AH959" t="str">
            <v/>
          </cell>
          <cell r="AJ959">
            <v>0</v>
          </cell>
          <cell r="AK959">
            <v>1.2</v>
          </cell>
          <cell r="AL959">
            <v>0</v>
          </cell>
          <cell r="AM959">
            <v>1.2</v>
          </cell>
          <cell r="AN959">
            <v>0</v>
          </cell>
          <cell r="AO959">
            <v>1.2</v>
          </cell>
          <cell r="AP959">
            <v>0</v>
          </cell>
          <cell r="AQ959">
            <v>1.2</v>
          </cell>
          <cell r="AS959" t="str">
            <v/>
          </cell>
          <cell r="AT959" t="str">
            <v/>
          </cell>
          <cell r="AV959" t="b">
            <v>0</v>
          </cell>
          <cell r="AW959" t="str">
            <v>call</v>
          </cell>
        </row>
        <row r="960">
          <cell r="S960" t="str">
            <v>DOM ESP SPFRE</v>
          </cell>
          <cell r="T960" t="str">
            <v>DOM</v>
          </cell>
          <cell r="U960" t="str">
            <v>ESP</v>
          </cell>
          <cell r="V960" t="str">
            <v>SPFRE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G960" t="str">
            <v/>
          </cell>
          <cell r="AH960" t="str">
            <v/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S960" t="str">
            <v/>
          </cell>
          <cell r="AT960" t="str">
            <v/>
          </cell>
          <cell r="AV960" t="b">
            <v>0</v>
          </cell>
          <cell r="AW960" t="str">
            <v>minute</v>
          </cell>
        </row>
        <row r="961">
          <cell r="S961" t="str">
            <v>DOM ESP SPVPN</v>
          </cell>
          <cell r="T961" t="str">
            <v>DOM</v>
          </cell>
          <cell r="U961" t="str">
            <v>ESP</v>
          </cell>
          <cell r="V961" t="str">
            <v>SPVPN</v>
          </cell>
          <cell r="X961">
            <v>1.2E-2</v>
          </cell>
          <cell r="Y961">
            <v>0</v>
          </cell>
          <cell r="Z961">
            <v>1.1599999999999999E-2</v>
          </cell>
          <cell r="AA961">
            <v>0</v>
          </cell>
          <cell r="AB961">
            <v>8.2500000000000004E-2</v>
          </cell>
          <cell r="AC961">
            <v>0</v>
          </cell>
          <cell r="AD961">
            <v>7.9000000000000001E-2</v>
          </cell>
          <cell r="AE961">
            <v>0</v>
          </cell>
          <cell r="AG961" t="str">
            <v/>
          </cell>
          <cell r="AH961" t="str">
            <v/>
          </cell>
          <cell r="AJ961">
            <v>1.2E-2</v>
          </cell>
          <cell r="AK961">
            <v>0</v>
          </cell>
          <cell r="AL961">
            <v>1.1599999999999999E-2</v>
          </cell>
          <cell r="AM961">
            <v>0</v>
          </cell>
          <cell r="AN961">
            <v>8.2500000000000004E-2</v>
          </cell>
          <cell r="AO961">
            <v>0</v>
          </cell>
          <cell r="AP961">
            <v>7.9000000000000001E-2</v>
          </cell>
          <cell r="AQ961">
            <v>0</v>
          </cell>
          <cell r="AS961" t="str">
            <v/>
          </cell>
          <cell r="AT961" t="str">
            <v/>
          </cell>
          <cell r="AV961" t="b">
            <v>0</v>
          </cell>
          <cell r="AW961" t="str">
            <v>minute</v>
          </cell>
        </row>
        <row r="962">
          <cell r="S962" t="str">
            <v>DOM SPM MOB</v>
          </cell>
          <cell r="T962" t="str">
            <v>DOM</v>
          </cell>
          <cell r="U962" t="str">
            <v>SPM</v>
          </cell>
          <cell r="V962" t="str">
            <v>MOB</v>
          </cell>
          <cell r="X962">
            <v>0.46129999999999999</v>
          </cell>
          <cell r="Y962">
            <v>0</v>
          </cell>
          <cell r="Z962">
            <v>0.40110000000000001</v>
          </cell>
          <cell r="AA962">
            <v>0</v>
          </cell>
          <cell r="AB962">
            <v>0.3488</v>
          </cell>
          <cell r="AC962">
            <v>0</v>
          </cell>
          <cell r="AD962">
            <v>0.30330000000000001</v>
          </cell>
          <cell r="AE962">
            <v>0</v>
          </cell>
          <cell r="AG962" t="str">
            <v/>
          </cell>
          <cell r="AH962" t="str">
            <v/>
          </cell>
          <cell r="AJ962">
            <v>0.46129999999999999</v>
          </cell>
          <cell r="AK962">
            <v>0</v>
          </cell>
          <cell r="AL962">
            <v>0.40110000000000001</v>
          </cell>
          <cell r="AM962">
            <v>0</v>
          </cell>
          <cell r="AN962">
            <v>0.3488</v>
          </cell>
          <cell r="AO962">
            <v>0</v>
          </cell>
          <cell r="AP962">
            <v>0.30330000000000001</v>
          </cell>
          <cell r="AQ962">
            <v>0</v>
          </cell>
          <cell r="AS962" t="str">
            <v/>
          </cell>
          <cell r="AT962" t="str">
            <v/>
          </cell>
          <cell r="AV962" t="b">
            <v>1</v>
          </cell>
          <cell r="AW962" t="str">
            <v>minute</v>
          </cell>
        </row>
        <row r="963">
          <cell r="S963" t="str">
            <v>DOM SPM FIX</v>
          </cell>
          <cell r="T963" t="str">
            <v>DOM</v>
          </cell>
          <cell r="U963" t="str">
            <v>SPM</v>
          </cell>
          <cell r="V963" t="str">
            <v>FIX</v>
          </cell>
          <cell r="X963">
            <v>0.2167</v>
          </cell>
          <cell r="Y963">
            <v>0</v>
          </cell>
          <cell r="Z963">
            <v>0.18840000000000001</v>
          </cell>
          <cell r="AA963">
            <v>0</v>
          </cell>
          <cell r="AB963">
            <v>0.1638</v>
          </cell>
          <cell r="AC963">
            <v>0</v>
          </cell>
          <cell r="AD963">
            <v>0.1424</v>
          </cell>
          <cell r="AE963">
            <v>0</v>
          </cell>
          <cell r="AG963" t="str">
            <v/>
          </cell>
          <cell r="AH963" t="str">
            <v/>
          </cell>
          <cell r="AJ963">
            <v>0.2167</v>
          </cell>
          <cell r="AK963">
            <v>0</v>
          </cell>
          <cell r="AL963">
            <v>0.18840000000000001</v>
          </cell>
          <cell r="AM963">
            <v>0</v>
          </cell>
          <cell r="AN963">
            <v>0.1638</v>
          </cell>
          <cell r="AO963">
            <v>0</v>
          </cell>
          <cell r="AP963">
            <v>0.1424</v>
          </cell>
          <cell r="AQ963">
            <v>0</v>
          </cell>
          <cell r="AS963" t="str">
            <v/>
          </cell>
          <cell r="AT963" t="str">
            <v/>
          </cell>
          <cell r="AV963" t="b">
            <v>1</v>
          </cell>
          <cell r="AW963" t="str">
            <v>minute</v>
          </cell>
        </row>
        <row r="964">
          <cell r="S964" t="str">
            <v>DOM SWE AREA1</v>
          </cell>
          <cell r="T964" t="str">
            <v>DOM</v>
          </cell>
          <cell r="U964" t="str">
            <v>SWE</v>
          </cell>
          <cell r="V964" t="str">
            <v>AREA1</v>
          </cell>
          <cell r="X964">
            <v>9.1000000000000004E-3</v>
          </cell>
          <cell r="Y964">
            <v>0</v>
          </cell>
          <cell r="Z964">
            <v>8.5000000000000006E-3</v>
          </cell>
          <cell r="AA964">
            <v>0</v>
          </cell>
          <cell r="AB964">
            <v>7.9000000000000008E-3</v>
          </cell>
          <cell r="AC964">
            <v>0</v>
          </cell>
          <cell r="AD964">
            <v>7.4000000000000003E-3</v>
          </cell>
          <cell r="AE964">
            <v>0</v>
          </cell>
          <cell r="AG964" t="str">
            <v/>
          </cell>
          <cell r="AH964" t="str">
            <v/>
          </cell>
          <cell r="AJ964">
            <v>9.1000000000000004E-3</v>
          </cell>
          <cell r="AK964">
            <v>0</v>
          </cell>
          <cell r="AL964">
            <v>8.5000000000000006E-3</v>
          </cell>
          <cell r="AM964">
            <v>0</v>
          </cell>
          <cell r="AN964">
            <v>7.9000000000000008E-3</v>
          </cell>
          <cell r="AO964">
            <v>0</v>
          </cell>
          <cell r="AP964">
            <v>7.4000000000000003E-3</v>
          </cell>
          <cell r="AQ964">
            <v>0</v>
          </cell>
          <cell r="AS964" t="str">
            <v/>
          </cell>
          <cell r="AT964" t="str">
            <v/>
          </cell>
          <cell r="AV964" t="b">
            <v>1</v>
          </cell>
          <cell r="AW964" t="str">
            <v>minute</v>
          </cell>
        </row>
        <row r="965">
          <cell r="S965" t="str">
            <v>DOM SWE SWMO</v>
          </cell>
          <cell r="T965" t="str">
            <v>DOM</v>
          </cell>
          <cell r="U965" t="str">
            <v>SWE</v>
          </cell>
          <cell r="V965" t="str">
            <v>SWMO</v>
          </cell>
          <cell r="X965">
            <v>2.3800000000000002E-2</v>
          </cell>
          <cell r="Y965">
            <v>0</v>
          </cell>
          <cell r="Z965">
            <v>2.1399999999999999E-2</v>
          </cell>
          <cell r="AA965">
            <v>0</v>
          </cell>
          <cell r="AB965">
            <v>2.0199999999999999E-2</v>
          </cell>
          <cell r="AC965">
            <v>0</v>
          </cell>
          <cell r="AD965">
            <v>1.9E-2</v>
          </cell>
          <cell r="AE965">
            <v>0</v>
          </cell>
          <cell r="AG965" t="str">
            <v/>
          </cell>
          <cell r="AH965" t="str">
            <v/>
          </cell>
          <cell r="AJ965">
            <v>2.3800000000000002E-2</v>
          </cell>
          <cell r="AK965">
            <v>0</v>
          </cell>
          <cell r="AL965">
            <v>2.1399999999999999E-2</v>
          </cell>
          <cell r="AM965">
            <v>0</v>
          </cell>
          <cell r="AN965">
            <v>2.0199999999999999E-2</v>
          </cell>
          <cell r="AO965">
            <v>0</v>
          </cell>
          <cell r="AP965">
            <v>1.9E-2</v>
          </cell>
          <cell r="AQ965">
            <v>0</v>
          </cell>
          <cell r="AS965" t="str">
            <v/>
          </cell>
          <cell r="AT965" t="str">
            <v/>
          </cell>
          <cell r="AV965" t="b">
            <v>1</v>
          </cell>
          <cell r="AW965" t="str">
            <v>minute</v>
          </cell>
        </row>
        <row r="966">
          <cell r="S966" t="str">
            <v>DOM SWE SEMTE</v>
          </cell>
          <cell r="T966" t="str">
            <v>DOM</v>
          </cell>
          <cell r="U966" t="str">
            <v>SWE</v>
          </cell>
          <cell r="V966" t="str">
            <v>SEMTE</v>
          </cell>
          <cell r="X966">
            <v>1.54E-2</v>
          </cell>
          <cell r="Y966">
            <v>0</v>
          </cell>
          <cell r="Z966">
            <v>1.44E-2</v>
          </cell>
          <cell r="AA966">
            <v>0</v>
          </cell>
          <cell r="AB966">
            <v>1.34E-2</v>
          </cell>
          <cell r="AC966">
            <v>0</v>
          </cell>
          <cell r="AD966">
            <v>1.2500000000000001E-2</v>
          </cell>
          <cell r="AE966">
            <v>0</v>
          </cell>
          <cell r="AG966" t="str">
            <v/>
          </cell>
          <cell r="AH966" t="str">
            <v/>
          </cell>
          <cell r="AJ966">
            <v>1.54E-2</v>
          </cell>
          <cell r="AK966">
            <v>0</v>
          </cell>
          <cell r="AL966">
            <v>1.44E-2</v>
          </cell>
          <cell r="AM966">
            <v>0</v>
          </cell>
          <cell r="AN966">
            <v>1.34E-2</v>
          </cell>
          <cell r="AO966">
            <v>0</v>
          </cell>
          <cell r="AP966">
            <v>1.2500000000000001E-2</v>
          </cell>
          <cell r="AQ966">
            <v>0</v>
          </cell>
          <cell r="AS966" t="str">
            <v/>
          </cell>
          <cell r="AT966" t="str">
            <v/>
          </cell>
          <cell r="AV966" t="b">
            <v>1</v>
          </cell>
          <cell r="AW966" t="str">
            <v>minute</v>
          </cell>
        </row>
        <row r="967">
          <cell r="S967" t="str">
            <v>DOM SWE NRINF</v>
          </cell>
          <cell r="T967" t="str">
            <v>DOM</v>
          </cell>
          <cell r="U967" t="str">
            <v>SWE</v>
          </cell>
          <cell r="V967" t="str">
            <v>NRINF</v>
          </cell>
          <cell r="X967">
            <v>5.16E-2</v>
          </cell>
          <cell r="Y967">
            <v>0</v>
          </cell>
          <cell r="Z967">
            <v>4.9299999999999997E-2</v>
          </cell>
          <cell r="AA967">
            <v>0</v>
          </cell>
          <cell r="AB967">
            <v>4.7E-2</v>
          </cell>
          <cell r="AC967">
            <v>0</v>
          </cell>
          <cell r="AD967">
            <v>4.4699999999999997E-2</v>
          </cell>
          <cell r="AE967">
            <v>0</v>
          </cell>
          <cell r="AG967" t="str">
            <v/>
          </cell>
          <cell r="AH967" t="str">
            <v/>
          </cell>
          <cell r="AJ967">
            <v>5.16E-2</v>
          </cell>
          <cell r="AK967">
            <v>0</v>
          </cell>
          <cell r="AL967">
            <v>4.9299999999999997E-2</v>
          </cell>
          <cell r="AM967">
            <v>0</v>
          </cell>
          <cell r="AN967">
            <v>4.7E-2</v>
          </cell>
          <cell r="AO967">
            <v>0</v>
          </cell>
          <cell r="AP967">
            <v>4.4699999999999997E-2</v>
          </cell>
          <cell r="AQ967">
            <v>0</v>
          </cell>
          <cell r="AS967" t="str">
            <v/>
          </cell>
          <cell r="AT967" t="str">
            <v/>
          </cell>
          <cell r="AV967" t="b">
            <v>0</v>
          </cell>
          <cell r="AW967" t="str">
            <v>minute</v>
          </cell>
        </row>
        <row r="968">
          <cell r="S968" t="str">
            <v>DOM SWE NRIN2</v>
          </cell>
          <cell r="T968" t="str">
            <v>DOM</v>
          </cell>
          <cell r="U968" t="str">
            <v>SWE</v>
          </cell>
          <cell r="V968" t="str">
            <v>NRIN2</v>
          </cell>
          <cell r="X968">
            <v>1.8939999999999999</v>
          </cell>
          <cell r="Y968">
            <v>2.5537000000000001</v>
          </cell>
          <cell r="Z968">
            <v>1.8939999999999999</v>
          </cell>
          <cell r="AA968">
            <v>2.5537000000000001</v>
          </cell>
          <cell r="AB968">
            <v>1.8939999999999999</v>
          </cell>
          <cell r="AC968">
            <v>2.5537000000000001</v>
          </cell>
          <cell r="AD968">
            <v>1.8939999999999999</v>
          </cell>
          <cell r="AE968">
            <v>2.5537000000000001</v>
          </cell>
          <cell r="AG968" t="str">
            <v/>
          </cell>
          <cell r="AH968" t="str">
            <v/>
          </cell>
          <cell r="AJ968">
            <v>1.8939999999999999</v>
          </cell>
          <cell r="AK968">
            <v>2.5537000000000001</v>
          </cell>
          <cell r="AL968">
            <v>1.8939999999999999</v>
          </cell>
          <cell r="AM968">
            <v>2.5537000000000001</v>
          </cell>
          <cell r="AN968">
            <v>1.8939999999999999</v>
          </cell>
          <cell r="AO968">
            <v>2.5537000000000001</v>
          </cell>
          <cell r="AP968">
            <v>1.8939999999999999</v>
          </cell>
          <cell r="AQ968">
            <v>2.5537000000000001</v>
          </cell>
          <cell r="AS968" t="str">
            <v/>
          </cell>
          <cell r="AT968" t="str">
            <v/>
          </cell>
          <cell r="AV968" t="b">
            <v>0</v>
          </cell>
          <cell r="AW968" t="str">
            <v>minute</v>
          </cell>
        </row>
        <row r="969">
          <cell r="S969" t="str">
            <v>DOM SWE NRIN3</v>
          </cell>
          <cell r="T969" t="str">
            <v>DOM</v>
          </cell>
          <cell r="U969" t="str">
            <v>SWE</v>
          </cell>
          <cell r="V969" t="str">
            <v>NRIN3</v>
          </cell>
          <cell r="X969">
            <v>2.6301000000000001</v>
          </cell>
          <cell r="Y969">
            <v>0</v>
          </cell>
          <cell r="Z969">
            <v>2.5131000000000001</v>
          </cell>
          <cell r="AA969">
            <v>0</v>
          </cell>
          <cell r="AB969">
            <v>2.3963000000000001</v>
          </cell>
          <cell r="AC969">
            <v>0</v>
          </cell>
          <cell r="AD969">
            <v>2.2793000000000001</v>
          </cell>
          <cell r="AE969">
            <v>0</v>
          </cell>
          <cell r="AG969" t="str">
            <v/>
          </cell>
          <cell r="AH969" t="str">
            <v/>
          </cell>
          <cell r="AJ969">
            <v>2.6301000000000001</v>
          </cell>
          <cell r="AK969">
            <v>0</v>
          </cell>
          <cell r="AL969">
            <v>2.5131000000000001</v>
          </cell>
          <cell r="AM969">
            <v>0</v>
          </cell>
          <cell r="AN969">
            <v>2.3963000000000001</v>
          </cell>
          <cell r="AO969">
            <v>0</v>
          </cell>
          <cell r="AP969">
            <v>2.2793000000000001</v>
          </cell>
          <cell r="AQ969">
            <v>0</v>
          </cell>
          <cell r="AS969" t="str">
            <v/>
          </cell>
          <cell r="AT969" t="str">
            <v/>
          </cell>
          <cell r="AV969" t="b">
            <v>0</v>
          </cell>
          <cell r="AW969" t="str">
            <v>minute</v>
          </cell>
        </row>
        <row r="970">
          <cell r="S970" t="str">
            <v>DOM SWE SOS</v>
          </cell>
          <cell r="T970" t="str">
            <v>DOM</v>
          </cell>
          <cell r="U970" t="str">
            <v>SWE</v>
          </cell>
          <cell r="V970" t="str">
            <v>SOS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G970" t="str">
            <v/>
          </cell>
          <cell r="AH970" t="str">
            <v/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S970" t="str">
            <v/>
          </cell>
          <cell r="AT970" t="str">
            <v/>
          </cell>
          <cell r="AV970" t="b">
            <v>0</v>
          </cell>
          <cell r="AW970" t="str">
            <v>minute</v>
          </cell>
        </row>
        <row r="971">
          <cell r="S971" t="str">
            <v>DOM SWE SWEUS</v>
          </cell>
          <cell r="T971" t="str">
            <v>DOM</v>
          </cell>
          <cell r="U971" t="str">
            <v>SWE</v>
          </cell>
          <cell r="V971" t="str">
            <v>SWEUS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G971" t="str">
            <v/>
          </cell>
          <cell r="AH971" t="str">
            <v/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S971" t="str">
            <v/>
          </cell>
          <cell r="AT971" t="str">
            <v/>
          </cell>
          <cell r="AV971" t="b">
            <v>0</v>
          </cell>
          <cell r="AW971" t="str">
            <v>minute</v>
          </cell>
        </row>
        <row r="972">
          <cell r="S972" t="str">
            <v>DOM SWE SWNM</v>
          </cell>
          <cell r="T972" t="str">
            <v>DOM</v>
          </cell>
          <cell r="U972" t="str">
            <v>SWE</v>
          </cell>
          <cell r="V972" t="str">
            <v>SWNM</v>
          </cell>
          <cell r="X972">
            <v>0.01</v>
          </cell>
          <cell r="Y972">
            <v>0</v>
          </cell>
          <cell r="Z972">
            <v>9.5999999999999992E-3</v>
          </cell>
          <cell r="AA972">
            <v>0</v>
          </cell>
          <cell r="AB972">
            <v>9.1000000000000004E-3</v>
          </cell>
          <cell r="AC972">
            <v>0</v>
          </cell>
          <cell r="AD972">
            <v>8.6999999999999994E-3</v>
          </cell>
          <cell r="AE972">
            <v>0</v>
          </cell>
          <cell r="AG972" t="str">
            <v/>
          </cell>
          <cell r="AH972" t="str">
            <v/>
          </cell>
          <cell r="AJ972">
            <v>0.01</v>
          </cell>
          <cell r="AK972">
            <v>0</v>
          </cell>
          <cell r="AL972">
            <v>9.5999999999999992E-3</v>
          </cell>
          <cell r="AM972">
            <v>0</v>
          </cell>
          <cell r="AN972">
            <v>9.1000000000000004E-3</v>
          </cell>
          <cell r="AO972">
            <v>0</v>
          </cell>
          <cell r="AP972">
            <v>8.6999999999999994E-3</v>
          </cell>
          <cell r="AQ972">
            <v>0</v>
          </cell>
          <cell r="AS972" t="str">
            <v/>
          </cell>
          <cell r="AT972" t="str">
            <v/>
          </cell>
          <cell r="AV972" t="b">
            <v>0</v>
          </cell>
          <cell r="AW972" t="str">
            <v>minute</v>
          </cell>
        </row>
        <row r="973">
          <cell r="S973" t="str">
            <v>DOM SWE PAGER</v>
          </cell>
          <cell r="T973" t="str">
            <v>DOM</v>
          </cell>
          <cell r="U973" t="str">
            <v>SWE</v>
          </cell>
          <cell r="V973" t="str">
            <v>PAGER</v>
          </cell>
          <cell r="X973">
            <v>0</v>
          </cell>
          <cell r="Y973">
            <v>0.45650000000000002</v>
          </cell>
          <cell r="Z973">
            <v>0</v>
          </cell>
          <cell r="AA973">
            <v>0.45650000000000002</v>
          </cell>
          <cell r="AB973">
            <v>0</v>
          </cell>
          <cell r="AC973">
            <v>0.45650000000000002</v>
          </cell>
          <cell r="AD973">
            <v>0</v>
          </cell>
          <cell r="AE973">
            <v>0.45650000000000002</v>
          </cell>
          <cell r="AG973" t="str">
            <v/>
          </cell>
          <cell r="AH973" t="str">
            <v/>
          </cell>
          <cell r="AJ973">
            <v>0</v>
          </cell>
          <cell r="AK973">
            <v>0.45650000000000002</v>
          </cell>
          <cell r="AL973">
            <v>0</v>
          </cell>
          <cell r="AM973">
            <v>0.45650000000000002</v>
          </cell>
          <cell r="AN973">
            <v>0</v>
          </cell>
          <cell r="AO973">
            <v>0.45650000000000002</v>
          </cell>
          <cell r="AP973">
            <v>0</v>
          </cell>
          <cell r="AQ973">
            <v>0.45650000000000002</v>
          </cell>
          <cell r="AS973" t="str">
            <v/>
          </cell>
          <cell r="AT973" t="str">
            <v/>
          </cell>
          <cell r="AV973" t="b">
            <v>0</v>
          </cell>
          <cell r="AW973" t="str">
            <v>call</v>
          </cell>
        </row>
        <row r="974">
          <cell r="S974" t="str">
            <v>DOM SWE PAGR2</v>
          </cell>
          <cell r="T974" t="str">
            <v>DOM</v>
          </cell>
          <cell r="U974" t="str">
            <v>SWE</v>
          </cell>
          <cell r="V974" t="str">
            <v>PAGR2</v>
          </cell>
          <cell r="X974">
            <v>0.54300000000000004</v>
          </cell>
          <cell r="Y974">
            <v>0</v>
          </cell>
          <cell r="Z974">
            <v>0.54300000000000004</v>
          </cell>
          <cell r="AA974">
            <v>0</v>
          </cell>
          <cell r="AB974">
            <v>0.54300000000000004</v>
          </cell>
          <cell r="AC974">
            <v>0</v>
          </cell>
          <cell r="AD974">
            <v>0.54300000000000004</v>
          </cell>
          <cell r="AE974">
            <v>0</v>
          </cell>
          <cell r="AG974" t="str">
            <v/>
          </cell>
          <cell r="AH974" t="str">
            <v/>
          </cell>
          <cell r="AJ974">
            <v>0.54300000000000004</v>
          </cell>
          <cell r="AK974">
            <v>0</v>
          </cell>
          <cell r="AL974">
            <v>0.54300000000000004</v>
          </cell>
          <cell r="AM974">
            <v>0</v>
          </cell>
          <cell r="AN974">
            <v>0.54300000000000004</v>
          </cell>
          <cell r="AO974">
            <v>0</v>
          </cell>
          <cell r="AP974">
            <v>0.54300000000000004</v>
          </cell>
          <cell r="AQ974">
            <v>0</v>
          </cell>
          <cell r="AS974" t="str">
            <v/>
          </cell>
          <cell r="AT974" t="str">
            <v/>
          </cell>
          <cell r="AV974" t="b">
            <v>0</v>
          </cell>
          <cell r="AW974" t="str">
            <v>minute</v>
          </cell>
        </row>
        <row r="975">
          <cell r="S975" t="str">
            <v>DOM SWE PAGR3</v>
          </cell>
          <cell r="T975" t="str">
            <v>DOM</v>
          </cell>
          <cell r="U975" t="str">
            <v>SWE</v>
          </cell>
          <cell r="V975" t="str">
            <v>PAGR3</v>
          </cell>
          <cell r="X975">
            <v>1.5528999999999999</v>
          </cell>
          <cell r="Y975">
            <v>0</v>
          </cell>
          <cell r="Z975">
            <v>1.5528999999999999</v>
          </cell>
          <cell r="AA975">
            <v>0</v>
          </cell>
          <cell r="AB975">
            <v>1.5528999999999999</v>
          </cell>
          <cell r="AC975">
            <v>0</v>
          </cell>
          <cell r="AD975">
            <v>1.5528999999999999</v>
          </cell>
          <cell r="AE975">
            <v>0</v>
          </cell>
          <cell r="AG975" t="str">
            <v/>
          </cell>
          <cell r="AH975" t="str">
            <v/>
          </cell>
          <cell r="AJ975">
            <v>1.5528999999999999</v>
          </cell>
          <cell r="AK975">
            <v>0</v>
          </cell>
          <cell r="AL975">
            <v>1.5528999999999999</v>
          </cell>
          <cell r="AM975">
            <v>0</v>
          </cell>
          <cell r="AN975">
            <v>1.5528999999999999</v>
          </cell>
          <cell r="AO975">
            <v>0</v>
          </cell>
          <cell r="AP975">
            <v>1.5528999999999999</v>
          </cell>
          <cell r="AQ975">
            <v>0</v>
          </cell>
          <cell r="AS975" t="str">
            <v/>
          </cell>
          <cell r="AT975" t="str">
            <v/>
          </cell>
          <cell r="AV975" t="b">
            <v>0</v>
          </cell>
          <cell r="AW975" t="str">
            <v>minute</v>
          </cell>
        </row>
        <row r="976">
          <cell r="S976" t="str">
            <v>DOM SWE SWPSN</v>
          </cell>
          <cell r="T976" t="str">
            <v>DOM</v>
          </cell>
          <cell r="U976" t="str">
            <v>SWE</v>
          </cell>
          <cell r="V976" t="str">
            <v>SWPSN</v>
          </cell>
          <cell r="X976">
            <v>1.67E-2</v>
          </cell>
          <cell r="Y976">
            <v>0</v>
          </cell>
          <cell r="Z976">
            <v>1.67E-2</v>
          </cell>
          <cell r="AA976">
            <v>0</v>
          </cell>
          <cell r="AB976">
            <v>1.67E-2</v>
          </cell>
          <cell r="AC976">
            <v>0</v>
          </cell>
          <cell r="AD976">
            <v>1.67E-2</v>
          </cell>
          <cell r="AE976">
            <v>0</v>
          </cell>
          <cell r="AG976" t="str">
            <v/>
          </cell>
          <cell r="AH976" t="str">
            <v/>
          </cell>
          <cell r="AJ976">
            <v>1.67E-2</v>
          </cell>
          <cell r="AK976">
            <v>0</v>
          </cell>
          <cell r="AL976">
            <v>1.67E-2</v>
          </cell>
          <cell r="AM976">
            <v>0</v>
          </cell>
          <cell r="AN976">
            <v>1.67E-2</v>
          </cell>
          <cell r="AO976">
            <v>0</v>
          </cell>
          <cell r="AP976">
            <v>1.67E-2</v>
          </cell>
          <cell r="AQ976">
            <v>0</v>
          </cell>
          <cell r="AS976" t="str">
            <v/>
          </cell>
          <cell r="AT976" t="str">
            <v/>
          </cell>
          <cell r="AV976" t="b">
            <v>0</v>
          </cell>
          <cell r="AW976" t="str">
            <v>minute</v>
          </cell>
        </row>
        <row r="977">
          <cell r="S977" t="str">
            <v>DOM SWE SWPRM</v>
          </cell>
          <cell r="T977" t="str">
            <v>DOM</v>
          </cell>
          <cell r="U977" t="str">
            <v>SWE</v>
          </cell>
          <cell r="V977" t="str">
            <v>SWPRM</v>
          </cell>
          <cell r="X977">
            <v>38.716200000000001</v>
          </cell>
          <cell r="Y977">
            <v>0</v>
          </cell>
          <cell r="Z977">
            <v>38.716200000000001</v>
          </cell>
          <cell r="AA977">
            <v>0</v>
          </cell>
          <cell r="AB977">
            <v>38.716200000000001</v>
          </cell>
          <cell r="AC977">
            <v>0</v>
          </cell>
          <cell r="AD977">
            <v>38.716200000000001</v>
          </cell>
          <cell r="AE977">
            <v>0</v>
          </cell>
          <cell r="AG977" t="str">
            <v/>
          </cell>
          <cell r="AH977" t="str">
            <v/>
          </cell>
          <cell r="AJ977">
            <v>38.716200000000001</v>
          </cell>
          <cell r="AK977">
            <v>0</v>
          </cell>
          <cell r="AL977">
            <v>38.716200000000001</v>
          </cell>
          <cell r="AM977">
            <v>0</v>
          </cell>
          <cell r="AN977">
            <v>38.716200000000001</v>
          </cell>
          <cell r="AO977">
            <v>0</v>
          </cell>
          <cell r="AP977">
            <v>38.716200000000001</v>
          </cell>
          <cell r="AQ977">
            <v>0</v>
          </cell>
          <cell r="AS977" t="str">
            <v/>
          </cell>
          <cell r="AT977" t="str">
            <v/>
          </cell>
          <cell r="AV977" t="b">
            <v>0</v>
          </cell>
          <cell r="AW977" t="str">
            <v>minute</v>
          </cell>
        </row>
        <row r="978">
          <cell r="S978" t="str">
            <v>DOM SWE SCN</v>
          </cell>
          <cell r="T978" t="str">
            <v>DOM</v>
          </cell>
          <cell r="U978" t="str">
            <v>SWE</v>
          </cell>
          <cell r="V978" t="str">
            <v>SCN</v>
          </cell>
          <cell r="X978">
            <v>3.3300000000000003E-2</v>
          </cell>
          <cell r="Y978">
            <v>0</v>
          </cell>
          <cell r="Z978">
            <v>3.3300000000000003E-2</v>
          </cell>
          <cell r="AA978">
            <v>0</v>
          </cell>
          <cell r="AB978">
            <v>3.3300000000000003E-2</v>
          </cell>
          <cell r="AC978">
            <v>0</v>
          </cell>
          <cell r="AD978">
            <v>3.3300000000000003E-2</v>
          </cell>
          <cell r="AE978">
            <v>0</v>
          </cell>
          <cell r="AG978" t="str">
            <v/>
          </cell>
          <cell r="AH978" t="str">
            <v/>
          </cell>
          <cell r="AJ978">
            <v>3.3300000000000003E-2</v>
          </cell>
          <cell r="AK978">
            <v>0</v>
          </cell>
          <cell r="AL978">
            <v>3.3300000000000003E-2</v>
          </cell>
          <cell r="AM978">
            <v>0</v>
          </cell>
          <cell r="AN978">
            <v>3.3300000000000003E-2</v>
          </cell>
          <cell r="AO978">
            <v>0</v>
          </cell>
          <cell r="AP978">
            <v>3.3300000000000003E-2</v>
          </cell>
          <cell r="AQ978">
            <v>0</v>
          </cell>
          <cell r="AS978" t="str">
            <v/>
          </cell>
          <cell r="AT978" t="str">
            <v/>
          </cell>
          <cell r="AV978" t="b">
            <v>0</v>
          </cell>
          <cell r="AW978" t="str">
            <v>minute</v>
          </cell>
        </row>
        <row r="979">
          <cell r="S979" t="str">
            <v>DOM SWE SWTLM</v>
          </cell>
          <cell r="T979" t="str">
            <v>DOM</v>
          </cell>
          <cell r="U979" t="str">
            <v>SWE</v>
          </cell>
          <cell r="V979" t="str">
            <v>SWTLM</v>
          </cell>
          <cell r="X979">
            <v>7.6100000000000001E-2</v>
          </cell>
          <cell r="Y979">
            <v>0</v>
          </cell>
          <cell r="Z979">
            <v>7.6100000000000001E-2</v>
          </cell>
          <cell r="AA979">
            <v>0</v>
          </cell>
          <cell r="AB979">
            <v>7.6100000000000001E-2</v>
          </cell>
          <cell r="AC979">
            <v>0</v>
          </cell>
          <cell r="AD979">
            <v>7.6100000000000001E-2</v>
          </cell>
          <cell r="AE979">
            <v>0</v>
          </cell>
          <cell r="AG979" t="str">
            <v/>
          </cell>
          <cell r="AH979" t="str">
            <v/>
          </cell>
          <cell r="AJ979">
            <v>7.6100000000000001E-2</v>
          </cell>
          <cell r="AK979">
            <v>0</v>
          </cell>
          <cell r="AL979">
            <v>7.6100000000000001E-2</v>
          </cell>
          <cell r="AM979">
            <v>0</v>
          </cell>
          <cell r="AN979">
            <v>7.6100000000000001E-2</v>
          </cell>
          <cell r="AO979">
            <v>0</v>
          </cell>
          <cell r="AP979">
            <v>7.6100000000000001E-2</v>
          </cell>
          <cell r="AQ979">
            <v>0</v>
          </cell>
          <cell r="AS979" t="str">
            <v/>
          </cell>
          <cell r="AT979" t="str">
            <v/>
          </cell>
          <cell r="AV979" t="b">
            <v>0</v>
          </cell>
          <cell r="AW979" t="str">
            <v>minute</v>
          </cell>
        </row>
        <row r="980">
          <cell r="S980" t="str">
            <v>DOM SWE FREE</v>
          </cell>
          <cell r="T980" t="str">
            <v>DOM</v>
          </cell>
          <cell r="U980" t="str">
            <v>SWE</v>
          </cell>
          <cell r="V980" t="str">
            <v>FREE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G980" t="str">
            <v/>
          </cell>
          <cell r="AH980" t="str">
            <v/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S980" t="str">
            <v/>
          </cell>
          <cell r="AT980" t="str">
            <v/>
          </cell>
          <cell r="AV980" t="b">
            <v>0</v>
          </cell>
          <cell r="AW980" t="str">
            <v>minute</v>
          </cell>
        </row>
        <row r="981">
          <cell r="S981" t="str">
            <v>DOM CHE ZCHEN</v>
          </cell>
          <cell r="T981" t="str">
            <v>DOM</v>
          </cell>
          <cell r="U981" t="str">
            <v>CHE</v>
          </cell>
          <cell r="V981" t="str">
            <v>ZCHEN</v>
          </cell>
          <cell r="X981">
            <v>1.7299999999999999E-2</v>
          </cell>
          <cell r="Y981">
            <v>0</v>
          </cell>
          <cell r="Z981">
            <v>1.6899999999999998E-2</v>
          </cell>
          <cell r="AA981">
            <v>0</v>
          </cell>
          <cell r="AB981">
            <v>1.6400000000000001E-2</v>
          </cell>
          <cell r="AC981">
            <v>0</v>
          </cell>
          <cell r="AD981">
            <v>1.6E-2</v>
          </cell>
          <cell r="AE981">
            <v>0</v>
          </cell>
          <cell r="AG981" t="str">
            <v/>
          </cell>
          <cell r="AH981" t="str">
            <v/>
          </cell>
          <cell r="AJ981">
            <v>1.7299999999999999E-2</v>
          </cell>
          <cell r="AK981">
            <v>0</v>
          </cell>
          <cell r="AL981">
            <v>1.6899999999999998E-2</v>
          </cell>
          <cell r="AM981">
            <v>0</v>
          </cell>
          <cell r="AN981">
            <v>1.6400000000000001E-2</v>
          </cell>
          <cell r="AO981">
            <v>0</v>
          </cell>
          <cell r="AP981">
            <v>1.6E-2</v>
          </cell>
          <cell r="AQ981">
            <v>0</v>
          </cell>
          <cell r="AS981" t="str">
            <v/>
          </cell>
          <cell r="AT981" t="str">
            <v/>
          </cell>
          <cell r="AV981" t="b">
            <v>1</v>
          </cell>
          <cell r="AW981" t="str">
            <v>minute</v>
          </cell>
        </row>
        <row r="982">
          <cell r="S982" t="str">
            <v>DOM CHE ZCHE2</v>
          </cell>
          <cell r="T982" t="str">
            <v>DOM</v>
          </cell>
          <cell r="U982" t="str">
            <v>CHE</v>
          </cell>
          <cell r="V982" t="str">
            <v>ZCHE2</v>
          </cell>
          <cell r="X982">
            <v>0.252</v>
          </cell>
          <cell r="Y982">
            <v>0</v>
          </cell>
          <cell r="Z982">
            <v>0.24590000000000001</v>
          </cell>
          <cell r="AA982">
            <v>0</v>
          </cell>
          <cell r="AB982">
            <v>0.2399</v>
          </cell>
          <cell r="AC982">
            <v>0</v>
          </cell>
          <cell r="AD982">
            <v>0.23400000000000001</v>
          </cell>
          <cell r="AE982">
            <v>0</v>
          </cell>
          <cell r="AG982" t="str">
            <v/>
          </cell>
          <cell r="AH982" t="str">
            <v/>
          </cell>
          <cell r="AJ982">
            <v>0.252</v>
          </cell>
          <cell r="AK982">
            <v>0</v>
          </cell>
          <cell r="AL982">
            <v>0.24590000000000001</v>
          </cell>
          <cell r="AM982">
            <v>0</v>
          </cell>
          <cell r="AN982">
            <v>0.2399</v>
          </cell>
          <cell r="AO982">
            <v>0</v>
          </cell>
          <cell r="AP982">
            <v>0.23400000000000001</v>
          </cell>
          <cell r="AQ982">
            <v>0</v>
          </cell>
          <cell r="AS982" t="str">
            <v/>
          </cell>
          <cell r="AT982" t="str">
            <v/>
          </cell>
          <cell r="AV982" t="b">
            <v>1</v>
          </cell>
          <cell r="AW982" t="str">
            <v>minute</v>
          </cell>
        </row>
        <row r="983">
          <cell r="S983" t="str">
            <v>DOM CHE ZCH32</v>
          </cell>
          <cell r="T983" t="str">
            <v>DOM</v>
          </cell>
          <cell r="U983" t="str">
            <v>CHE</v>
          </cell>
          <cell r="V983" t="str">
            <v>ZCH32</v>
          </cell>
          <cell r="X983">
            <v>0.13650000000000001</v>
          </cell>
          <cell r="Y983">
            <v>0</v>
          </cell>
          <cell r="Z983">
            <v>0.1229</v>
          </cell>
          <cell r="AA983">
            <v>0</v>
          </cell>
          <cell r="AB983">
            <v>0.11609999999999999</v>
          </cell>
          <cell r="AC983">
            <v>0</v>
          </cell>
          <cell r="AD983">
            <v>0.10920000000000001</v>
          </cell>
          <cell r="AE983">
            <v>0</v>
          </cell>
          <cell r="AG983" t="str">
            <v/>
          </cell>
          <cell r="AH983" t="str">
            <v/>
          </cell>
          <cell r="AJ983">
            <v>0.13650000000000001</v>
          </cell>
          <cell r="AK983">
            <v>0</v>
          </cell>
          <cell r="AL983">
            <v>0.1229</v>
          </cell>
          <cell r="AM983">
            <v>0</v>
          </cell>
          <cell r="AN983">
            <v>0.11609999999999999</v>
          </cell>
          <cell r="AO983">
            <v>0</v>
          </cell>
          <cell r="AP983">
            <v>0.10920000000000001</v>
          </cell>
          <cell r="AQ983">
            <v>0</v>
          </cell>
          <cell r="AS983" t="str">
            <v/>
          </cell>
          <cell r="AT983" t="str">
            <v/>
          </cell>
          <cell r="AV983" t="b">
            <v>1</v>
          </cell>
          <cell r="AW983" t="str">
            <v>minute</v>
          </cell>
        </row>
        <row r="984">
          <cell r="S984" t="str">
            <v>DOM CHE ZCHM5</v>
          </cell>
          <cell r="T984" t="str">
            <v>DOM</v>
          </cell>
          <cell r="U984" t="str">
            <v>CHE</v>
          </cell>
          <cell r="V984" t="str">
            <v>ZCHM5</v>
          </cell>
          <cell r="X984">
            <v>0.252</v>
          </cell>
          <cell r="Y984">
            <v>0</v>
          </cell>
          <cell r="Z984">
            <v>0.24590000000000001</v>
          </cell>
          <cell r="AA984">
            <v>0</v>
          </cell>
          <cell r="AB984">
            <v>0.2399</v>
          </cell>
          <cell r="AC984">
            <v>0</v>
          </cell>
          <cell r="AD984">
            <v>0.23400000000000001</v>
          </cell>
          <cell r="AE984">
            <v>0</v>
          </cell>
          <cell r="AG984" t="str">
            <v/>
          </cell>
          <cell r="AH984" t="str">
            <v/>
          </cell>
          <cell r="AJ984">
            <v>0.252</v>
          </cell>
          <cell r="AK984">
            <v>0</v>
          </cell>
          <cell r="AL984">
            <v>0.24590000000000001</v>
          </cell>
          <cell r="AM984">
            <v>0</v>
          </cell>
          <cell r="AN984">
            <v>0.2399</v>
          </cell>
          <cell r="AO984">
            <v>0</v>
          </cell>
          <cell r="AP984">
            <v>0.23400000000000001</v>
          </cell>
          <cell r="AQ984">
            <v>0</v>
          </cell>
          <cell r="AS984" t="str">
            <v/>
          </cell>
          <cell r="AT984" t="str">
            <v/>
          </cell>
          <cell r="AV984" t="b">
            <v>1</v>
          </cell>
          <cell r="AW984" t="str">
            <v>minute</v>
          </cell>
        </row>
        <row r="985">
          <cell r="S985" t="str">
            <v>DOM CHE ZCH33</v>
          </cell>
          <cell r="T985" t="str">
            <v>DOM</v>
          </cell>
          <cell r="U985" t="str">
            <v>CHE</v>
          </cell>
          <cell r="V985" t="str">
            <v>ZCH33</v>
          </cell>
          <cell r="X985">
            <v>0.1419</v>
          </cell>
          <cell r="Y985">
            <v>0</v>
          </cell>
          <cell r="Z985">
            <v>0.12770000000000001</v>
          </cell>
          <cell r="AA985">
            <v>0</v>
          </cell>
          <cell r="AB985">
            <v>0.1206</v>
          </cell>
          <cell r="AC985">
            <v>0</v>
          </cell>
          <cell r="AD985">
            <v>0.1135</v>
          </cell>
          <cell r="AE985">
            <v>0</v>
          </cell>
          <cell r="AG985" t="str">
            <v/>
          </cell>
          <cell r="AH985" t="str">
            <v/>
          </cell>
          <cell r="AJ985">
            <v>0.1419</v>
          </cell>
          <cell r="AK985">
            <v>0</v>
          </cell>
          <cell r="AL985">
            <v>0.12770000000000001</v>
          </cell>
          <cell r="AM985">
            <v>0</v>
          </cell>
          <cell r="AN985">
            <v>0.1206</v>
          </cell>
          <cell r="AO985">
            <v>0</v>
          </cell>
          <cell r="AP985">
            <v>0.1135</v>
          </cell>
          <cell r="AQ985">
            <v>0</v>
          </cell>
          <cell r="AS985" t="str">
            <v/>
          </cell>
          <cell r="AT985" t="str">
            <v/>
          </cell>
          <cell r="AV985" t="b">
            <v>1</v>
          </cell>
          <cell r="AW985" t="str">
            <v>minute</v>
          </cell>
        </row>
        <row r="986">
          <cell r="S986" t="str">
            <v>DOM CHE ZCH24</v>
          </cell>
          <cell r="T986" t="str">
            <v>DOM</v>
          </cell>
          <cell r="U986" t="str">
            <v>CHE</v>
          </cell>
          <cell r="V986" t="str">
            <v>ZCH24</v>
          </cell>
          <cell r="X986">
            <v>0.11509999999999999</v>
          </cell>
          <cell r="Y986">
            <v>0</v>
          </cell>
          <cell r="Z986">
            <v>0.1036</v>
          </cell>
          <cell r="AA986">
            <v>0</v>
          </cell>
          <cell r="AB986">
            <v>9.7799999999999998E-2</v>
          </cell>
          <cell r="AC986">
            <v>0</v>
          </cell>
          <cell r="AD986">
            <v>9.2100000000000001E-2</v>
          </cell>
          <cell r="AE986">
            <v>0</v>
          </cell>
          <cell r="AG986" t="str">
            <v/>
          </cell>
          <cell r="AH986" t="str">
            <v/>
          </cell>
          <cell r="AJ986">
            <v>0.11509999999999999</v>
          </cell>
          <cell r="AK986">
            <v>0</v>
          </cell>
          <cell r="AL986">
            <v>0.1036</v>
          </cell>
          <cell r="AM986">
            <v>0</v>
          </cell>
          <cell r="AN986">
            <v>9.7799999999999998E-2</v>
          </cell>
          <cell r="AO986">
            <v>0</v>
          </cell>
          <cell r="AP986">
            <v>9.2100000000000001E-2</v>
          </cell>
          <cell r="AQ986">
            <v>0</v>
          </cell>
          <cell r="AS986" t="str">
            <v/>
          </cell>
          <cell r="AT986" t="str">
            <v/>
          </cell>
          <cell r="AV986" t="b">
            <v>1</v>
          </cell>
          <cell r="AW986" t="str">
            <v>minute</v>
          </cell>
        </row>
        <row r="987">
          <cell r="S987" t="str">
            <v>DOM CHE ZCH29</v>
          </cell>
          <cell r="T987" t="str">
            <v>DOM</v>
          </cell>
          <cell r="U987" t="str">
            <v>CHE</v>
          </cell>
          <cell r="V987" t="str">
            <v>ZCH29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G987" t="str">
            <v/>
          </cell>
          <cell r="AH987" t="str">
            <v/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S987" t="str">
            <v/>
          </cell>
          <cell r="AT987" t="str">
            <v/>
          </cell>
          <cell r="AV987" t="b">
            <v>0</v>
          </cell>
          <cell r="AW987" t="str">
            <v>call</v>
          </cell>
        </row>
        <row r="988">
          <cell r="S988" t="str">
            <v>DOM CHE ZCH30</v>
          </cell>
          <cell r="T988" t="str">
            <v>DOM</v>
          </cell>
          <cell r="U988" t="str">
            <v>CHE</v>
          </cell>
          <cell r="V988" t="str">
            <v>ZCH30</v>
          </cell>
          <cell r="X988">
            <v>0.68300000000000005</v>
          </cell>
          <cell r="Y988">
            <v>0.68300000000000005</v>
          </cell>
          <cell r="Z988">
            <v>0.68300000000000005</v>
          </cell>
          <cell r="AA988">
            <v>0.68300000000000005</v>
          </cell>
          <cell r="AB988">
            <v>0.68300000000000005</v>
          </cell>
          <cell r="AC988">
            <v>0.68300000000000005</v>
          </cell>
          <cell r="AD988">
            <v>0.68300000000000005</v>
          </cell>
          <cell r="AE988">
            <v>0.68300000000000005</v>
          </cell>
          <cell r="AG988" t="str">
            <v/>
          </cell>
          <cell r="AH988" t="str">
            <v/>
          </cell>
          <cell r="AJ988">
            <v>0.68300000000000005</v>
          </cell>
          <cell r="AK988">
            <v>0.68300000000000005</v>
          </cell>
          <cell r="AL988">
            <v>0.68300000000000005</v>
          </cell>
          <cell r="AM988">
            <v>0.68300000000000005</v>
          </cell>
          <cell r="AN988">
            <v>0.68300000000000005</v>
          </cell>
          <cell r="AO988">
            <v>0.68300000000000005</v>
          </cell>
          <cell r="AP988">
            <v>0.68300000000000005</v>
          </cell>
          <cell r="AQ988">
            <v>0.68300000000000005</v>
          </cell>
          <cell r="AS988" t="str">
            <v/>
          </cell>
          <cell r="AT988" t="str">
            <v/>
          </cell>
          <cell r="AV988" t="b">
            <v>0</v>
          </cell>
          <cell r="AW988" t="str">
            <v>minute &amp; call</v>
          </cell>
        </row>
        <row r="989">
          <cell r="S989" t="str">
            <v>DOM CHE ZCHCA</v>
          </cell>
          <cell r="T989" t="str">
            <v>DOM</v>
          </cell>
          <cell r="U989" t="str">
            <v>CHE</v>
          </cell>
          <cell r="V989" t="str">
            <v>ZCHCA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G989" t="str">
            <v/>
          </cell>
          <cell r="AH989" t="str">
            <v/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S989" t="str">
            <v/>
          </cell>
          <cell r="AT989" t="str">
            <v/>
          </cell>
          <cell r="AV989" t="b">
            <v>0</v>
          </cell>
          <cell r="AW989" t="str">
            <v>minute</v>
          </cell>
        </row>
        <row r="990">
          <cell r="S990" t="str">
            <v>DOM CHE ZCHE0</v>
          </cell>
          <cell r="T990" t="str">
            <v>DOM</v>
          </cell>
          <cell r="U990" t="str">
            <v>CHE</v>
          </cell>
          <cell r="V990" t="str">
            <v>ZCHE0</v>
          </cell>
          <cell r="X990">
            <v>6.0699999999999997E-2</v>
          </cell>
          <cell r="Y990">
            <v>0</v>
          </cell>
          <cell r="Z990">
            <v>6.0699999999999997E-2</v>
          </cell>
          <cell r="AA990">
            <v>0</v>
          </cell>
          <cell r="AB990">
            <v>6.0699999999999997E-2</v>
          </cell>
          <cell r="AC990">
            <v>0</v>
          </cell>
          <cell r="AD990">
            <v>6.0699999999999997E-2</v>
          </cell>
          <cell r="AE990">
            <v>0</v>
          </cell>
          <cell r="AG990" t="str">
            <v/>
          </cell>
          <cell r="AH990" t="str">
            <v/>
          </cell>
          <cell r="AJ990">
            <v>6.0699999999999997E-2</v>
          </cell>
          <cell r="AK990">
            <v>0</v>
          </cell>
          <cell r="AL990">
            <v>6.0699999999999997E-2</v>
          </cell>
          <cell r="AM990">
            <v>0</v>
          </cell>
          <cell r="AN990">
            <v>6.0699999999999997E-2</v>
          </cell>
          <cell r="AO990">
            <v>0</v>
          </cell>
          <cell r="AP990">
            <v>6.0699999999999997E-2</v>
          </cell>
          <cell r="AQ990">
            <v>0</v>
          </cell>
          <cell r="AS990" t="str">
            <v/>
          </cell>
          <cell r="AT990" t="str">
            <v/>
          </cell>
          <cell r="AV990" t="b">
            <v>0</v>
          </cell>
          <cell r="AW990" t="str">
            <v>minute</v>
          </cell>
        </row>
        <row r="991">
          <cell r="S991" t="str">
            <v>DOM CHE ZCHS7</v>
          </cell>
          <cell r="T991" t="str">
            <v>DOM</v>
          </cell>
          <cell r="U991" t="str">
            <v>CHE</v>
          </cell>
          <cell r="V991" t="str">
            <v>ZCHS7</v>
          </cell>
          <cell r="X991">
            <v>5.0548000000000002</v>
          </cell>
          <cell r="Y991">
            <v>3.7947000000000002</v>
          </cell>
          <cell r="Z991">
            <v>5.0548000000000002</v>
          </cell>
          <cell r="AA991">
            <v>3.7947000000000002</v>
          </cell>
          <cell r="AB991">
            <v>5.0548000000000002</v>
          </cell>
          <cell r="AC991">
            <v>3.7947000000000002</v>
          </cell>
          <cell r="AD991">
            <v>5.0548000000000002</v>
          </cell>
          <cell r="AE991">
            <v>3.7947000000000002</v>
          </cell>
          <cell r="AG991" t="str">
            <v/>
          </cell>
          <cell r="AH991" t="str">
            <v/>
          </cell>
          <cell r="AJ991">
            <v>5.0548000000000002</v>
          </cell>
          <cell r="AK991">
            <v>3.7947000000000002</v>
          </cell>
          <cell r="AL991">
            <v>5.0548000000000002</v>
          </cell>
          <cell r="AM991">
            <v>3.7947000000000002</v>
          </cell>
          <cell r="AN991">
            <v>5.0548000000000002</v>
          </cell>
          <cell r="AO991">
            <v>3.7947000000000002</v>
          </cell>
          <cell r="AP991">
            <v>5.0548000000000002</v>
          </cell>
          <cell r="AQ991">
            <v>3.7947000000000002</v>
          </cell>
          <cell r="AS991" t="str">
            <v/>
          </cell>
          <cell r="AT991" t="str">
            <v/>
          </cell>
          <cell r="AV991" t="b">
            <v>0</v>
          </cell>
          <cell r="AW991" t="str">
            <v>minute &amp; call</v>
          </cell>
        </row>
        <row r="992">
          <cell r="S992" t="str">
            <v>DOM CHE ZCHS9</v>
          </cell>
          <cell r="T992" t="str">
            <v>DOM</v>
          </cell>
          <cell r="U992" t="str">
            <v>CHE</v>
          </cell>
          <cell r="V992" t="str">
            <v>ZCHS9</v>
          </cell>
          <cell r="X992">
            <v>0.57369999999999999</v>
          </cell>
          <cell r="Y992">
            <v>1.393</v>
          </cell>
          <cell r="Z992">
            <v>0.57369999999999999</v>
          </cell>
          <cell r="AA992">
            <v>1.393</v>
          </cell>
          <cell r="AB992">
            <v>0.57369999999999999</v>
          </cell>
          <cell r="AC992">
            <v>1.393</v>
          </cell>
          <cell r="AD992">
            <v>0.57369999999999999</v>
          </cell>
          <cell r="AE992">
            <v>1.393</v>
          </cell>
          <cell r="AG992" t="str">
            <v/>
          </cell>
          <cell r="AH992" t="str">
            <v/>
          </cell>
          <cell r="AJ992">
            <v>0.57369999999999999</v>
          </cell>
          <cell r="AK992">
            <v>1.393</v>
          </cell>
          <cell r="AL992">
            <v>0.57369999999999999</v>
          </cell>
          <cell r="AM992">
            <v>1.393</v>
          </cell>
          <cell r="AN992">
            <v>0.57369999999999999</v>
          </cell>
          <cell r="AO992">
            <v>1.393</v>
          </cell>
          <cell r="AP992">
            <v>0.57369999999999999</v>
          </cell>
          <cell r="AQ992">
            <v>1.393</v>
          </cell>
          <cell r="AS992" t="str">
            <v/>
          </cell>
          <cell r="AT992" t="str">
            <v/>
          </cell>
          <cell r="AV992" t="b">
            <v>0</v>
          </cell>
          <cell r="AW992" t="str">
            <v>minute &amp; call</v>
          </cell>
        </row>
        <row r="993">
          <cell r="S993" t="str">
            <v>DOM CHE ZCHS8</v>
          </cell>
          <cell r="T993" t="str">
            <v>DOM</v>
          </cell>
          <cell r="U993" t="str">
            <v>CHE</v>
          </cell>
          <cell r="V993" t="str">
            <v>ZCHS8</v>
          </cell>
          <cell r="X993">
            <v>1.5569999999999999</v>
          </cell>
          <cell r="Y993">
            <v>1.5569</v>
          </cell>
          <cell r="Z993">
            <v>1.5569999999999999</v>
          </cell>
          <cell r="AA993">
            <v>1.5569</v>
          </cell>
          <cell r="AB993">
            <v>1.5569999999999999</v>
          </cell>
          <cell r="AC993">
            <v>1.5569</v>
          </cell>
          <cell r="AD993">
            <v>1.5569999999999999</v>
          </cell>
          <cell r="AE993">
            <v>1.5569</v>
          </cell>
          <cell r="AG993" t="str">
            <v/>
          </cell>
          <cell r="AH993" t="str">
            <v/>
          </cell>
          <cell r="AJ993">
            <v>1.5569999999999999</v>
          </cell>
          <cell r="AK993">
            <v>1.5569</v>
          </cell>
          <cell r="AL993">
            <v>1.5569999999999999</v>
          </cell>
          <cell r="AM993">
            <v>1.5569</v>
          </cell>
          <cell r="AN993">
            <v>1.5569999999999999</v>
          </cell>
          <cell r="AO993">
            <v>1.5569</v>
          </cell>
          <cell r="AP993">
            <v>1.5569999999999999</v>
          </cell>
          <cell r="AQ993">
            <v>1.5569</v>
          </cell>
          <cell r="AS993" t="str">
            <v/>
          </cell>
          <cell r="AT993" t="str">
            <v/>
          </cell>
          <cell r="AV993" t="b">
            <v>0</v>
          </cell>
          <cell r="AW993" t="str">
            <v>minute &amp; call</v>
          </cell>
        </row>
        <row r="994">
          <cell r="S994" t="str">
            <v>DOM CHE ZCHEU</v>
          </cell>
          <cell r="T994" t="str">
            <v>DOM</v>
          </cell>
          <cell r="U994" t="str">
            <v>CHE</v>
          </cell>
          <cell r="V994" t="str">
            <v>ZCHEU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G994" t="str">
            <v/>
          </cell>
          <cell r="AH994" t="str">
            <v/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S994" t="str">
            <v/>
          </cell>
          <cell r="AT994" t="str">
            <v/>
          </cell>
          <cell r="AV994" t="b">
            <v>0</v>
          </cell>
          <cell r="AW994" t="str">
            <v>minute</v>
          </cell>
        </row>
        <row r="995">
          <cell r="S995" t="str">
            <v>DOM CHE ZCH31</v>
          </cell>
          <cell r="T995" t="str">
            <v>DOM</v>
          </cell>
          <cell r="U995" t="str">
            <v>CHE</v>
          </cell>
          <cell r="V995" t="str">
            <v>ZCH31</v>
          </cell>
          <cell r="X995">
            <v>0.68300000000000005</v>
          </cell>
          <cell r="Y995">
            <v>0.68300000000000005</v>
          </cell>
          <cell r="Z995">
            <v>0.68300000000000005</v>
          </cell>
          <cell r="AA995">
            <v>0.68300000000000005</v>
          </cell>
          <cell r="AB995">
            <v>0.68300000000000005</v>
          </cell>
          <cell r="AC995">
            <v>0.68300000000000005</v>
          </cell>
          <cell r="AD995">
            <v>0.68300000000000005</v>
          </cell>
          <cell r="AE995">
            <v>0.68300000000000005</v>
          </cell>
          <cell r="AG995" t="str">
            <v/>
          </cell>
          <cell r="AH995" t="str">
            <v/>
          </cell>
          <cell r="AJ995">
            <v>0.68300000000000005</v>
          </cell>
          <cell r="AK995">
            <v>0.68300000000000005</v>
          </cell>
          <cell r="AL995">
            <v>0.68300000000000005</v>
          </cell>
          <cell r="AM995">
            <v>0.68300000000000005</v>
          </cell>
          <cell r="AN995">
            <v>0.68300000000000005</v>
          </cell>
          <cell r="AO995">
            <v>0.68300000000000005</v>
          </cell>
          <cell r="AP995">
            <v>0.68300000000000005</v>
          </cell>
          <cell r="AQ995">
            <v>0.68300000000000005</v>
          </cell>
          <cell r="AS995" t="str">
            <v/>
          </cell>
          <cell r="AT995" t="str">
            <v/>
          </cell>
          <cell r="AV995" t="b">
            <v>0</v>
          </cell>
          <cell r="AW995" t="str">
            <v>minute &amp; call</v>
          </cell>
        </row>
        <row r="996">
          <cell r="S996" t="str">
            <v>DOM CHE ZCHPG</v>
          </cell>
          <cell r="T996" t="str">
            <v>DOM</v>
          </cell>
          <cell r="U996" t="str">
            <v>CHE</v>
          </cell>
          <cell r="V996" t="str">
            <v>ZCHPG</v>
          </cell>
          <cell r="X996">
            <v>0</v>
          </cell>
          <cell r="Y996">
            <v>0.61470000000000002</v>
          </cell>
          <cell r="Z996">
            <v>0</v>
          </cell>
          <cell r="AA996">
            <v>0.61470000000000002</v>
          </cell>
          <cell r="AB996">
            <v>0</v>
          </cell>
          <cell r="AC996">
            <v>0.61470000000000002</v>
          </cell>
          <cell r="AD996">
            <v>0</v>
          </cell>
          <cell r="AE996">
            <v>0.61470000000000002</v>
          </cell>
          <cell r="AG996" t="str">
            <v/>
          </cell>
          <cell r="AH996" t="str">
            <v/>
          </cell>
          <cell r="AJ996">
            <v>0</v>
          </cell>
          <cell r="AK996">
            <v>0.61470000000000002</v>
          </cell>
          <cell r="AL996">
            <v>0</v>
          </cell>
          <cell r="AM996">
            <v>0.61470000000000002</v>
          </cell>
          <cell r="AN996">
            <v>0</v>
          </cell>
          <cell r="AO996">
            <v>0.61470000000000002</v>
          </cell>
          <cell r="AP996">
            <v>0</v>
          </cell>
          <cell r="AQ996">
            <v>0.61470000000000002</v>
          </cell>
          <cell r="AS996" t="str">
            <v/>
          </cell>
          <cell r="AT996" t="str">
            <v/>
          </cell>
          <cell r="AV996" t="b">
            <v>0</v>
          </cell>
          <cell r="AW996" t="str">
            <v>call</v>
          </cell>
        </row>
        <row r="997">
          <cell r="S997" t="str">
            <v>DOM CHE ZCH27</v>
          </cell>
          <cell r="T997" t="str">
            <v>DOM</v>
          </cell>
          <cell r="U997" t="str">
            <v>CHE</v>
          </cell>
          <cell r="V997" t="str">
            <v>ZCH27</v>
          </cell>
          <cell r="X997">
            <v>6.1400000000000003E-2</v>
          </cell>
          <cell r="Y997">
            <v>0</v>
          </cell>
          <cell r="Z997">
            <v>6.1400000000000003E-2</v>
          </cell>
          <cell r="AA997">
            <v>0</v>
          </cell>
          <cell r="AB997">
            <v>6.1400000000000003E-2</v>
          </cell>
          <cell r="AC997">
            <v>0</v>
          </cell>
          <cell r="AD997">
            <v>6.1400000000000003E-2</v>
          </cell>
          <cell r="AE997">
            <v>0</v>
          </cell>
          <cell r="AG997" t="str">
            <v/>
          </cell>
          <cell r="AH997" t="str">
            <v/>
          </cell>
          <cell r="AJ997">
            <v>6.1400000000000003E-2</v>
          </cell>
          <cell r="AK997">
            <v>0</v>
          </cell>
          <cell r="AL997">
            <v>6.1400000000000003E-2</v>
          </cell>
          <cell r="AM997">
            <v>0</v>
          </cell>
          <cell r="AN997">
            <v>6.1400000000000003E-2</v>
          </cell>
          <cell r="AO997">
            <v>0</v>
          </cell>
          <cell r="AP997">
            <v>6.1400000000000003E-2</v>
          </cell>
          <cell r="AQ997">
            <v>0</v>
          </cell>
          <cell r="AS997" t="str">
            <v/>
          </cell>
          <cell r="AT997" t="str">
            <v/>
          </cell>
          <cell r="AV997" t="b">
            <v>0</v>
          </cell>
          <cell r="AW997" t="str">
            <v>minute</v>
          </cell>
        </row>
        <row r="998">
          <cell r="S998" t="str">
            <v>DOM CHE ZCH28</v>
          </cell>
          <cell r="T998" t="str">
            <v>DOM</v>
          </cell>
          <cell r="U998" t="str">
            <v>CHE</v>
          </cell>
          <cell r="V998" t="str">
            <v>ZCH28</v>
          </cell>
          <cell r="X998">
            <v>5.0548000000000002</v>
          </cell>
          <cell r="Y998">
            <v>0</v>
          </cell>
          <cell r="Z998">
            <v>5.0548000000000002</v>
          </cell>
          <cell r="AA998">
            <v>0</v>
          </cell>
          <cell r="AB998">
            <v>5.0548000000000002</v>
          </cell>
          <cell r="AC998">
            <v>0</v>
          </cell>
          <cell r="AD998">
            <v>5.0548000000000002</v>
          </cell>
          <cell r="AE998">
            <v>0</v>
          </cell>
          <cell r="AG998" t="str">
            <v/>
          </cell>
          <cell r="AH998" t="str">
            <v/>
          </cell>
          <cell r="AJ998">
            <v>5.0548000000000002</v>
          </cell>
          <cell r="AK998">
            <v>0</v>
          </cell>
          <cell r="AL998">
            <v>5.0548000000000002</v>
          </cell>
          <cell r="AM998">
            <v>0</v>
          </cell>
          <cell r="AN998">
            <v>5.0548000000000002</v>
          </cell>
          <cell r="AO998">
            <v>0</v>
          </cell>
          <cell r="AP998">
            <v>5.0548000000000002</v>
          </cell>
          <cell r="AQ998">
            <v>0</v>
          </cell>
          <cell r="AS998" t="str">
            <v/>
          </cell>
          <cell r="AT998" t="str">
            <v/>
          </cell>
          <cell r="AV998" t="b">
            <v>0</v>
          </cell>
          <cell r="AW998" t="str">
            <v>minute</v>
          </cell>
        </row>
        <row r="999">
          <cell r="S999" t="str">
            <v>DOM CHE ZCHSC</v>
          </cell>
          <cell r="T999" t="str">
            <v>DOM</v>
          </cell>
          <cell r="U999" t="str">
            <v>CHE</v>
          </cell>
          <cell r="V999" t="str">
            <v>ZCHSC</v>
          </cell>
          <cell r="X999">
            <v>0</v>
          </cell>
          <cell r="Y999">
            <v>0.37940000000000002</v>
          </cell>
          <cell r="Z999">
            <v>0</v>
          </cell>
          <cell r="AA999">
            <v>0.37940000000000002</v>
          </cell>
          <cell r="AB999">
            <v>0</v>
          </cell>
          <cell r="AC999">
            <v>0.37940000000000002</v>
          </cell>
          <cell r="AD999">
            <v>0</v>
          </cell>
          <cell r="AE999">
            <v>0.37940000000000002</v>
          </cell>
          <cell r="AG999" t="str">
            <v/>
          </cell>
          <cell r="AH999" t="str">
            <v/>
          </cell>
          <cell r="AJ999">
            <v>0</v>
          </cell>
          <cell r="AK999">
            <v>0.37940000000000002</v>
          </cell>
          <cell r="AL999">
            <v>0</v>
          </cell>
          <cell r="AM999">
            <v>0.37940000000000002</v>
          </cell>
          <cell r="AN999">
            <v>0</v>
          </cell>
          <cell r="AO999">
            <v>0.37940000000000002</v>
          </cell>
          <cell r="AP999">
            <v>0</v>
          </cell>
          <cell r="AQ999">
            <v>0.37940000000000002</v>
          </cell>
          <cell r="AS999" t="str">
            <v/>
          </cell>
          <cell r="AT999" t="str">
            <v/>
          </cell>
          <cell r="AV999" t="b">
            <v>0</v>
          </cell>
          <cell r="AW999" t="str">
            <v>call</v>
          </cell>
        </row>
        <row r="1000">
          <cell r="S1000" t="str">
            <v>DOM CHE ZCHS6</v>
          </cell>
          <cell r="T1000" t="str">
            <v>DOM</v>
          </cell>
          <cell r="U1000" t="str">
            <v>CHE</v>
          </cell>
          <cell r="V1000" t="str">
            <v>ZCHS6</v>
          </cell>
          <cell r="X1000">
            <v>1.5722</v>
          </cell>
          <cell r="Y1000">
            <v>1.01E-2</v>
          </cell>
          <cell r="Z1000">
            <v>1.5722</v>
          </cell>
          <cell r="AA1000">
            <v>1.01E-2</v>
          </cell>
          <cell r="AB1000">
            <v>1.5722</v>
          </cell>
          <cell r="AC1000">
            <v>1.01E-2</v>
          </cell>
          <cell r="AD1000">
            <v>1.5722</v>
          </cell>
          <cell r="AE1000">
            <v>1.01E-2</v>
          </cell>
          <cell r="AG1000" t="str">
            <v/>
          </cell>
          <cell r="AH1000" t="str">
            <v/>
          </cell>
          <cell r="AJ1000">
            <v>1.5722</v>
          </cell>
          <cell r="AK1000">
            <v>1.01E-2</v>
          </cell>
          <cell r="AL1000">
            <v>1.5722</v>
          </cell>
          <cell r="AM1000">
            <v>1.01E-2</v>
          </cell>
          <cell r="AN1000">
            <v>1.5722</v>
          </cell>
          <cell r="AO1000">
            <v>1.01E-2</v>
          </cell>
          <cell r="AP1000">
            <v>1.5722</v>
          </cell>
          <cell r="AQ1000">
            <v>1.01E-2</v>
          </cell>
          <cell r="AS1000" t="str">
            <v/>
          </cell>
          <cell r="AT1000" t="str">
            <v/>
          </cell>
          <cell r="AV1000" t="b">
            <v>0</v>
          </cell>
          <cell r="AW1000" t="str">
            <v>minute &amp; call</v>
          </cell>
        </row>
        <row r="1001">
          <cell r="S1001" t="str">
            <v>DOM CHE ZCH25</v>
          </cell>
          <cell r="T1001" t="str">
            <v>DOM</v>
          </cell>
          <cell r="U1001" t="str">
            <v>CHE</v>
          </cell>
          <cell r="V1001" t="str">
            <v>ZCH25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G1001" t="str">
            <v/>
          </cell>
          <cell r="AH1001" t="str">
            <v/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S1001" t="str">
            <v/>
          </cell>
          <cell r="AT1001" t="str">
            <v/>
          </cell>
          <cell r="AV1001" t="b">
            <v>0</v>
          </cell>
          <cell r="AW1001" t="str">
            <v>minute</v>
          </cell>
        </row>
        <row r="1002">
          <cell r="S1002" t="str">
            <v>DOM CHE ZCH26</v>
          </cell>
          <cell r="T1002" t="str">
            <v>DOM</v>
          </cell>
          <cell r="U1002" t="str">
            <v>CHE</v>
          </cell>
          <cell r="V1002" t="str">
            <v>ZCH26</v>
          </cell>
          <cell r="X1002">
            <v>6.1400000000000003E-2</v>
          </cell>
          <cell r="Y1002">
            <v>0</v>
          </cell>
          <cell r="Z1002">
            <v>6.1400000000000003E-2</v>
          </cell>
          <cell r="AA1002">
            <v>0</v>
          </cell>
          <cell r="AB1002">
            <v>6.1400000000000003E-2</v>
          </cell>
          <cell r="AC1002">
            <v>0</v>
          </cell>
          <cell r="AD1002">
            <v>6.1400000000000003E-2</v>
          </cell>
          <cell r="AE1002">
            <v>0</v>
          </cell>
          <cell r="AG1002" t="str">
            <v/>
          </cell>
          <cell r="AH1002" t="str">
            <v/>
          </cell>
          <cell r="AJ1002">
            <v>6.1400000000000003E-2</v>
          </cell>
          <cell r="AK1002">
            <v>0</v>
          </cell>
          <cell r="AL1002">
            <v>6.1400000000000003E-2</v>
          </cell>
          <cell r="AM1002">
            <v>0</v>
          </cell>
          <cell r="AN1002">
            <v>6.1400000000000003E-2</v>
          </cell>
          <cell r="AO1002">
            <v>0</v>
          </cell>
          <cell r="AP1002">
            <v>6.1400000000000003E-2</v>
          </cell>
          <cell r="AQ1002">
            <v>0</v>
          </cell>
          <cell r="AS1002" t="str">
            <v/>
          </cell>
          <cell r="AT1002" t="str">
            <v/>
          </cell>
          <cell r="AV1002" t="b">
            <v>0</v>
          </cell>
          <cell r="AW1002" t="str">
            <v>minute</v>
          </cell>
        </row>
        <row r="1003">
          <cell r="S1003" t="str">
            <v>DOM CHE ZCHTT</v>
          </cell>
          <cell r="T1003" t="str">
            <v>DOM</v>
          </cell>
          <cell r="U1003" t="str">
            <v>CHE</v>
          </cell>
          <cell r="V1003" t="str">
            <v>ZCHTT</v>
          </cell>
          <cell r="X1003">
            <v>0.68300000000000005</v>
          </cell>
          <cell r="Y1003">
            <v>0.66410000000000002</v>
          </cell>
          <cell r="Z1003">
            <v>0.68300000000000005</v>
          </cell>
          <cell r="AA1003">
            <v>0.66410000000000002</v>
          </cell>
          <cell r="AB1003">
            <v>0.68300000000000005</v>
          </cell>
          <cell r="AC1003">
            <v>0.66410000000000002</v>
          </cell>
          <cell r="AD1003">
            <v>0.68300000000000005</v>
          </cell>
          <cell r="AE1003">
            <v>0.66410000000000002</v>
          </cell>
          <cell r="AG1003" t="str">
            <v/>
          </cell>
          <cell r="AH1003" t="str">
            <v/>
          </cell>
          <cell r="AJ1003">
            <v>0.68300000000000005</v>
          </cell>
          <cell r="AK1003">
            <v>0.66410000000000002</v>
          </cell>
          <cell r="AL1003">
            <v>0.68300000000000005</v>
          </cell>
          <cell r="AM1003">
            <v>0.66410000000000002</v>
          </cell>
          <cell r="AN1003">
            <v>0.68300000000000005</v>
          </cell>
          <cell r="AO1003">
            <v>0.66410000000000002</v>
          </cell>
          <cell r="AP1003">
            <v>0.68300000000000005</v>
          </cell>
          <cell r="AQ1003">
            <v>0.66410000000000002</v>
          </cell>
          <cell r="AS1003" t="str">
            <v/>
          </cell>
          <cell r="AT1003" t="str">
            <v/>
          </cell>
          <cell r="AV1003" t="b">
            <v>0</v>
          </cell>
          <cell r="AW1003" t="str">
            <v>minute &amp; call</v>
          </cell>
        </row>
        <row r="1004">
          <cell r="S1004" t="str">
            <v>DOM TWN MOB</v>
          </cell>
          <cell r="T1004" t="str">
            <v>DOM</v>
          </cell>
          <cell r="U1004" t="str">
            <v>TWN</v>
          </cell>
          <cell r="V1004" t="str">
            <v>MOB</v>
          </cell>
          <cell r="X1004">
            <v>0.13550000000000001</v>
          </cell>
          <cell r="Y1004">
            <v>0</v>
          </cell>
          <cell r="Z1004">
            <v>0.1178</v>
          </cell>
          <cell r="AA1004">
            <v>0</v>
          </cell>
          <cell r="AB1004">
            <v>0.1024</v>
          </cell>
          <cell r="AC1004">
            <v>0</v>
          </cell>
          <cell r="AD1004">
            <v>8.8999999999999996E-2</v>
          </cell>
          <cell r="AE1004">
            <v>0</v>
          </cell>
          <cell r="AG1004" t="str">
            <v/>
          </cell>
          <cell r="AH1004" t="str">
            <v/>
          </cell>
          <cell r="AJ1004">
            <v>0.13550000000000001</v>
          </cell>
          <cell r="AK1004">
            <v>0</v>
          </cell>
          <cell r="AL1004">
            <v>0.1178</v>
          </cell>
          <cell r="AM1004">
            <v>0</v>
          </cell>
          <cell r="AN1004">
            <v>0.1024</v>
          </cell>
          <cell r="AO1004">
            <v>0</v>
          </cell>
          <cell r="AP1004">
            <v>8.8999999999999996E-2</v>
          </cell>
          <cell r="AQ1004">
            <v>0</v>
          </cell>
          <cell r="AS1004" t="str">
            <v/>
          </cell>
          <cell r="AT1004" t="str">
            <v/>
          </cell>
          <cell r="AV1004" t="b">
            <v>1</v>
          </cell>
          <cell r="AW1004" t="str">
            <v>minute</v>
          </cell>
        </row>
        <row r="1005">
          <cell r="S1005" t="str">
            <v>DOM TWN FIX</v>
          </cell>
          <cell r="T1005" t="str">
            <v>DOM</v>
          </cell>
          <cell r="U1005" t="str">
            <v>TWN</v>
          </cell>
          <cell r="V1005" t="str">
            <v>FIX</v>
          </cell>
          <cell r="X1005">
            <v>2.63E-2</v>
          </cell>
          <cell r="Y1005">
            <v>0</v>
          </cell>
          <cell r="Z1005">
            <v>2.29E-2</v>
          </cell>
          <cell r="AA1005">
            <v>0</v>
          </cell>
          <cell r="AB1005">
            <v>1.9900000000000001E-2</v>
          </cell>
          <cell r="AC1005">
            <v>0</v>
          </cell>
          <cell r="AD1005">
            <v>1.7299999999999999E-2</v>
          </cell>
          <cell r="AE1005">
            <v>0</v>
          </cell>
          <cell r="AG1005" t="str">
            <v/>
          </cell>
          <cell r="AH1005" t="str">
            <v/>
          </cell>
          <cell r="AJ1005">
            <v>2.63E-2</v>
          </cell>
          <cell r="AK1005">
            <v>0</v>
          </cell>
          <cell r="AL1005">
            <v>2.29E-2</v>
          </cell>
          <cell r="AM1005">
            <v>0</v>
          </cell>
          <cell r="AN1005">
            <v>1.9900000000000001E-2</v>
          </cell>
          <cell r="AO1005">
            <v>0</v>
          </cell>
          <cell r="AP1005">
            <v>1.7299999999999999E-2</v>
          </cell>
          <cell r="AQ1005">
            <v>0</v>
          </cell>
          <cell r="AS1005" t="str">
            <v/>
          </cell>
          <cell r="AT1005" t="str">
            <v/>
          </cell>
          <cell r="AV1005" t="b">
            <v>1</v>
          </cell>
          <cell r="AW1005" t="str">
            <v>minute</v>
          </cell>
        </row>
        <row r="1006">
          <cell r="S1006" t="str">
            <v>DOM TZA TZAMO</v>
          </cell>
          <cell r="T1006" t="str">
            <v>DOM</v>
          </cell>
          <cell r="U1006" t="str">
            <v>TZA</v>
          </cell>
          <cell r="V1006" t="str">
            <v>TZAMO</v>
          </cell>
          <cell r="X1006">
            <v>0.34339999999999998</v>
          </cell>
          <cell r="Y1006">
            <v>0</v>
          </cell>
          <cell r="Z1006">
            <v>0.29849999999999999</v>
          </cell>
          <cell r="AA1006">
            <v>0</v>
          </cell>
          <cell r="AB1006">
            <v>0.2596</v>
          </cell>
          <cell r="AC1006">
            <v>0</v>
          </cell>
          <cell r="AD1006">
            <v>0.22570000000000001</v>
          </cell>
          <cell r="AE1006">
            <v>0</v>
          </cell>
          <cell r="AG1006" t="str">
            <v/>
          </cell>
          <cell r="AH1006" t="str">
            <v/>
          </cell>
          <cell r="AJ1006">
            <v>0.34339999999999998</v>
          </cell>
          <cell r="AK1006">
            <v>0</v>
          </cell>
          <cell r="AL1006">
            <v>0.29849999999999999</v>
          </cell>
          <cell r="AM1006">
            <v>0</v>
          </cell>
          <cell r="AN1006">
            <v>0.2596</v>
          </cell>
          <cell r="AO1006">
            <v>0</v>
          </cell>
          <cell r="AP1006">
            <v>0.22570000000000001</v>
          </cell>
          <cell r="AQ1006">
            <v>0</v>
          </cell>
          <cell r="AS1006" t="str">
            <v/>
          </cell>
          <cell r="AT1006" t="str">
            <v/>
          </cell>
          <cell r="AV1006" t="b">
            <v>1</v>
          </cell>
          <cell r="AW1006" t="str">
            <v>minute</v>
          </cell>
        </row>
        <row r="1007">
          <cell r="S1007" t="str">
            <v>DOM TZA TZA</v>
          </cell>
          <cell r="T1007" t="str">
            <v>DOM</v>
          </cell>
          <cell r="U1007" t="str">
            <v>TZA</v>
          </cell>
          <cell r="V1007" t="str">
            <v>TZA</v>
          </cell>
          <cell r="X1007">
            <v>0.22209999999999999</v>
          </cell>
          <cell r="Y1007">
            <v>0</v>
          </cell>
          <cell r="Z1007">
            <v>0.19309999999999999</v>
          </cell>
          <cell r="AA1007">
            <v>0</v>
          </cell>
          <cell r="AB1007">
            <v>0.16789999999999999</v>
          </cell>
          <cell r="AC1007">
            <v>0</v>
          </cell>
          <cell r="AD1007">
            <v>0.14610000000000001</v>
          </cell>
          <cell r="AE1007">
            <v>0</v>
          </cell>
          <cell r="AG1007" t="str">
            <v/>
          </cell>
          <cell r="AH1007" t="str">
            <v/>
          </cell>
          <cell r="AJ1007">
            <v>0.22209999999999999</v>
          </cell>
          <cell r="AK1007">
            <v>0</v>
          </cell>
          <cell r="AL1007">
            <v>0.19309999999999999</v>
          </cell>
          <cell r="AM1007">
            <v>0</v>
          </cell>
          <cell r="AN1007">
            <v>0.16789999999999999</v>
          </cell>
          <cell r="AO1007">
            <v>0</v>
          </cell>
          <cell r="AP1007">
            <v>0.14610000000000001</v>
          </cell>
          <cell r="AQ1007">
            <v>0</v>
          </cell>
          <cell r="AS1007" t="str">
            <v/>
          </cell>
          <cell r="AT1007" t="str">
            <v/>
          </cell>
          <cell r="AV1007" t="b">
            <v>1</v>
          </cell>
          <cell r="AW1007" t="str">
            <v>minute</v>
          </cell>
        </row>
        <row r="1008">
          <cell r="S1008" t="str">
            <v>DOM USA TFREE</v>
          </cell>
          <cell r="T1008" t="str">
            <v>DOM</v>
          </cell>
          <cell r="U1008" t="str">
            <v>USA</v>
          </cell>
          <cell r="V1008" t="str">
            <v>TFREE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G1008" t="str">
            <v/>
          </cell>
          <cell r="AH1008" t="str">
            <v/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S1008" t="str">
            <v/>
          </cell>
          <cell r="AT1008" t="str">
            <v/>
          </cell>
          <cell r="AV1008" t="b">
            <v>0</v>
          </cell>
          <cell r="AW1008" t="str">
            <v>minute</v>
          </cell>
        </row>
        <row r="1009">
          <cell r="S1009" t="str">
            <v>DOM GBR LDN1</v>
          </cell>
          <cell r="T1009" t="str">
            <v>DOM</v>
          </cell>
          <cell r="U1009" t="str">
            <v>GBR</v>
          </cell>
          <cell r="V1009" t="str">
            <v>LDN1</v>
          </cell>
          <cell r="X1009">
            <v>9.7999999999999997E-3</v>
          </cell>
          <cell r="Y1009">
            <v>0</v>
          </cell>
          <cell r="Z1009">
            <v>9.1999999999999998E-3</v>
          </cell>
          <cell r="AA1009">
            <v>0</v>
          </cell>
          <cell r="AB1009">
            <v>8.6E-3</v>
          </cell>
          <cell r="AC1009">
            <v>0</v>
          </cell>
          <cell r="AD1009">
            <v>8.0000000000000002E-3</v>
          </cell>
          <cell r="AE1009">
            <v>0</v>
          </cell>
          <cell r="AG1009" t="str">
            <v/>
          </cell>
          <cell r="AH1009" t="str">
            <v/>
          </cell>
          <cell r="AJ1009">
            <v>9.7999999999999997E-3</v>
          </cell>
          <cell r="AK1009">
            <v>0</v>
          </cell>
          <cell r="AL1009">
            <v>9.1999999999999998E-3</v>
          </cell>
          <cell r="AM1009">
            <v>0</v>
          </cell>
          <cell r="AN1009">
            <v>8.6E-3</v>
          </cell>
          <cell r="AO1009">
            <v>0</v>
          </cell>
          <cell r="AP1009">
            <v>8.0000000000000002E-3</v>
          </cell>
          <cell r="AQ1009">
            <v>0</v>
          </cell>
          <cell r="AS1009" t="str">
            <v/>
          </cell>
          <cell r="AT1009" t="str">
            <v/>
          </cell>
          <cell r="AV1009" t="b">
            <v>1</v>
          </cell>
          <cell r="AW1009" t="str">
            <v>minute</v>
          </cell>
        </row>
        <row r="1010">
          <cell r="S1010" t="str">
            <v>DOM GBR UKMO2</v>
          </cell>
          <cell r="T1010" t="str">
            <v>DOM</v>
          </cell>
          <cell r="U1010" t="str">
            <v>GBR</v>
          </cell>
          <cell r="V1010" t="str">
            <v>UKMO2</v>
          </cell>
          <cell r="X1010">
            <v>2.6100000000000002E-2</v>
          </cell>
          <cell r="Y1010">
            <v>0</v>
          </cell>
          <cell r="Z1010">
            <v>2.35E-2</v>
          </cell>
          <cell r="AA1010">
            <v>0</v>
          </cell>
          <cell r="AB1010">
            <v>2.2200000000000001E-2</v>
          </cell>
          <cell r="AC1010">
            <v>0</v>
          </cell>
          <cell r="AD1010">
            <v>2.0899999999999998E-2</v>
          </cell>
          <cell r="AE1010">
            <v>0</v>
          </cell>
          <cell r="AG1010" t="str">
            <v/>
          </cell>
          <cell r="AH1010" t="str">
            <v/>
          </cell>
          <cell r="AJ1010">
            <v>2.6100000000000002E-2</v>
          </cell>
          <cell r="AK1010">
            <v>0</v>
          </cell>
          <cell r="AL1010">
            <v>2.35E-2</v>
          </cell>
          <cell r="AM1010">
            <v>0</v>
          </cell>
          <cell r="AN1010">
            <v>2.2200000000000001E-2</v>
          </cell>
          <cell r="AO1010">
            <v>0</v>
          </cell>
          <cell r="AP1010">
            <v>2.0899999999999998E-2</v>
          </cell>
          <cell r="AQ1010">
            <v>0</v>
          </cell>
          <cell r="AS1010" t="str">
            <v/>
          </cell>
          <cell r="AT1010" t="str">
            <v/>
          </cell>
          <cell r="AV1010" t="b">
            <v>1</v>
          </cell>
          <cell r="AW1010" t="str">
            <v>minute</v>
          </cell>
        </row>
        <row r="1011">
          <cell r="S1011" t="str">
            <v>DOM GBR UKMOB</v>
          </cell>
          <cell r="T1011" t="str">
            <v>DOM</v>
          </cell>
          <cell r="U1011" t="str">
            <v>GBR</v>
          </cell>
          <cell r="V1011" t="str">
            <v>UKMOB</v>
          </cell>
          <cell r="X1011">
            <v>2.0799999999999999E-2</v>
          </cell>
          <cell r="Y1011">
            <v>0</v>
          </cell>
          <cell r="Z1011">
            <v>1.8700000000000001E-2</v>
          </cell>
          <cell r="AA1011">
            <v>0</v>
          </cell>
          <cell r="AB1011">
            <v>1.77E-2</v>
          </cell>
          <cell r="AC1011">
            <v>0</v>
          </cell>
          <cell r="AD1011">
            <v>1.66E-2</v>
          </cell>
          <cell r="AE1011">
            <v>0</v>
          </cell>
          <cell r="AG1011" t="str">
            <v/>
          </cell>
          <cell r="AH1011" t="str">
            <v/>
          </cell>
          <cell r="AJ1011">
            <v>2.0799999999999999E-2</v>
          </cell>
          <cell r="AK1011">
            <v>0</v>
          </cell>
          <cell r="AL1011">
            <v>1.8700000000000001E-2</v>
          </cell>
          <cell r="AM1011">
            <v>0</v>
          </cell>
          <cell r="AN1011">
            <v>1.77E-2</v>
          </cell>
          <cell r="AO1011">
            <v>0</v>
          </cell>
          <cell r="AP1011">
            <v>1.66E-2</v>
          </cell>
          <cell r="AQ1011">
            <v>0</v>
          </cell>
          <cell r="AS1011" t="str">
            <v/>
          </cell>
          <cell r="AT1011" t="str">
            <v/>
          </cell>
          <cell r="AV1011" t="b">
            <v>1</v>
          </cell>
          <cell r="AW1011" t="str">
            <v>minute</v>
          </cell>
        </row>
        <row r="1012">
          <cell r="S1012" t="str">
            <v>DOM GBR ZC</v>
          </cell>
          <cell r="T1012" t="str">
            <v>DOM</v>
          </cell>
          <cell r="U1012" t="str">
            <v>GBR</v>
          </cell>
          <cell r="V1012" t="str">
            <v>ZC</v>
          </cell>
          <cell r="X1012">
            <v>5.4100000000000002E-2</v>
          </cell>
          <cell r="Y1012">
            <v>0</v>
          </cell>
          <cell r="Z1012">
            <v>4.6699999999999998E-2</v>
          </cell>
          <cell r="AA1012">
            <v>0</v>
          </cell>
          <cell r="AB1012">
            <v>3.9300000000000002E-2</v>
          </cell>
          <cell r="AC1012">
            <v>0</v>
          </cell>
          <cell r="AD1012">
            <v>3.1899999999999998E-2</v>
          </cell>
          <cell r="AE1012">
            <v>0</v>
          </cell>
          <cell r="AG1012" t="str">
            <v/>
          </cell>
          <cell r="AH1012" t="str">
            <v/>
          </cell>
          <cell r="AJ1012">
            <v>5.4100000000000002E-2</v>
          </cell>
          <cell r="AK1012">
            <v>0</v>
          </cell>
          <cell r="AL1012">
            <v>4.6699999999999998E-2</v>
          </cell>
          <cell r="AM1012">
            <v>0</v>
          </cell>
          <cell r="AN1012">
            <v>3.9300000000000002E-2</v>
          </cell>
          <cell r="AO1012">
            <v>0</v>
          </cell>
          <cell r="AP1012">
            <v>3.1899999999999998E-2</v>
          </cell>
          <cell r="AQ1012">
            <v>0</v>
          </cell>
          <cell r="AS1012" t="str">
            <v/>
          </cell>
          <cell r="AT1012" t="str">
            <v/>
          </cell>
          <cell r="AV1012" t="b">
            <v>1</v>
          </cell>
          <cell r="AW1012" t="str">
            <v>minute</v>
          </cell>
        </row>
        <row r="1013">
          <cell r="S1013" t="str">
            <v>DOM GBR ZF</v>
          </cell>
          <cell r="T1013" t="str">
            <v>DOM</v>
          </cell>
          <cell r="U1013" t="str">
            <v>GBR</v>
          </cell>
          <cell r="V1013" t="str">
            <v>ZF</v>
          </cell>
          <cell r="X1013">
            <v>0.62709999999999999</v>
          </cell>
          <cell r="Y1013">
            <v>0</v>
          </cell>
          <cell r="Z1013">
            <v>0.57489999999999997</v>
          </cell>
          <cell r="AA1013">
            <v>0</v>
          </cell>
          <cell r="AB1013">
            <v>0.52249999999999996</v>
          </cell>
          <cell r="AC1013">
            <v>0</v>
          </cell>
          <cell r="AD1013">
            <v>0.4703</v>
          </cell>
          <cell r="AE1013">
            <v>0</v>
          </cell>
          <cell r="AG1013" t="str">
            <v/>
          </cell>
          <cell r="AH1013" t="str">
            <v/>
          </cell>
          <cell r="AJ1013">
            <v>0.62709999999999999</v>
          </cell>
          <cell r="AK1013">
            <v>0</v>
          </cell>
          <cell r="AL1013">
            <v>0.57489999999999997</v>
          </cell>
          <cell r="AM1013">
            <v>0</v>
          </cell>
          <cell r="AN1013">
            <v>0.52249999999999996</v>
          </cell>
          <cell r="AO1013">
            <v>0</v>
          </cell>
          <cell r="AP1013">
            <v>0.4703</v>
          </cell>
          <cell r="AQ1013">
            <v>0</v>
          </cell>
          <cell r="AS1013" t="str">
            <v/>
          </cell>
          <cell r="AT1013" t="str">
            <v/>
          </cell>
          <cell r="AV1013" t="b">
            <v>1</v>
          </cell>
          <cell r="AW1013" t="str">
            <v>minute</v>
          </cell>
        </row>
        <row r="1014">
          <cell r="S1014" t="str">
            <v>DOM USA ALFIX</v>
          </cell>
          <cell r="T1014" t="str">
            <v>DOM</v>
          </cell>
          <cell r="U1014" t="str">
            <v>USA</v>
          </cell>
          <cell r="V1014" t="str">
            <v>ALFIX</v>
          </cell>
          <cell r="X1014">
            <v>1.84E-2</v>
          </cell>
          <cell r="Y1014">
            <v>0</v>
          </cell>
          <cell r="Z1014">
            <v>1.66E-2</v>
          </cell>
          <cell r="AA1014">
            <v>0</v>
          </cell>
          <cell r="AB1014">
            <v>1.5599999999999999E-2</v>
          </cell>
          <cell r="AC1014">
            <v>0</v>
          </cell>
          <cell r="AD1014">
            <v>1.47E-2</v>
          </cell>
          <cell r="AE1014">
            <v>0</v>
          </cell>
          <cell r="AG1014" t="str">
            <v/>
          </cell>
          <cell r="AH1014" t="str">
            <v/>
          </cell>
          <cell r="AJ1014">
            <v>1.84E-2</v>
          </cell>
          <cell r="AK1014">
            <v>0</v>
          </cell>
          <cell r="AL1014">
            <v>1.66E-2</v>
          </cell>
          <cell r="AM1014">
            <v>0</v>
          </cell>
          <cell r="AN1014">
            <v>1.5599999999999999E-2</v>
          </cell>
          <cell r="AO1014">
            <v>0</v>
          </cell>
          <cell r="AP1014">
            <v>1.47E-2</v>
          </cell>
          <cell r="AQ1014">
            <v>0</v>
          </cell>
          <cell r="AS1014" t="str">
            <v/>
          </cell>
          <cell r="AT1014" t="str">
            <v/>
          </cell>
          <cell r="AV1014" t="b">
            <v>1</v>
          </cell>
          <cell r="AW1014" t="str">
            <v>minute</v>
          </cell>
        </row>
        <row r="1015">
          <cell r="S1015" t="str">
            <v>DOM USA AKFIX</v>
          </cell>
          <cell r="T1015" t="str">
            <v>DOM</v>
          </cell>
          <cell r="U1015" t="str">
            <v>USA</v>
          </cell>
          <cell r="V1015" t="str">
            <v>AKFIX</v>
          </cell>
          <cell r="X1015">
            <v>0.18379999999999999</v>
          </cell>
          <cell r="Y1015">
            <v>0</v>
          </cell>
          <cell r="Z1015">
            <v>0.16550000000000001</v>
          </cell>
          <cell r="AA1015">
            <v>0</v>
          </cell>
          <cell r="AB1015">
            <v>0.15629999999999999</v>
          </cell>
          <cell r="AC1015">
            <v>0</v>
          </cell>
          <cell r="AD1015">
            <v>0.14710000000000001</v>
          </cell>
          <cell r="AE1015">
            <v>0</v>
          </cell>
          <cell r="AG1015" t="str">
            <v/>
          </cell>
          <cell r="AH1015" t="str">
            <v/>
          </cell>
          <cell r="AJ1015">
            <v>0.18379999999999999</v>
          </cell>
          <cell r="AK1015">
            <v>0</v>
          </cell>
          <cell r="AL1015">
            <v>0.16550000000000001</v>
          </cell>
          <cell r="AM1015">
            <v>0</v>
          </cell>
          <cell r="AN1015">
            <v>0.15629999999999999</v>
          </cell>
          <cell r="AO1015">
            <v>0</v>
          </cell>
          <cell r="AP1015">
            <v>0.14710000000000001</v>
          </cell>
          <cell r="AQ1015">
            <v>0</v>
          </cell>
          <cell r="AS1015" t="str">
            <v/>
          </cell>
          <cell r="AT1015" t="str">
            <v/>
          </cell>
          <cell r="AV1015" t="b">
            <v>1</v>
          </cell>
          <cell r="AW1015" t="str">
            <v>minute</v>
          </cell>
        </row>
        <row r="1016">
          <cell r="S1016" t="str">
            <v>DOM USA AZFIX</v>
          </cell>
          <cell r="T1016" t="str">
            <v>DOM</v>
          </cell>
          <cell r="U1016" t="str">
            <v>USA</v>
          </cell>
          <cell r="V1016" t="str">
            <v>AZFIX</v>
          </cell>
          <cell r="X1016">
            <v>1.84E-2</v>
          </cell>
          <cell r="Y1016">
            <v>0</v>
          </cell>
          <cell r="Z1016">
            <v>1.66E-2</v>
          </cell>
          <cell r="AA1016">
            <v>0</v>
          </cell>
          <cell r="AB1016">
            <v>1.5599999999999999E-2</v>
          </cell>
          <cell r="AC1016">
            <v>0</v>
          </cell>
          <cell r="AD1016">
            <v>1.47E-2</v>
          </cell>
          <cell r="AE1016">
            <v>0</v>
          </cell>
          <cell r="AG1016" t="str">
            <v/>
          </cell>
          <cell r="AH1016" t="str">
            <v/>
          </cell>
          <cell r="AJ1016">
            <v>1.84E-2</v>
          </cell>
          <cell r="AK1016">
            <v>0</v>
          </cell>
          <cell r="AL1016">
            <v>1.66E-2</v>
          </cell>
          <cell r="AM1016">
            <v>0</v>
          </cell>
          <cell r="AN1016">
            <v>1.5599999999999999E-2</v>
          </cell>
          <cell r="AO1016">
            <v>0</v>
          </cell>
          <cell r="AP1016">
            <v>1.47E-2</v>
          </cell>
          <cell r="AQ1016">
            <v>0</v>
          </cell>
          <cell r="AS1016" t="str">
            <v/>
          </cell>
          <cell r="AT1016" t="str">
            <v/>
          </cell>
          <cell r="AV1016" t="b">
            <v>1</v>
          </cell>
          <cell r="AW1016" t="str">
            <v>minute</v>
          </cell>
        </row>
        <row r="1017">
          <cell r="S1017" t="str">
            <v>DOM USA ARFIX</v>
          </cell>
          <cell r="T1017" t="str">
            <v>DOM</v>
          </cell>
          <cell r="U1017" t="str">
            <v>USA</v>
          </cell>
          <cell r="V1017" t="str">
            <v>ARFIX</v>
          </cell>
          <cell r="X1017">
            <v>1.84E-2</v>
          </cell>
          <cell r="Y1017">
            <v>0</v>
          </cell>
          <cell r="Z1017">
            <v>1.66E-2</v>
          </cell>
          <cell r="AA1017">
            <v>0</v>
          </cell>
          <cell r="AB1017">
            <v>1.5599999999999999E-2</v>
          </cell>
          <cell r="AC1017">
            <v>0</v>
          </cell>
          <cell r="AD1017">
            <v>1.47E-2</v>
          </cell>
          <cell r="AE1017">
            <v>0</v>
          </cell>
          <cell r="AG1017" t="str">
            <v/>
          </cell>
          <cell r="AH1017" t="str">
            <v/>
          </cell>
          <cell r="AJ1017">
            <v>1.84E-2</v>
          </cell>
          <cell r="AK1017">
            <v>0</v>
          </cell>
          <cell r="AL1017">
            <v>1.66E-2</v>
          </cell>
          <cell r="AM1017">
            <v>0</v>
          </cell>
          <cell r="AN1017">
            <v>1.5599999999999999E-2</v>
          </cell>
          <cell r="AO1017">
            <v>0</v>
          </cell>
          <cell r="AP1017">
            <v>1.47E-2</v>
          </cell>
          <cell r="AQ1017">
            <v>0</v>
          </cell>
          <cell r="AS1017" t="str">
            <v/>
          </cell>
          <cell r="AT1017" t="str">
            <v/>
          </cell>
          <cell r="AV1017" t="b">
            <v>1</v>
          </cell>
          <cell r="AW1017" t="str">
            <v>minute</v>
          </cell>
        </row>
        <row r="1018">
          <cell r="S1018" t="str">
            <v>DOM USA CAFIX</v>
          </cell>
          <cell r="T1018" t="str">
            <v>DOM</v>
          </cell>
          <cell r="U1018" t="str">
            <v>USA</v>
          </cell>
          <cell r="V1018" t="str">
            <v>CAFIX</v>
          </cell>
          <cell r="X1018">
            <v>1.84E-2</v>
          </cell>
          <cell r="Y1018">
            <v>0</v>
          </cell>
          <cell r="Z1018">
            <v>1.66E-2</v>
          </cell>
          <cell r="AA1018">
            <v>0</v>
          </cell>
          <cell r="AB1018">
            <v>1.5599999999999999E-2</v>
          </cell>
          <cell r="AC1018">
            <v>0</v>
          </cell>
          <cell r="AD1018">
            <v>1.47E-2</v>
          </cell>
          <cell r="AE1018">
            <v>0</v>
          </cell>
          <cell r="AG1018" t="str">
            <v/>
          </cell>
          <cell r="AH1018" t="str">
            <v/>
          </cell>
          <cell r="AJ1018">
            <v>1.84E-2</v>
          </cell>
          <cell r="AK1018">
            <v>0</v>
          </cell>
          <cell r="AL1018">
            <v>1.66E-2</v>
          </cell>
          <cell r="AM1018">
            <v>0</v>
          </cell>
          <cell r="AN1018">
            <v>1.5599999999999999E-2</v>
          </cell>
          <cell r="AO1018">
            <v>0</v>
          </cell>
          <cell r="AP1018">
            <v>1.47E-2</v>
          </cell>
          <cell r="AQ1018">
            <v>0</v>
          </cell>
          <cell r="AS1018" t="str">
            <v/>
          </cell>
          <cell r="AT1018" t="str">
            <v/>
          </cell>
          <cell r="AV1018" t="b">
            <v>1</v>
          </cell>
          <cell r="AW1018" t="str">
            <v>minute</v>
          </cell>
        </row>
        <row r="1019">
          <cell r="S1019" t="str">
            <v>DOM USA COFIX</v>
          </cell>
          <cell r="T1019" t="str">
            <v>DOM</v>
          </cell>
          <cell r="U1019" t="str">
            <v>USA</v>
          </cell>
          <cell r="V1019" t="str">
            <v>COFIX</v>
          </cell>
          <cell r="X1019">
            <v>1.84E-2</v>
          </cell>
          <cell r="Y1019">
            <v>0</v>
          </cell>
          <cell r="Z1019">
            <v>1.66E-2</v>
          </cell>
          <cell r="AA1019">
            <v>0</v>
          </cell>
          <cell r="AB1019">
            <v>1.5599999999999999E-2</v>
          </cell>
          <cell r="AC1019">
            <v>0</v>
          </cell>
          <cell r="AD1019">
            <v>1.47E-2</v>
          </cell>
          <cell r="AE1019">
            <v>0</v>
          </cell>
          <cell r="AG1019" t="str">
            <v/>
          </cell>
          <cell r="AH1019" t="str">
            <v/>
          </cell>
          <cell r="AJ1019">
            <v>1.84E-2</v>
          </cell>
          <cell r="AK1019">
            <v>0</v>
          </cell>
          <cell r="AL1019">
            <v>1.66E-2</v>
          </cell>
          <cell r="AM1019">
            <v>0</v>
          </cell>
          <cell r="AN1019">
            <v>1.5599999999999999E-2</v>
          </cell>
          <cell r="AO1019">
            <v>0</v>
          </cell>
          <cell r="AP1019">
            <v>1.47E-2</v>
          </cell>
          <cell r="AQ1019">
            <v>0</v>
          </cell>
          <cell r="AS1019" t="str">
            <v/>
          </cell>
          <cell r="AT1019" t="str">
            <v/>
          </cell>
          <cell r="AV1019" t="b">
            <v>1</v>
          </cell>
          <cell r="AW1019" t="str">
            <v>minute</v>
          </cell>
        </row>
        <row r="1020">
          <cell r="S1020" t="str">
            <v>DOM USA CTFIX</v>
          </cell>
          <cell r="T1020" t="str">
            <v>DOM</v>
          </cell>
          <cell r="U1020" t="str">
            <v>USA</v>
          </cell>
          <cell r="V1020" t="str">
            <v>CTFIX</v>
          </cell>
          <cell r="X1020">
            <v>1.84E-2</v>
          </cell>
          <cell r="Y1020">
            <v>0</v>
          </cell>
          <cell r="Z1020">
            <v>1.66E-2</v>
          </cell>
          <cell r="AA1020">
            <v>0</v>
          </cell>
          <cell r="AB1020">
            <v>1.5599999999999999E-2</v>
          </cell>
          <cell r="AC1020">
            <v>0</v>
          </cell>
          <cell r="AD1020">
            <v>1.47E-2</v>
          </cell>
          <cell r="AE1020">
            <v>0</v>
          </cell>
          <cell r="AG1020" t="str">
            <v/>
          </cell>
          <cell r="AH1020" t="str">
            <v/>
          </cell>
          <cell r="AJ1020">
            <v>1.84E-2</v>
          </cell>
          <cell r="AK1020">
            <v>0</v>
          </cell>
          <cell r="AL1020">
            <v>1.66E-2</v>
          </cell>
          <cell r="AM1020">
            <v>0</v>
          </cell>
          <cell r="AN1020">
            <v>1.5599999999999999E-2</v>
          </cell>
          <cell r="AO1020">
            <v>0</v>
          </cell>
          <cell r="AP1020">
            <v>1.47E-2</v>
          </cell>
          <cell r="AQ1020">
            <v>0</v>
          </cell>
          <cell r="AS1020" t="str">
            <v/>
          </cell>
          <cell r="AT1020" t="str">
            <v/>
          </cell>
          <cell r="AV1020" t="b">
            <v>1</v>
          </cell>
          <cell r="AW1020" t="str">
            <v>minute</v>
          </cell>
        </row>
        <row r="1021">
          <cell r="S1021" t="str">
            <v>DOM USA DEFIX</v>
          </cell>
          <cell r="T1021" t="str">
            <v>DOM</v>
          </cell>
          <cell r="U1021" t="str">
            <v>USA</v>
          </cell>
          <cell r="V1021" t="str">
            <v>DEFIX</v>
          </cell>
          <cell r="X1021">
            <v>1.84E-2</v>
          </cell>
          <cell r="Y1021">
            <v>0</v>
          </cell>
          <cell r="Z1021">
            <v>1.66E-2</v>
          </cell>
          <cell r="AA1021">
            <v>0</v>
          </cell>
          <cell r="AB1021">
            <v>1.5599999999999999E-2</v>
          </cell>
          <cell r="AC1021">
            <v>0</v>
          </cell>
          <cell r="AD1021">
            <v>1.47E-2</v>
          </cell>
          <cell r="AE1021">
            <v>0</v>
          </cell>
          <cell r="AG1021" t="str">
            <v/>
          </cell>
          <cell r="AH1021" t="str">
            <v/>
          </cell>
          <cell r="AJ1021">
            <v>1.84E-2</v>
          </cell>
          <cell r="AK1021">
            <v>0</v>
          </cell>
          <cell r="AL1021">
            <v>1.66E-2</v>
          </cell>
          <cell r="AM1021">
            <v>0</v>
          </cell>
          <cell r="AN1021">
            <v>1.5599999999999999E-2</v>
          </cell>
          <cell r="AO1021">
            <v>0</v>
          </cell>
          <cell r="AP1021">
            <v>1.47E-2</v>
          </cell>
          <cell r="AQ1021">
            <v>0</v>
          </cell>
          <cell r="AS1021" t="str">
            <v/>
          </cell>
          <cell r="AT1021" t="str">
            <v/>
          </cell>
          <cell r="AV1021" t="b">
            <v>1</v>
          </cell>
          <cell r="AW1021" t="str">
            <v>minute</v>
          </cell>
        </row>
        <row r="1022">
          <cell r="S1022" t="str">
            <v>DOM USA FLFIX</v>
          </cell>
          <cell r="T1022" t="str">
            <v>DOM</v>
          </cell>
          <cell r="U1022" t="str">
            <v>USA</v>
          </cell>
          <cell r="V1022" t="str">
            <v>FLFIX</v>
          </cell>
          <cell r="X1022">
            <v>1.84E-2</v>
          </cell>
          <cell r="Y1022">
            <v>0</v>
          </cell>
          <cell r="Z1022">
            <v>1.66E-2</v>
          </cell>
          <cell r="AA1022">
            <v>0</v>
          </cell>
          <cell r="AB1022">
            <v>1.5599999999999999E-2</v>
          </cell>
          <cell r="AC1022">
            <v>0</v>
          </cell>
          <cell r="AD1022">
            <v>1.47E-2</v>
          </cell>
          <cell r="AE1022">
            <v>0</v>
          </cell>
          <cell r="AG1022" t="str">
            <v/>
          </cell>
          <cell r="AH1022" t="str">
            <v/>
          </cell>
          <cell r="AJ1022">
            <v>1.84E-2</v>
          </cell>
          <cell r="AK1022">
            <v>0</v>
          </cell>
          <cell r="AL1022">
            <v>1.66E-2</v>
          </cell>
          <cell r="AM1022">
            <v>0</v>
          </cell>
          <cell r="AN1022">
            <v>1.5599999999999999E-2</v>
          </cell>
          <cell r="AO1022">
            <v>0</v>
          </cell>
          <cell r="AP1022">
            <v>1.47E-2</v>
          </cell>
          <cell r="AQ1022">
            <v>0</v>
          </cell>
          <cell r="AS1022" t="str">
            <v/>
          </cell>
          <cell r="AT1022" t="str">
            <v/>
          </cell>
          <cell r="AV1022" t="b">
            <v>1</v>
          </cell>
          <cell r="AW1022" t="str">
            <v>minute</v>
          </cell>
        </row>
        <row r="1023">
          <cell r="S1023" t="str">
            <v>DOM USA GAFIX</v>
          </cell>
          <cell r="T1023" t="str">
            <v>DOM</v>
          </cell>
          <cell r="U1023" t="str">
            <v>USA</v>
          </cell>
          <cell r="V1023" t="str">
            <v>GAFIX</v>
          </cell>
          <cell r="X1023">
            <v>1.84E-2</v>
          </cell>
          <cell r="Y1023">
            <v>0</v>
          </cell>
          <cell r="Z1023">
            <v>1.66E-2</v>
          </cell>
          <cell r="AA1023">
            <v>0</v>
          </cell>
          <cell r="AB1023">
            <v>1.5599999999999999E-2</v>
          </cell>
          <cell r="AC1023">
            <v>0</v>
          </cell>
          <cell r="AD1023">
            <v>1.47E-2</v>
          </cell>
          <cell r="AE1023">
            <v>0</v>
          </cell>
          <cell r="AG1023" t="str">
            <v/>
          </cell>
          <cell r="AH1023" t="str">
            <v/>
          </cell>
          <cell r="AJ1023">
            <v>1.84E-2</v>
          </cell>
          <cell r="AK1023">
            <v>0</v>
          </cell>
          <cell r="AL1023">
            <v>1.66E-2</v>
          </cell>
          <cell r="AM1023">
            <v>0</v>
          </cell>
          <cell r="AN1023">
            <v>1.5599999999999999E-2</v>
          </cell>
          <cell r="AO1023">
            <v>0</v>
          </cell>
          <cell r="AP1023">
            <v>1.47E-2</v>
          </cell>
          <cell r="AQ1023">
            <v>0</v>
          </cell>
          <cell r="AS1023" t="str">
            <v/>
          </cell>
          <cell r="AT1023" t="str">
            <v/>
          </cell>
          <cell r="AV1023" t="b">
            <v>1</v>
          </cell>
          <cell r="AW1023" t="str">
            <v>minute</v>
          </cell>
        </row>
        <row r="1024">
          <cell r="S1024" t="str">
            <v>DOM USA HIFIX</v>
          </cell>
          <cell r="T1024" t="str">
            <v>DOM</v>
          </cell>
          <cell r="U1024" t="str">
            <v>USA</v>
          </cell>
          <cell r="V1024" t="str">
            <v>HIFIX</v>
          </cell>
          <cell r="X1024">
            <v>2.3099999999999999E-2</v>
          </cell>
          <cell r="Y1024">
            <v>0</v>
          </cell>
          <cell r="Z1024">
            <v>2.07E-2</v>
          </cell>
          <cell r="AA1024">
            <v>0</v>
          </cell>
          <cell r="AB1024">
            <v>1.9599999999999999E-2</v>
          </cell>
          <cell r="AC1024">
            <v>0</v>
          </cell>
          <cell r="AD1024">
            <v>1.84E-2</v>
          </cell>
          <cell r="AE1024">
            <v>0</v>
          </cell>
          <cell r="AG1024" t="str">
            <v/>
          </cell>
          <cell r="AH1024" t="str">
            <v/>
          </cell>
          <cell r="AJ1024">
            <v>2.3099999999999999E-2</v>
          </cell>
          <cell r="AK1024">
            <v>0</v>
          </cell>
          <cell r="AL1024">
            <v>2.07E-2</v>
          </cell>
          <cell r="AM1024">
            <v>0</v>
          </cell>
          <cell r="AN1024">
            <v>1.9599999999999999E-2</v>
          </cell>
          <cell r="AO1024">
            <v>0</v>
          </cell>
          <cell r="AP1024">
            <v>1.84E-2</v>
          </cell>
          <cell r="AQ1024">
            <v>0</v>
          </cell>
          <cell r="AS1024" t="str">
            <v/>
          </cell>
          <cell r="AT1024" t="str">
            <v/>
          </cell>
          <cell r="AV1024" t="b">
            <v>1</v>
          </cell>
          <cell r="AW1024" t="str">
            <v>minute</v>
          </cell>
        </row>
        <row r="1025">
          <cell r="S1025" t="str">
            <v>DOM USA IDFIX</v>
          </cell>
          <cell r="T1025" t="str">
            <v>DOM</v>
          </cell>
          <cell r="U1025" t="str">
            <v>USA</v>
          </cell>
          <cell r="V1025" t="str">
            <v>IDFIX</v>
          </cell>
          <cell r="X1025">
            <v>1.84E-2</v>
          </cell>
          <cell r="Y1025">
            <v>0</v>
          </cell>
          <cell r="Z1025">
            <v>1.66E-2</v>
          </cell>
          <cell r="AA1025">
            <v>0</v>
          </cell>
          <cell r="AB1025">
            <v>1.5599999999999999E-2</v>
          </cell>
          <cell r="AC1025">
            <v>0</v>
          </cell>
          <cell r="AD1025">
            <v>1.47E-2</v>
          </cell>
          <cell r="AE1025">
            <v>0</v>
          </cell>
          <cell r="AG1025" t="str">
            <v/>
          </cell>
          <cell r="AH1025" t="str">
            <v/>
          </cell>
          <cell r="AJ1025">
            <v>1.84E-2</v>
          </cell>
          <cell r="AK1025">
            <v>0</v>
          </cell>
          <cell r="AL1025">
            <v>1.66E-2</v>
          </cell>
          <cell r="AM1025">
            <v>0</v>
          </cell>
          <cell r="AN1025">
            <v>1.5599999999999999E-2</v>
          </cell>
          <cell r="AO1025">
            <v>0</v>
          </cell>
          <cell r="AP1025">
            <v>1.47E-2</v>
          </cell>
          <cell r="AQ1025">
            <v>0</v>
          </cell>
          <cell r="AS1025" t="str">
            <v/>
          </cell>
          <cell r="AT1025" t="str">
            <v/>
          </cell>
          <cell r="AV1025" t="b">
            <v>1</v>
          </cell>
          <cell r="AW1025" t="str">
            <v>minute</v>
          </cell>
        </row>
        <row r="1026">
          <cell r="S1026" t="str">
            <v>DOM USA ILFIX</v>
          </cell>
          <cell r="T1026" t="str">
            <v>DOM</v>
          </cell>
          <cell r="U1026" t="str">
            <v>USA</v>
          </cell>
          <cell r="V1026" t="str">
            <v>ILFIX</v>
          </cell>
          <cell r="X1026">
            <v>1.84E-2</v>
          </cell>
          <cell r="Y1026">
            <v>0</v>
          </cell>
          <cell r="Z1026">
            <v>1.66E-2</v>
          </cell>
          <cell r="AA1026">
            <v>0</v>
          </cell>
          <cell r="AB1026">
            <v>1.5599999999999999E-2</v>
          </cell>
          <cell r="AC1026">
            <v>0</v>
          </cell>
          <cell r="AD1026">
            <v>1.47E-2</v>
          </cell>
          <cell r="AE1026">
            <v>0</v>
          </cell>
          <cell r="AG1026" t="str">
            <v/>
          </cell>
          <cell r="AH1026" t="str">
            <v/>
          </cell>
          <cell r="AJ1026">
            <v>1.84E-2</v>
          </cell>
          <cell r="AK1026">
            <v>0</v>
          </cell>
          <cell r="AL1026">
            <v>1.66E-2</v>
          </cell>
          <cell r="AM1026">
            <v>0</v>
          </cell>
          <cell r="AN1026">
            <v>1.5599999999999999E-2</v>
          </cell>
          <cell r="AO1026">
            <v>0</v>
          </cell>
          <cell r="AP1026">
            <v>1.47E-2</v>
          </cell>
          <cell r="AQ1026">
            <v>0</v>
          </cell>
          <cell r="AS1026" t="str">
            <v/>
          </cell>
          <cell r="AT1026" t="str">
            <v/>
          </cell>
          <cell r="AV1026" t="b">
            <v>1</v>
          </cell>
          <cell r="AW1026" t="str">
            <v>minute</v>
          </cell>
        </row>
        <row r="1027">
          <cell r="S1027" t="str">
            <v>DOM USA INFIX</v>
          </cell>
          <cell r="T1027" t="str">
            <v>DOM</v>
          </cell>
          <cell r="U1027" t="str">
            <v>USA</v>
          </cell>
          <cell r="V1027" t="str">
            <v>INFIX</v>
          </cell>
          <cell r="X1027">
            <v>1.84E-2</v>
          </cell>
          <cell r="Y1027">
            <v>0</v>
          </cell>
          <cell r="Z1027">
            <v>1.66E-2</v>
          </cell>
          <cell r="AA1027">
            <v>0</v>
          </cell>
          <cell r="AB1027">
            <v>1.5599999999999999E-2</v>
          </cell>
          <cell r="AC1027">
            <v>0</v>
          </cell>
          <cell r="AD1027">
            <v>1.47E-2</v>
          </cell>
          <cell r="AE1027">
            <v>0</v>
          </cell>
          <cell r="AG1027" t="str">
            <v/>
          </cell>
          <cell r="AH1027" t="str">
            <v/>
          </cell>
          <cell r="AJ1027">
            <v>1.84E-2</v>
          </cell>
          <cell r="AK1027">
            <v>0</v>
          </cell>
          <cell r="AL1027">
            <v>1.66E-2</v>
          </cell>
          <cell r="AM1027">
            <v>0</v>
          </cell>
          <cell r="AN1027">
            <v>1.5599999999999999E-2</v>
          </cell>
          <cell r="AO1027">
            <v>0</v>
          </cell>
          <cell r="AP1027">
            <v>1.47E-2</v>
          </cell>
          <cell r="AQ1027">
            <v>0</v>
          </cell>
          <cell r="AS1027" t="str">
            <v/>
          </cell>
          <cell r="AT1027" t="str">
            <v/>
          </cell>
          <cell r="AV1027" t="b">
            <v>1</v>
          </cell>
          <cell r="AW1027" t="str">
            <v>minute</v>
          </cell>
        </row>
        <row r="1028">
          <cell r="S1028" t="str">
            <v>DOM USA IAFIX</v>
          </cell>
          <cell r="T1028" t="str">
            <v>DOM</v>
          </cell>
          <cell r="U1028" t="str">
            <v>USA</v>
          </cell>
          <cell r="V1028" t="str">
            <v>IAFIX</v>
          </cell>
          <cell r="X1028">
            <v>1.84E-2</v>
          </cell>
          <cell r="Y1028">
            <v>0</v>
          </cell>
          <cell r="Z1028">
            <v>1.66E-2</v>
          </cell>
          <cell r="AA1028">
            <v>0</v>
          </cell>
          <cell r="AB1028">
            <v>1.5599999999999999E-2</v>
          </cell>
          <cell r="AC1028">
            <v>0</v>
          </cell>
          <cell r="AD1028">
            <v>1.47E-2</v>
          </cell>
          <cell r="AE1028">
            <v>0</v>
          </cell>
          <cell r="AG1028" t="str">
            <v/>
          </cell>
          <cell r="AH1028" t="str">
            <v/>
          </cell>
          <cell r="AJ1028">
            <v>1.84E-2</v>
          </cell>
          <cell r="AK1028">
            <v>0</v>
          </cell>
          <cell r="AL1028">
            <v>1.66E-2</v>
          </cell>
          <cell r="AM1028">
            <v>0</v>
          </cell>
          <cell r="AN1028">
            <v>1.5599999999999999E-2</v>
          </cell>
          <cell r="AO1028">
            <v>0</v>
          </cell>
          <cell r="AP1028">
            <v>1.47E-2</v>
          </cell>
          <cell r="AQ1028">
            <v>0</v>
          </cell>
          <cell r="AS1028" t="str">
            <v/>
          </cell>
          <cell r="AT1028" t="str">
            <v/>
          </cell>
          <cell r="AV1028" t="b">
            <v>1</v>
          </cell>
          <cell r="AW1028" t="str">
            <v>minute</v>
          </cell>
        </row>
        <row r="1029">
          <cell r="S1029" t="str">
            <v>DOM USA KSFIX</v>
          </cell>
          <cell r="T1029" t="str">
            <v>DOM</v>
          </cell>
          <cell r="U1029" t="str">
            <v>USA</v>
          </cell>
          <cell r="V1029" t="str">
            <v>KSFIX</v>
          </cell>
          <cell r="X1029">
            <v>1.84E-2</v>
          </cell>
          <cell r="Y1029">
            <v>0</v>
          </cell>
          <cell r="Z1029">
            <v>1.66E-2</v>
          </cell>
          <cell r="AA1029">
            <v>0</v>
          </cell>
          <cell r="AB1029">
            <v>1.5599999999999999E-2</v>
          </cell>
          <cell r="AC1029">
            <v>0</v>
          </cell>
          <cell r="AD1029">
            <v>1.47E-2</v>
          </cell>
          <cell r="AE1029">
            <v>0</v>
          </cell>
          <cell r="AG1029" t="str">
            <v/>
          </cell>
          <cell r="AH1029" t="str">
            <v/>
          </cell>
          <cell r="AJ1029">
            <v>1.84E-2</v>
          </cell>
          <cell r="AK1029">
            <v>0</v>
          </cell>
          <cell r="AL1029">
            <v>1.66E-2</v>
          </cell>
          <cell r="AM1029">
            <v>0</v>
          </cell>
          <cell r="AN1029">
            <v>1.5599999999999999E-2</v>
          </cell>
          <cell r="AO1029">
            <v>0</v>
          </cell>
          <cell r="AP1029">
            <v>1.47E-2</v>
          </cell>
          <cell r="AQ1029">
            <v>0</v>
          </cell>
          <cell r="AS1029" t="str">
            <v/>
          </cell>
          <cell r="AT1029" t="str">
            <v/>
          </cell>
          <cell r="AV1029" t="b">
            <v>1</v>
          </cell>
          <cell r="AW1029" t="str">
            <v>minute</v>
          </cell>
        </row>
        <row r="1030">
          <cell r="S1030" t="str">
            <v>DOM USA KYFIX</v>
          </cell>
          <cell r="T1030" t="str">
            <v>DOM</v>
          </cell>
          <cell r="U1030" t="str">
            <v>USA</v>
          </cell>
          <cell r="V1030" t="str">
            <v>KYFIX</v>
          </cell>
          <cell r="X1030">
            <v>1.84E-2</v>
          </cell>
          <cell r="Y1030">
            <v>0</v>
          </cell>
          <cell r="Z1030">
            <v>1.66E-2</v>
          </cell>
          <cell r="AA1030">
            <v>0</v>
          </cell>
          <cell r="AB1030">
            <v>1.5599999999999999E-2</v>
          </cell>
          <cell r="AC1030">
            <v>0</v>
          </cell>
          <cell r="AD1030">
            <v>1.47E-2</v>
          </cell>
          <cell r="AE1030">
            <v>0</v>
          </cell>
          <cell r="AG1030" t="str">
            <v/>
          </cell>
          <cell r="AH1030" t="str">
            <v/>
          </cell>
          <cell r="AJ1030">
            <v>1.84E-2</v>
          </cell>
          <cell r="AK1030">
            <v>0</v>
          </cell>
          <cell r="AL1030">
            <v>1.66E-2</v>
          </cell>
          <cell r="AM1030">
            <v>0</v>
          </cell>
          <cell r="AN1030">
            <v>1.5599999999999999E-2</v>
          </cell>
          <cell r="AO1030">
            <v>0</v>
          </cell>
          <cell r="AP1030">
            <v>1.47E-2</v>
          </cell>
          <cell r="AQ1030">
            <v>0</v>
          </cell>
          <cell r="AS1030" t="str">
            <v/>
          </cell>
          <cell r="AT1030" t="str">
            <v/>
          </cell>
          <cell r="AV1030" t="b">
            <v>1</v>
          </cell>
          <cell r="AW1030" t="str">
            <v>minute</v>
          </cell>
        </row>
        <row r="1031">
          <cell r="S1031" t="str">
            <v>DOM USA LAFIX</v>
          </cell>
          <cell r="T1031" t="str">
            <v>DOM</v>
          </cell>
          <cell r="U1031" t="str">
            <v>USA</v>
          </cell>
          <cell r="V1031" t="str">
            <v>LAFIX</v>
          </cell>
          <cell r="X1031">
            <v>1.84E-2</v>
          </cell>
          <cell r="Y1031">
            <v>0</v>
          </cell>
          <cell r="Z1031">
            <v>1.66E-2</v>
          </cell>
          <cell r="AA1031">
            <v>0</v>
          </cell>
          <cell r="AB1031">
            <v>1.5599999999999999E-2</v>
          </cell>
          <cell r="AC1031">
            <v>0</v>
          </cell>
          <cell r="AD1031">
            <v>1.47E-2</v>
          </cell>
          <cell r="AE1031">
            <v>0</v>
          </cell>
          <cell r="AG1031" t="str">
            <v/>
          </cell>
          <cell r="AH1031" t="str">
            <v/>
          </cell>
          <cell r="AJ1031">
            <v>1.84E-2</v>
          </cell>
          <cell r="AK1031">
            <v>0</v>
          </cell>
          <cell r="AL1031">
            <v>1.66E-2</v>
          </cell>
          <cell r="AM1031">
            <v>0</v>
          </cell>
          <cell r="AN1031">
            <v>1.5599999999999999E-2</v>
          </cell>
          <cell r="AO1031">
            <v>0</v>
          </cell>
          <cell r="AP1031">
            <v>1.47E-2</v>
          </cell>
          <cell r="AQ1031">
            <v>0</v>
          </cell>
          <cell r="AS1031" t="str">
            <v/>
          </cell>
          <cell r="AT1031" t="str">
            <v/>
          </cell>
          <cell r="AV1031" t="b">
            <v>1</v>
          </cell>
          <cell r="AW1031" t="str">
            <v>minute</v>
          </cell>
        </row>
        <row r="1032">
          <cell r="S1032" t="str">
            <v>DOM USA MEFIX</v>
          </cell>
          <cell r="T1032" t="str">
            <v>DOM</v>
          </cell>
          <cell r="U1032" t="str">
            <v>USA</v>
          </cell>
          <cell r="V1032" t="str">
            <v>MEFIX</v>
          </cell>
          <cell r="X1032">
            <v>1.84E-2</v>
          </cell>
          <cell r="Y1032">
            <v>0</v>
          </cell>
          <cell r="Z1032">
            <v>1.66E-2</v>
          </cell>
          <cell r="AA1032">
            <v>0</v>
          </cell>
          <cell r="AB1032">
            <v>1.5599999999999999E-2</v>
          </cell>
          <cell r="AC1032">
            <v>0</v>
          </cell>
          <cell r="AD1032">
            <v>1.47E-2</v>
          </cell>
          <cell r="AE1032">
            <v>0</v>
          </cell>
          <cell r="AG1032" t="str">
            <v/>
          </cell>
          <cell r="AH1032" t="str">
            <v/>
          </cell>
          <cell r="AJ1032">
            <v>1.84E-2</v>
          </cell>
          <cell r="AK1032">
            <v>0</v>
          </cell>
          <cell r="AL1032">
            <v>1.66E-2</v>
          </cell>
          <cell r="AM1032">
            <v>0</v>
          </cell>
          <cell r="AN1032">
            <v>1.5599999999999999E-2</v>
          </cell>
          <cell r="AO1032">
            <v>0</v>
          </cell>
          <cell r="AP1032">
            <v>1.47E-2</v>
          </cell>
          <cell r="AQ1032">
            <v>0</v>
          </cell>
          <cell r="AS1032" t="str">
            <v/>
          </cell>
          <cell r="AT1032" t="str">
            <v/>
          </cell>
          <cell r="AV1032" t="b">
            <v>1</v>
          </cell>
          <cell r="AW1032" t="str">
            <v>minute</v>
          </cell>
        </row>
        <row r="1033">
          <cell r="S1033" t="str">
            <v>DOM USA MDFIX</v>
          </cell>
          <cell r="T1033" t="str">
            <v>DOM</v>
          </cell>
          <cell r="U1033" t="str">
            <v>USA</v>
          </cell>
          <cell r="V1033" t="str">
            <v>MDFIX</v>
          </cell>
          <cell r="X1033">
            <v>1.84E-2</v>
          </cell>
          <cell r="Y1033">
            <v>0</v>
          </cell>
          <cell r="Z1033">
            <v>1.66E-2</v>
          </cell>
          <cell r="AA1033">
            <v>0</v>
          </cell>
          <cell r="AB1033">
            <v>1.5599999999999999E-2</v>
          </cell>
          <cell r="AC1033">
            <v>0</v>
          </cell>
          <cell r="AD1033">
            <v>1.47E-2</v>
          </cell>
          <cell r="AE1033">
            <v>0</v>
          </cell>
          <cell r="AG1033" t="str">
            <v/>
          </cell>
          <cell r="AH1033" t="str">
            <v/>
          </cell>
          <cell r="AJ1033">
            <v>1.84E-2</v>
          </cell>
          <cell r="AK1033">
            <v>0</v>
          </cell>
          <cell r="AL1033">
            <v>1.66E-2</v>
          </cell>
          <cell r="AM1033">
            <v>0</v>
          </cell>
          <cell r="AN1033">
            <v>1.5599999999999999E-2</v>
          </cell>
          <cell r="AO1033">
            <v>0</v>
          </cell>
          <cell r="AP1033">
            <v>1.47E-2</v>
          </cell>
          <cell r="AQ1033">
            <v>0</v>
          </cell>
          <cell r="AS1033" t="str">
            <v/>
          </cell>
          <cell r="AT1033" t="str">
            <v/>
          </cell>
          <cell r="AV1033" t="b">
            <v>1</v>
          </cell>
          <cell r="AW1033" t="str">
            <v>minute</v>
          </cell>
        </row>
        <row r="1034">
          <cell r="S1034" t="str">
            <v>DOM USA MAFIX</v>
          </cell>
          <cell r="T1034" t="str">
            <v>DOM</v>
          </cell>
          <cell r="U1034" t="str">
            <v>USA</v>
          </cell>
          <cell r="V1034" t="str">
            <v>MAFIX</v>
          </cell>
          <cell r="X1034">
            <v>1.84E-2</v>
          </cell>
          <cell r="Y1034">
            <v>0</v>
          </cell>
          <cell r="Z1034">
            <v>1.66E-2</v>
          </cell>
          <cell r="AA1034">
            <v>0</v>
          </cell>
          <cell r="AB1034">
            <v>1.5599999999999999E-2</v>
          </cell>
          <cell r="AC1034">
            <v>0</v>
          </cell>
          <cell r="AD1034">
            <v>1.47E-2</v>
          </cell>
          <cell r="AE1034">
            <v>0</v>
          </cell>
          <cell r="AG1034" t="str">
            <v/>
          </cell>
          <cell r="AH1034" t="str">
            <v/>
          </cell>
          <cell r="AJ1034">
            <v>1.84E-2</v>
          </cell>
          <cell r="AK1034">
            <v>0</v>
          </cell>
          <cell r="AL1034">
            <v>1.66E-2</v>
          </cell>
          <cell r="AM1034">
            <v>0</v>
          </cell>
          <cell r="AN1034">
            <v>1.5599999999999999E-2</v>
          </cell>
          <cell r="AO1034">
            <v>0</v>
          </cell>
          <cell r="AP1034">
            <v>1.47E-2</v>
          </cell>
          <cell r="AQ1034">
            <v>0</v>
          </cell>
          <cell r="AS1034" t="str">
            <v/>
          </cell>
          <cell r="AT1034" t="str">
            <v/>
          </cell>
          <cell r="AV1034" t="b">
            <v>1</v>
          </cell>
          <cell r="AW1034" t="str">
            <v>minute</v>
          </cell>
        </row>
        <row r="1035">
          <cell r="S1035" t="str">
            <v>DOM USA MIFIX</v>
          </cell>
          <cell r="T1035" t="str">
            <v>DOM</v>
          </cell>
          <cell r="U1035" t="str">
            <v>USA</v>
          </cell>
          <cell r="V1035" t="str">
            <v>MIFIX</v>
          </cell>
          <cell r="X1035">
            <v>1.84E-2</v>
          </cell>
          <cell r="Y1035">
            <v>0</v>
          </cell>
          <cell r="Z1035">
            <v>1.66E-2</v>
          </cell>
          <cell r="AA1035">
            <v>0</v>
          </cell>
          <cell r="AB1035">
            <v>1.5599999999999999E-2</v>
          </cell>
          <cell r="AC1035">
            <v>0</v>
          </cell>
          <cell r="AD1035">
            <v>1.47E-2</v>
          </cell>
          <cell r="AE1035">
            <v>0</v>
          </cell>
          <cell r="AG1035" t="str">
            <v/>
          </cell>
          <cell r="AH1035" t="str">
            <v/>
          </cell>
          <cell r="AJ1035">
            <v>1.84E-2</v>
          </cell>
          <cell r="AK1035">
            <v>0</v>
          </cell>
          <cell r="AL1035">
            <v>1.66E-2</v>
          </cell>
          <cell r="AM1035">
            <v>0</v>
          </cell>
          <cell r="AN1035">
            <v>1.5599999999999999E-2</v>
          </cell>
          <cell r="AO1035">
            <v>0</v>
          </cell>
          <cell r="AP1035">
            <v>1.47E-2</v>
          </cell>
          <cell r="AQ1035">
            <v>0</v>
          </cell>
          <cell r="AS1035" t="str">
            <v/>
          </cell>
          <cell r="AT1035" t="str">
            <v/>
          </cell>
          <cell r="AV1035" t="b">
            <v>1</v>
          </cell>
          <cell r="AW1035" t="str">
            <v>minute</v>
          </cell>
        </row>
        <row r="1036">
          <cell r="S1036" t="str">
            <v>DOM USA MNFIX</v>
          </cell>
          <cell r="T1036" t="str">
            <v>DOM</v>
          </cell>
          <cell r="U1036" t="str">
            <v>USA</v>
          </cell>
          <cell r="V1036" t="str">
            <v>MNFIX</v>
          </cell>
          <cell r="X1036">
            <v>1.84E-2</v>
          </cell>
          <cell r="Y1036">
            <v>0</v>
          </cell>
          <cell r="Z1036">
            <v>1.66E-2</v>
          </cell>
          <cell r="AA1036">
            <v>0</v>
          </cell>
          <cell r="AB1036">
            <v>1.5599999999999999E-2</v>
          </cell>
          <cell r="AC1036">
            <v>0</v>
          </cell>
          <cell r="AD1036">
            <v>1.47E-2</v>
          </cell>
          <cell r="AE1036">
            <v>0</v>
          </cell>
          <cell r="AG1036" t="str">
            <v/>
          </cell>
          <cell r="AH1036" t="str">
            <v/>
          </cell>
          <cell r="AJ1036">
            <v>1.84E-2</v>
          </cell>
          <cell r="AK1036">
            <v>0</v>
          </cell>
          <cell r="AL1036">
            <v>1.66E-2</v>
          </cell>
          <cell r="AM1036">
            <v>0</v>
          </cell>
          <cell r="AN1036">
            <v>1.5599999999999999E-2</v>
          </cell>
          <cell r="AO1036">
            <v>0</v>
          </cell>
          <cell r="AP1036">
            <v>1.47E-2</v>
          </cell>
          <cell r="AQ1036">
            <v>0</v>
          </cell>
          <cell r="AS1036" t="str">
            <v/>
          </cell>
          <cell r="AT1036" t="str">
            <v/>
          </cell>
          <cell r="AV1036" t="b">
            <v>1</v>
          </cell>
          <cell r="AW1036" t="str">
            <v>minute</v>
          </cell>
        </row>
        <row r="1037">
          <cell r="S1037" t="str">
            <v>DOM USA MSFIX</v>
          </cell>
          <cell r="T1037" t="str">
            <v>DOM</v>
          </cell>
          <cell r="U1037" t="str">
            <v>USA</v>
          </cell>
          <cell r="V1037" t="str">
            <v>MSFIX</v>
          </cell>
          <cell r="X1037">
            <v>1.84E-2</v>
          </cell>
          <cell r="Y1037">
            <v>0</v>
          </cell>
          <cell r="Z1037">
            <v>1.66E-2</v>
          </cell>
          <cell r="AA1037">
            <v>0</v>
          </cell>
          <cell r="AB1037">
            <v>1.5599999999999999E-2</v>
          </cell>
          <cell r="AC1037">
            <v>0</v>
          </cell>
          <cell r="AD1037">
            <v>1.47E-2</v>
          </cell>
          <cell r="AE1037">
            <v>0</v>
          </cell>
          <cell r="AG1037" t="str">
            <v/>
          </cell>
          <cell r="AH1037" t="str">
            <v/>
          </cell>
          <cell r="AJ1037">
            <v>1.84E-2</v>
          </cell>
          <cell r="AK1037">
            <v>0</v>
          </cell>
          <cell r="AL1037">
            <v>1.66E-2</v>
          </cell>
          <cell r="AM1037">
            <v>0</v>
          </cell>
          <cell r="AN1037">
            <v>1.5599999999999999E-2</v>
          </cell>
          <cell r="AO1037">
            <v>0</v>
          </cell>
          <cell r="AP1037">
            <v>1.47E-2</v>
          </cell>
          <cell r="AQ1037">
            <v>0</v>
          </cell>
          <cell r="AS1037" t="str">
            <v/>
          </cell>
          <cell r="AT1037" t="str">
            <v/>
          </cell>
          <cell r="AV1037" t="b">
            <v>1</v>
          </cell>
          <cell r="AW1037" t="str">
            <v>minute</v>
          </cell>
        </row>
        <row r="1038">
          <cell r="S1038" t="str">
            <v>DOM USA MOFIX</v>
          </cell>
          <cell r="T1038" t="str">
            <v>DOM</v>
          </cell>
          <cell r="U1038" t="str">
            <v>USA</v>
          </cell>
          <cell r="V1038" t="str">
            <v>MOFIX</v>
          </cell>
          <cell r="X1038">
            <v>1.84E-2</v>
          </cell>
          <cell r="Y1038">
            <v>0</v>
          </cell>
          <cell r="Z1038">
            <v>1.66E-2</v>
          </cell>
          <cell r="AA1038">
            <v>0</v>
          </cell>
          <cell r="AB1038">
            <v>1.5599999999999999E-2</v>
          </cell>
          <cell r="AC1038">
            <v>0</v>
          </cell>
          <cell r="AD1038">
            <v>1.47E-2</v>
          </cell>
          <cell r="AE1038">
            <v>0</v>
          </cell>
          <cell r="AG1038" t="str">
            <v/>
          </cell>
          <cell r="AH1038" t="str">
            <v/>
          </cell>
          <cell r="AJ1038">
            <v>1.84E-2</v>
          </cell>
          <cell r="AK1038">
            <v>0</v>
          </cell>
          <cell r="AL1038">
            <v>1.66E-2</v>
          </cell>
          <cell r="AM1038">
            <v>0</v>
          </cell>
          <cell r="AN1038">
            <v>1.5599999999999999E-2</v>
          </cell>
          <cell r="AO1038">
            <v>0</v>
          </cell>
          <cell r="AP1038">
            <v>1.47E-2</v>
          </cell>
          <cell r="AQ1038">
            <v>0</v>
          </cell>
          <cell r="AS1038" t="str">
            <v/>
          </cell>
          <cell r="AT1038" t="str">
            <v/>
          </cell>
          <cell r="AV1038" t="b">
            <v>1</v>
          </cell>
          <cell r="AW1038" t="str">
            <v>minute</v>
          </cell>
        </row>
        <row r="1039">
          <cell r="S1039" t="str">
            <v>DOM USA MTFIX</v>
          </cell>
          <cell r="T1039" t="str">
            <v>DOM</v>
          </cell>
          <cell r="U1039" t="str">
            <v>USA</v>
          </cell>
          <cell r="V1039" t="str">
            <v>MTFIX</v>
          </cell>
          <cell r="X1039">
            <v>1.84E-2</v>
          </cell>
          <cell r="Y1039">
            <v>0</v>
          </cell>
          <cell r="Z1039">
            <v>1.66E-2</v>
          </cell>
          <cell r="AA1039">
            <v>0</v>
          </cell>
          <cell r="AB1039">
            <v>1.5599999999999999E-2</v>
          </cell>
          <cell r="AC1039">
            <v>0</v>
          </cell>
          <cell r="AD1039">
            <v>1.47E-2</v>
          </cell>
          <cell r="AE1039">
            <v>0</v>
          </cell>
          <cell r="AG1039" t="str">
            <v/>
          </cell>
          <cell r="AH1039" t="str">
            <v/>
          </cell>
          <cell r="AJ1039">
            <v>1.84E-2</v>
          </cell>
          <cell r="AK1039">
            <v>0</v>
          </cell>
          <cell r="AL1039">
            <v>1.66E-2</v>
          </cell>
          <cell r="AM1039">
            <v>0</v>
          </cell>
          <cell r="AN1039">
            <v>1.5599999999999999E-2</v>
          </cell>
          <cell r="AO1039">
            <v>0</v>
          </cell>
          <cell r="AP1039">
            <v>1.47E-2</v>
          </cell>
          <cell r="AQ1039">
            <v>0</v>
          </cell>
          <cell r="AS1039" t="str">
            <v/>
          </cell>
          <cell r="AT1039" t="str">
            <v/>
          </cell>
          <cell r="AV1039" t="b">
            <v>1</v>
          </cell>
          <cell r="AW1039" t="str">
            <v>minute</v>
          </cell>
        </row>
        <row r="1040">
          <cell r="S1040" t="str">
            <v>DOM USA NEFIX</v>
          </cell>
          <cell r="T1040" t="str">
            <v>DOM</v>
          </cell>
          <cell r="U1040" t="str">
            <v>USA</v>
          </cell>
          <cell r="V1040" t="str">
            <v>NEFIX</v>
          </cell>
          <cell r="X1040">
            <v>1.84E-2</v>
          </cell>
          <cell r="Y1040">
            <v>0</v>
          </cell>
          <cell r="Z1040">
            <v>1.66E-2</v>
          </cell>
          <cell r="AA1040">
            <v>0</v>
          </cell>
          <cell r="AB1040">
            <v>1.5599999999999999E-2</v>
          </cell>
          <cell r="AC1040">
            <v>0</v>
          </cell>
          <cell r="AD1040">
            <v>1.47E-2</v>
          </cell>
          <cell r="AE1040">
            <v>0</v>
          </cell>
          <cell r="AG1040" t="str">
            <v/>
          </cell>
          <cell r="AH1040" t="str">
            <v/>
          </cell>
          <cell r="AJ1040">
            <v>1.84E-2</v>
          </cell>
          <cell r="AK1040">
            <v>0</v>
          </cell>
          <cell r="AL1040">
            <v>1.66E-2</v>
          </cell>
          <cell r="AM1040">
            <v>0</v>
          </cell>
          <cell r="AN1040">
            <v>1.5599999999999999E-2</v>
          </cell>
          <cell r="AO1040">
            <v>0</v>
          </cell>
          <cell r="AP1040">
            <v>1.47E-2</v>
          </cell>
          <cell r="AQ1040">
            <v>0</v>
          </cell>
          <cell r="AS1040" t="str">
            <v/>
          </cell>
          <cell r="AT1040" t="str">
            <v/>
          </cell>
          <cell r="AV1040" t="b">
            <v>1</v>
          </cell>
          <cell r="AW1040" t="str">
            <v>minute</v>
          </cell>
        </row>
        <row r="1041">
          <cell r="S1041" t="str">
            <v>DOM USA NVFIX</v>
          </cell>
          <cell r="T1041" t="str">
            <v>DOM</v>
          </cell>
          <cell r="U1041" t="str">
            <v>USA</v>
          </cell>
          <cell r="V1041" t="str">
            <v>NVFIX</v>
          </cell>
          <cell r="X1041">
            <v>1.84E-2</v>
          </cell>
          <cell r="Y1041">
            <v>0</v>
          </cell>
          <cell r="Z1041">
            <v>1.66E-2</v>
          </cell>
          <cell r="AA1041">
            <v>0</v>
          </cell>
          <cell r="AB1041">
            <v>1.5599999999999999E-2</v>
          </cell>
          <cell r="AC1041">
            <v>0</v>
          </cell>
          <cell r="AD1041">
            <v>1.47E-2</v>
          </cell>
          <cell r="AE1041">
            <v>0</v>
          </cell>
          <cell r="AG1041" t="str">
            <v/>
          </cell>
          <cell r="AH1041" t="str">
            <v/>
          </cell>
          <cell r="AJ1041">
            <v>1.84E-2</v>
          </cell>
          <cell r="AK1041">
            <v>0</v>
          </cell>
          <cell r="AL1041">
            <v>1.66E-2</v>
          </cell>
          <cell r="AM1041">
            <v>0</v>
          </cell>
          <cell r="AN1041">
            <v>1.5599999999999999E-2</v>
          </cell>
          <cell r="AO1041">
            <v>0</v>
          </cell>
          <cell r="AP1041">
            <v>1.47E-2</v>
          </cell>
          <cell r="AQ1041">
            <v>0</v>
          </cell>
          <cell r="AS1041" t="str">
            <v/>
          </cell>
          <cell r="AT1041" t="str">
            <v/>
          </cell>
          <cell r="AV1041" t="b">
            <v>1</v>
          </cell>
          <cell r="AW1041" t="str">
            <v>minute</v>
          </cell>
        </row>
        <row r="1042">
          <cell r="S1042" t="str">
            <v>DOM USA NHFIX</v>
          </cell>
          <cell r="T1042" t="str">
            <v>DOM</v>
          </cell>
          <cell r="U1042" t="str">
            <v>USA</v>
          </cell>
          <cell r="V1042" t="str">
            <v>NHFIX</v>
          </cell>
          <cell r="X1042">
            <v>1.84E-2</v>
          </cell>
          <cell r="Y1042">
            <v>0</v>
          </cell>
          <cell r="Z1042">
            <v>1.66E-2</v>
          </cell>
          <cell r="AA1042">
            <v>0</v>
          </cell>
          <cell r="AB1042">
            <v>1.5599999999999999E-2</v>
          </cell>
          <cell r="AC1042">
            <v>0</v>
          </cell>
          <cell r="AD1042">
            <v>1.47E-2</v>
          </cell>
          <cell r="AE1042">
            <v>0</v>
          </cell>
          <cell r="AG1042" t="str">
            <v/>
          </cell>
          <cell r="AH1042" t="str">
            <v/>
          </cell>
          <cell r="AJ1042">
            <v>1.84E-2</v>
          </cell>
          <cell r="AK1042">
            <v>0</v>
          </cell>
          <cell r="AL1042">
            <v>1.66E-2</v>
          </cell>
          <cell r="AM1042">
            <v>0</v>
          </cell>
          <cell r="AN1042">
            <v>1.5599999999999999E-2</v>
          </cell>
          <cell r="AO1042">
            <v>0</v>
          </cell>
          <cell r="AP1042">
            <v>1.47E-2</v>
          </cell>
          <cell r="AQ1042">
            <v>0</v>
          </cell>
          <cell r="AS1042" t="str">
            <v/>
          </cell>
          <cell r="AT1042" t="str">
            <v/>
          </cell>
          <cell r="AV1042" t="b">
            <v>1</v>
          </cell>
          <cell r="AW1042" t="str">
            <v>minute</v>
          </cell>
        </row>
        <row r="1043">
          <cell r="S1043" t="str">
            <v>DOM USA NJFIX</v>
          </cell>
          <cell r="T1043" t="str">
            <v>DOM</v>
          </cell>
          <cell r="U1043" t="str">
            <v>USA</v>
          </cell>
          <cell r="V1043" t="str">
            <v>NJFIX</v>
          </cell>
          <cell r="X1043">
            <v>1.84E-2</v>
          </cell>
          <cell r="Y1043">
            <v>0</v>
          </cell>
          <cell r="Z1043">
            <v>1.66E-2</v>
          </cell>
          <cell r="AA1043">
            <v>0</v>
          </cell>
          <cell r="AB1043">
            <v>1.5599999999999999E-2</v>
          </cell>
          <cell r="AC1043">
            <v>0</v>
          </cell>
          <cell r="AD1043">
            <v>1.47E-2</v>
          </cell>
          <cell r="AE1043">
            <v>0</v>
          </cell>
          <cell r="AG1043" t="str">
            <v/>
          </cell>
          <cell r="AH1043" t="str">
            <v/>
          </cell>
          <cell r="AJ1043">
            <v>1.84E-2</v>
          </cell>
          <cell r="AK1043">
            <v>0</v>
          </cell>
          <cell r="AL1043">
            <v>1.66E-2</v>
          </cell>
          <cell r="AM1043">
            <v>0</v>
          </cell>
          <cell r="AN1043">
            <v>1.5599999999999999E-2</v>
          </cell>
          <cell r="AO1043">
            <v>0</v>
          </cell>
          <cell r="AP1043">
            <v>1.47E-2</v>
          </cell>
          <cell r="AQ1043">
            <v>0</v>
          </cell>
          <cell r="AS1043" t="str">
            <v/>
          </cell>
          <cell r="AT1043" t="str">
            <v/>
          </cell>
          <cell r="AV1043" t="b">
            <v>1</v>
          </cell>
          <cell r="AW1043" t="str">
            <v>minute</v>
          </cell>
        </row>
        <row r="1044">
          <cell r="S1044" t="str">
            <v>DOM USA NMFIX</v>
          </cell>
          <cell r="T1044" t="str">
            <v>DOM</v>
          </cell>
          <cell r="U1044" t="str">
            <v>USA</v>
          </cell>
          <cell r="V1044" t="str">
            <v>NMFIX</v>
          </cell>
          <cell r="X1044">
            <v>1.84E-2</v>
          </cell>
          <cell r="Y1044">
            <v>0</v>
          </cell>
          <cell r="Z1044">
            <v>1.66E-2</v>
          </cell>
          <cell r="AA1044">
            <v>0</v>
          </cell>
          <cell r="AB1044">
            <v>1.5599999999999999E-2</v>
          </cell>
          <cell r="AC1044">
            <v>0</v>
          </cell>
          <cell r="AD1044">
            <v>1.47E-2</v>
          </cell>
          <cell r="AE1044">
            <v>0</v>
          </cell>
          <cell r="AG1044" t="str">
            <v/>
          </cell>
          <cell r="AH1044" t="str">
            <v/>
          </cell>
          <cell r="AJ1044">
            <v>1.84E-2</v>
          </cell>
          <cell r="AK1044">
            <v>0</v>
          </cell>
          <cell r="AL1044">
            <v>1.66E-2</v>
          </cell>
          <cell r="AM1044">
            <v>0</v>
          </cell>
          <cell r="AN1044">
            <v>1.5599999999999999E-2</v>
          </cell>
          <cell r="AO1044">
            <v>0</v>
          </cell>
          <cell r="AP1044">
            <v>1.47E-2</v>
          </cell>
          <cell r="AQ1044">
            <v>0</v>
          </cell>
          <cell r="AS1044" t="str">
            <v/>
          </cell>
          <cell r="AT1044" t="str">
            <v/>
          </cell>
          <cell r="AV1044" t="b">
            <v>1</v>
          </cell>
          <cell r="AW1044" t="str">
            <v>minute</v>
          </cell>
        </row>
        <row r="1045">
          <cell r="S1045" t="str">
            <v>DOM USA NYFIX</v>
          </cell>
          <cell r="T1045" t="str">
            <v>DOM</v>
          </cell>
          <cell r="U1045" t="str">
            <v>USA</v>
          </cell>
          <cell r="V1045" t="str">
            <v>NYFIX</v>
          </cell>
          <cell r="X1045">
            <v>1.84E-2</v>
          </cell>
          <cell r="Y1045">
            <v>0</v>
          </cell>
          <cell r="Z1045">
            <v>1.66E-2</v>
          </cell>
          <cell r="AA1045">
            <v>0</v>
          </cell>
          <cell r="AB1045">
            <v>1.5599999999999999E-2</v>
          </cell>
          <cell r="AC1045">
            <v>0</v>
          </cell>
          <cell r="AD1045">
            <v>1.47E-2</v>
          </cell>
          <cell r="AE1045">
            <v>0</v>
          </cell>
          <cell r="AG1045" t="str">
            <v/>
          </cell>
          <cell r="AH1045" t="str">
            <v/>
          </cell>
          <cell r="AJ1045">
            <v>1.84E-2</v>
          </cell>
          <cell r="AK1045">
            <v>0</v>
          </cell>
          <cell r="AL1045">
            <v>1.66E-2</v>
          </cell>
          <cell r="AM1045">
            <v>0</v>
          </cell>
          <cell r="AN1045">
            <v>1.5599999999999999E-2</v>
          </cell>
          <cell r="AO1045">
            <v>0</v>
          </cell>
          <cell r="AP1045">
            <v>1.47E-2</v>
          </cell>
          <cell r="AQ1045">
            <v>0</v>
          </cell>
          <cell r="AS1045" t="str">
            <v/>
          </cell>
          <cell r="AT1045" t="str">
            <v/>
          </cell>
          <cell r="AV1045" t="b">
            <v>1</v>
          </cell>
          <cell r="AW1045" t="str">
            <v>minute</v>
          </cell>
        </row>
        <row r="1046">
          <cell r="S1046" t="str">
            <v>DOM USA NCFIX</v>
          </cell>
          <cell r="T1046" t="str">
            <v>DOM</v>
          </cell>
          <cell r="U1046" t="str">
            <v>USA</v>
          </cell>
          <cell r="V1046" t="str">
            <v>NCFIX</v>
          </cell>
          <cell r="X1046">
            <v>1.84E-2</v>
          </cell>
          <cell r="Y1046">
            <v>0</v>
          </cell>
          <cell r="Z1046">
            <v>1.66E-2</v>
          </cell>
          <cell r="AA1046">
            <v>0</v>
          </cell>
          <cell r="AB1046">
            <v>1.5599999999999999E-2</v>
          </cell>
          <cell r="AC1046">
            <v>0</v>
          </cell>
          <cell r="AD1046">
            <v>1.47E-2</v>
          </cell>
          <cell r="AE1046">
            <v>0</v>
          </cell>
          <cell r="AG1046" t="str">
            <v/>
          </cell>
          <cell r="AH1046" t="str">
            <v/>
          </cell>
          <cell r="AJ1046">
            <v>1.84E-2</v>
          </cell>
          <cell r="AK1046">
            <v>0</v>
          </cell>
          <cell r="AL1046">
            <v>1.66E-2</v>
          </cell>
          <cell r="AM1046">
            <v>0</v>
          </cell>
          <cell r="AN1046">
            <v>1.5599999999999999E-2</v>
          </cell>
          <cell r="AO1046">
            <v>0</v>
          </cell>
          <cell r="AP1046">
            <v>1.47E-2</v>
          </cell>
          <cell r="AQ1046">
            <v>0</v>
          </cell>
          <cell r="AS1046" t="str">
            <v/>
          </cell>
          <cell r="AT1046" t="str">
            <v/>
          </cell>
          <cell r="AV1046" t="b">
            <v>1</v>
          </cell>
          <cell r="AW1046" t="str">
            <v>minute</v>
          </cell>
        </row>
        <row r="1047">
          <cell r="S1047" t="str">
            <v>DOM USA NDFIX</v>
          </cell>
          <cell r="T1047" t="str">
            <v>DOM</v>
          </cell>
          <cell r="U1047" t="str">
            <v>USA</v>
          </cell>
          <cell r="V1047" t="str">
            <v>NDFIX</v>
          </cell>
          <cell r="X1047">
            <v>1.84E-2</v>
          </cell>
          <cell r="Y1047">
            <v>0</v>
          </cell>
          <cell r="Z1047">
            <v>1.66E-2</v>
          </cell>
          <cell r="AA1047">
            <v>0</v>
          </cell>
          <cell r="AB1047">
            <v>1.5599999999999999E-2</v>
          </cell>
          <cell r="AC1047">
            <v>0</v>
          </cell>
          <cell r="AD1047">
            <v>1.47E-2</v>
          </cell>
          <cell r="AE1047">
            <v>0</v>
          </cell>
          <cell r="AG1047" t="str">
            <v/>
          </cell>
          <cell r="AH1047" t="str">
            <v/>
          </cell>
          <cell r="AJ1047">
            <v>1.84E-2</v>
          </cell>
          <cell r="AK1047">
            <v>0</v>
          </cell>
          <cell r="AL1047">
            <v>1.66E-2</v>
          </cell>
          <cell r="AM1047">
            <v>0</v>
          </cell>
          <cell r="AN1047">
            <v>1.5599999999999999E-2</v>
          </cell>
          <cell r="AO1047">
            <v>0</v>
          </cell>
          <cell r="AP1047">
            <v>1.47E-2</v>
          </cell>
          <cell r="AQ1047">
            <v>0</v>
          </cell>
          <cell r="AS1047" t="str">
            <v/>
          </cell>
          <cell r="AT1047" t="str">
            <v/>
          </cell>
          <cell r="AV1047" t="b">
            <v>1</v>
          </cell>
          <cell r="AW1047" t="str">
            <v>minute</v>
          </cell>
        </row>
        <row r="1048">
          <cell r="S1048" t="str">
            <v>DOM USA OHFIX</v>
          </cell>
          <cell r="T1048" t="str">
            <v>DOM</v>
          </cell>
          <cell r="U1048" t="str">
            <v>USA</v>
          </cell>
          <cell r="V1048" t="str">
            <v>OHFIX</v>
          </cell>
          <cell r="X1048">
            <v>1.84E-2</v>
          </cell>
          <cell r="Y1048">
            <v>0</v>
          </cell>
          <cell r="Z1048">
            <v>1.66E-2</v>
          </cell>
          <cell r="AA1048">
            <v>0</v>
          </cell>
          <cell r="AB1048">
            <v>1.5599999999999999E-2</v>
          </cell>
          <cell r="AC1048">
            <v>0</v>
          </cell>
          <cell r="AD1048">
            <v>1.47E-2</v>
          </cell>
          <cell r="AE1048">
            <v>0</v>
          </cell>
          <cell r="AG1048" t="str">
            <v/>
          </cell>
          <cell r="AH1048" t="str">
            <v/>
          </cell>
          <cell r="AJ1048">
            <v>1.84E-2</v>
          </cell>
          <cell r="AK1048">
            <v>0</v>
          </cell>
          <cell r="AL1048">
            <v>1.66E-2</v>
          </cell>
          <cell r="AM1048">
            <v>0</v>
          </cell>
          <cell r="AN1048">
            <v>1.5599999999999999E-2</v>
          </cell>
          <cell r="AO1048">
            <v>0</v>
          </cell>
          <cell r="AP1048">
            <v>1.47E-2</v>
          </cell>
          <cell r="AQ1048">
            <v>0</v>
          </cell>
          <cell r="AS1048" t="str">
            <v/>
          </cell>
          <cell r="AT1048" t="str">
            <v/>
          </cell>
          <cell r="AV1048" t="b">
            <v>1</v>
          </cell>
          <cell r="AW1048" t="str">
            <v>minute</v>
          </cell>
        </row>
        <row r="1049">
          <cell r="S1049" t="str">
            <v>DOM USA OKFIX</v>
          </cell>
          <cell r="T1049" t="str">
            <v>DOM</v>
          </cell>
          <cell r="U1049" t="str">
            <v>USA</v>
          </cell>
          <cell r="V1049" t="str">
            <v>OKFIX</v>
          </cell>
          <cell r="X1049">
            <v>1.84E-2</v>
          </cell>
          <cell r="Y1049">
            <v>0</v>
          </cell>
          <cell r="Z1049">
            <v>1.66E-2</v>
          </cell>
          <cell r="AA1049">
            <v>0</v>
          </cell>
          <cell r="AB1049">
            <v>1.5599999999999999E-2</v>
          </cell>
          <cell r="AC1049">
            <v>0</v>
          </cell>
          <cell r="AD1049">
            <v>1.47E-2</v>
          </cell>
          <cell r="AE1049">
            <v>0</v>
          </cell>
          <cell r="AG1049" t="str">
            <v/>
          </cell>
          <cell r="AH1049" t="str">
            <v/>
          </cell>
          <cell r="AJ1049">
            <v>1.84E-2</v>
          </cell>
          <cell r="AK1049">
            <v>0</v>
          </cell>
          <cell r="AL1049">
            <v>1.66E-2</v>
          </cell>
          <cell r="AM1049">
            <v>0</v>
          </cell>
          <cell r="AN1049">
            <v>1.5599999999999999E-2</v>
          </cell>
          <cell r="AO1049">
            <v>0</v>
          </cell>
          <cell r="AP1049">
            <v>1.47E-2</v>
          </cell>
          <cell r="AQ1049">
            <v>0</v>
          </cell>
          <cell r="AS1049" t="str">
            <v/>
          </cell>
          <cell r="AT1049" t="str">
            <v/>
          </cell>
          <cell r="AV1049" t="b">
            <v>1</v>
          </cell>
          <cell r="AW1049" t="str">
            <v>minute</v>
          </cell>
        </row>
        <row r="1050">
          <cell r="S1050" t="str">
            <v>DOM USA ORFIX</v>
          </cell>
          <cell r="T1050" t="str">
            <v>DOM</v>
          </cell>
          <cell r="U1050" t="str">
            <v>USA</v>
          </cell>
          <cell r="V1050" t="str">
            <v>ORFIX</v>
          </cell>
          <cell r="X1050">
            <v>1.84E-2</v>
          </cell>
          <cell r="Y1050">
            <v>0</v>
          </cell>
          <cell r="Z1050">
            <v>1.66E-2</v>
          </cell>
          <cell r="AA1050">
            <v>0</v>
          </cell>
          <cell r="AB1050">
            <v>1.5599999999999999E-2</v>
          </cell>
          <cell r="AC1050">
            <v>0</v>
          </cell>
          <cell r="AD1050">
            <v>1.47E-2</v>
          </cell>
          <cell r="AE1050">
            <v>0</v>
          </cell>
          <cell r="AG1050" t="str">
            <v/>
          </cell>
          <cell r="AH1050" t="str">
            <v/>
          </cell>
          <cell r="AJ1050">
            <v>1.84E-2</v>
          </cell>
          <cell r="AK1050">
            <v>0</v>
          </cell>
          <cell r="AL1050">
            <v>1.66E-2</v>
          </cell>
          <cell r="AM1050">
            <v>0</v>
          </cell>
          <cell r="AN1050">
            <v>1.5599999999999999E-2</v>
          </cell>
          <cell r="AO1050">
            <v>0</v>
          </cell>
          <cell r="AP1050">
            <v>1.47E-2</v>
          </cell>
          <cell r="AQ1050">
            <v>0</v>
          </cell>
          <cell r="AS1050" t="str">
            <v/>
          </cell>
          <cell r="AT1050" t="str">
            <v/>
          </cell>
          <cell r="AV1050" t="b">
            <v>1</v>
          </cell>
          <cell r="AW1050" t="str">
            <v>minute</v>
          </cell>
        </row>
        <row r="1051">
          <cell r="S1051" t="str">
            <v>DOM USA PAFIX</v>
          </cell>
          <cell r="T1051" t="str">
            <v>DOM</v>
          </cell>
          <cell r="U1051" t="str">
            <v>USA</v>
          </cell>
          <cell r="V1051" t="str">
            <v>PAFIX</v>
          </cell>
          <cell r="X1051">
            <v>1.84E-2</v>
          </cell>
          <cell r="Y1051">
            <v>0</v>
          </cell>
          <cell r="Z1051">
            <v>1.66E-2</v>
          </cell>
          <cell r="AA1051">
            <v>0</v>
          </cell>
          <cell r="AB1051">
            <v>1.5599999999999999E-2</v>
          </cell>
          <cell r="AC1051">
            <v>0</v>
          </cell>
          <cell r="AD1051">
            <v>1.47E-2</v>
          </cell>
          <cell r="AE1051">
            <v>0</v>
          </cell>
          <cell r="AG1051" t="str">
            <v/>
          </cell>
          <cell r="AH1051" t="str">
            <v/>
          </cell>
          <cell r="AJ1051">
            <v>1.84E-2</v>
          </cell>
          <cell r="AK1051">
            <v>0</v>
          </cell>
          <cell r="AL1051">
            <v>1.66E-2</v>
          </cell>
          <cell r="AM1051">
            <v>0</v>
          </cell>
          <cell r="AN1051">
            <v>1.5599999999999999E-2</v>
          </cell>
          <cell r="AO1051">
            <v>0</v>
          </cell>
          <cell r="AP1051">
            <v>1.47E-2</v>
          </cell>
          <cell r="AQ1051">
            <v>0</v>
          </cell>
          <cell r="AS1051" t="str">
            <v/>
          </cell>
          <cell r="AT1051" t="str">
            <v/>
          </cell>
          <cell r="AV1051" t="b">
            <v>1</v>
          </cell>
          <cell r="AW1051" t="str">
            <v>minute</v>
          </cell>
        </row>
        <row r="1052">
          <cell r="S1052" t="str">
            <v>DOM USA RIFIX</v>
          </cell>
          <cell r="T1052" t="str">
            <v>DOM</v>
          </cell>
          <cell r="U1052" t="str">
            <v>USA</v>
          </cell>
          <cell r="V1052" t="str">
            <v>RIFIX</v>
          </cell>
          <cell r="X1052">
            <v>1.84E-2</v>
          </cell>
          <cell r="Y1052">
            <v>0</v>
          </cell>
          <cell r="Z1052">
            <v>1.66E-2</v>
          </cell>
          <cell r="AA1052">
            <v>0</v>
          </cell>
          <cell r="AB1052">
            <v>1.5599999999999999E-2</v>
          </cell>
          <cell r="AC1052">
            <v>0</v>
          </cell>
          <cell r="AD1052">
            <v>1.47E-2</v>
          </cell>
          <cell r="AE1052">
            <v>0</v>
          </cell>
          <cell r="AG1052" t="str">
            <v/>
          </cell>
          <cell r="AH1052" t="str">
            <v/>
          </cell>
          <cell r="AJ1052">
            <v>1.84E-2</v>
          </cell>
          <cell r="AK1052">
            <v>0</v>
          </cell>
          <cell r="AL1052">
            <v>1.66E-2</v>
          </cell>
          <cell r="AM1052">
            <v>0</v>
          </cell>
          <cell r="AN1052">
            <v>1.5599999999999999E-2</v>
          </cell>
          <cell r="AO1052">
            <v>0</v>
          </cell>
          <cell r="AP1052">
            <v>1.47E-2</v>
          </cell>
          <cell r="AQ1052">
            <v>0</v>
          </cell>
          <cell r="AS1052" t="str">
            <v/>
          </cell>
          <cell r="AT1052" t="str">
            <v/>
          </cell>
          <cell r="AV1052" t="b">
            <v>1</v>
          </cell>
          <cell r="AW1052" t="str">
            <v>minute</v>
          </cell>
        </row>
        <row r="1053">
          <cell r="S1053" t="str">
            <v>DOM USA SCFIX</v>
          </cell>
          <cell r="T1053" t="str">
            <v>DOM</v>
          </cell>
          <cell r="U1053" t="str">
            <v>USA</v>
          </cell>
          <cell r="V1053" t="str">
            <v>SCFIX</v>
          </cell>
          <cell r="X1053">
            <v>1.84E-2</v>
          </cell>
          <cell r="Y1053">
            <v>0</v>
          </cell>
          <cell r="Z1053">
            <v>1.66E-2</v>
          </cell>
          <cell r="AA1053">
            <v>0</v>
          </cell>
          <cell r="AB1053">
            <v>1.5599999999999999E-2</v>
          </cell>
          <cell r="AC1053">
            <v>0</v>
          </cell>
          <cell r="AD1053">
            <v>1.47E-2</v>
          </cell>
          <cell r="AE1053">
            <v>0</v>
          </cell>
          <cell r="AG1053" t="str">
            <v/>
          </cell>
          <cell r="AH1053" t="str">
            <v/>
          </cell>
          <cell r="AJ1053">
            <v>1.84E-2</v>
          </cell>
          <cell r="AK1053">
            <v>0</v>
          </cell>
          <cell r="AL1053">
            <v>1.66E-2</v>
          </cell>
          <cell r="AM1053">
            <v>0</v>
          </cell>
          <cell r="AN1053">
            <v>1.5599999999999999E-2</v>
          </cell>
          <cell r="AO1053">
            <v>0</v>
          </cell>
          <cell r="AP1053">
            <v>1.47E-2</v>
          </cell>
          <cell r="AQ1053">
            <v>0</v>
          </cell>
          <cell r="AS1053" t="str">
            <v/>
          </cell>
          <cell r="AT1053" t="str">
            <v/>
          </cell>
          <cell r="AV1053" t="b">
            <v>1</v>
          </cell>
          <cell r="AW1053" t="str">
            <v>minute</v>
          </cell>
        </row>
        <row r="1054">
          <cell r="S1054" t="str">
            <v>DOM USA SDFIX</v>
          </cell>
          <cell r="T1054" t="str">
            <v>DOM</v>
          </cell>
          <cell r="U1054" t="str">
            <v>USA</v>
          </cell>
          <cell r="V1054" t="str">
            <v>SDFIX</v>
          </cell>
          <cell r="X1054">
            <v>1.84E-2</v>
          </cell>
          <cell r="Y1054">
            <v>0</v>
          </cell>
          <cell r="Z1054">
            <v>1.66E-2</v>
          </cell>
          <cell r="AA1054">
            <v>0</v>
          </cell>
          <cell r="AB1054">
            <v>1.5599999999999999E-2</v>
          </cell>
          <cell r="AC1054">
            <v>0</v>
          </cell>
          <cell r="AD1054">
            <v>1.47E-2</v>
          </cell>
          <cell r="AE1054">
            <v>0</v>
          </cell>
          <cell r="AG1054" t="str">
            <v/>
          </cell>
          <cell r="AH1054" t="str">
            <v/>
          </cell>
          <cell r="AJ1054">
            <v>1.84E-2</v>
          </cell>
          <cell r="AK1054">
            <v>0</v>
          </cell>
          <cell r="AL1054">
            <v>1.66E-2</v>
          </cell>
          <cell r="AM1054">
            <v>0</v>
          </cell>
          <cell r="AN1054">
            <v>1.5599999999999999E-2</v>
          </cell>
          <cell r="AO1054">
            <v>0</v>
          </cell>
          <cell r="AP1054">
            <v>1.47E-2</v>
          </cell>
          <cell r="AQ1054">
            <v>0</v>
          </cell>
          <cell r="AS1054" t="str">
            <v/>
          </cell>
          <cell r="AT1054" t="str">
            <v/>
          </cell>
          <cell r="AV1054" t="b">
            <v>1</v>
          </cell>
          <cell r="AW1054" t="str">
            <v>minute</v>
          </cell>
        </row>
        <row r="1055">
          <cell r="S1055" t="str">
            <v>DOM USA TNFIX</v>
          </cell>
          <cell r="T1055" t="str">
            <v>DOM</v>
          </cell>
          <cell r="U1055" t="str">
            <v>USA</v>
          </cell>
          <cell r="V1055" t="str">
            <v>TNFIX</v>
          </cell>
          <cell r="X1055">
            <v>1.84E-2</v>
          </cell>
          <cell r="Y1055">
            <v>0</v>
          </cell>
          <cell r="Z1055">
            <v>1.66E-2</v>
          </cell>
          <cell r="AA1055">
            <v>0</v>
          </cell>
          <cell r="AB1055">
            <v>1.5599999999999999E-2</v>
          </cell>
          <cell r="AC1055">
            <v>0</v>
          </cell>
          <cell r="AD1055">
            <v>1.47E-2</v>
          </cell>
          <cell r="AE1055">
            <v>0</v>
          </cell>
          <cell r="AG1055" t="str">
            <v/>
          </cell>
          <cell r="AH1055" t="str">
            <v/>
          </cell>
          <cell r="AJ1055">
            <v>1.84E-2</v>
          </cell>
          <cell r="AK1055">
            <v>0</v>
          </cell>
          <cell r="AL1055">
            <v>1.66E-2</v>
          </cell>
          <cell r="AM1055">
            <v>0</v>
          </cell>
          <cell r="AN1055">
            <v>1.5599999999999999E-2</v>
          </cell>
          <cell r="AO1055">
            <v>0</v>
          </cell>
          <cell r="AP1055">
            <v>1.47E-2</v>
          </cell>
          <cell r="AQ1055">
            <v>0</v>
          </cell>
          <cell r="AS1055" t="str">
            <v/>
          </cell>
          <cell r="AT1055" t="str">
            <v/>
          </cell>
          <cell r="AV1055" t="b">
            <v>1</v>
          </cell>
          <cell r="AW1055" t="str">
            <v>minute</v>
          </cell>
        </row>
        <row r="1056">
          <cell r="S1056" t="str">
            <v>DOM USA TXFIX</v>
          </cell>
          <cell r="T1056" t="str">
            <v>DOM</v>
          </cell>
          <cell r="U1056" t="str">
            <v>USA</v>
          </cell>
          <cell r="V1056" t="str">
            <v>TXFIX</v>
          </cell>
          <cell r="X1056">
            <v>1.84E-2</v>
          </cell>
          <cell r="Y1056">
            <v>0</v>
          </cell>
          <cell r="Z1056">
            <v>1.66E-2</v>
          </cell>
          <cell r="AA1056">
            <v>0</v>
          </cell>
          <cell r="AB1056">
            <v>1.5599999999999999E-2</v>
          </cell>
          <cell r="AC1056">
            <v>0</v>
          </cell>
          <cell r="AD1056">
            <v>1.47E-2</v>
          </cell>
          <cell r="AE1056">
            <v>0</v>
          </cell>
          <cell r="AG1056" t="str">
            <v/>
          </cell>
          <cell r="AH1056" t="str">
            <v/>
          </cell>
          <cell r="AJ1056">
            <v>1.84E-2</v>
          </cell>
          <cell r="AK1056">
            <v>0</v>
          </cell>
          <cell r="AL1056">
            <v>1.66E-2</v>
          </cell>
          <cell r="AM1056">
            <v>0</v>
          </cell>
          <cell r="AN1056">
            <v>1.5599999999999999E-2</v>
          </cell>
          <cell r="AO1056">
            <v>0</v>
          </cell>
          <cell r="AP1056">
            <v>1.47E-2</v>
          </cell>
          <cell r="AQ1056">
            <v>0</v>
          </cell>
          <cell r="AS1056" t="str">
            <v/>
          </cell>
          <cell r="AT1056" t="str">
            <v/>
          </cell>
          <cell r="AV1056" t="b">
            <v>1</v>
          </cell>
          <cell r="AW1056" t="str">
            <v>minute</v>
          </cell>
        </row>
        <row r="1057">
          <cell r="S1057" t="str">
            <v>DOM USA UTFIX</v>
          </cell>
          <cell r="T1057" t="str">
            <v>DOM</v>
          </cell>
          <cell r="U1057" t="str">
            <v>USA</v>
          </cell>
          <cell r="V1057" t="str">
            <v>UTFIX</v>
          </cell>
          <cell r="X1057">
            <v>1.84E-2</v>
          </cell>
          <cell r="Y1057">
            <v>0</v>
          </cell>
          <cell r="Z1057">
            <v>1.66E-2</v>
          </cell>
          <cell r="AA1057">
            <v>0</v>
          </cell>
          <cell r="AB1057">
            <v>1.5599999999999999E-2</v>
          </cell>
          <cell r="AC1057">
            <v>0</v>
          </cell>
          <cell r="AD1057">
            <v>1.47E-2</v>
          </cell>
          <cell r="AE1057">
            <v>0</v>
          </cell>
          <cell r="AG1057" t="str">
            <v/>
          </cell>
          <cell r="AH1057" t="str">
            <v/>
          </cell>
          <cell r="AJ1057">
            <v>1.84E-2</v>
          </cell>
          <cell r="AK1057">
            <v>0</v>
          </cell>
          <cell r="AL1057">
            <v>1.66E-2</v>
          </cell>
          <cell r="AM1057">
            <v>0</v>
          </cell>
          <cell r="AN1057">
            <v>1.5599999999999999E-2</v>
          </cell>
          <cell r="AO1057">
            <v>0</v>
          </cell>
          <cell r="AP1057">
            <v>1.47E-2</v>
          </cell>
          <cell r="AQ1057">
            <v>0</v>
          </cell>
          <cell r="AS1057" t="str">
            <v/>
          </cell>
          <cell r="AT1057" t="str">
            <v/>
          </cell>
          <cell r="AV1057" t="b">
            <v>1</v>
          </cell>
          <cell r="AW1057" t="str">
            <v>minute</v>
          </cell>
        </row>
        <row r="1058">
          <cell r="S1058" t="str">
            <v>DOM USA VTFIX</v>
          </cell>
          <cell r="T1058" t="str">
            <v>DOM</v>
          </cell>
          <cell r="U1058" t="str">
            <v>USA</v>
          </cell>
          <cell r="V1058" t="str">
            <v>VTFIX</v>
          </cell>
          <cell r="X1058">
            <v>1.84E-2</v>
          </cell>
          <cell r="Y1058">
            <v>0</v>
          </cell>
          <cell r="Z1058">
            <v>1.66E-2</v>
          </cell>
          <cell r="AA1058">
            <v>0</v>
          </cell>
          <cell r="AB1058">
            <v>1.5599999999999999E-2</v>
          </cell>
          <cell r="AC1058">
            <v>0</v>
          </cell>
          <cell r="AD1058">
            <v>1.47E-2</v>
          </cell>
          <cell r="AE1058">
            <v>0</v>
          </cell>
          <cell r="AG1058" t="str">
            <v/>
          </cell>
          <cell r="AH1058" t="str">
            <v/>
          </cell>
          <cell r="AJ1058">
            <v>1.84E-2</v>
          </cell>
          <cell r="AK1058">
            <v>0</v>
          </cell>
          <cell r="AL1058">
            <v>1.66E-2</v>
          </cell>
          <cell r="AM1058">
            <v>0</v>
          </cell>
          <cell r="AN1058">
            <v>1.5599999999999999E-2</v>
          </cell>
          <cell r="AO1058">
            <v>0</v>
          </cell>
          <cell r="AP1058">
            <v>1.47E-2</v>
          </cell>
          <cell r="AQ1058">
            <v>0</v>
          </cell>
          <cell r="AS1058" t="str">
            <v/>
          </cell>
          <cell r="AT1058" t="str">
            <v/>
          </cell>
          <cell r="AV1058" t="b">
            <v>1</v>
          </cell>
          <cell r="AW1058" t="str">
            <v>minute</v>
          </cell>
        </row>
        <row r="1059">
          <cell r="S1059" t="str">
            <v>DOM USA VAFIX</v>
          </cell>
          <cell r="T1059" t="str">
            <v>DOM</v>
          </cell>
          <cell r="U1059" t="str">
            <v>USA</v>
          </cell>
          <cell r="V1059" t="str">
            <v>VAFIX</v>
          </cell>
          <cell r="X1059">
            <v>1.84E-2</v>
          </cell>
          <cell r="Y1059">
            <v>0</v>
          </cell>
          <cell r="Z1059">
            <v>1.66E-2</v>
          </cell>
          <cell r="AA1059">
            <v>0</v>
          </cell>
          <cell r="AB1059">
            <v>1.5599999999999999E-2</v>
          </cell>
          <cell r="AC1059">
            <v>0</v>
          </cell>
          <cell r="AD1059">
            <v>1.47E-2</v>
          </cell>
          <cell r="AE1059">
            <v>0</v>
          </cell>
          <cell r="AG1059" t="str">
            <v/>
          </cell>
          <cell r="AH1059" t="str">
            <v/>
          </cell>
          <cell r="AJ1059">
            <v>1.84E-2</v>
          </cell>
          <cell r="AK1059">
            <v>0</v>
          </cell>
          <cell r="AL1059">
            <v>1.66E-2</v>
          </cell>
          <cell r="AM1059">
            <v>0</v>
          </cell>
          <cell r="AN1059">
            <v>1.5599999999999999E-2</v>
          </cell>
          <cell r="AO1059">
            <v>0</v>
          </cell>
          <cell r="AP1059">
            <v>1.47E-2</v>
          </cell>
          <cell r="AQ1059">
            <v>0</v>
          </cell>
          <cell r="AS1059" t="str">
            <v/>
          </cell>
          <cell r="AT1059" t="str">
            <v/>
          </cell>
          <cell r="AV1059" t="b">
            <v>1</v>
          </cell>
          <cell r="AW1059" t="str">
            <v>minute</v>
          </cell>
        </row>
        <row r="1060">
          <cell r="S1060" t="str">
            <v>DOM USA WAFIX</v>
          </cell>
          <cell r="T1060" t="str">
            <v>DOM</v>
          </cell>
          <cell r="U1060" t="str">
            <v>USA</v>
          </cell>
          <cell r="V1060" t="str">
            <v>WAFIX</v>
          </cell>
          <cell r="X1060">
            <v>1.84E-2</v>
          </cell>
          <cell r="Y1060">
            <v>0</v>
          </cell>
          <cell r="Z1060">
            <v>1.66E-2</v>
          </cell>
          <cell r="AA1060">
            <v>0</v>
          </cell>
          <cell r="AB1060">
            <v>1.5599999999999999E-2</v>
          </cell>
          <cell r="AC1060">
            <v>0</v>
          </cell>
          <cell r="AD1060">
            <v>1.47E-2</v>
          </cell>
          <cell r="AE1060">
            <v>0</v>
          </cell>
          <cell r="AG1060" t="str">
            <v/>
          </cell>
          <cell r="AH1060" t="str">
            <v/>
          </cell>
          <cell r="AJ1060">
            <v>1.84E-2</v>
          </cell>
          <cell r="AK1060">
            <v>0</v>
          </cell>
          <cell r="AL1060">
            <v>1.66E-2</v>
          </cell>
          <cell r="AM1060">
            <v>0</v>
          </cell>
          <cell r="AN1060">
            <v>1.5599999999999999E-2</v>
          </cell>
          <cell r="AO1060">
            <v>0</v>
          </cell>
          <cell r="AP1060">
            <v>1.47E-2</v>
          </cell>
          <cell r="AQ1060">
            <v>0</v>
          </cell>
          <cell r="AS1060" t="str">
            <v/>
          </cell>
          <cell r="AT1060" t="str">
            <v/>
          </cell>
          <cell r="AV1060" t="b">
            <v>1</v>
          </cell>
          <cell r="AW1060" t="str">
            <v>minute</v>
          </cell>
        </row>
        <row r="1061">
          <cell r="S1061" t="str">
            <v>DOM USA DCFIX</v>
          </cell>
          <cell r="T1061" t="str">
            <v>DOM</v>
          </cell>
          <cell r="U1061" t="str">
            <v>USA</v>
          </cell>
          <cell r="V1061" t="str">
            <v>DCFIX</v>
          </cell>
          <cell r="X1061">
            <v>1.84E-2</v>
          </cell>
          <cell r="Y1061">
            <v>0</v>
          </cell>
          <cell r="Z1061">
            <v>1.66E-2</v>
          </cell>
          <cell r="AA1061">
            <v>0</v>
          </cell>
          <cell r="AB1061">
            <v>1.5599999999999999E-2</v>
          </cell>
          <cell r="AC1061">
            <v>0</v>
          </cell>
          <cell r="AD1061">
            <v>1.47E-2</v>
          </cell>
          <cell r="AE1061">
            <v>0</v>
          </cell>
          <cell r="AG1061" t="str">
            <v/>
          </cell>
          <cell r="AH1061" t="str">
            <v/>
          </cell>
          <cell r="AJ1061">
            <v>1.84E-2</v>
          </cell>
          <cell r="AK1061">
            <v>0</v>
          </cell>
          <cell r="AL1061">
            <v>1.66E-2</v>
          </cell>
          <cell r="AM1061">
            <v>0</v>
          </cell>
          <cell r="AN1061">
            <v>1.5599999999999999E-2</v>
          </cell>
          <cell r="AO1061">
            <v>0</v>
          </cell>
          <cell r="AP1061">
            <v>1.47E-2</v>
          </cell>
          <cell r="AQ1061">
            <v>0</v>
          </cell>
          <cell r="AS1061" t="str">
            <v/>
          </cell>
          <cell r="AT1061" t="str">
            <v/>
          </cell>
          <cell r="AV1061" t="b">
            <v>1</v>
          </cell>
          <cell r="AW1061" t="str">
            <v>minute</v>
          </cell>
        </row>
        <row r="1062">
          <cell r="S1062" t="str">
            <v>DOM USA WVFIX</v>
          </cell>
          <cell r="T1062" t="str">
            <v>DOM</v>
          </cell>
          <cell r="U1062" t="str">
            <v>USA</v>
          </cell>
          <cell r="V1062" t="str">
            <v>WVFIX</v>
          </cell>
          <cell r="X1062">
            <v>1.84E-2</v>
          </cell>
          <cell r="Y1062">
            <v>0</v>
          </cell>
          <cell r="Z1062">
            <v>1.66E-2</v>
          </cell>
          <cell r="AA1062">
            <v>0</v>
          </cell>
          <cell r="AB1062">
            <v>1.5599999999999999E-2</v>
          </cell>
          <cell r="AC1062">
            <v>0</v>
          </cell>
          <cell r="AD1062">
            <v>1.47E-2</v>
          </cell>
          <cell r="AE1062">
            <v>0</v>
          </cell>
          <cell r="AG1062" t="str">
            <v/>
          </cell>
          <cell r="AH1062" t="str">
            <v/>
          </cell>
          <cell r="AJ1062">
            <v>1.84E-2</v>
          </cell>
          <cell r="AK1062">
            <v>0</v>
          </cell>
          <cell r="AL1062">
            <v>1.66E-2</v>
          </cell>
          <cell r="AM1062">
            <v>0</v>
          </cell>
          <cell r="AN1062">
            <v>1.5599999999999999E-2</v>
          </cell>
          <cell r="AO1062">
            <v>0</v>
          </cell>
          <cell r="AP1062">
            <v>1.47E-2</v>
          </cell>
          <cell r="AQ1062">
            <v>0</v>
          </cell>
          <cell r="AS1062" t="str">
            <v/>
          </cell>
          <cell r="AT1062" t="str">
            <v/>
          </cell>
          <cell r="AV1062" t="b">
            <v>1</v>
          </cell>
          <cell r="AW1062" t="str">
            <v>minute</v>
          </cell>
        </row>
        <row r="1063">
          <cell r="S1063" t="str">
            <v>DOM USA WIFIX</v>
          </cell>
          <cell r="T1063" t="str">
            <v>DOM</v>
          </cell>
          <cell r="U1063" t="str">
            <v>USA</v>
          </cell>
          <cell r="V1063" t="str">
            <v>WIFIX</v>
          </cell>
          <cell r="X1063">
            <v>1.84E-2</v>
          </cell>
          <cell r="Y1063">
            <v>0</v>
          </cell>
          <cell r="Z1063">
            <v>1.66E-2</v>
          </cell>
          <cell r="AA1063">
            <v>0</v>
          </cell>
          <cell r="AB1063">
            <v>1.5599999999999999E-2</v>
          </cell>
          <cell r="AC1063">
            <v>0</v>
          </cell>
          <cell r="AD1063">
            <v>1.47E-2</v>
          </cell>
          <cell r="AE1063">
            <v>0</v>
          </cell>
          <cell r="AG1063" t="str">
            <v/>
          </cell>
          <cell r="AH1063" t="str">
            <v/>
          </cell>
          <cell r="AJ1063">
            <v>1.84E-2</v>
          </cell>
          <cell r="AK1063">
            <v>0</v>
          </cell>
          <cell r="AL1063">
            <v>1.66E-2</v>
          </cell>
          <cell r="AM1063">
            <v>0</v>
          </cell>
          <cell r="AN1063">
            <v>1.5599999999999999E-2</v>
          </cell>
          <cell r="AO1063">
            <v>0</v>
          </cell>
          <cell r="AP1063">
            <v>1.47E-2</v>
          </cell>
          <cell r="AQ1063">
            <v>0</v>
          </cell>
          <cell r="AS1063" t="str">
            <v/>
          </cell>
          <cell r="AT1063" t="str">
            <v/>
          </cell>
          <cell r="AV1063" t="b">
            <v>1</v>
          </cell>
          <cell r="AW1063" t="str">
            <v>minute</v>
          </cell>
        </row>
        <row r="1064">
          <cell r="S1064" t="str">
            <v>DOM USA WYFIX</v>
          </cell>
          <cell r="T1064" t="str">
            <v>DOM</v>
          </cell>
          <cell r="U1064" t="str">
            <v>USA</v>
          </cell>
          <cell r="V1064" t="str">
            <v>WYFIX</v>
          </cell>
          <cell r="X1064">
            <v>1.84E-2</v>
          </cell>
          <cell r="Y1064">
            <v>0</v>
          </cell>
          <cell r="Z1064">
            <v>1.66E-2</v>
          </cell>
          <cell r="AA1064">
            <v>0</v>
          </cell>
          <cell r="AB1064">
            <v>1.5599999999999999E-2</v>
          </cell>
          <cell r="AC1064">
            <v>0</v>
          </cell>
          <cell r="AD1064">
            <v>1.47E-2</v>
          </cell>
          <cell r="AE1064">
            <v>0</v>
          </cell>
          <cell r="AG1064" t="str">
            <v/>
          </cell>
          <cell r="AH1064" t="str">
            <v/>
          </cell>
          <cell r="AJ1064">
            <v>1.84E-2</v>
          </cell>
          <cell r="AK1064">
            <v>0</v>
          </cell>
          <cell r="AL1064">
            <v>1.66E-2</v>
          </cell>
          <cell r="AM1064">
            <v>0</v>
          </cell>
          <cell r="AN1064">
            <v>1.5599999999999999E-2</v>
          </cell>
          <cell r="AO1064">
            <v>0</v>
          </cell>
          <cell r="AP1064">
            <v>1.47E-2</v>
          </cell>
          <cell r="AQ1064">
            <v>0</v>
          </cell>
          <cell r="AS1064" t="str">
            <v/>
          </cell>
          <cell r="AT1064" t="str">
            <v/>
          </cell>
          <cell r="AV1064" t="b">
            <v>1</v>
          </cell>
          <cell r="AW1064" t="str">
            <v>minute</v>
          </cell>
        </row>
        <row r="1065">
          <cell r="S1065" t="str">
            <v>DOM VAT VAFIX</v>
          </cell>
          <cell r="T1065" t="str">
            <v>DOM</v>
          </cell>
          <cell r="U1065" t="str">
            <v>VAT</v>
          </cell>
          <cell r="V1065" t="str">
            <v>VAFIX</v>
          </cell>
          <cell r="X1065">
            <v>2.1000000000000001E-2</v>
          </cell>
          <cell r="Y1065">
            <v>0</v>
          </cell>
          <cell r="Z1065">
            <v>1.9099999999999999E-2</v>
          </cell>
          <cell r="AA1065">
            <v>0</v>
          </cell>
          <cell r="AB1065">
            <v>1.7399999999999999E-2</v>
          </cell>
          <cell r="AC1065">
            <v>0</v>
          </cell>
          <cell r="AD1065">
            <v>1.5800000000000002E-2</v>
          </cell>
          <cell r="AE1065">
            <v>0</v>
          </cell>
          <cell r="AG1065" t="str">
            <v/>
          </cell>
          <cell r="AH1065" t="str">
            <v/>
          </cell>
          <cell r="AJ1065">
            <v>2.1000000000000001E-2</v>
          </cell>
          <cell r="AK1065">
            <v>0</v>
          </cell>
          <cell r="AL1065">
            <v>1.9099999999999999E-2</v>
          </cell>
          <cell r="AM1065">
            <v>0</v>
          </cell>
          <cell r="AN1065">
            <v>1.7399999999999999E-2</v>
          </cell>
          <cell r="AO1065">
            <v>0</v>
          </cell>
          <cell r="AP1065">
            <v>1.5800000000000002E-2</v>
          </cell>
          <cell r="AQ1065">
            <v>0</v>
          </cell>
          <cell r="AS1065" t="str">
            <v/>
          </cell>
          <cell r="AT1065" t="str">
            <v/>
          </cell>
          <cell r="AV1065" t="b">
            <v>1</v>
          </cell>
          <cell r="AW1065" t="str">
            <v>minute</v>
          </cell>
        </row>
        <row r="1066">
          <cell r="S1066" t="str">
            <v>DOM VAT VAMOB</v>
          </cell>
          <cell r="T1066" t="str">
            <v>DOM</v>
          </cell>
          <cell r="U1066" t="str">
            <v>VAT</v>
          </cell>
          <cell r="V1066" t="str">
            <v>VAMOB</v>
          </cell>
          <cell r="X1066">
            <v>2.7400000000000001E-2</v>
          </cell>
          <cell r="Y1066">
            <v>0</v>
          </cell>
          <cell r="Z1066">
            <v>2.4899999999999999E-2</v>
          </cell>
          <cell r="AA1066">
            <v>0</v>
          </cell>
          <cell r="AB1066">
            <v>2.2599999999999999E-2</v>
          </cell>
          <cell r="AC1066">
            <v>0</v>
          </cell>
          <cell r="AD1066">
            <v>2.0500000000000001E-2</v>
          </cell>
          <cell r="AE1066">
            <v>0</v>
          </cell>
          <cell r="AG1066" t="str">
            <v/>
          </cell>
          <cell r="AH1066" t="str">
            <v/>
          </cell>
          <cell r="AJ1066">
            <v>2.7400000000000001E-2</v>
          </cell>
          <cell r="AK1066">
            <v>0</v>
          </cell>
          <cell r="AL1066">
            <v>2.4899999999999999E-2</v>
          </cell>
          <cell r="AM1066">
            <v>0</v>
          </cell>
          <cell r="AN1066">
            <v>2.2599999999999999E-2</v>
          </cell>
          <cell r="AO1066">
            <v>0</v>
          </cell>
          <cell r="AP1066">
            <v>2.0500000000000001E-2</v>
          </cell>
          <cell r="AQ1066">
            <v>0</v>
          </cell>
          <cell r="AS1066" t="str">
            <v/>
          </cell>
          <cell r="AT1066" t="str">
            <v/>
          </cell>
          <cell r="AV1066" t="b">
            <v>1</v>
          </cell>
          <cell r="AW1066" t="str">
            <v>minute</v>
          </cell>
        </row>
        <row r="1067">
          <cell r="S1067" t="str">
            <v>DOM VIR FIX</v>
          </cell>
          <cell r="T1067" t="str">
            <v>DOM</v>
          </cell>
          <cell r="U1067" t="str">
            <v>VIR</v>
          </cell>
          <cell r="V1067" t="str">
            <v>FIX</v>
          </cell>
          <cell r="X1067">
            <v>0.16400000000000001</v>
          </cell>
          <cell r="Y1067">
            <v>0</v>
          </cell>
          <cell r="Z1067">
            <v>0.14760000000000001</v>
          </cell>
          <cell r="AA1067">
            <v>0</v>
          </cell>
          <cell r="AB1067">
            <v>0.1394</v>
          </cell>
          <cell r="AC1067">
            <v>0</v>
          </cell>
          <cell r="AD1067">
            <v>0.13120000000000001</v>
          </cell>
          <cell r="AE1067">
            <v>0</v>
          </cell>
          <cell r="AG1067" t="str">
            <v/>
          </cell>
          <cell r="AH1067" t="str">
            <v/>
          </cell>
          <cell r="AJ1067">
            <v>0.16400000000000001</v>
          </cell>
          <cell r="AK1067">
            <v>0</v>
          </cell>
          <cell r="AL1067">
            <v>0.14760000000000001</v>
          </cell>
          <cell r="AM1067">
            <v>0</v>
          </cell>
          <cell r="AN1067">
            <v>0.1394</v>
          </cell>
          <cell r="AO1067">
            <v>0</v>
          </cell>
          <cell r="AP1067">
            <v>0.13120000000000001</v>
          </cell>
          <cell r="AQ1067">
            <v>0</v>
          </cell>
          <cell r="AS1067" t="str">
            <v/>
          </cell>
          <cell r="AT1067" t="str">
            <v/>
          </cell>
          <cell r="AV1067" t="b">
            <v>1</v>
          </cell>
          <cell r="AW1067" t="str">
            <v>minute</v>
          </cell>
        </row>
        <row r="1068">
          <cell r="S1068" t="str">
            <v>INT AFG</v>
          </cell>
          <cell r="T1068" t="str">
            <v>INT</v>
          </cell>
          <cell r="U1068" t="str">
            <v>AFG</v>
          </cell>
          <cell r="V1068" t="str">
            <v/>
          </cell>
          <cell r="X1068">
            <v>0.33939999999999998</v>
          </cell>
          <cell r="Y1068">
            <v>0</v>
          </cell>
          <cell r="Z1068">
            <v>0.29509999999999997</v>
          </cell>
          <cell r="AA1068">
            <v>0</v>
          </cell>
          <cell r="AB1068">
            <v>0.25659999999999999</v>
          </cell>
          <cell r="AC1068">
            <v>0</v>
          </cell>
          <cell r="AD1068">
            <v>0.22309999999999999</v>
          </cell>
          <cell r="AE1068">
            <v>0</v>
          </cell>
          <cell r="AG1068" t="str">
            <v/>
          </cell>
          <cell r="AH1068" t="str">
            <v/>
          </cell>
          <cell r="AJ1068">
            <v>0.33939999999999998</v>
          </cell>
          <cell r="AK1068">
            <v>0</v>
          </cell>
          <cell r="AL1068">
            <v>0.29509999999999997</v>
          </cell>
          <cell r="AM1068">
            <v>0</v>
          </cell>
          <cell r="AN1068">
            <v>0.25659999999999999</v>
          </cell>
          <cell r="AO1068">
            <v>0</v>
          </cell>
          <cell r="AP1068">
            <v>0.22309999999999999</v>
          </cell>
          <cell r="AQ1068">
            <v>0</v>
          </cell>
          <cell r="AS1068" t="str">
            <v/>
          </cell>
          <cell r="AT1068" t="str">
            <v/>
          </cell>
          <cell r="AV1068" t="b">
            <v>1</v>
          </cell>
          <cell r="AW1068" t="str">
            <v>minute</v>
          </cell>
        </row>
        <row r="1069">
          <cell r="S1069" t="str">
            <v>INT ALB ALBMO</v>
          </cell>
          <cell r="T1069" t="str">
            <v>INT</v>
          </cell>
          <cell r="U1069" t="str">
            <v>ALB</v>
          </cell>
          <cell r="V1069" t="str">
            <v>ALBMO</v>
          </cell>
          <cell r="X1069">
            <v>0.49990000000000001</v>
          </cell>
          <cell r="Y1069">
            <v>0</v>
          </cell>
          <cell r="Z1069">
            <v>0.43469999999999998</v>
          </cell>
          <cell r="AA1069">
            <v>0</v>
          </cell>
          <cell r="AB1069">
            <v>0.378</v>
          </cell>
          <cell r="AC1069">
            <v>0</v>
          </cell>
          <cell r="AD1069">
            <v>0.32869999999999999</v>
          </cell>
          <cell r="AE1069">
            <v>0</v>
          </cell>
          <cell r="AG1069" t="str">
            <v/>
          </cell>
          <cell r="AH1069" t="str">
            <v/>
          </cell>
          <cell r="AJ1069">
            <v>0.49990000000000001</v>
          </cell>
          <cell r="AK1069">
            <v>0</v>
          </cell>
          <cell r="AL1069">
            <v>0.43469999999999998</v>
          </cell>
          <cell r="AM1069">
            <v>0</v>
          </cell>
          <cell r="AN1069">
            <v>0.378</v>
          </cell>
          <cell r="AO1069">
            <v>0</v>
          </cell>
          <cell r="AP1069">
            <v>0.32869999999999999</v>
          </cell>
          <cell r="AQ1069">
            <v>0</v>
          </cell>
          <cell r="AS1069" t="str">
            <v/>
          </cell>
          <cell r="AT1069" t="str">
            <v/>
          </cell>
          <cell r="AV1069" t="b">
            <v>1</v>
          </cell>
          <cell r="AW1069" t="str">
            <v>minute</v>
          </cell>
        </row>
        <row r="1070">
          <cell r="S1070" t="str">
            <v>INT ALB</v>
          </cell>
          <cell r="T1070" t="str">
            <v>INT</v>
          </cell>
          <cell r="U1070" t="str">
            <v>ALB</v>
          </cell>
          <cell r="V1070" t="str">
            <v/>
          </cell>
          <cell r="X1070">
            <v>0.1527</v>
          </cell>
          <cell r="Y1070">
            <v>0</v>
          </cell>
          <cell r="Z1070">
            <v>0.1328</v>
          </cell>
          <cell r="AA1070">
            <v>0</v>
          </cell>
          <cell r="AB1070">
            <v>0.11550000000000001</v>
          </cell>
          <cell r="AC1070">
            <v>0</v>
          </cell>
          <cell r="AD1070">
            <v>0.1004</v>
          </cell>
          <cell r="AE1070">
            <v>0</v>
          </cell>
          <cell r="AG1070" t="str">
            <v/>
          </cell>
          <cell r="AH1070" t="str">
            <v/>
          </cell>
          <cell r="AJ1070">
            <v>0.1527</v>
          </cell>
          <cell r="AK1070">
            <v>0</v>
          </cell>
          <cell r="AL1070">
            <v>0.1328</v>
          </cell>
          <cell r="AM1070">
            <v>0</v>
          </cell>
          <cell r="AN1070">
            <v>0.11550000000000001</v>
          </cell>
          <cell r="AO1070">
            <v>0</v>
          </cell>
          <cell r="AP1070">
            <v>0.1004</v>
          </cell>
          <cell r="AQ1070">
            <v>0</v>
          </cell>
          <cell r="AS1070" t="str">
            <v/>
          </cell>
          <cell r="AT1070" t="str">
            <v/>
          </cell>
          <cell r="AV1070" t="b">
            <v>1</v>
          </cell>
          <cell r="AW1070" t="str">
            <v>minute</v>
          </cell>
        </row>
        <row r="1071">
          <cell r="S1071" t="str">
            <v>INT DZA DZAMO</v>
          </cell>
          <cell r="T1071" t="str">
            <v>INT</v>
          </cell>
          <cell r="U1071" t="str">
            <v>DZA</v>
          </cell>
          <cell r="V1071" t="str">
            <v>DZAMO</v>
          </cell>
          <cell r="X1071">
            <v>0.4617</v>
          </cell>
          <cell r="Y1071">
            <v>0</v>
          </cell>
          <cell r="Z1071">
            <v>0.40150000000000002</v>
          </cell>
          <cell r="AA1071">
            <v>0</v>
          </cell>
          <cell r="AB1071">
            <v>0.34910000000000002</v>
          </cell>
          <cell r="AC1071">
            <v>0</v>
          </cell>
          <cell r="AD1071">
            <v>0.30359999999999998</v>
          </cell>
          <cell r="AE1071">
            <v>0</v>
          </cell>
          <cell r="AG1071" t="str">
            <v/>
          </cell>
          <cell r="AH1071" t="str">
            <v/>
          </cell>
          <cell r="AJ1071">
            <v>0.4617</v>
          </cell>
          <cell r="AK1071">
            <v>0</v>
          </cell>
          <cell r="AL1071">
            <v>0.40150000000000002</v>
          </cell>
          <cell r="AM1071">
            <v>0</v>
          </cell>
          <cell r="AN1071">
            <v>0.34910000000000002</v>
          </cell>
          <cell r="AO1071">
            <v>0</v>
          </cell>
          <cell r="AP1071">
            <v>0.30359999999999998</v>
          </cell>
          <cell r="AQ1071">
            <v>0</v>
          </cell>
          <cell r="AS1071" t="str">
            <v/>
          </cell>
          <cell r="AT1071" t="str">
            <v/>
          </cell>
          <cell r="AV1071" t="b">
            <v>1</v>
          </cell>
          <cell r="AW1071" t="str">
            <v>minute</v>
          </cell>
        </row>
        <row r="1072">
          <cell r="S1072" t="str">
            <v>INT DZA</v>
          </cell>
          <cell r="T1072" t="str">
            <v>INT</v>
          </cell>
          <cell r="U1072" t="str">
            <v>DZA</v>
          </cell>
          <cell r="V1072" t="str">
            <v/>
          </cell>
          <cell r="X1072">
            <v>9.3600000000000003E-2</v>
          </cell>
          <cell r="Y1072">
            <v>0</v>
          </cell>
          <cell r="Z1072">
            <v>8.14E-2</v>
          </cell>
          <cell r="AA1072">
            <v>0</v>
          </cell>
          <cell r="AB1072">
            <v>7.0800000000000002E-2</v>
          </cell>
          <cell r="AC1072">
            <v>0</v>
          </cell>
          <cell r="AD1072">
            <v>6.1600000000000002E-2</v>
          </cell>
          <cell r="AE1072">
            <v>0</v>
          </cell>
          <cell r="AG1072" t="str">
            <v/>
          </cell>
          <cell r="AH1072" t="str">
            <v/>
          </cell>
          <cell r="AJ1072">
            <v>9.3600000000000003E-2</v>
          </cell>
          <cell r="AK1072">
            <v>0</v>
          </cell>
          <cell r="AL1072">
            <v>8.14E-2</v>
          </cell>
          <cell r="AM1072">
            <v>0</v>
          </cell>
          <cell r="AN1072">
            <v>7.0800000000000002E-2</v>
          </cell>
          <cell r="AO1072">
            <v>0</v>
          </cell>
          <cell r="AP1072">
            <v>6.1600000000000002E-2</v>
          </cell>
          <cell r="AQ1072">
            <v>0</v>
          </cell>
          <cell r="AS1072" t="str">
            <v/>
          </cell>
          <cell r="AT1072" t="str">
            <v/>
          </cell>
          <cell r="AV1072" t="b">
            <v>1</v>
          </cell>
          <cell r="AW1072" t="str">
            <v>minute</v>
          </cell>
        </row>
        <row r="1073">
          <cell r="S1073" t="str">
            <v>INT ASM</v>
          </cell>
          <cell r="T1073" t="str">
            <v>INT</v>
          </cell>
          <cell r="U1073" t="str">
            <v>ASM</v>
          </cell>
          <cell r="V1073" t="str">
            <v/>
          </cell>
          <cell r="X1073">
            <v>7.1800000000000003E-2</v>
          </cell>
          <cell r="Y1073">
            <v>0</v>
          </cell>
          <cell r="Z1073">
            <v>6.2399999999999997E-2</v>
          </cell>
          <cell r="AA1073">
            <v>0</v>
          </cell>
          <cell r="AB1073">
            <v>5.4300000000000001E-2</v>
          </cell>
          <cell r="AC1073">
            <v>0</v>
          </cell>
          <cell r="AD1073">
            <v>4.7199999999999999E-2</v>
          </cell>
          <cell r="AE1073">
            <v>0</v>
          </cell>
          <cell r="AG1073" t="str">
            <v/>
          </cell>
          <cell r="AH1073" t="str">
            <v/>
          </cell>
          <cell r="AJ1073">
            <v>7.1800000000000003E-2</v>
          </cell>
          <cell r="AK1073">
            <v>0</v>
          </cell>
          <cell r="AL1073">
            <v>6.2399999999999997E-2</v>
          </cell>
          <cell r="AM1073">
            <v>0</v>
          </cell>
          <cell r="AN1073">
            <v>5.4300000000000001E-2</v>
          </cell>
          <cell r="AO1073">
            <v>0</v>
          </cell>
          <cell r="AP1073">
            <v>4.7199999999999999E-2</v>
          </cell>
          <cell r="AQ1073">
            <v>0</v>
          </cell>
          <cell r="AS1073" t="str">
            <v/>
          </cell>
          <cell r="AT1073" t="str">
            <v/>
          </cell>
          <cell r="AV1073" t="b">
            <v>1</v>
          </cell>
          <cell r="AW1073" t="str">
            <v>minute</v>
          </cell>
        </row>
        <row r="1074">
          <cell r="S1074" t="str">
            <v>INT AND ANDMO</v>
          </cell>
          <cell r="T1074" t="str">
            <v>INT</v>
          </cell>
          <cell r="U1074" t="str">
            <v>AND</v>
          </cell>
          <cell r="V1074" t="str">
            <v>ANDMO</v>
          </cell>
          <cell r="X1074">
            <v>0.24709999999999999</v>
          </cell>
          <cell r="Y1074">
            <v>0</v>
          </cell>
          <cell r="Z1074">
            <v>0.21490000000000001</v>
          </cell>
          <cell r="AA1074">
            <v>0</v>
          </cell>
          <cell r="AB1074">
            <v>0.18690000000000001</v>
          </cell>
          <cell r="AC1074">
            <v>0</v>
          </cell>
          <cell r="AD1074">
            <v>0.16250000000000001</v>
          </cell>
          <cell r="AE1074">
            <v>0</v>
          </cell>
          <cell r="AG1074" t="str">
            <v/>
          </cell>
          <cell r="AH1074" t="str">
            <v/>
          </cell>
          <cell r="AJ1074">
            <v>0.24709999999999999</v>
          </cell>
          <cell r="AK1074">
            <v>0</v>
          </cell>
          <cell r="AL1074">
            <v>0.21490000000000001</v>
          </cell>
          <cell r="AM1074">
            <v>0</v>
          </cell>
          <cell r="AN1074">
            <v>0.18690000000000001</v>
          </cell>
          <cell r="AO1074">
            <v>0</v>
          </cell>
          <cell r="AP1074">
            <v>0.16250000000000001</v>
          </cell>
          <cell r="AQ1074">
            <v>0</v>
          </cell>
          <cell r="AS1074" t="str">
            <v/>
          </cell>
          <cell r="AT1074" t="str">
            <v/>
          </cell>
          <cell r="AV1074" t="b">
            <v>1</v>
          </cell>
          <cell r="AW1074" t="str">
            <v>minute</v>
          </cell>
        </row>
        <row r="1075">
          <cell r="S1075" t="str">
            <v>INT AND</v>
          </cell>
          <cell r="T1075" t="str">
            <v>INT</v>
          </cell>
          <cell r="U1075" t="str">
            <v>AND</v>
          </cell>
          <cell r="V1075" t="str">
            <v/>
          </cell>
          <cell r="X1075">
            <v>3.2399999999999998E-2</v>
          </cell>
          <cell r="Y1075">
            <v>0</v>
          </cell>
          <cell r="Z1075">
            <v>2.8199999999999999E-2</v>
          </cell>
          <cell r="AA1075">
            <v>0</v>
          </cell>
          <cell r="AB1075">
            <v>2.4500000000000001E-2</v>
          </cell>
          <cell r="AC1075">
            <v>0</v>
          </cell>
          <cell r="AD1075">
            <v>2.1299999999999999E-2</v>
          </cell>
          <cell r="AE1075">
            <v>0</v>
          </cell>
          <cell r="AG1075" t="str">
            <v/>
          </cell>
          <cell r="AH1075" t="str">
            <v/>
          </cell>
          <cell r="AJ1075">
            <v>3.2399999999999998E-2</v>
          </cell>
          <cell r="AK1075">
            <v>0</v>
          </cell>
          <cell r="AL1075">
            <v>2.8199999999999999E-2</v>
          </cell>
          <cell r="AM1075">
            <v>0</v>
          </cell>
          <cell r="AN1075">
            <v>2.4500000000000001E-2</v>
          </cell>
          <cell r="AO1075">
            <v>0</v>
          </cell>
          <cell r="AP1075">
            <v>2.1299999999999999E-2</v>
          </cell>
          <cell r="AQ1075">
            <v>0</v>
          </cell>
          <cell r="AS1075" t="str">
            <v/>
          </cell>
          <cell r="AT1075" t="str">
            <v/>
          </cell>
          <cell r="AV1075" t="b">
            <v>1</v>
          </cell>
          <cell r="AW1075" t="str">
            <v>minute</v>
          </cell>
        </row>
        <row r="1076">
          <cell r="S1076" t="str">
            <v>INT AGO AGOMO</v>
          </cell>
          <cell r="T1076" t="str">
            <v>INT</v>
          </cell>
          <cell r="U1076" t="str">
            <v>AGO</v>
          </cell>
          <cell r="V1076" t="str">
            <v>AGOMO</v>
          </cell>
          <cell r="X1076">
            <v>0.1268</v>
          </cell>
          <cell r="Y1076">
            <v>0</v>
          </cell>
          <cell r="Z1076">
            <v>0.1103</v>
          </cell>
          <cell r="AA1076">
            <v>0</v>
          </cell>
          <cell r="AB1076">
            <v>9.5899999999999999E-2</v>
          </cell>
          <cell r="AC1076">
            <v>0</v>
          </cell>
          <cell r="AD1076">
            <v>8.3400000000000002E-2</v>
          </cell>
          <cell r="AE1076">
            <v>0</v>
          </cell>
          <cell r="AG1076" t="str">
            <v/>
          </cell>
          <cell r="AH1076" t="str">
            <v/>
          </cell>
          <cell r="AJ1076">
            <v>0.1268</v>
          </cell>
          <cell r="AK1076">
            <v>0</v>
          </cell>
          <cell r="AL1076">
            <v>0.1103</v>
          </cell>
          <cell r="AM1076">
            <v>0</v>
          </cell>
          <cell r="AN1076">
            <v>9.5899999999999999E-2</v>
          </cell>
          <cell r="AO1076">
            <v>0</v>
          </cell>
          <cell r="AP1076">
            <v>8.3400000000000002E-2</v>
          </cell>
          <cell r="AQ1076">
            <v>0</v>
          </cell>
          <cell r="AS1076" t="str">
            <v/>
          </cell>
          <cell r="AT1076" t="str">
            <v/>
          </cell>
          <cell r="AV1076" t="b">
            <v>1</v>
          </cell>
          <cell r="AW1076" t="str">
            <v>minute</v>
          </cell>
        </row>
        <row r="1077">
          <cell r="S1077" t="str">
            <v>INT AGO</v>
          </cell>
          <cell r="T1077" t="str">
            <v>INT</v>
          </cell>
          <cell r="U1077" t="str">
            <v>AGO</v>
          </cell>
          <cell r="V1077" t="str">
            <v/>
          </cell>
          <cell r="X1077">
            <v>0.1268</v>
          </cell>
          <cell r="Y1077">
            <v>0</v>
          </cell>
          <cell r="Z1077">
            <v>0.1103</v>
          </cell>
          <cell r="AA1077">
            <v>0</v>
          </cell>
          <cell r="AB1077">
            <v>9.5899999999999999E-2</v>
          </cell>
          <cell r="AC1077">
            <v>0</v>
          </cell>
          <cell r="AD1077">
            <v>8.3400000000000002E-2</v>
          </cell>
          <cell r="AE1077">
            <v>0</v>
          </cell>
          <cell r="AG1077" t="str">
            <v/>
          </cell>
          <cell r="AH1077" t="str">
            <v/>
          </cell>
          <cell r="AJ1077">
            <v>0.1268</v>
          </cell>
          <cell r="AK1077">
            <v>0</v>
          </cell>
          <cell r="AL1077">
            <v>0.1103</v>
          </cell>
          <cell r="AM1077">
            <v>0</v>
          </cell>
          <cell r="AN1077">
            <v>9.5899999999999999E-2</v>
          </cell>
          <cell r="AO1077">
            <v>0</v>
          </cell>
          <cell r="AP1077">
            <v>8.3400000000000002E-2</v>
          </cell>
          <cell r="AQ1077">
            <v>0</v>
          </cell>
          <cell r="AS1077" t="str">
            <v/>
          </cell>
          <cell r="AT1077" t="str">
            <v/>
          </cell>
          <cell r="AV1077" t="b">
            <v>1</v>
          </cell>
          <cell r="AW1077" t="str">
            <v>minute</v>
          </cell>
        </row>
        <row r="1078">
          <cell r="S1078" t="str">
            <v>INT AIA</v>
          </cell>
          <cell r="T1078" t="str">
            <v>INT</v>
          </cell>
          <cell r="U1078" t="str">
            <v>AIA</v>
          </cell>
          <cell r="V1078" t="str">
            <v/>
          </cell>
          <cell r="X1078">
            <v>0.2928</v>
          </cell>
          <cell r="Y1078">
            <v>0</v>
          </cell>
          <cell r="Z1078">
            <v>0.25459999999999999</v>
          </cell>
          <cell r="AA1078">
            <v>0</v>
          </cell>
          <cell r="AB1078">
            <v>0.22140000000000001</v>
          </cell>
          <cell r="AC1078">
            <v>0</v>
          </cell>
          <cell r="AD1078">
            <v>0.1925</v>
          </cell>
          <cell r="AE1078">
            <v>0</v>
          </cell>
          <cell r="AG1078" t="str">
            <v/>
          </cell>
          <cell r="AH1078" t="str">
            <v/>
          </cell>
          <cell r="AJ1078">
            <v>0.2928</v>
          </cell>
          <cell r="AK1078">
            <v>0</v>
          </cell>
          <cell r="AL1078">
            <v>0.25459999999999999</v>
          </cell>
          <cell r="AM1078">
            <v>0</v>
          </cell>
          <cell r="AN1078">
            <v>0.22140000000000001</v>
          </cell>
          <cell r="AO1078">
            <v>0</v>
          </cell>
          <cell r="AP1078">
            <v>0.1925</v>
          </cell>
          <cell r="AQ1078">
            <v>0</v>
          </cell>
          <cell r="AS1078" t="str">
            <v/>
          </cell>
          <cell r="AT1078" t="str">
            <v/>
          </cell>
          <cell r="AV1078" t="b">
            <v>1</v>
          </cell>
          <cell r="AW1078" t="str">
            <v>minute</v>
          </cell>
        </row>
        <row r="1079">
          <cell r="S1079" t="str">
            <v>INT ATA</v>
          </cell>
          <cell r="T1079" t="str">
            <v>INT</v>
          </cell>
          <cell r="U1079" t="str">
            <v>ATA</v>
          </cell>
          <cell r="V1079" t="str">
            <v/>
          </cell>
          <cell r="X1079">
            <v>1.1901999999999999</v>
          </cell>
          <cell r="Y1079">
            <v>0</v>
          </cell>
          <cell r="Z1079">
            <v>1.0348999999999999</v>
          </cell>
          <cell r="AA1079">
            <v>0</v>
          </cell>
          <cell r="AB1079">
            <v>0.9002</v>
          </cell>
          <cell r="AC1079">
            <v>0</v>
          </cell>
          <cell r="AD1079">
            <v>0.78280000000000005</v>
          </cell>
          <cell r="AE1079">
            <v>0</v>
          </cell>
          <cell r="AG1079" t="str">
            <v/>
          </cell>
          <cell r="AH1079" t="str">
            <v/>
          </cell>
          <cell r="AJ1079">
            <v>1.1901999999999999</v>
          </cell>
          <cell r="AK1079">
            <v>0</v>
          </cell>
          <cell r="AL1079">
            <v>1.0348999999999999</v>
          </cell>
          <cell r="AM1079">
            <v>0</v>
          </cell>
          <cell r="AN1079">
            <v>0.9002</v>
          </cell>
          <cell r="AO1079">
            <v>0</v>
          </cell>
          <cell r="AP1079">
            <v>0.78280000000000005</v>
          </cell>
          <cell r="AQ1079">
            <v>0</v>
          </cell>
          <cell r="AS1079" t="str">
            <v/>
          </cell>
          <cell r="AT1079" t="str">
            <v/>
          </cell>
          <cell r="AV1079" t="b">
            <v>1</v>
          </cell>
          <cell r="AW1079" t="str">
            <v>minute</v>
          </cell>
        </row>
        <row r="1080">
          <cell r="S1080" t="str">
            <v>INT ATG</v>
          </cell>
          <cell r="T1080" t="str">
            <v>INT</v>
          </cell>
          <cell r="U1080" t="str">
            <v>ATG</v>
          </cell>
          <cell r="V1080" t="str">
            <v/>
          </cell>
          <cell r="X1080">
            <v>0.39419999999999999</v>
          </cell>
          <cell r="Y1080">
            <v>0</v>
          </cell>
          <cell r="Z1080">
            <v>0.34279999999999999</v>
          </cell>
          <cell r="AA1080">
            <v>0</v>
          </cell>
          <cell r="AB1080">
            <v>0.29809999999999998</v>
          </cell>
          <cell r="AC1080">
            <v>0</v>
          </cell>
          <cell r="AD1080">
            <v>0.25919999999999999</v>
          </cell>
          <cell r="AE1080">
            <v>0</v>
          </cell>
          <cell r="AG1080" t="str">
            <v/>
          </cell>
          <cell r="AH1080" t="str">
            <v/>
          </cell>
          <cell r="AJ1080">
            <v>0.39419999999999999</v>
          </cell>
          <cell r="AK1080">
            <v>0</v>
          </cell>
          <cell r="AL1080">
            <v>0.34279999999999999</v>
          </cell>
          <cell r="AM1080">
            <v>0</v>
          </cell>
          <cell r="AN1080">
            <v>0.29809999999999998</v>
          </cell>
          <cell r="AO1080">
            <v>0</v>
          </cell>
          <cell r="AP1080">
            <v>0.25919999999999999</v>
          </cell>
          <cell r="AQ1080">
            <v>0</v>
          </cell>
          <cell r="AS1080" t="str">
            <v/>
          </cell>
          <cell r="AT1080" t="str">
            <v/>
          </cell>
          <cell r="AV1080" t="b">
            <v>1</v>
          </cell>
          <cell r="AW1080" t="str">
            <v>minute</v>
          </cell>
        </row>
        <row r="1081">
          <cell r="S1081" t="str">
            <v>INT ARG ARGMO</v>
          </cell>
          <cell r="T1081" t="str">
            <v>INT</v>
          </cell>
          <cell r="U1081" t="str">
            <v>ARG</v>
          </cell>
          <cell r="V1081" t="str">
            <v>ARGMO</v>
          </cell>
          <cell r="X1081">
            <v>0.15229999999999999</v>
          </cell>
          <cell r="Y1081">
            <v>0</v>
          </cell>
          <cell r="Z1081">
            <v>0.1323</v>
          </cell>
          <cell r="AA1081">
            <v>0</v>
          </cell>
          <cell r="AB1081">
            <v>0.11509999999999999</v>
          </cell>
          <cell r="AC1081">
            <v>0</v>
          </cell>
          <cell r="AD1081">
            <v>0.10009999999999999</v>
          </cell>
          <cell r="AE1081">
            <v>0</v>
          </cell>
          <cell r="AG1081" t="str">
            <v/>
          </cell>
          <cell r="AH1081" t="str">
            <v/>
          </cell>
          <cell r="AJ1081">
            <v>0.15229999999999999</v>
          </cell>
          <cell r="AK1081">
            <v>0</v>
          </cell>
          <cell r="AL1081">
            <v>0.1323</v>
          </cell>
          <cell r="AM1081">
            <v>0</v>
          </cell>
          <cell r="AN1081">
            <v>0.11509999999999999</v>
          </cell>
          <cell r="AO1081">
            <v>0</v>
          </cell>
          <cell r="AP1081">
            <v>0.10009999999999999</v>
          </cell>
          <cell r="AQ1081">
            <v>0</v>
          </cell>
          <cell r="AS1081" t="str">
            <v/>
          </cell>
          <cell r="AT1081" t="str">
            <v/>
          </cell>
          <cell r="AV1081" t="b">
            <v>1</v>
          </cell>
          <cell r="AW1081" t="str">
            <v>minute</v>
          </cell>
        </row>
        <row r="1082">
          <cell r="S1082" t="str">
            <v>INT ARG</v>
          </cell>
          <cell r="T1082" t="str">
            <v>INT</v>
          </cell>
          <cell r="U1082" t="str">
            <v>ARG</v>
          </cell>
          <cell r="V1082" t="str">
            <v/>
          </cell>
          <cell r="X1082">
            <v>2.3E-2</v>
          </cell>
          <cell r="Y1082">
            <v>0</v>
          </cell>
          <cell r="Z1082">
            <v>0.02</v>
          </cell>
          <cell r="AA1082">
            <v>0</v>
          </cell>
          <cell r="AB1082">
            <v>1.7399999999999999E-2</v>
          </cell>
          <cell r="AC1082">
            <v>0</v>
          </cell>
          <cell r="AD1082">
            <v>1.5100000000000001E-2</v>
          </cell>
          <cell r="AE1082">
            <v>0</v>
          </cell>
          <cell r="AG1082" t="str">
            <v/>
          </cell>
          <cell r="AH1082" t="str">
            <v/>
          </cell>
          <cell r="AJ1082">
            <v>2.3E-2</v>
          </cell>
          <cell r="AK1082">
            <v>0</v>
          </cell>
          <cell r="AL1082">
            <v>0.02</v>
          </cell>
          <cell r="AM1082">
            <v>0</v>
          </cell>
          <cell r="AN1082">
            <v>1.7399999999999999E-2</v>
          </cell>
          <cell r="AO1082">
            <v>0</v>
          </cell>
          <cell r="AP1082">
            <v>1.5100000000000001E-2</v>
          </cell>
          <cell r="AQ1082">
            <v>0</v>
          </cell>
          <cell r="AS1082" t="str">
            <v/>
          </cell>
          <cell r="AT1082" t="str">
            <v/>
          </cell>
          <cell r="AV1082" t="b">
            <v>1</v>
          </cell>
          <cell r="AW1082" t="str">
            <v>minute</v>
          </cell>
        </row>
        <row r="1083">
          <cell r="S1083" t="str">
            <v>INT ARM ARMMO</v>
          </cell>
          <cell r="T1083" t="str">
            <v>INT</v>
          </cell>
          <cell r="U1083" t="str">
            <v>ARM</v>
          </cell>
          <cell r="V1083" t="str">
            <v>ARMMO</v>
          </cell>
          <cell r="X1083">
            <v>0.245</v>
          </cell>
          <cell r="Y1083">
            <v>0</v>
          </cell>
          <cell r="Z1083">
            <v>0.21299999999999999</v>
          </cell>
          <cell r="AA1083">
            <v>0</v>
          </cell>
          <cell r="AB1083">
            <v>0.1852</v>
          </cell>
          <cell r="AC1083">
            <v>0</v>
          </cell>
          <cell r="AD1083">
            <v>0.161</v>
          </cell>
          <cell r="AE1083">
            <v>0</v>
          </cell>
          <cell r="AG1083" t="str">
            <v/>
          </cell>
          <cell r="AH1083" t="str">
            <v/>
          </cell>
          <cell r="AJ1083">
            <v>0.245</v>
          </cell>
          <cell r="AK1083">
            <v>0</v>
          </cell>
          <cell r="AL1083">
            <v>0.21299999999999999</v>
          </cell>
          <cell r="AM1083">
            <v>0</v>
          </cell>
          <cell r="AN1083">
            <v>0.1852</v>
          </cell>
          <cell r="AO1083">
            <v>0</v>
          </cell>
          <cell r="AP1083">
            <v>0.161</v>
          </cell>
          <cell r="AQ1083">
            <v>0</v>
          </cell>
          <cell r="AS1083" t="str">
            <v/>
          </cell>
          <cell r="AT1083" t="str">
            <v/>
          </cell>
          <cell r="AV1083" t="b">
            <v>1</v>
          </cell>
          <cell r="AW1083" t="str">
            <v>minute</v>
          </cell>
        </row>
        <row r="1084">
          <cell r="S1084" t="str">
            <v>INT ARM</v>
          </cell>
          <cell r="T1084" t="str">
            <v>INT</v>
          </cell>
          <cell r="U1084" t="str">
            <v>ARM</v>
          </cell>
          <cell r="V1084" t="str">
            <v/>
          </cell>
          <cell r="X1084">
            <v>0.16009999999999999</v>
          </cell>
          <cell r="Y1084">
            <v>0</v>
          </cell>
          <cell r="Z1084">
            <v>0.13919999999999999</v>
          </cell>
          <cell r="AA1084">
            <v>0</v>
          </cell>
          <cell r="AB1084">
            <v>0.121</v>
          </cell>
          <cell r="AC1084">
            <v>0</v>
          </cell>
          <cell r="AD1084">
            <v>0.1052</v>
          </cell>
          <cell r="AE1084">
            <v>0</v>
          </cell>
          <cell r="AG1084" t="str">
            <v/>
          </cell>
          <cell r="AH1084" t="str">
            <v/>
          </cell>
          <cell r="AJ1084">
            <v>0.16009999999999999</v>
          </cell>
          <cell r="AK1084">
            <v>0</v>
          </cell>
          <cell r="AL1084">
            <v>0.13919999999999999</v>
          </cell>
          <cell r="AM1084">
            <v>0</v>
          </cell>
          <cell r="AN1084">
            <v>0.121</v>
          </cell>
          <cell r="AO1084">
            <v>0</v>
          </cell>
          <cell r="AP1084">
            <v>0.1052</v>
          </cell>
          <cell r="AQ1084">
            <v>0</v>
          </cell>
          <cell r="AS1084" t="str">
            <v/>
          </cell>
          <cell r="AT1084" t="str">
            <v/>
          </cell>
          <cell r="AV1084" t="b">
            <v>1</v>
          </cell>
          <cell r="AW1084" t="str">
            <v>minute</v>
          </cell>
        </row>
        <row r="1085">
          <cell r="S1085" t="str">
            <v>INT ABW ABWMO</v>
          </cell>
          <cell r="T1085" t="str">
            <v>INT</v>
          </cell>
          <cell r="U1085" t="str">
            <v>ABW</v>
          </cell>
          <cell r="V1085" t="str">
            <v>ABWMO</v>
          </cell>
          <cell r="X1085">
            <v>0.31109999999999999</v>
          </cell>
          <cell r="Y1085">
            <v>0</v>
          </cell>
          <cell r="Z1085">
            <v>0.27050000000000002</v>
          </cell>
          <cell r="AA1085">
            <v>0</v>
          </cell>
          <cell r="AB1085">
            <v>0.23519999999999999</v>
          </cell>
          <cell r="AC1085">
            <v>0</v>
          </cell>
          <cell r="AD1085">
            <v>0.20449999999999999</v>
          </cell>
          <cell r="AE1085">
            <v>0</v>
          </cell>
          <cell r="AG1085" t="str">
            <v/>
          </cell>
          <cell r="AH1085" t="str">
            <v/>
          </cell>
          <cell r="AJ1085">
            <v>0.31109999999999999</v>
          </cell>
          <cell r="AK1085">
            <v>0</v>
          </cell>
          <cell r="AL1085">
            <v>0.27050000000000002</v>
          </cell>
          <cell r="AM1085">
            <v>0</v>
          </cell>
          <cell r="AN1085">
            <v>0.23519999999999999</v>
          </cell>
          <cell r="AO1085">
            <v>0</v>
          </cell>
          <cell r="AP1085">
            <v>0.20449999999999999</v>
          </cell>
          <cell r="AQ1085">
            <v>0</v>
          </cell>
          <cell r="AS1085" t="str">
            <v/>
          </cell>
          <cell r="AT1085" t="str">
            <v/>
          </cell>
          <cell r="AV1085" t="b">
            <v>1</v>
          </cell>
          <cell r="AW1085" t="str">
            <v>minute</v>
          </cell>
        </row>
        <row r="1086">
          <cell r="S1086" t="str">
            <v>INT ABW</v>
          </cell>
          <cell r="T1086" t="str">
            <v>INT</v>
          </cell>
          <cell r="U1086" t="str">
            <v>ABW</v>
          </cell>
          <cell r="V1086" t="str">
            <v/>
          </cell>
          <cell r="X1086">
            <v>0.1472</v>
          </cell>
          <cell r="Y1086">
            <v>0</v>
          </cell>
          <cell r="Z1086">
            <v>0.128</v>
          </cell>
          <cell r="AA1086">
            <v>0</v>
          </cell>
          <cell r="AB1086">
            <v>0.1113</v>
          </cell>
          <cell r="AC1086">
            <v>0</v>
          </cell>
          <cell r="AD1086">
            <v>9.6799999999999997E-2</v>
          </cell>
          <cell r="AE1086">
            <v>0</v>
          </cell>
          <cell r="AG1086" t="str">
            <v/>
          </cell>
          <cell r="AH1086" t="str">
            <v/>
          </cell>
          <cell r="AJ1086">
            <v>0.1472</v>
          </cell>
          <cell r="AK1086">
            <v>0</v>
          </cell>
          <cell r="AL1086">
            <v>0.128</v>
          </cell>
          <cell r="AM1086">
            <v>0</v>
          </cell>
          <cell r="AN1086">
            <v>0.1113</v>
          </cell>
          <cell r="AO1086">
            <v>0</v>
          </cell>
          <cell r="AP1086">
            <v>9.6799999999999997E-2</v>
          </cell>
          <cell r="AQ1086">
            <v>0</v>
          </cell>
          <cell r="AS1086" t="str">
            <v/>
          </cell>
          <cell r="AT1086" t="str">
            <v/>
          </cell>
          <cell r="AV1086" t="b">
            <v>1</v>
          </cell>
          <cell r="AW1086" t="str">
            <v>minute</v>
          </cell>
        </row>
        <row r="1087">
          <cell r="S1087" t="str">
            <v>INT AUS AUSMO</v>
          </cell>
          <cell r="T1087" t="str">
            <v>INT</v>
          </cell>
          <cell r="U1087" t="str">
            <v>AUS</v>
          </cell>
          <cell r="V1087" t="str">
            <v>AUSMO</v>
          </cell>
          <cell r="X1087">
            <v>0.1333</v>
          </cell>
          <cell r="Y1087">
            <v>0</v>
          </cell>
          <cell r="Z1087">
            <v>0.11600000000000001</v>
          </cell>
          <cell r="AA1087">
            <v>0</v>
          </cell>
          <cell r="AB1087">
            <v>0.1009</v>
          </cell>
          <cell r="AC1087">
            <v>0</v>
          </cell>
          <cell r="AD1087">
            <v>8.77E-2</v>
          </cell>
          <cell r="AE1087">
            <v>0</v>
          </cell>
          <cell r="AG1087" t="str">
            <v/>
          </cell>
          <cell r="AH1087" t="str">
            <v/>
          </cell>
          <cell r="AJ1087">
            <v>0.1333</v>
          </cell>
          <cell r="AK1087">
            <v>0</v>
          </cell>
          <cell r="AL1087">
            <v>0.11600000000000001</v>
          </cell>
          <cell r="AM1087">
            <v>0</v>
          </cell>
          <cell r="AN1087">
            <v>0.1009</v>
          </cell>
          <cell r="AO1087">
            <v>0</v>
          </cell>
          <cell r="AP1087">
            <v>8.77E-2</v>
          </cell>
          <cell r="AQ1087">
            <v>0</v>
          </cell>
          <cell r="AS1087" t="str">
            <v/>
          </cell>
          <cell r="AT1087" t="str">
            <v/>
          </cell>
          <cell r="AV1087" t="b">
            <v>1</v>
          </cell>
          <cell r="AW1087" t="str">
            <v>minute</v>
          </cell>
        </row>
        <row r="1088">
          <cell r="S1088" t="str">
            <v>INT AUS</v>
          </cell>
          <cell r="T1088" t="str">
            <v>INT</v>
          </cell>
          <cell r="U1088" t="str">
            <v>AUS</v>
          </cell>
          <cell r="V1088" t="str">
            <v/>
          </cell>
          <cell r="X1088">
            <v>3.0800000000000001E-2</v>
          </cell>
          <cell r="Y1088">
            <v>0</v>
          </cell>
          <cell r="Z1088">
            <v>2.6800000000000001E-2</v>
          </cell>
          <cell r="AA1088">
            <v>0</v>
          </cell>
          <cell r="AB1088">
            <v>2.3300000000000001E-2</v>
          </cell>
          <cell r="AC1088">
            <v>0</v>
          </cell>
          <cell r="AD1088">
            <v>2.0299999999999999E-2</v>
          </cell>
          <cell r="AE1088">
            <v>0</v>
          </cell>
          <cell r="AG1088" t="str">
            <v/>
          </cell>
          <cell r="AH1088" t="str">
            <v/>
          </cell>
          <cell r="AJ1088">
            <v>3.0800000000000001E-2</v>
          </cell>
          <cell r="AK1088">
            <v>0</v>
          </cell>
          <cell r="AL1088">
            <v>2.6800000000000001E-2</v>
          </cell>
          <cell r="AM1088">
            <v>0</v>
          </cell>
          <cell r="AN1088">
            <v>2.3300000000000001E-2</v>
          </cell>
          <cell r="AO1088">
            <v>0</v>
          </cell>
          <cell r="AP1088">
            <v>2.0299999999999999E-2</v>
          </cell>
          <cell r="AQ1088">
            <v>0</v>
          </cell>
          <cell r="AS1088" t="str">
            <v/>
          </cell>
          <cell r="AT1088" t="str">
            <v/>
          </cell>
          <cell r="AV1088" t="b">
            <v>1</v>
          </cell>
          <cell r="AW1088" t="str">
            <v>minute</v>
          </cell>
        </row>
        <row r="1089">
          <cell r="S1089" t="str">
            <v>INT AUT AUTMO</v>
          </cell>
          <cell r="T1089" t="str">
            <v>INT</v>
          </cell>
          <cell r="U1089" t="str">
            <v>AUT</v>
          </cell>
          <cell r="V1089" t="str">
            <v>AUTMO</v>
          </cell>
          <cell r="X1089">
            <v>4.3799999999999999E-2</v>
          </cell>
          <cell r="Y1089">
            <v>0</v>
          </cell>
          <cell r="Z1089">
            <v>4.0899999999999999E-2</v>
          </cell>
          <cell r="AA1089">
            <v>0</v>
          </cell>
          <cell r="AB1089">
            <v>3.8199999999999998E-2</v>
          </cell>
          <cell r="AC1089">
            <v>0</v>
          </cell>
          <cell r="AD1089">
            <v>3.5700000000000003E-2</v>
          </cell>
          <cell r="AE1089">
            <v>0</v>
          </cell>
          <cell r="AG1089" t="str">
            <v/>
          </cell>
          <cell r="AH1089" t="str">
            <v/>
          </cell>
          <cell r="AJ1089">
            <v>4.3799999999999999E-2</v>
          </cell>
          <cell r="AK1089">
            <v>0</v>
          </cell>
          <cell r="AL1089">
            <v>4.0899999999999999E-2</v>
          </cell>
          <cell r="AM1089">
            <v>0</v>
          </cell>
          <cell r="AN1089">
            <v>3.8199999999999998E-2</v>
          </cell>
          <cell r="AO1089">
            <v>0</v>
          </cell>
          <cell r="AP1089">
            <v>3.5700000000000003E-2</v>
          </cell>
          <cell r="AQ1089">
            <v>0</v>
          </cell>
          <cell r="AS1089" t="str">
            <v/>
          </cell>
          <cell r="AT1089" t="str">
            <v/>
          </cell>
          <cell r="AV1089" t="b">
            <v>1</v>
          </cell>
          <cell r="AW1089" t="str">
            <v>minute</v>
          </cell>
        </row>
        <row r="1090">
          <cell r="S1090" t="str">
            <v>INT AUT</v>
          </cell>
          <cell r="T1090" t="str">
            <v>INT</v>
          </cell>
          <cell r="U1090" t="str">
            <v>AUT</v>
          </cell>
          <cell r="V1090" t="str">
            <v/>
          </cell>
          <cell r="X1090">
            <v>2.7300000000000001E-2</v>
          </cell>
          <cell r="Y1090">
            <v>0</v>
          </cell>
          <cell r="Z1090">
            <v>2.5499999999999998E-2</v>
          </cell>
          <cell r="AA1090">
            <v>0</v>
          </cell>
          <cell r="AB1090">
            <v>2.3800000000000002E-2</v>
          </cell>
          <cell r="AC1090">
            <v>0</v>
          </cell>
          <cell r="AD1090">
            <v>2.2200000000000001E-2</v>
          </cell>
          <cell r="AE1090">
            <v>0</v>
          </cell>
          <cell r="AG1090" t="str">
            <v/>
          </cell>
          <cell r="AH1090" t="str">
            <v/>
          </cell>
          <cell r="AJ1090">
            <v>2.7300000000000001E-2</v>
          </cell>
          <cell r="AK1090">
            <v>0</v>
          </cell>
          <cell r="AL1090">
            <v>2.5499999999999998E-2</v>
          </cell>
          <cell r="AM1090">
            <v>0</v>
          </cell>
          <cell r="AN1090">
            <v>2.3800000000000002E-2</v>
          </cell>
          <cell r="AO1090">
            <v>0</v>
          </cell>
          <cell r="AP1090">
            <v>2.2200000000000001E-2</v>
          </cell>
          <cell r="AQ1090">
            <v>0</v>
          </cell>
          <cell r="AS1090" t="str">
            <v/>
          </cell>
          <cell r="AT1090" t="str">
            <v/>
          </cell>
          <cell r="AV1090" t="b">
            <v>1</v>
          </cell>
          <cell r="AW1090" t="str">
            <v>minute</v>
          </cell>
        </row>
        <row r="1091">
          <cell r="S1091" t="str">
            <v>INT AUT AU01I</v>
          </cell>
          <cell r="T1091" t="str">
            <v>INT</v>
          </cell>
          <cell r="U1091" t="str">
            <v>AUT</v>
          </cell>
          <cell r="V1091" t="str">
            <v>AU01I</v>
          </cell>
          <cell r="X1091">
            <v>9.75</v>
          </cell>
          <cell r="Y1091">
            <v>0</v>
          </cell>
          <cell r="Z1091">
            <v>9.75</v>
          </cell>
          <cell r="AA1091">
            <v>0</v>
          </cell>
          <cell r="AB1091">
            <v>9.75</v>
          </cell>
          <cell r="AC1091">
            <v>0</v>
          </cell>
          <cell r="AD1091">
            <v>9.75</v>
          </cell>
          <cell r="AE1091">
            <v>0</v>
          </cell>
          <cell r="AG1091" t="str">
            <v/>
          </cell>
          <cell r="AH1091" t="str">
            <v/>
          </cell>
          <cell r="AJ1091">
            <v>9.75</v>
          </cell>
          <cell r="AK1091">
            <v>0</v>
          </cell>
          <cell r="AL1091">
            <v>9.75</v>
          </cell>
          <cell r="AM1091">
            <v>0</v>
          </cell>
          <cell r="AN1091">
            <v>9.75</v>
          </cell>
          <cell r="AO1091">
            <v>0</v>
          </cell>
          <cell r="AP1091">
            <v>9.75</v>
          </cell>
          <cell r="AQ1091">
            <v>0</v>
          </cell>
          <cell r="AS1091" t="str">
            <v/>
          </cell>
          <cell r="AT1091" t="str">
            <v/>
          </cell>
          <cell r="AV1091" t="b">
            <v>0</v>
          </cell>
          <cell r="AW1091" t="str">
            <v>minute</v>
          </cell>
        </row>
        <row r="1092">
          <cell r="S1092" t="str">
            <v>INT AUT AU212</v>
          </cell>
          <cell r="T1092" t="str">
            <v>INT</v>
          </cell>
          <cell r="U1092" t="str">
            <v>AUT</v>
          </cell>
          <cell r="V1092" t="str">
            <v>AU212</v>
          </cell>
          <cell r="X1092">
            <v>0.2167</v>
          </cell>
          <cell r="Y1092">
            <v>0</v>
          </cell>
          <cell r="Z1092">
            <v>0.2167</v>
          </cell>
          <cell r="AA1092">
            <v>0</v>
          </cell>
          <cell r="AB1092">
            <v>0.2167</v>
          </cell>
          <cell r="AC1092">
            <v>0</v>
          </cell>
          <cell r="AD1092">
            <v>0.2167</v>
          </cell>
          <cell r="AE1092">
            <v>0</v>
          </cell>
          <cell r="AG1092" t="str">
            <v/>
          </cell>
          <cell r="AH1092" t="str">
            <v/>
          </cell>
          <cell r="AJ1092">
            <v>0.2167</v>
          </cell>
          <cell r="AK1092">
            <v>0</v>
          </cell>
          <cell r="AL1092">
            <v>0.2167</v>
          </cell>
          <cell r="AM1092">
            <v>0</v>
          </cell>
          <cell r="AN1092">
            <v>0.2167</v>
          </cell>
          <cell r="AO1092">
            <v>0</v>
          </cell>
          <cell r="AP1092">
            <v>0.2167</v>
          </cell>
          <cell r="AQ1092">
            <v>0</v>
          </cell>
          <cell r="AS1092" t="str">
            <v/>
          </cell>
          <cell r="AT1092" t="str">
            <v/>
          </cell>
          <cell r="AV1092" t="b">
            <v>0</v>
          </cell>
          <cell r="AW1092" t="str">
            <v>minute</v>
          </cell>
        </row>
        <row r="1093">
          <cell r="S1093" t="str">
            <v>INT AUT AUFRE</v>
          </cell>
          <cell r="T1093" t="str">
            <v>INT</v>
          </cell>
          <cell r="U1093" t="str">
            <v>AUT</v>
          </cell>
          <cell r="V1093" t="str">
            <v>AUFRE</v>
          </cell>
          <cell r="X1093">
            <v>2.7300000000000001E-2</v>
          </cell>
          <cell r="Y1093">
            <v>0</v>
          </cell>
          <cell r="Z1093">
            <v>2.7300000000000001E-2</v>
          </cell>
          <cell r="AA1093">
            <v>0</v>
          </cell>
          <cell r="AB1093">
            <v>2.7300000000000001E-2</v>
          </cell>
          <cell r="AC1093">
            <v>0</v>
          </cell>
          <cell r="AD1093">
            <v>2.7300000000000001E-2</v>
          </cell>
          <cell r="AE1093">
            <v>0</v>
          </cell>
          <cell r="AG1093" t="str">
            <v/>
          </cell>
          <cell r="AH1093" t="str">
            <v/>
          </cell>
          <cell r="AJ1093">
            <v>2.7300000000000001E-2</v>
          </cell>
          <cell r="AK1093">
            <v>0</v>
          </cell>
          <cell r="AL1093">
            <v>2.7300000000000001E-2</v>
          </cell>
          <cell r="AM1093">
            <v>0</v>
          </cell>
          <cell r="AN1093">
            <v>2.7300000000000001E-2</v>
          </cell>
          <cell r="AO1093">
            <v>0</v>
          </cell>
          <cell r="AP1093">
            <v>2.7300000000000001E-2</v>
          </cell>
          <cell r="AQ1093">
            <v>0</v>
          </cell>
          <cell r="AS1093" t="str">
            <v/>
          </cell>
          <cell r="AT1093" t="str">
            <v/>
          </cell>
          <cell r="AV1093" t="b">
            <v>0</v>
          </cell>
          <cell r="AW1093" t="str">
            <v>minute</v>
          </cell>
        </row>
        <row r="1094">
          <cell r="S1094" t="str">
            <v>INT AZE AZEMO</v>
          </cell>
          <cell r="T1094" t="str">
            <v>INT</v>
          </cell>
          <cell r="U1094" t="str">
            <v>AZE</v>
          </cell>
          <cell r="V1094" t="str">
            <v>AZEMO</v>
          </cell>
          <cell r="X1094">
            <v>0.53039999999999998</v>
          </cell>
          <cell r="Y1094">
            <v>0</v>
          </cell>
          <cell r="Z1094">
            <v>0.4612</v>
          </cell>
          <cell r="AA1094">
            <v>0</v>
          </cell>
          <cell r="AB1094">
            <v>0.40100000000000002</v>
          </cell>
          <cell r="AC1094">
            <v>0</v>
          </cell>
          <cell r="AD1094">
            <v>0.34870000000000001</v>
          </cell>
          <cell r="AE1094">
            <v>0</v>
          </cell>
          <cell r="AG1094" t="str">
            <v/>
          </cell>
          <cell r="AH1094" t="str">
            <v/>
          </cell>
          <cell r="AJ1094">
            <v>0.53039999999999998</v>
          </cell>
          <cell r="AK1094">
            <v>0</v>
          </cell>
          <cell r="AL1094">
            <v>0.4612</v>
          </cell>
          <cell r="AM1094">
            <v>0</v>
          </cell>
          <cell r="AN1094">
            <v>0.40100000000000002</v>
          </cell>
          <cell r="AO1094">
            <v>0</v>
          </cell>
          <cell r="AP1094">
            <v>0.34870000000000001</v>
          </cell>
          <cell r="AQ1094">
            <v>0</v>
          </cell>
          <cell r="AS1094" t="str">
            <v/>
          </cell>
          <cell r="AT1094" t="str">
            <v/>
          </cell>
          <cell r="AV1094" t="b">
            <v>1</v>
          </cell>
          <cell r="AW1094" t="str">
            <v>minute</v>
          </cell>
        </row>
        <row r="1095">
          <cell r="S1095" t="str">
            <v>INT AZE</v>
          </cell>
          <cell r="T1095" t="str">
            <v>INT</v>
          </cell>
          <cell r="U1095" t="str">
            <v>AZE</v>
          </cell>
          <cell r="V1095" t="str">
            <v/>
          </cell>
          <cell r="X1095">
            <v>0.34060000000000001</v>
          </cell>
          <cell r="Y1095">
            <v>0</v>
          </cell>
          <cell r="Z1095">
            <v>0.29620000000000002</v>
          </cell>
          <cell r="AA1095">
            <v>0</v>
          </cell>
          <cell r="AB1095">
            <v>0.2576</v>
          </cell>
          <cell r="AC1095">
            <v>0</v>
          </cell>
          <cell r="AD1095">
            <v>0.224</v>
          </cell>
          <cell r="AE1095">
            <v>0</v>
          </cell>
          <cell r="AG1095" t="str">
            <v/>
          </cell>
          <cell r="AH1095" t="str">
            <v/>
          </cell>
          <cell r="AJ1095">
            <v>0.34060000000000001</v>
          </cell>
          <cell r="AK1095">
            <v>0</v>
          </cell>
          <cell r="AL1095">
            <v>0.29620000000000002</v>
          </cell>
          <cell r="AM1095">
            <v>0</v>
          </cell>
          <cell r="AN1095">
            <v>0.2576</v>
          </cell>
          <cell r="AO1095">
            <v>0</v>
          </cell>
          <cell r="AP1095">
            <v>0.224</v>
          </cell>
          <cell r="AQ1095">
            <v>0</v>
          </cell>
          <cell r="AS1095" t="str">
            <v/>
          </cell>
          <cell r="AT1095" t="str">
            <v/>
          </cell>
          <cell r="AV1095" t="b">
            <v>1</v>
          </cell>
          <cell r="AW1095" t="str">
            <v>minute</v>
          </cell>
        </row>
        <row r="1096">
          <cell r="S1096" t="str">
            <v>INT PRT AZO</v>
          </cell>
          <cell r="T1096" t="str">
            <v>INT</v>
          </cell>
          <cell r="U1096" t="str">
            <v>PRT</v>
          </cell>
          <cell r="V1096" t="str">
            <v>AZO</v>
          </cell>
          <cell r="X1096">
            <v>1.7399999999999999E-2</v>
          </cell>
          <cell r="Y1096">
            <v>0</v>
          </cell>
          <cell r="Z1096">
            <v>1.67E-2</v>
          </cell>
          <cell r="AA1096">
            <v>0</v>
          </cell>
          <cell r="AB1096">
            <v>1.6E-2</v>
          </cell>
          <cell r="AC1096">
            <v>0</v>
          </cell>
          <cell r="AD1096">
            <v>1.52E-2</v>
          </cell>
          <cell r="AE1096">
            <v>0</v>
          </cell>
          <cell r="AG1096" t="str">
            <v/>
          </cell>
          <cell r="AH1096" t="str">
            <v/>
          </cell>
          <cell r="AJ1096">
            <v>1.7399999999999999E-2</v>
          </cell>
          <cell r="AK1096">
            <v>0</v>
          </cell>
          <cell r="AL1096">
            <v>1.67E-2</v>
          </cell>
          <cell r="AM1096">
            <v>0</v>
          </cell>
          <cell r="AN1096">
            <v>1.6E-2</v>
          </cell>
          <cell r="AO1096">
            <v>0</v>
          </cell>
          <cell r="AP1096">
            <v>1.52E-2</v>
          </cell>
          <cell r="AQ1096">
            <v>0</v>
          </cell>
          <cell r="AS1096" t="str">
            <v/>
          </cell>
          <cell r="AT1096" t="str">
            <v/>
          </cell>
          <cell r="AV1096" t="b">
            <v>1</v>
          </cell>
          <cell r="AW1096" t="str">
            <v>minute</v>
          </cell>
        </row>
        <row r="1097">
          <cell r="S1097" t="str">
            <v>INT BHS</v>
          </cell>
          <cell r="T1097" t="str">
            <v>INT</v>
          </cell>
          <cell r="U1097" t="str">
            <v>BHS</v>
          </cell>
          <cell r="V1097" t="str">
            <v/>
          </cell>
          <cell r="X1097">
            <v>0.25280000000000002</v>
          </cell>
          <cell r="Y1097">
            <v>0</v>
          </cell>
          <cell r="Z1097">
            <v>0.2198</v>
          </cell>
          <cell r="AA1097">
            <v>0</v>
          </cell>
          <cell r="AB1097">
            <v>0.19109999999999999</v>
          </cell>
          <cell r="AC1097">
            <v>0</v>
          </cell>
          <cell r="AD1097">
            <v>0.16619999999999999</v>
          </cell>
          <cell r="AE1097">
            <v>0</v>
          </cell>
          <cell r="AG1097" t="str">
            <v/>
          </cell>
          <cell r="AH1097" t="str">
            <v/>
          </cell>
          <cell r="AJ1097">
            <v>0.25280000000000002</v>
          </cell>
          <cell r="AK1097">
            <v>0</v>
          </cell>
          <cell r="AL1097">
            <v>0.2198</v>
          </cell>
          <cell r="AM1097">
            <v>0</v>
          </cell>
          <cell r="AN1097">
            <v>0.19109999999999999</v>
          </cell>
          <cell r="AO1097">
            <v>0</v>
          </cell>
          <cell r="AP1097">
            <v>0.16619999999999999</v>
          </cell>
          <cell r="AQ1097">
            <v>0</v>
          </cell>
          <cell r="AS1097" t="str">
            <v/>
          </cell>
          <cell r="AT1097" t="str">
            <v/>
          </cell>
          <cell r="AV1097" t="b">
            <v>1</v>
          </cell>
          <cell r="AW1097" t="str">
            <v>minute</v>
          </cell>
        </row>
        <row r="1098">
          <cell r="S1098" t="str">
            <v>INT BHR</v>
          </cell>
          <cell r="T1098" t="str">
            <v>INT</v>
          </cell>
          <cell r="U1098" t="str">
            <v>BHR</v>
          </cell>
          <cell r="V1098" t="str">
            <v/>
          </cell>
          <cell r="X1098">
            <v>0.1193</v>
          </cell>
          <cell r="Y1098">
            <v>0</v>
          </cell>
          <cell r="Z1098">
            <v>0.1037</v>
          </cell>
          <cell r="AA1098">
            <v>0</v>
          </cell>
          <cell r="AB1098">
            <v>9.0200000000000002E-2</v>
          </cell>
          <cell r="AC1098">
            <v>0</v>
          </cell>
          <cell r="AD1098">
            <v>7.8399999999999997E-2</v>
          </cell>
          <cell r="AE1098">
            <v>0</v>
          </cell>
          <cell r="AG1098" t="str">
            <v/>
          </cell>
          <cell r="AH1098" t="str">
            <v/>
          </cell>
          <cell r="AJ1098">
            <v>0.1193</v>
          </cell>
          <cell r="AK1098">
            <v>0</v>
          </cell>
          <cell r="AL1098">
            <v>0.1037</v>
          </cell>
          <cell r="AM1098">
            <v>0</v>
          </cell>
          <cell r="AN1098">
            <v>9.0200000000000002E-2</v>
          </cell>
          <cell r="AO1098">
            <v>0</v>
          </cell>
          <cell r="AP1098">
            <v>7.8399999999999997E-2</v>
          </cell>
          <cell r="AQ1098">
            <v>0</v>
          </cell>
          <cell r="AS1098" t="str">
            <v/>
          </cell>
          <cell r="AT1098" t="str">
            <v/>
          </cell>
          <cell r="AV1098" t="b">
            <v>1</v>
          </cell>
          <cell r="AW1098" t="str">
            <v>minute</v>
          </cell>
        </row>
        <row r="1099">
          <cell r="S1099" t="str">
            <v>INT BGH BGHMO</v>
          </cell>
          <cell r="T1099" t="str">
            <v>INT</v>
          </cell>
          <cell r="U1099" t="str">
            <v>BGH</v>
          </cell>
          <cell r="V1099" t="str">
            <v>BGHMO</v>
          </cell>
          <cell r="X1099">
            <v>6.3700000000000007E-2</v>
          </cell>
          <cell r="Y1099">
            <v>0</v>
          </cell>
          <cell r="Z1099">
            <v>5.5399999999999998E-2</v>
          </cell>
          <cell r="AA1099">
            <v>0</v>
          </cell>
          <cell r="AB1099">
            <v>4.82E-2</v>
          </cell>
          <cell r="AC1099">
            <v>0</v>
          </cell>
          <cell r="AD1099">
            <v>4.19E-2</v>
          </cell>
          <cell r="AE1099">
            <v>0</v>
          </cell>
          <cell r="AG1099" t="str">
            <v/>
          </cell>
          <cell r="AH1099" t="str">
            <v/>
          </cell>
          <cell r="AJ1099">
            <v>6.3700000000000007E-2</v>
          </cell>
          <cell r="AK1099">
            <v>0</v>
          </cell>
          <cell r="AL1099">
            <v>5.5399999999999998E-2</v>
          </cell>
          <cell r="AM1099">
            <v>0</v>
          </cell>
          <cell r="AN1099">
            <v>4.82E-2</v>
          </cell>
          <cell r="AO1099">
            <v>0</v>
          </cell>
          <cell r="AP1099">
            <v>4.19E-2</v>
          </cell>
          <cell r="AQ1099">
            <v>0</v>
          </cell>
          <cell r="AS1099" t="str">
            <v/>
          </cell>
          <cell r="AT1099" t="str">
            <v/>
          </cell>
          <cell r="AV1099" t="b">
            <v>1</v>
          </cell>
          <cell r="AW1099" t="str">
            <v>minute</v>
          </cell>
        </row>
        <row r="1100">
          <cell r="S1100" t="str">
            <v>INT BGH</v>
          </cell>
          <cell r="T1100" t="str">
            <v>INT</v>
          </cell>
          <cell r="U1100" t="str">
            <v>BGH</v>
          </cell>
          <cell r="V1100" t="str">
            <v/>
          </cell>
          <cell r="X1100">
            <v>6.2399999999999997E-2</v>
          </cell>
          <cell r="Y1100">
            <v>0</v>
          </cell>
          <cell r="Z1100">
            <v>5.4300000000000001E-2</v>
          </cell>
          <cell r="AA1100">
            <v>0</v>
          </cell>
          <cell r="AB1100">
            <v>4.7199999999999999E-2</v>
          </cell>
          <cell r="AC1100">
            <v>0</v>
          </cell>
          <cell r="AD1100">
            <v>4.1000000000000002E-2</v>
          </cell>
          <cell r="AE1100">
            <v>0</v>
          </cell>
          <cell r="AG1100" t="str">
            <v/>
          </cell>
          <cell r="AH1100" t="str">
            <v/>
          </cell>
          <cell r="AJ1100">
            <v>6.2399999999999997E-2</v>
          </cell>
          <cell r="AK1100">
            <v>0</v>
          </cell>
          <cell r="AL1100">
            <v>5.4300000000000001E-2</v>
          </cell>
          <cell r="AM1100">
            <v>0</v>
          </cell>
          <cell r="AN1100">
            <v>4.7199999999999999E-2</v>
          </cell>
          <cell r="AO1100">
            <v>0</v>
          </cell>
          <cell r="AP1100">
            <v>4.1000000000000002E-2</v>
          </cell>
          <cell r="AQ1100">
            <v>0</v>
          </cell>
          <cell r="AS1100" t="str">
            <v/>
          </cell>
          <cell r="AT1100" t="str">
            <v/>
          </cell>
          <cell r="AV1100" t="b">
            <v>1</v>
          </cell>
          <cell r="AW1100" t="str">
            <v>minute</v>
          </cell>
        </row>
        <row r="1101">
          <cell r="S1101" t="str">
            <v>INT BRB</v>
          </cell>
          <cell r="T1101" t="str">
            <v>INT</v>
          </cell>
          <cell r="U1101" t="str">
            <v>BRB</v>
          </cell>
          <cell r="V1101" t="str">
            <v/>
          </cell>
          <cell r="X1101">
            <v>0.32369999999999999</v>
          </cell>
          <cell r="Y1101">
            <v>0</v>
          </cell>
          <cell r="Z1101">
            <v>0.28149999999999997</v>
          </cell>
          <cell r="AA1101">
            <v>0</v>
          </cell>
          <cell r="AB1101">
            <v>0.24479999999999999</v>
          </cell>
          <cell r="AC1101">
            <v>0</v>
          </cell>
          <cell r="AD1101">
            <v>0.21290000000000001</v>
          </cell>
          <cell r="AE1101">
            <v>0</v>
          </cell>
          <cell r="AG1101" t="str">
            <v/>
          </cell>
          <cell r="AH1101" t="str">
            <v/>
          </cell>
          <cell r="AJ1101">
            <v>0.32369999999999999</v>
          </cell>
          <cell r="AK1101">
            <v>0</v>
          </cell>
          <cell r="AL1101">
            <v>0.28149999999999997</v>
          </cell>
          <cell r="AM1101">
            <v>0</v>
          </cell>
          <cell r="AN1101">
            <v>0.24479999999999999</v>
          </cell>
          <cell r="AO1101">
            <v>0</v>
          </cell>
          <cell r="AP1101">
            <v>0.21290000000000001</v>
          </cell>
          <cell r="AQ1101">
            <v>0</v>
          </cell>
          <cell r="AS1101" t="str">
            <v/>
          </cell>
          <cell r="AT1101" t="str">
            <v/>
          </cell>
          <cell r="AV1101" t="b">
            <v>1</v>
          </cell>
          <cell r="AW1101" t="str">
            <v>minute</v>
          </cell>
        </row>
        <row r="1102">
          <cell r="S1102" t="str">
            <v>INT BLR BLRMO</v>
          </cell>
          <cell r="T1102" t="str">
            <v>INT</v>
          </cell>
          <cell r="U1102" t="str">
            <v>BLR</v>
          </cell>
          <cell r="V1102" t="str">
            <v>BLRMO</v>
          </cell>
          <cell r="X1102">
            <v>0.43619999999999998</v>
          </cell>
          <cell r="Y1102">
            <v>0</v>
          </cell>
          <cell r="Z1102">
            <v>0.37930000000000003</v>
          </cell>
          <cell r="AA1102">
            <v>0</v>
          </cell>
          <cell r="AB1102">
            <v>0.32979999999999998</v>
          </cell>
          <cell r="AC1102">
            <v>0</v>
          </cell>
          <cell r="AD1102">
            <v>0.2868</v>
          </cell>
          <cell r="AE1102">
            <v>0</v>
          </cell>
          <cell r="AG1102" t="str">
            <v/>
          </cell>
          <cell r="AH1102" t="str">
            <v/>
          </cell>
          <cell r="AJ1102">
            <v>0.43619999999999998</v>
          </cell>
          <cell r="AK1102">
            <v>0</v>
          </cell>
          <cell r="AL1102">
            <v>0.37930000000000003</v>
          </cell>
          <cell r="AM1102">
            <v>0</v>
          </cell>
          <cell r="AN1102">
            <v>0.32979999999999998</v>
          </cell>
          <cell r="AO1102">
            <v>0</v>
          </cell>
          <cell r="AP1102">
            <v>0.2868</v>
          </cell>
          <cell r="AQ1102">
            <v>0</v>
          </cell>
          <cell r="AS1102" t="str">
            <v/>
          </cell>
          <cell r="AT1102" t="str">
            <v/>
          </cell>
          <cell r="AV1102" t="b">
            <v>1</v>
          </cell>
          <cell r="AW1102" t="str">
            <v>minute</v>
          </cell>
        </row>
        <row r="1103">
          <cell r="S1103" t="str">
            <v>INT BLR</v>
          </cell>
          <cell r="T1103" t="str">
            <v>INT</v>
          </cell>
          <cell r="U1103" t="str">
            <v>BLR</v>
          </cell>
          <cell r="V1103" t="str">
            <v/>
          </cell>
          <cell r="X1103">
            <v>0.39019999999999999</v>
          </cell>
          <cell r="Y1103">
            <v>0</v>
          </cell>
          <cell r="Z1103">
            <v>0.33929999999999999</v>
          </cell>
          <cell r="AA1103">
            <v>0</v>
          </cell>
          <cell r="AB1103">
            <v>0.29499999999999998</v>
          </cell>
          <cell r="AC1103">
            <v>0</v>
          </cell>
          <cell r="AD1103">
            <v>0.25650000000000001</v>
          </cell>
          <cell r="AE1103">
            <v>0</v>
          </cell>
          <cell r="AG1103" t="str">
            <v/>
          </cell>
          <cell r="AH1103" t="str">
            <v/>
          </cell>
          <cell r="AJ1103">
            <v>0.39019999999999999</v>
          </cell>
          <cell r="AK1103">
            <v>0</v>
          </cell>
          <cell r="AL1103">
            <v>0.33929999999999999</v>
          </cell>
          <cell r="AM1103">
            <v>0</v>
          </cell>
          <cell r="AN1103">
            <v>0.29499999999999998</v>
          </cell>
          <cell r="AO1103">
            <v>0</v>
          </cell>
          <cell r="AP1103">
            <v>0.25650000000000001</v>
          </cell>
          <cell r="AQ1103">
            <v>0</v>
          </cell>
          <cell r="AS1103" t="str">
            <v/>
          </cell>
          <cell r="AT1103" t="str">
            <v/>
          </cell>
          <cell r="AV1103" t="b">
            <v>1</v>
          </cell>
          <cell r="AW1103" t="str">
            <v>minute</v>
          </cell>
        </row>
        <row r="1104">
          <cell r="S1104" t="str">
            <v>INT BEL BELMO</v>
          </cell>
          <cell r="T1104" t="str">
            <v>INT</v>
          </cell>
          <cell r="U1104" t="str">
            <v>BEL</v>
          </cell>
          <cell r="V1104" t="str">
            <v>BELMO</v>
          </cell>
          <cell r="X1104">
            <v>2.5999999999999999E-2</v>
          </cell>
          <cell r="Y1104">
            <v>0</v>
          </cell>
          <cell r="Z1104">
            <v>2.5399999999999999E-2</v>
          </cell>
          <cell r="AA1104">
            <v>0</v>
          </cell>
          <cell r="AB1104">
            <v>2.4799999999999999E-2</v>
          </cell>
          <cell r="AC1104">
            <v>0</v>
          </cell>
          <cell r="AD1104">
            <v>2.4199999999999999E-2</v>
          </cell>
          <cell r="AE1104">
            <v>0</v>
          </cell>
          <cell r="AG1104" t="str">
            <v/>
          </cell>
          <cell r="AH1104" t="str">
            <v/>
          </cell>
          <cell r="AJ1104">
            <v>2.5999999999999999E-2</v>
          </cell>
          <cell r="AK1104">
            <v>0</v>
          </cell>
          <cell r="AL1104">
            <v>2.5399999999999999E-2</v>
          </cell>
          <cell r="AM1104">
            <v>0</v>
          </cell>
          <cell r="AN1104">
            <v>2.4799999999999999E-2</v>
          </cell>
          <cell r="AO1104">
            <v>0</v>
          </cell>
          <cell r="AP1104">
            <v>2.4199999999999999E-2</v>
          </cell>
          <cell r="AQ1104">
            <v>0</v>
          </cell>
          <cell r="AS1104" t="str">
            <v/>
          </cell>
          <cell r="AT1104" t="str">
            <v/>
          </cell>
          <cell r="AV1104" t="b">
            <v>1</v>
          </cell>
          <cell r="AW1104" t="str">
            <v>minute</v>
          </cell>
        </row>
        <row r="1105">
          <cell r="S1105" t="str">
            <v>INT BEL BELMB</v>
          </cell>
          <cell r="T1105" t="str">
            <v>INT</v>
          </cell>
          <cell r="U1105" t="str">
            <v>BEL</v>
          </cell>
          <cell r="V1105" t="str">
            <v>BELMB</v>
          </cell>
          <cell r="X1105">
            <v>2.5999999999999999E-2</v>
          </cell>
          <cell r="Y1105">
            <v>0</v>
          </cell>
          <cell r="Z1105">
            <v>2.5399999999999999E-2</v>
          </cell>
          <cell r="AA1105">
            <v>0</v>
          </cell>
          <cell r="AB1105">
            <v>2.4799999999999999E-2</v>
          </cell>
          <cell r="AC1105">
            <v>0</v>
          </cell>
          <cell r="AD1105">
            <v>2.4199999999999999E-2</v>
          </cell>
          <cell r="AE1105">
            <v>0</v>
          </cell>
          <cell r="AG1105" t="str">
            <v/>
          </cell>
          <cell r="AH1105" t="str">
            <v/>
          </cell>
          <cell r="AJ1105">
            <v>2.5999999999999999E-2</v>
          </cell>
          <cell r="AK1105">
            <v>0</v>
          </cell>
          <cell r="AL1105">
            <v>2.5399999999999999E-2</v>
          </cell>
          <cell r="AM1105">
            <v>0</v>
          </cell>
          <cell r="AN1105">
            <v>2.4799999999999999E-2</v>
          </cell>
          <cell r="AO1105">
            <v>0</v>
          </cell>
          <cell r="AP1105">
            <v>2.4199999999999999E-2</v>
          </cell>
          <cell r="AQ1105">
            <v>0</v>
          </cell>
          <cell r="AS1105" t="str">
            <v/>
          </cell>
          <cell r="AT1105" t="str">
            <v/>
          </cell>
          <cell r="AV1105" t="b">
            <v>1</v>
          </cell>
          <cell r="AW1105" t="str">
            <v>minute</v>
          </cell>
        </row>
        <row r="1106">
          <cell r="S1106" t="str">
            <v>INT BEL</v>
          </cell>
          <cell r="T1106" t="str">
            <v>INT</v>
          </cell>
          <cell r="U1106" t="str">
            <v>BEL</v>
          </cell>
          <cell r="V1106" t="str">
            <v/>
          </cell>
          <cell r="X1106">
            <v>2.1600000000000001E-2</v>
          </cell>
          <cell r="Y1106">
            <v>0</v>
          </cell>
          <cell r="Z1106">
            <v>2.1100000000000001E-2</v>
          </cell>
          <cell r="AA1106">
            <v>0</v>
          </cell>
          <cell r="AB1106">
            <v>2.06E-2</v>
          </cell>
          <cell r="AC1106">
            <v>0</v>
          </cell>
          <cell r="AD1106">
            <v>2.01E-2</v>
          </cell>
          <cell r="AE1106">
            <v>0</v>
          </cell>
          <cell r="AG1106" t="str">
            <v/>
          </cell>
          <cell r="AH1106" t="str">
            <v/>
          </cell>
          <cell r="AJ1106">
            <v>2.1600000000000001E-2</v>
          </cell>
          <cell r="AK1106">
            <v>0</v>
          </cell>
          <cell r="AL1106">
            <v>2.1100000000000001E-2</v>
          </cell>
          <cell r="AM1106">
            <v>0</v>
          </cell>
          <cell r="AN1106">
            <v>2.06E-2</v>
          </cell>
          <cell r="AO1106">
            <v>0</v>
          </cell>
          <cell r="AP1106">
            <v>2.01E-2</v>
          </cell>
          <cell r="AQ1106">
            <v>0</v>
          </cell>
          <cell r="AS1106" t="str">
            <v/>
          </cell>
          <cell r="AT1106" t="str">
            <v/>
          </cell>
          <cell r="AV1106" t="b">
            <v>1</v>
          </cell>
          <cell r="AW1106" t="str">
            <v>minute</v>
          </cell>
        </row>
        <row r="1107">
          <cell r="S1107" t="str">
            <v>INT BEL PRM9</v>
          </cell>
          <cell r="T1107" t="str">
            <v>INT</v>
          </cell>
          <cell r="U1107" t="str">
            <v>BEL</v>
          </cell>
          <cell r="V1107" t="str">
            <v>PRM9</v>
          </cell>
          <cell r="X1107">
            <v>33.695500000000003</v>
          </cell>
          <cell r="Y1107">
            <v>0</v>
          </cell>
          <cell r="Z1107">
            <v>33.695500000000003</v>
          </cell>
          <cell r="AA1107">
            <v>0</v>
          </cell>
          <cell r="AB1107">
            <v>33.695500000000003</v>
          </cell>
          <cell r="AC1107">
            <v>0</v>
          </cell>
          <cell r="AD1107">
            <v>33.695500000000003</v>
          </cell>
          <cell r="AE1107">
            <v>0</v>
          </cell>
          <cell r="AG1107" t="str">
            <v/>
          </cell>
          <cell r="AH1107" t="str">
            <v/>
          </cell>
          <cell r="AJ1107">
            <v>33.695500000000003</v>
          </cell>
          <cell r="AK1107">
            <v>0</v>
          </cell>
          <cell r="AL1107">
            <v>33.695500000000003</v>
          </cell>
          <cell r="AM1107">
            <v>0</v>
          </cell>
          <cell r="AN1107">
            <v>33.695500000000003</v>
          </cell>
          <cell r="AO1107">
            <v>0</v>
          </cell>
          <cell r="AP1107">
            <v>33.695500000000003</v>
          </cell>
          <cell r="AQ1107">
            <v>0</v>
          </cell>
          <cell r="AS1107" t="str">
            <v/>
          </cell>
          <cell r="AT1107" t="str">
            <v/>
          </cell>
          <cell r="AV1107" t="b">
            <v>0</v>
          </cell>
          <cell r="AW1107" t="str">
            <v>minute</v>
          </cell>
        </row>
        <row r="1108">
          <cell r="S1108" t="str">
            <v>INT BEL SCS</v>
          </cell>
          <cell r="T1108" t="str">
            <v>INT</v>
          </cell>
          <cell r="U1108" t="str">
            <v>BEL</v>
          </cell>
          <cell r="V1108" t="str">
            <v>SCS</v>
          </cell>
          <cell r="X1108">
            <v>2.5999999999999999E-2</v>
          </cell>
          <cell r="Y1108">
            <v>0</v>
          </cell>
          <cell r="Z1108">
            <v>2.5999999999999999E-2</v>
          </cell>
          <cell r="AA1108">
            <v>0</v>
          </cell>
          <cell r="AB1108">
            <v>2.5999999999999999E-2</v>
          </cell>
          <cell r="AC1108">
            <v>0</v>
          </cell>
          <cell r="AD1108">
            <v>2.5999999999999999E-2</v>
          </cell>
          <cell r="AE1108">
            <v>0</v>
          </cell>
          <cell r="AG1108" t="str">
            <v/>
          </cell>
          <cell r="AH1108" t="str">
            <v/>
          </cell>
          <cell r="AJ1108">
            <v>2.5999999999999999E-2</v>
          </cell>
          <cell r="AK1108">
            <v>0</v>
          </cell>
          <cell r="AL1108">
            <v>2.5999999999999999E-2</v>
          </cell>
          <cell r="AM1108">
            <v>0</v>
          </cell>
          <cell r="AN1108">
            <v>2.5999999999999999E-2</v>
          </cell>
          <cell r="AO1108">
            <v>0</v>
          </cell>
          <cell r="AP1108">
            <v>2.5999999999999999E-2</v>
          </cell>
          <cell r="AQ1108">
            <v>0</v>
          </cell>
          <cell r="AS1108" t="str">
            <v/>
          </cell>
          <cell r="AT1108" t="str">
            <v/>
          </cell>
          <cell r="AV1108" t="b">
            <v>0</v>
          </cell>
          <cell r="AW1108" t="str">
            <v>minute</v>
          </cell>
        </row>
        <row r="1109">
          <cell r="S1109" t="str">
            <v>INT BEL DTFN</v>
          </cell>
          <cell r="T1109" t="str">
            <v>INT</v>
          </cell>
          <cell r="U1109" t="str">
            <v>BEL</v>
          </cell>
          <cell r="V1109" t="str">
            <v>DTFN</v>
          </cell>
          <cell r="X1109">
            <v>2.1600000000000001E-2</v>
          </cell>
          <cell r="Y1109">
            <v>0</v>
          </cell>
          <cell r="Z1109">
            <v>2.1600000000000001E-2</v>
          </cell>
          <cell r="AA1109">
            <v>0</v>
          </cell>
          <cell r="AB1109">
            <v>2.1600000000000001E-2</v>
          </cell>
          <cell r="AC1109">
            <v>0</v>
          </cell>
          <cell r="AD1109">
            <v>2.1600000000000001E-2</v>
          </cell>
          <cell r="AE1109">
            <v>0</v>
          </cell>
          <cell r="AG1109" t="str">
            <v/>
          </cell>
          <cell r="AH1109" t="str">
            <v/>
          </cell>
          <cell r="AJ1109">
            <v>2.1600000000000001E-2</v>
          </cell>
          <cell r="AK1109">
            <v>0</v>
          </cell>
          <cell r="AL1109">
            <v>2.1600000000000001E-2</v>
          </cell>
          <cell r="AM1109">
            <v>0</v>
          </cell>
          <cell r="AN1109">
            <v>2.1600000000000001E-2</v>
          </cell>
          <cell r="AO1109">
            <v>0</v>
          </cell>
          <cell r="AP1109">
            <v>2.1600000000000001E-2</v>
          </cell>
          <cell r="AQ1109">
            <v>0</v>
          </cell>
          <cell r="AS1109" t="str">
            <v/>
          </cell>
          <cell r="AT1109" t="str">
            <v/>
          </cell>
          <cell r="AV1109" t="b">
            <v>0</v>
          </cell>
          <cell r="AW1109" t="str">
            <v>minute</v>
          </cell>
        </row>
        <row r="1110">
          <cell r="S1110" t="str">
            <v>INT BLZ BLZMO</v>
          </cell>
          <cell r="T1110" t="str">
            <v>INT</v>
          </cell>
          <cell r="U1110" t="str">
            <v>BLZ</v>
          </cell>
          <cell r="V1110" t="str">
            <v>BLZMO</v>
          </cell>
          <cell r="X1110">
            <v>0.36009999999999998</v>
          </cell>
          <cell r="Y1110">
            <v>0</v>
          </cell>
          <cell r="Z1110">
            <v>0.31309999999999999</v>
          </cell>
          <cell r="AA1110">
            <v>0</v>
          </cell>
          <cell r="AB1110">
            <v>0.27229999999999999</v>
          </cell>
          <cell r="AC1110">
            <v>0</v>
          </cell>
          <cell r="AD1110">
            <v>0.23680000000000001</v>
          </cell>
          <cell r="AE1110">
            <v>0</v>
          </cell>
          <cell r="AG1110" t="str">
            <v/>
          </cell>
          <cell r="AH1110" t="str">
            <v/>
          </cell>
          <cell r="AJ1110">
            <v>0.36009999999999998</v>
          </cell>
          <cell r="AK1110">
            <v>0</v>
          </cell>
          <cell r="AL1110">
            <v>0.31309999999999999</v>
          </cell>
          <cell r="AM1110">
            <v>0</v>
          </cell>
          <cell r="AN1110">
            <v>0.27229999999999999</v>
          </cell>
          <cell r="AO1110">
            <v>0</v>
          </cell>
          <cell r="AP1110">
            <v>0.23680000000000001</v>
          </cell>
          <cell r="AQ1110">
            <v>0</v>
          </cell>
          <cell r="AS1110" t="str">
            <v/>
          </cell>
          <cell r="AT1110" t="str">
            <v/>
          </cell>
          <cell r="AV1110" t="b">
            <v>1</v>
          </cell>
          <cell r="AW1110" t="str">
            <v>minute</v>
          </cell>
        </row>
        <row r="1111">
          <cell r="S1111" t="str">
            <v>INT BLZ</v>
          </cell>
          <cell r="T1111" t="str">
            <v>INT</v>
          </cell>
          <cell r="U1111" t="str">
            <v>BLZ</v>
          </cell>
          <cell r="V1111" t="str">
            <v/>
          </cell>
          <cell r="X1111">
            <v>0.36009999999999998</v>
          </cell>
          <cell r="Y1111">
            <v>0</v>
          </cell>
          <cell r="Z1111">
            <v>0.31309999999999999</v>
          </cell>
          <cell r="AA1111">
            <v>0</v>
          </cell>
          <cell r="AB1111">
            <v>0.27229999999999999</v>
          </cell>
          <cell r="AC1111">
            <v>0</v>
          </cell>
          <cell r="AD1111">
            <v>0.23680000000000001</v>
          </cell>
          <cell r="AE1111">
            <v>0</v>
          </cell>
          <cell r="AG1111" t="str">
            <v/>
          </cell>
          <cell r="AH1111" t="str">
            <v/>
          </cell>
          <cell r="AJ1111">
            <v>0.36009999999999998</v>
          </cell>
          <cell r="AK1111">
            <v>0</v>
          </cell>
          <cell r="AL1111">
            <v>0.31309999999999999</v>
          </cell>
          <cell r="AM1111">
            <v>0</v>
          </cell>
          <cell r="AN1111">
            <v>0.27229999999999999</v>
          </cell>
          <cell r="AO1111">
            <v>0</v>
          </cell>
          <cell r="AP1111">
            <v>0.23680000000000001</v>
          </cell>
          <cell r="AQ1111">
            <v>0</v>
          </cell>
          <cell r="AS1111" t="str">
            <v/>
          </cell>
          <cell r="AT1111" t="str">
            <v/>
          </cell>
          <cell r="AV1111" t="b">
            <v>1</v>
          </cell>
          <cell r="AW1111" t="str">
            <v>minute</v>
          </cell>
        </row>
        <row r="1112">
          <cell r="S1112" t="str">
            <v>INT BEN BENMO</v>
          </cell>
          <cell r="T1112" t="str">
            <v>INT</v>
          </cell>
          <cell r="U1112" t="str">
            <v>BEN</v>
          </cell>
          <cell r="V1112" t="str">
            <v>BENMO</v>
          </cell>
          <cell r="X1112">
            <v>0.30620000000000003</v>
          </cell>
          <cell r="Y1112">
            <v>0</v>
          </cell>
          <cell r="Z1112">
            <v>0.26619999999999999</v>
          </cell>
          <cell r="AA1112">
            <v>0</v>
          </cell>
          <cell r="AB1112">
            <v>0.2316</v>
          </cell>
          <cell r="AC1112">
            <v>0</v>
          </cell>
          <cell r="AD1112">
            <v>0.2014</v>
          </cell>
          <cell r="AE1112">
            <v>0</v>
          </cell>
          <cell r="AG1112" t="str">
            <v/>
          </cell>
          <cell r="AH1112" t="str">
            <v/>
          </cell>
          <cell r="AJ1112">
            <v>0.30620000000000003</v>
          </cell>
          <cell r="AK1112">
            <v>0</v>
          </cell>
          <cell r="AL1112">
            <v>0.26619999999999999</v>
          </cell>
          <cell r="AM1112">
            <v>0</v>
          </cell>
          <cell r="AN1112">
            <v>0.2316</v>
          </cell>
          <cell r="AO1112">
            <v>0</v>
          </cell>
          <cell r="AP1112">
            <v>0.2014</v>
          </cell>
          <cell r="AQ1112">
            <v>0</v>
          </cell>
          <cell r="AS1112" t="str">
            <v/>
          </cell>
          <cell r="AT1112" t="str">
            <v/>
          </cell>
          <cell r="AV1112" t="b">
            <v>1</v>
          </cell>
          <cell r="AW1112" t="str">
            <v>minute</v>
          </cell>
        </row>
        <row r="1113">
          <cell r="S1113" t="str">
            <v>INT BEN</v>
          </cell>
          <cell r="T1113" t="str">
            <v>INT</v>
          </cell>
          <cell r="U1113" t="str">
            <v>BEN</v>
          </cell>
          <cell r="V1113" t="str">
            <v/>
          </cell>
          <cell r="X1113">
            <v>0.30620000000000003</v>
          </cell>
          <cell r="Y1113">
            <v>0</v>
          </cell>
          <cell r="Z1113">
            <v>0.26619999999999999</v>
          </cell>
          <cell r="AA1113">
            <v>0</v>
          </cell>
          <cell r="AB1113">
            <v>0.2316</v>
          </cell>
          <cell r="AC1113">
            <v>0</v>
          </cell>
          <cell r="AD1113">
            <v>0.2014</v>
          </cell>
          <cell r="AE1113">
            <v>0</v>
          </cell>
          <cell r="AG1113" t="str">
            <v/>
          </cell>
          <cell r="AH1113" t="str">
            <v/>
          </cell>
          <cell r="AJ1113">
            <v>0.30620000000000003</v>
          </cell>
          <cell r="AK1113">
            <v>0</v>
          </cell>
          <cell r="AL1113">
            <v>0.26619999999999999</v>
          </cell>
          <cell r="AM1113">
            <v>0</v>
          </cell>
          <cell r="AN1113">
            <v>0.2316</v>
          </cell>
          <cell r="AO1113">
            <v>0</v>
          </cell>
          <cell r="AP1113">
            <v>0.2014</v>
          </cell>
          <cell r="AQ1113">
            <v>0</v>
          </cell>
          <cell r="AS1113" t="str">
            <v/>
          </cell>
          <cell r="AT1113" t="str">
            <v/>
          </cell>
          <cell r="AV1113" t="b">
            <v>1</v>
          </cell>
          <cell r="AW1113" t="str">
            <v>minute</v>
          </cell>
        </row>
        <row r="1114">
          <cell r="S1114" t="str">
            <v>INT BMU</v>
          </cell>
          <cell r="T1114" t="str">
            <v>INT</v>
          </cell>
          <cell r="U1114" t="str">
            <v>BMU</v>
          </cell>
          <cell r="V1114" t="str">
            <v/>
          </cell>
          <cell r="X1114">
            <v>6.7699999999999996E-2</v>
          </cell>
          <cell r="Y1114">
            <v>0</v>
          </cell>
          <cell r="Z1114">
            <v>5.8900000000000001E-2</v>
          </cell>
          <cell r="AA1114">
            <v>0</v>
          </cell>
          <cell r="AB1114">
            <v>5.1200000000000002E-2</v>
          </cell>
          <cell r="AC1114">
            <v>0</v>
          </cell>
          <cell r="AD1114">
            <v>4.4499999999999998E-2</v>
          </cell>
          <cell r="AE1114">
            <v>0</v>
          </cell>
          <cell r="AG1114" t="str">
            <v/>
          </cell>
          <cell r="AH1114" t="str">
            <v/>
          </cell>
          <cell r="AJ1114">
            <v>6.7699999999999996E-2</v>
          </cell>
          <cell r="AK1114">
            <v>0</v>
          </cell>
          <cell r="AL1114">
            <v>5.8900000000000001E-2</v>
          </cell>
          <cell r="AM1114">
            <v>0</v>
          </cell>
          <cell r="AN1114">
            <v>5.1200000000000002E-2</v>
          </cell>
          <cell r="AO1114">
            <v>0</v>
          </cell>
          <cell r="AP1114">
            <v>4.4499999999999998E-2</v>
          </cell>
          <cell r="AQ1114">
            <v>0</v>
          </cell>
          <cell r="AS1114" t="str">
            <v/>
          </cell>
          <cell r="AT1114" t="str">
            <v/>
          </cell>
          <cell r="AV1114" t="b">
            <v>1</v>
          </cell>
          <cell r="AW1114" t="str">
            <v>minute</v>
          </cell>
        </row>
        <row r="1115">
          <cell r="S1115" t="str">
            <v>INT BTN</v>
          </cell>
          <cell r="T1115" t="str">
            <v>INT</v>
          </cell>
          <cell r="U1115" t="str">
            <v>BTN</v>
          </cell>
          <cell r="V1115" t="str">
            <v/>
          </cell>
          <cell r="X1115">
            <v>0.1447</v>
          </cell>
          <cell r="Y1115">
            <v>0</v>
          </cell>
          <cell r="Z1115">
            <v>0.1258</v>
          </cell>
          <cell r="AA1115">
            <v>0</v>
          </cell>
          <cell r="AB1115">
            <v>0.1094</v>
          </cell>
          <cell r="AC1115">
            <v>0</v>
          </cell>
          <cell r="AD1115">
            <v>9.5100000000000004E-2</v>
          </cell>
          <cell r="AE1115">
            <v>0</v>
          </cell>
          <cell r="AG1115" t="str">
            <v/>
          </cell>
          <cell r="AH1115" t="str">
            <v/>
          </cell>
          <cell r="AJ1115">
            <v>0.1447</v>
          </cell>
          <cell r="AK1115">
            <v>0</v>
          </cell>
          <cell r="AL1115">
            <v>0.1258</v>
          </cell>
          <cell r="AM1115">
            <v>0</v>
          </cell>
          <cell r="AN1115">
            <v>0.1094</v>
          </cell>
          <cell r="AO1115">
            <v>0</v>
          </cell>
          <cell r="AP1115">
            <v>9.5100000000000004E-2</v>
          </cell>
          <cell r="AQ1115">
            <v>0</v>
          </cell>
          <cell r="AS1115" t="str">
            <v/>
          </cell>
          <cell r="AT1115" t="str">
            <v/>
          </cell>
          <cell r="AV1115" t="b">
            <v>1</v>
          </cell>
          <cell r="AW1115" t="str">
            <v>minute</v>
          </cell>
        </row>
        <row r="1116">
          <cell r="S1116" t="str">
            <v>INT BOL BOLMO</v>
          </cell>
          <cell r="T1116" t="str">
            <v>INT</v>
          </cell>
          <cell r="U1116" t="str">
            <v>BOL</v>
          </cell>
          <cell r="V1116" t="str">
            <v>BOLMO</v>
          </cell>
          <cell r="X1116">
            <v>0.2316</v>
          </cell>
          <cell r="Y1116">
            <v>0</v>
          </cell>
          <cell r="Z1116">
            <v>0.2014</v>
          </cell>
          <cell r="AA1116">
            <v>0</v>
          </cell>
          <cell r="AB1116">
            <v>0.17510000000000001</v>
          </cell>
          <cell r="AC1116">
            <v>0</v>
          </cell>
          <cell r="AD1116">
            <v>0.15229999999999999</v>
          </cell>
          <cell r="AE1116">
            <v>0</v>
          </cell>
          <cell r="AG1116" t="str">
            <v/>
          </cell>
          <cell r="AH1116" t="str">
            <v/>
          </cell>
          <cell r="AJ1116">
            <v>0.2316</v>
          </cell>
          <cell r="AK1116">
            <v>0</v>
          </cell>
          <cell r="AL1116">
            <v>0.2014</v>
          </cell>
          <cell r="AM1116">
            <v>0</v>
          </cell>
          <cell r="AN1116">
            <v>0.17510000000000001</v>
          </cell>
          <cell r="AO1116">
            <v>0</v>
          </cell>
          <cell r="AP1116">
            <v>0.15229999999999999</v>
          </cell>
          <cell r="AQ1116">
            <v>0</v>
          </cell>
          <cell r="AS1116" t="str">
            <v/>
          </cell>
          <cell r="AT1116" t="str">
            <v/>
          </cell>
          <cell r="AV1116" t="b">
            <v>1</v>
          </cell>
          <cell r="AW1116" t="str">
            <v>minute</v>
          </cell>
        </row>
        <row r="1117">
          <cell r="S1117" t="str">
            <v>INT BOL</v>
          </cell>
          <cell r="T1117" t="str">
            <v>INT</v>
          </cell>
          <cell r="U1117" t="str">
            <v>BOL</v>
          </cell>
          <cell r="V1117" t="str">
            <v/>
          </cell>
          <cell r="X1117">
            <v>0.1915</v>
          </cell>
          <cell r="Y1117">
            <v>0</v>
          </cell>
          <cell r="Z1117">
            <v>0.16650000000000001</v>
          </cell>
          <cell r="AA1117">
            <v>0</v>
          </cell>
          <cell r="AB1117">
            <v>0.14480000000000001</v>
          </cell>
          <cell r="AC1117">
            <v>0</v>
          </cell>
          <cell r="AD1117">
            <v>0.12590000000000001</v>
          </cell>
          <cell r="AE1117">
            <v>0</v>
          </cell>
          <cell r="AG1117" t="str">
            <v/>
          </cell>
          <cell r="AH1117" t="str">
            <v/>
          </cell>
          <cell r="AJ1117">
            <v>0.1915</v>
          </cell>
          <cell r="AK1117">
            <v>0</v>
          </cell>
          <cell r="AL1117">
            <v>0.16650000000000001</v>
          </cell>
          <cell r="AM1117">
            <v>0</v>
          </cell>
          <cell r="AN1117">
            <v>0.14480000000000001</v>
          </cell>
          <cell r="AO1117">
            <v>0</v>
          </cell>
          <cell r="AP1117">
            <v>0.12590000000000001</v>
          </cell>
          <cell r="AQ1117">
            <v>0</v>
          </cell>
          <cell r="AS1117" t="str">
            <v/>
          </cell>
          <cell r="AT1117" t="str">
            <v/>
          </cell>
          <cell r="AV1117" t="b">
            <v>1</v>
          </cell>
          <cell r="AW1117" t="str">
            <v>minute</v>
          </cell>
        </row>
        <row r="1118">
          <cell r="S1118" t="str">
            <v>INT BES BESMO</v>
          </cell>
          <cell r="T1118" t="str">
            <v>INT</v>
          </cell>
          <cell r="U1118" t="str">
            <v>BES</v>
          </cell>
          <cell r="V1118" t="str">
            <v>BESMO</v>
          </cell>
          <cell r="X1118">
            <v>0.19070000000000001</v>
          </cell>
          <cell r="Y1118">
            <v>0</v>
          </cell>
          <cell r="Z1118">
            <v>0.1658</v>
          </cell>
          <cell r="AA1118">
            <v>0</v>
          </cell>
          <cell r="AB1118">
            <v>0.14419999999999999</v>
          </cell>
          <cell r="AC1118">
            <v>0</v>
          </cell>
          <cell r="AD1118">
            <v>0.12540000000000001</v>
          </cell>
          <cell r="AE1118">
            <v>0</v>
          </cell>
          <cell r="AG1118" t="str">
            <v/>
          </cell>
          <cell r="AH1118" t="str">
            <v/>
          </cell>
          <cell r="AJ1118">
            <v>0.19070000000000001</v>
          </cell>
          <cell r="AK1118">
            <v>0</v>
          </cell>
          <cell r="AL1118">
            <v>0.1658</v>
          </cell>
          <cell r="AM1118">
            <v>0</v>
          </cell>
          <cell r="AN1118">
            <v>0.14419999999999999</v>
          </cell>
          <cell r="AO1118">
            <v>0</v>
          </cell>
          <cell r="AP1118">
            <v>0.12540000000000001</v>
          </cell>
          <cell r="AQ1118">
            <v>0</v>
          </cell>
          <cell r="AS1118" t="str">
            <v/>
          </cell>
          <cell r="AT1118" t="str">
            <v/>
          </cell>
          <cell r="AV1118" t="b">
            <v>1</v>
          </cell>
          <cell r="AW1118" t="str">
            <v>minute</v>
          </cell>
        </row>
        <row r="1119">
          <cell r="S1119" t="str">
            <v>INT BES</v>
          </cell>
          <cell r="T1119" t="str">
            <v>INT</v>
          </cell>
          <cell r="U1119" t="str">
            <v>BES</v>
          </cell>
          <cell r="V1119" t="str">
            <v/>
          </cell>
          <cell r="X1119">
            <v>0.19070000000000001</v>
          </cell>
          <cell r="Y1119">
            <v>0</v>
          </cell>
          <cell r="Z1119">
            <v>0.1658</v>
          </cell>
          <cell r="AA1119">
            <v>0</v>
          </cell>
          <cell r="AB1119">
            <v>0.14419999999999999</v>
          </cell>
          <cell r="AC1119">
            <v>0</v>
          </cell>
          <cell r="AD1119">
            <v>0.12540000000000001</v>
          </cell>
          <cell r="AE1119">
            <v>0</v>
          </cell>
          <cell r="AG1119" t="str">
            <v/>
          </cell>
          <cell r="AH1119" t="str">
            <v/>
          </cell>
          <cell r="AJ1119">
            <v>0.19070000000000001</v>
          </cell>
          <cell r="AK1119">
            <v>0</v>
          </cell>
          <cell r="AL1119">
            <v>0.1658</v>
          </cell>
          <cell r="AM1119">
            <v>0</v>
          </cell>
          <cell r="AN1119">
            <v>0.14419999999999999</v>
          </cell>
          <cell r="AO1119">
            <v>0</v>
          </cell>
          <cell r="AP1119">
            <v>0.12540000000000001</v>
          </cell>
          <cell r="AQ1119">
            <v>0</v>
          </cell>
          <cell r="AS1119" t="str">
            <v/>
          </cell>
          <cell r="AT1119" t="str">
            <v/>
          </cell>
          <cell r="AV1119" t="b">
            <v>1</v>
          </cell>
          <cell r="AW1119" t="str">
            <v>minute</v>
          </cell>
        </row>
        <row r="1120">
          <cell r="S1120" t="str">
            <v>INT BIH BIHMO</v>
          </cell>
          <cell r="T1120" t="str">
            <v>INT</v>
          </cell>
          <cell r="U1120" t="str">
            <v>BIH</v>
          </cell>
          <cell r="V1120" t="str">
            <v>BIHMO</v>
          </cell>
          <cell r="X1120">
            <v>0.4778</v>
          </cell>
          <cell r="Y1120">
            <v>0</v>
          </cell>
          <cell r="Z1120">
            <v>0.41549999999999998</v>
          </cell>
          <cell r="AA1120">
            <v>0</v>
          </cell>
          <cell r="AB1120">
            <v>0.36130000000000001</v>
          </cell>
          <cell r="AC1120">
            <v>0</v>
          </cell>
          <cell r="AD1120">
            <v>0.31419999999999998</v>
          </cell>
          <cell r="AE1120">
            <v>0</v>
          </cell>
          <cell r="AG1120" t="str">
            <v/>
          </cell>
          <cell r="AH1120" t="str">
            <v/>
          </cell>
          <cell r="AJ1120">
            <v>0.4778</v>
          </cell>
          <cell r="AK1120">
            <v>0</v>
          </cell>
          <cell r="AL1120">
            <v>0.41549999999999998</v>
          </cell>
          <cell r="AM1120">
            <v>0</v>
          </cell>
          <cell r="AN1120">
            <v>0.36130000000000001</v>
          </cell>
          <cell r="AO1120">
            <v>0</v>
          </cell>
          <cell r="AP1120">
            <v>0.31419999999999998</v>
          </cell>
          <cell r="AQ1120">
            <v>0</v>
          </cell>
          <cell r="AS1120" t="str">
            <v/>
          </cell>
          <cell r="AT1120" t="str">
            <v/>
          </cell>
          <cell r="AV1120" t="b">
            <v>1</v>
          </cell>
          <cell r="AW1120" t="str">
            <v>minute</v>
          </cell>
        </row>
        <row r="1121">
          <cell r="S1121" t="str">
            <v>INT BIH</v>
          </cell>
          <cell r="T1121" t="str">
            <v>INT</v>
          </cell>
          <cell r="U1121" t="str">
            <v>BIH</v>
          </cell>
          <cell r="V1121" t="str">
            <v/>
          </cell>
          <cell r="X1121">
            <v>0.18229999999999999</v>
          </cell>
          <cell r="Y1121">
            <v>0</v>
          </cell>
          <cell r="Z1121">
            <v>0.1585</v>
          </cell>
          <cell r="AA1121">
            <v>0</v>
          </cell>
          <cell r="AB1121">
            <v>0.13780000000000001</v>
          </cell>
          <cell r="AC1121">
            <v>0</v>
          </cell>
          <cell r="AD1121">
            <v>0.1198</v>
          </cell>
          <cell r="AE1121">
            <v>0</v>
          </cell>
          <cell r="AG1121" t="str">
            <v/>
          </cell>
          <cell r="AH1121" t="str">
            <v/>
          </cell>
          <cell r="AJ1121">
            <v>0.18229999999999999</v>
          </cell>
          <cell r="AK1121">
            <v>0</v>
          </cell>
          <cell r="AL1121">
            <v>0.1585</v>
          </cell>
          <cell r="AM1121">
            <v>0</v>
          </cell>
          <cell r="AN1121">
            <v>0.13780000000000001</v>
          </cell>
          <cell r="AO1121">
            <v>0</v>
          </cell>
          <cell r="AP1121">
            <v>0.1198</v>
          </cell>
          <cell r="AQ1121">
            <v>0</v>
          </cell>
          <cell r="AS1121" t="str">
            <v/>
          </cell>
          <cell r="AT1121" t="str">
            <v/>
          </cell>
          <cell r="AV1121" t="b">
            <v>1</v>
          </cell>
          <cell r="AW1121" t="str">
            <v>minute</v>
          </cell>
        </row>
        <row r="1122">
          <cell r="S1122" t="str">
            <v>INT BWA BWAMO</v>
          </cell>
          <cell r="T1122" t="str">
            <v>INT</v>
          </cell>
          <cell r="U1122" t="str">
            <v>BWA</v>
          </cell>
          <cell r="V1122" t="str">
            <v>BWAMO</v>
          </cell>
          <cell r="X1122">
            <v>0.3075</v>
          </cell>
          <cell r="Y1122">
            <v>0</v>
          </cell>
          <cell r="Z1122">
            <v>0.26740000000000003</v>
          </cell>
          <cell r="AA1122">
            <v>0</v>
          </cell>
          <cell r="AB1122">
            <v>0.23250000000000001</v>
          </cell>
          <cell r="AC1122">
            <v>0</v>
          </cell>
          <cell r="AD1122">
            <v>0.20219999999999999</v>
          </cell>
          <cell r="AE1122">
            <v>0</v>
          </cell>
          <cell r="AG1122" t="str">
            <v/>
          </cell>
          <cell r="AH1122" t="str">
            <v/>
          </cell>
          <cell r="AJ1122">
            <v>0.3075</v>
          </cell>
          <cell r="AK1122">
            <v>0</v>
          </cell>
          <cell r="AL1122">
            <v>0.26740000000000003</v>
          </cell>
          <cell r="AM1122">
            <v>0</v>
          </cell>
          <cell r="AN1122">
            <v>0.23250000000000001</v>
          </cell>
          <cell r="AO1122">
            <v>0</v>
          </cell>
          <cell r="AP1122">
            <v>0.20219999999999999</v>
          </cell>
          <cell r="AQ1122">
            <v>0</v>
          </cell>
          <cell r="AS1122" t="str">
            <v/>
          </cell>
          <cell r="AT1122" t="str">
            <v/>
          </cell>
          <cell r="AV1122" t="b">
            <v>1</v>
          </cell>
          <cell r="AW1122" t="str">
            <v>minute</v>
          </cell>
        </row>
        <row r="1123">
          <cell r="S1123" t="str">
            <v>INT BWA</v>
          </cell>
          <cell r="T1123" t="str">
            <v>INT</v>
          </cell>
          <cell r="U1123" t="str">
            <v>BWA</v>
          </cell>
          <cell r="V1123" t="str">
            <v/>
          </cell>
          <cell r="X1123">
            <v>9.7299999999999998E-2</v>
          </cell>
          <cell r="Y1123">
            <v>0</v>
          </cell>
          <cell r="Z1123">
            <v>8.4599999999999995E-2</v>
          </cell>
          <cell r="AA1123">
            <v>0</v>
          </cell>
          <cell r="AB1123">
            <v>7.3599999999999999E-2</v>
          </cell>
          <cell r="AC1123">
            <v>0</v>
          </cell>
          <cell r="AD1123">
            <v>6.4000000000000001E-2</v>
          </cell>
          <cell r="AE1123">
            <v>0</v>
          </cell>
          <cell r="AG1123" t="str">
            <v/>
          </cell>
          <cell r="AH1123" t="str">
            <v/>
          </cell>
          <cell r="AJ1123">
            <v>9.7299999999999998E-2</v>
          </cell>
          <cell r="AK1123">
            <v>0</v>
          </cell>
          <cell r="AL1123">
            <v>8.4599999999999995E-2</v>
          </cell>
          <cell r="AM1123">
            <v>0</v>
          </cell>
          <cell r="AN1123">
            <v>7.3599999999999999E-2</v>
          </cell>
          <cell r="AO1123">
            <v>0</v>
          </cell>
          <cell r="AP1123">
            <v>6.4000000000000001E-2</v>
          </cell>
          <cell r="AQ1123">
            <v>0</v>
          </cell>
          <cell r="AS1123" t="str">
            <v/>
          </cell>
          <cell r="AT1123" t="str">
            <v/>
          </cell>
          <cell r="AV1123" t="b">
            <v>1</v>
          </cell>
          <cell r="AW1123" t="str">
            <v>minute</v>
          </cell>
        </row>
        <row r="1124">
          <cell r="S1124" t="str">
            <v>INT BRA BRAMO</v>
          </cell>
          <cell r="T1124" t="str">
            <v>INT</v>
          </cell>
          <cell r="U1124" t="str">
            <v>BRA</v>
          </cell>
          <cell r="V1124" t="str">
            <v>BRAMO</v>
          </cell>
          <cell r="X1124">
            <v>0.2944</v>
          </cell>
          <cell r="Y1124">
            <v>0</v>
          </cell>
          <cell r="Z1124">
            <v>0.25600000000000001</v>
          </cell>
          <cell r="AA1124">
            <v>0</v>
          </cell>
          <cell r="AB1124">
            <v>0.22259999999999999</v>
          </cell>
          <cell r="AC1124">
            <v>0</v>
          </cell>
          <cell r="AD1124">
            <v>0.19359999999999999</v>
          </cell>
          <cell r="AE1124">
            <v>0</v>
          </cell>
          <cell r="AG1124" t="str">
            <v/>
          </cell>
          <cell r="AH1124" t="str">
            <v/>
          </cell>
          <cell r="AJ1124">
            <v>0.2944</v>
          </cell>
          <cell r="AK1124">
            <v>0</v>
          </cell>
          <cell r="AL1124">
            <v>0.25600000000000001</v>
          </cell>
          <cell r="AM1124">
            <v>0</v>
          </cell>
          <cell r="AN1124">
            <v>0.22259999999999999</v>
          </cell>
          <cell r="AO1124">
            <v>0</v>
          </cell>
          <cell r="AP1124">
            <v>0.19359999999999999</v>
          </cell>
          <cell r="AQ1124">
            <v>0</v>
          </cell>
          <cell r="AS1124" t="str">
            <v/>
          </cell>
          <cell r="AT1124" t="str">
            <v/>
          </cell>
          <cell r="AV1124" t="b">
            <v>1</v>
          </cell>
          <cell r="AW1124" t="str">
            <v>minute</v>
          </cell>
        </row>
        <row r="1125">
          <cell r="S1125" t="str">
            <v>INT BRA</v>
          </cell>
          <cell r="T1125" t="str">
            <v>INT</v>
          </cell>
          <cell r="U1125" t="str">
            <v>BRA</v>
          </cell>
          <cell r="V1125" t="str">
            <v/>
          </cell>
          <cell r="X1125">
            <v>4.2200000000000001E-2</v>
          </cell>
          <cell r="Y1125">
            <v>0</v>
          </cell>
          <cell r="Z1125">
            <v>3.6700000000000003E-2</v>
          </cell>
          <cell r="AA1125">
            <v>0</v>
          </cell>
          <cell r="AB1125">
            <v>3.1899999999999998E-2</v>
          </cell>
          <cell r="AC1125">
            <v>0</v>
          </cell>
          <cell r="AD1125">
            <v>2.7699999999999999E-2</v>
          </cell>
          <cell r="AE1125">
            <v>0</v>
          </cell>
          <cell r="AG1125" t="str">
            <v/>
          </cell>
          <cell r="AH1125" t="str">
            <v/>
          </cell>
          <cell r="AJ1125">
            <v>4.2200000000000001E-2</v>
          </cell>
          <cell r="AK1125">
            <v>0</v>
          </cell>
          <cell r="AL1125">
            <v>3.6700000000000003E-2</v>
          </cell>
          <cell r="AM1125">
            <v>0</v>
          </cell>
          <cell r="AN1125">
            <v>3.1899999999999998E-2</v>
          </cell>
          <cell r="AO1125">
            <v>0</v>
          </cell>
          <cell r="AP1125">
            <v>2.7699999999999999E-2</v>
          </cell>
          <cell r="AQ1125">
            <v>0</v>
          </cell>
          <cell r="AS1125" t="str">
            <v/>
          </cell>
          <cell r="AT1125" t="str">
            <v/>
          </cell>
          <cell r="AV1125" t="b">
            <v>1</v>
          </cell>
          <cell r="AW1125" t="str">
            <v>minute</v>
          </cell>
        </row>
        <row r="1126">
          <cell r="S1126" t="str">
            <v>INT BRN</v>
          </cell>
          <cell r="T1126" t="str">
            <v>INT</v>
          </cell>
          <cell r="U1126" t="str">
            <v>BRN</v>
          </cell>
          <cell r="V1126" t="str">
            <v/>
          </cell>
          <cell r="X1126">
            <v>7.1999999999999995E-2</v>
          </cell>
          <cell r="Y1126">
            <v>0</v>
          </cell>
          <cell r="Z1126">
            <v>6.2600000000000003E-2</v>
          </cell>
          <cell r="AA1126">
            <v>0</v>
          </cell>
          <cell r="AB1126">
            <v>5.4399999999999997E-2</v>
          </cell>
          <cell r="AC1126">
            <v>0</v>
          </cell>
          <cell r="AD1126">
            <v>4.7300000000000002E-2</v>
          </cell>
          <cell r="AE1126">
            <v>0</v>
          </cell>
          <cell r="AG1126" t="str">
            <v/>
          </cell>
          <cell r="AH1126" t="str">
            <v/>
          </cell>
          <cell r="AJ1126">
            <v>7.1999999999999995E-2</v>
          </cell>
          <cell r="AK1126">
            <v>0</v>
          </cell>
          <cell r="AL1126">
            <v>6.2600000000000003E-2</v>
          </cell>
          <cell r="AM1126">
            <v>0</v>
          </cell>
          <cell r="AN1126">
            <v>5.4399999999999997E-2</v>
          </cell>
          <cell r="AO1126">
            <v>0</v>
          </cell>
          <cell r="AP1126">
            <v>4.7300000000000002E-2</v>
          </cell>
          <cell r="AQ1126">
            <v>0</v>
          </cell>
          <cell r="AS1126" t="str">
            <v/>
          </cell>
          <cell r="AT1126" t="str">
            <v/>
          </cell>
          <cell r="AV1126" t="b">
            <v>1</v>
          </cell>
          <cell r="AW1126" t="str">
            <v>minute</v>
          </cell>
        </row>
        <row r="1127">
          <cell r="S1127" t="str">
            <v>INT BGR BGRMO</v>
          </cell>
          <cell r="T1127" t="str">
            <v>INT</v>
          </cell>
          <cell r="U1127" t="str">
            <v>BGR</v>
          </cell>
          <cell r="V1127" t="str">
            <v>BGRMO</v>
          </cell>
          <cell r="X1127">
            <v>8.8300000000000003E-2</v>
          </cell>
          <cell r="Y1127">
            <v>0</v>
          </cell>
          <cell r="Z1127">
            <v>8.4500000000000006E-2</v>
          </cell>
          <cell r="AA1127">
            <v>0</v>
          </cell>
          <cell r="AB1127">
            <v>8.09E-2</v>
          </cell>
          <cell r="AC1127">
            <v>0</v>
          </cell>
          <cell r="AD1127">
            <v>7.7399999999999997E-2</v>
          </cell>
          <cell r="AE1127">
            <v>0</v>
          </cell>
          <cell r="AG1127" t="str">
            <v/>
          </cell>
          <cell r="AH1127" t="str">
            <v/>
          </cell>
          <cell r="AJ1127">
            <v>8.8300000000000003E-2</v>
          </cell>
          <cell r="AK1127">
            <v>0</v>
          </cell>
          <cell r="AL1127">
            <v>8.4500000000000006E-2</v>
          </cell>
          <cell r="AM1127">
            <v>0</v>
          </cell>
          <cell r="AN1127">
            <v>8.09E-2</v>
          </cell>
          <cell r="AO1127">
            <v>0</v>
          </cell>
          <cell r="AP1127">
            <v>7.7399999999999997E-2</v>
          </cell>
          <cell r="AQ1127">
            <v>0</v>
          </cell>
          <cell r="AS1127" t="str">
            <v/>
          </cell>
          <cell r="AT1127" t="str">
            <v/>
          </cell>
          <cell r="AV1127" t="b">
            <v>1</v>
          </cell>
          <cell r="AW1127" t="str">
            <v>minute</v>
          </cell>
        </row>
        <row r="1128">
          <cell r="S1128" t="str">
            <v>INT BGR</v>
          </cell>
          <cell r="T1128" t="str">
            <v>INT</v>
          </cell>
          <cell r="U1128" t="str">
            <v>BGR</v>
          </cell>
          <cell r="V1128" t="str">
            <v/>
          </cell>
          <cell r="X1128">
            <v>2.1499999999999998E-2</v>
          </cell>
          <cell r="Y1128">
            <v>0</v>
          </cell>
          <cell r="Z1128">
            <v>2.06E-2</v>
          </cell>
          <cell r="AA1128">
            <v>0</v>
          </cell>
          <cell r="AB1128">
            <v>1.9699999999999999E-2</v>
          </cell>
          <cell r="AC1128">
            <v>0</v>
          </cell>
          <cell r="AD1128">
            <v>1.89E-2</v>
          </cell>
          <cell r="AE1128">
            <v>0</v>
          </cell>
          <cell r="AG1128" t="str">
            <v/>
          </cell>
          <cell r="AH1128" t="str">
            <v/>
          </cell>
          <cell r="AJ1128">
            <v>2.1499999999999998E-2</v>
          </cell>
          <cell r="AK1128">
            <v>0</v>
          </cell>
          <cell r="AL1128">
            <v>2.06E-2</v>
          </cell>
          <cell r="AM1128">
            <v>0</v>
          </cell>
          <cell r="AN1128">
            <v>1.9699999999999999E-2</v>
          </cell>
          <cell r="AO1128">
            <v>0</v>
          </cell>
          <cell r="AP1128">
            <v>1.89E-2</v>
          </cell>
          <cell r="AQ1128">
            <v>0</v>
          </cell>
          <cell r="AS1128" t="str">
            <v/>
          </cell>
          <cell r="AT1128" t="str">
            <v/>
          </cell>
          <cell r="AV1128" t="b">
            <v>1</v>
          </cell>
          <cell r="AW1128" t="str">
            <v>minute</v>
          </cell>
        </row>
        <row r="1129">
          <cell r="S1129" t="str">
            <v>INT BFA BFAMO</v>
          </cell>
          <cell r="T1129" t="str">
            <v>INT</v>
          </cell>
          <cell r="U1129" t="str">
            <v>BFA</v>
          </cell>
          <cell r="V1129" t="str">
            <v>BFAMO</v>
          </cell>
          <cell r="X1129">
            <v>0.38890000000000002</v>
          </cell>
          <cell r="Y1129">
            <v>0</v>
          </cell>
          <cell r="Z1129">
            <v>0.3382</v>
          </cell>
          <cell r="AA1129">
            <v>0</v>
          </cell>
          <cell r="AB1129">
            <v>0.29409999999999997</v>
          </cell>
          <cell r="AC1129">
            <v>0</v>
          </cell>
          <cell r="AD1129">
            <v>0.25559999999999999</v>
          </cell>
          <cell r="AE1129">
            <v>0</v>
          </cell>
          <cell r="AG1129" t="str">
            <v/>
          </cell>
          <cell r="AH1129" t="str">
            <v/>
          </cell>
          <cell r="AJ1129">
            <v>0.38890000000000002</v>
          </cell>
          <cell r="AK1129">
            <v>0</v>
          </cell>
          <cell r="AL1129">
            <v>0.3382</v>
          </cell>
          <cell r="AM1129">
            <v>0</v>
          </cell>
          <cell r="AN1129">
            <v>0.29409999999999997</v>
          </cell>
          <cell r="AO1129">
            <v>0</v>
          </cell>
          <cell r="AP1129">
            <v>0.25559999999999999</v>
          </cell>
          <cell r="AQ1129">
            <v>0</v>
          </cell>
          <cell r="AS1129" t="str">
            <v/>
          </cell>
          <cell r="AT1129" t="str">
            <v/>
          </cell>
          <cell r="AV1129" t="b">
            <v>1</v>
          </cell>
          <cell r="AW1129" t="str">
            <v>minute</v>
          </cell>
        </row>
        <row r="1130">
          <cell r="S1130" t="str">
            <v>INT BFA</v>
          </cell>
          <cell r="T1130" t="str">
            <v>INT</v>
          </cell>
          <cell r="U1130" t="str">
            <v>BFA</v>
          </cell>
          <cell r="V1130" t="str">
            <v/>
          </cell>
          <cell r="X1130">
            <v>0.29909999999999998</v>
          </cell>
          <cell r="Y1130">
            <v>0</v>
          </cell>
          <cell r="Z1130">
            <v>0.2601</v>
          </cell>
          <cell r="AA1130">
            <v>0</v>
          </cell>
          <cell r="AB1130">
            <v>0.22620000000000001</v>
          </cell>
          <cell r="AC1130">
            <v>0</v>
          </cell>
          <cell r="AD1130">
            <v>0.19670000000000001</v>
          </cell>
          <cell r="AE1130">
            <v>0</v>
          </cell>
          <cell r="AG1130" t="str">
            <v/>
          </cell>
          <cell r="AH1130" t="str">
            <v/>
          </cell>
          <cell r="AJ1130">
            <v>0.29909999999999998</v>
          </cell>
          <cell r="AK1130">
            <v>0</v>
          </cell>
          <cell r="AL1130">
            <v>0.2601</v>
          </cell>
          <cell r="AM1130">
            <v>0</v>
          </cell>
          <cell r="AN1130">
            <v>0.22620000000000001</v>
          </cell>
          <cell r="AO1130">
            <v>0</v>
          </cell>
          <cell r="AP1130">
            <v>0.19670000000000001</v>
          </cell>
          <cell r="AQ1130">
            <v>0</v>
          </cell>
          <cell r="AS1130" t="str">
            <v/>
          </cell>
          <cell r="AT1130" t="str">
            <v/>
          </cell>
          <cell r="AV1130" t="b">
            <v>1</v>
          </cell>
          <cell r="AW1130" t="str">
            <v>minute</v>
          </cell>
        </row>
        <row r="1131">
          <cell r="S1131" t="str">
            <v>INT BDI BDIMO</v>
          </cell>
          <cell r="T1131" t="str">
            <v>INT</v>
          </cell>
          <cell r="U1131" t="str">
            <v>BDI</v>
          </cell>
          <cell r="V1131" t="str">
            <v>BDIMO</v>
          </cell>
          <cell r="X1131">
            <v>0.2339</v>
          </cell>
          <cell r="Y1131">
            <v>0</v>
          </cell>
          <cell r="Z1131">
            <v>0.2034</v>
          </cell>
          <cell r="AA1131">
            <v>0</v>
          </cell>
          <cell r="AB1131">
            <v>0.1769</v>
          </cell>
          <cell r="AC1131">
            <v>0</v>
          </cell>
          <cell r="AD1131">
            <v>0.15379999999999999</v>
          </cell>
          <cell r="AE1131">
            <v>0</v>
          </cell>
          <cell r="AG1131" t="str">
            <v/>
          </cell>
          <cell r="AH1131" t="str">
            <v/>
          </cell>
          <cell r="AJ1131">
            <v>0.2339</v>
          </cell>
          <cell r="AK1131">
            <v>0</v>
          </cell>
          <cell r="AL1131">
            <v>0.2034</v>
          </cell>
          <cell r="AM1131">
            <v>0</v>
          </cell>
          <cell r="AN1131">
            <v>0.1769</v>
          </cell>
          <cell r="AO1131">
            <v>0</v>
          </cell>
          <cell r="AP1131">
            <v>0.15379999999999999</v>
          </cell>
          <cell r="AQ1131">
            <v>0</v>
          </cell>
          <cell r="AS1131" t="str">
            <v/>
          </cell>
          <cell r="AT1131" t="str">
            <v/>
          </cell>
          <cell r="AV1131" t="b">
            <v>1</v>
          </cell>
          <cell r="AW1131" t="str">
            <v>minute</v>
          </cell>
        </row>
        <row r="1132">
          <cell r="S1132" t="str">
            <v>INT BDI</v>
          </cell>
          <cell r="T1132" t="str">
            <v>INT</v>
          </cell>
          <cell r="U1132" t="str">
            <v>BDI</v>
          </cell>
          <cell r="V1132" t="str">
            <v/>
          </cell>
          <cell r="X1132">
            <v>0.161</v>
          </cell>
          <cell r="Y1132">
            <v>0</v>
          </cell>
          <cell r="Z1132">
            <v>0.14000000000000001</v>
          </cell>
          <cell r="AA1132">
            <v>0</v>
          </cell>
          <cell r="AB1132">
            <v>0.1217</v>
          </cell>
          <cell r="AC1132">
            <v>0</v>
          </cell>
          <cell r="AD1132">
            <v>0.10580000000000001</v>
          </cell>
          <cell r="AE1132">
            <v>0</v>
          </cell>
          <cell r="AG1132" t="str">
            <v/>
          </cell>
          <cell r="AH1132" t="str">
            <v/>
          </cell>
          <cell r="AJ1132">
            <v>0.161</v>
          </cell>
          <cell r="AK1132">
            <v>0</v>
          </cell>
          <cell r="AL1132">
            <v>0.14000000000000001</v>
          </cell>
          <cell r="AM1132">
            <v>0</v>
          </cell>
          <cell r="AN1132">
            <v>0.1217</v>
          </cell>
          <cell r="AO1132">
            <v>0</v>
          </cell>
          <cell r="AP1132">
            <v>0.10580000000000001</v>
          </cell>
          <cell r="AQ1132">
            <v>0</v>
          </cell>
          <cell r="AS1132" t="str">
            <v/>
          </cell>
          <cell r="AT1132" t="str">
            <v/>
          </cell>
          <cell r="AV1132" t="b">
            <v>1</v>
          </cell>
          <cell r="AW1132" t="str">
            <v>minute</v>
          </cell>
        </row>
        <row r="1133">
          <cell r="S1133" t="str">
            <v>INT KHM</v>
          </cell>
          <cell r="T1133" t="str">
            <v>INT</v>
          </cell>
          <cell r="U1133" t="str">
            <v>KHM</v>
          </cell>
          <cell r="V1133" t="str">
            <v/>
          </cell>
          <cell r="X1133">
            <v>5.8799999999999998E-2</v>
          </cell>
          <cell r="Y1133">
            <v>0</v>
          </cell>
          <cell r="Z1133">
            <v>5.11E-2</v>
          </cell>
          <cell r="AA1133">
            <v>0</v>
          </cell>
          <cell r="AB1133">
            <v>4.4400000000000002E-2</v>
          </cell>
          <cell r="AC1133">
            <v>0</v>
          </cell>
          <cell r="AD1133">
            <v>3.8600000000000002E-2</v>
          </cell>
          <cell r="AE1133">
            <v>0</v>
          </cell>
          <cell r="AG1133" t="str">
            <v/>
          </cell>
          <cell r="AH1133" t="str">
            <v/>
          </cell>
          <cell r="AJ1133">
            <v>5.8799999999999998E-2</v>
          </cell>
          <cell r="AK1133">
            <v>0</v>
          </cell>
          <cell r="AL1133">
            <v>5.11E-2</v>
          </cell>
          <cell r="AM1133">
            <v>0</v>
          </cell>
          <cell r="AN1133">
            <v>4.4400000000000002E-2</v>
          </cell>
          <cell r="AO1133">
            <v>0</v>
          </cell>
          <cell r="AP1133">
            <v>3.8600000000000002E-2</v>
          </cell>
          <cell r="AQ1133">
            <v>0</v>
          </cell>
          <cell r="AS1133" t="str">
            <v/>
          </cell>
          <cell r="AT1133" t="str">
            <v/>
          </cell>
          <cell r="AV1133" t="b">
            <v>1</v>
          </cell>
          <cell r="AW1133" t="str">
            <v>minute</v>
          </cell>
        </row>
        <row r="1134">
          <cell r="S1134" t="str">
            <v>INT CMR CMRMO</v>
          </cell>
          <cell r="T1134" t="str">
            <v>INT</v>
          </cell>
          <cell r="U1134" t="str">
            <v>CMR</v>
          </cell>
          <cell r="V1134" t="str">
            <v>CMRMO</v>
          </cell>
          <cell r="X1134">
            <v>0.34060000000000001</v>
          </cell>
          <cell r="Y1134">
            <v>0</v>
          </cell>
          <cell r="Z1134">
            <v>0.29620000000000002</v>
          </cell>
          <cell r="AA1134">
            <v>0</v>
          </cell>
          <cell r="AB1134">
            <v>0.2576</v>
          </cell>
          <cell r="AC1134">
            <v>0</v>
          </cell>
          <cell r="AD1134">
            <v>0.224</v>
          </cell>
          <cell r="AE1134">
            <v>0</v>
          </cell>
          <cell r="AG1134" t="str">
            <v/>
          </cell>
          <cell r="AH1134" t="str">
            <v/>
          </cell>
          <cell r="AJ1134">
            <v>0.34060000000000001</v>
          </cell>
          <cell r="AK1134">
            <v>0</v>
          </cell>
          <cell r="AL1134">
            <v>0.29620000000000002</v>
          </cell>
          <cell r="AM1134">
            <v>0</v>
          </cell>
          <cell r="AN1134">
            <v>0.2576</v>
          </cell>
          <cell r="AO1134">
            <v>0</v>
          </cell>
          <cell r="AP1134">
            <v>0.224</v>
          </cell>
          <cell r="AQ1134">
            <v>0</v>
          </cell>
          <cell r="AS1134" t="str">
            <v/>
          </cell>
          <cell r="AT1134" t="str">
            <v/>
          </cell>
          <cell r="AV1134" t="b">
            <v>1</v>
          </cell>
          <cell r="AW1134" t="str">
            <v>minute</v>
          </cell>
        </row>
        <row r="1135">
          <cell r="S1135" t="str">
            <v>INT CMR</v>
          </cell>
          <cell r="T1135" t="str">
            <v>INT</v>
          </cell>
          <cell r="U1135" t="str">
            <v>CMR</v>
          </cell>
          <cell r="V1135" t="str">
            <v/>
          </cell>
          <cell r="X1135">
            <v>0.2233</v>
          </cell>
          <cell r="Y1135">
            <v>0</v>
          </cell>
          <cell r="Z1135">
            <v>0.19420000000000001</v>
          </cell>
          <cell r="AA1135">
            <v>0</v>
          </cell>
          <cell r="AB1135">
            <v>0.16889999999999999</v>
          </cell>
          <cell r="AC1135">
            <v>0</v>
          </cell>
          <cell r="AD1135">
            <v>0.1469</v>
          </cell>
          <cell r="AE1135">
            <v>0</v>
          </cell>
          <cell r="AG1135" t="str">
            <v/>
          </cell>
          <cell r="AH1135" t="str">
            <v/>
          </cell>
          <cell r="AJ1135">
            <v>0.2233</v>
          </cell>
          <cell r="AK1135">
            <v>0</v>
          </cell>
          <cell r="AL1135">
            <v>0.19420000000000001</v>
          </cell>
          <cell r="AM1135">
            <v>0</v>
          </cell>
          <cell r="AN1135">
            <v>0.16889999999999999</v>
          </cell>
          <cell r="AO1135">
            <v>0</v>
          </cell>
          <cell r="AP1135">
            <v>0.1469</v>
          </cell>
          <cell r="AQ1135">
            <v>0</v>
          </cell>
          <cell r="AS1135" t="str">
            <v/>
          </cell>
          <cell r="AT1135" t="str">
            <v/>
          </cell>
          <cell r="AV1135" t="b">
            <v>1</v>
          </cell>
          <cell r="AW1135" t="str">
            <v>minute</v>
          </cell>
        </row>
        <row r="1136">
          <cell r="S1136" t="str">
            <v>INT CAN</v>
          </cell>
          <cell r="T1136" t="str">
            <v>INT</v>
          </cell>
          <cell r="U1136" t="str">
            <v>CAN</v>
          </cell>
          <cell r="V1136" t="str">
            <v/>
          </cell>
          <cell r="X1136">
            <v>1.9900000000000001E-2</v>
          </cell>
          <cell r="Y1136">
            <v>0</v>
          </cell>
          <cell r="Z1136">
            <v>1.9E-2</v>
          </cell>
          <cell r="AA1136">
            <v>0</v>
          </cell>
          <cell r="AB1136">
            <v>1.8200000000000001E-2</v>
          </cell>
          <cell r="AC1136">
            <v>0</v>
          </cell>
          <cell r="AD1136">
            <v>1.7399999999999999E-2</v>
          </cell>
          <cell r="AE1136">
            <v>0</v>
          </cell>
          <cell r="AG1136" t="str">
            <v/>
          </cell>
          <cell r="AH1136" t="str">
            <v/>
          </cell>
          <cell r="AJ1136">
            <v>1.9900000000000001E-2</v>
          </cell>
          <cell r="AK1136">
            <v>0</v>
          </cell>
          <cell r="AL1136">
            <v>1.9E-2</v>
          </cell>
          <cell r="AM1136">
            <v>0</v>
          </cell>
          <cell r="AN1136">
            <v>1.8200000000000001E-2</v>
          </cell>
          <cell r="AO1136">
            <v>0</v>
          </cell>
          <cell r="AP1136">
            <v>1.7399999999999999E-2</v>
          </cell>
          <cell r="AQ1136">
            <v>0</v>
          </cell>
          <cell r="AS1136" t="str">
            <v/>
          </cell>
          <cell r="AT1136" t="str">
            <v/>
          </cell>
          <cell r="AV1136" t="b">
            <v>1</v>
          </cell>
          <cell r="AW1136" t="str">
            <v>minute</v>
          </cell>
        </row>
        <row r="1137">
          <cell r="S1137" t="str">
            <v>INT ESP CNY</v>
          </cell>
          <cell r="T1137" t="str">
            <v>INT</v>
          </cell>
          <cell r="U1137" t="str">
            <v>ESP</v>
          </cell>
          <cell r="V1137" t="str">
            <v>CNY</v>
          </cell>
          <cell r="X1137">
            <v>1.7299999999999999E-2</v>
          </cell>
          <cell r="Y1137">
            <v>0</v>
          </cell>
          <cell r="Z1137">
            <v>1.6199999999999999E-2</v>
          </cell>
          <cell r="AA1137">
            <v>0</v>
          </cell>
          <cell r="AB1137">
            <v>1.5100000000000001E-2</v>
          </cell>
          <cell r="AC1137">
            <v>0</v>
          </cell>
          <cell r="AD1137">
            <v>1.41E-2</v>
          </cell>
          <cell r="AE1137">
            <v>0</v>
          </cell>
          <cell r="AG1137" t="str">
            <v/>
          </cell>
          <cell r="AH1137" t="str">
            <v/>
          </cell>
          <cell r="AJ1137">
            <v>1.7299999999999999E-2</v>
          </cell>
          <cell r="AK1137">
            <v>0</v>
          </cell>
          <cell r="AL1137">
            <v>1.6199999999999999E-2</v>
          </cell>
          <cell r="AM1137">
            <v>0</v>
          </cell>
          <cell r="AN1137">
            <v>1.5100000000000001E-2</v>
          </cell>
          <cell r="AO1137">
            <v>0</v>
          </cell>
          <cell r="AP1137">
            <v>1.41E-2</v>
          </cell>
          <cell r="AQ1137">
            <v>0</v>
          </cell>
          <cell r="AS1137" t="str">
            <v/>
          </cell>
          <cell r="AT1137" t="str">
            <v/>
          </cell>
          <cell r="AV1137" t="b">
            <v>1</v>
          </cell>
          <cell r="AW1137" t="str">
            <v>minute</v>
          </cell>
        </row>
        <row r="1138">
          <cell r="S1138" t="str">
            <v>INT CPV</v>
          </cell>
          <cell r="T1138" t="str">
            <v>INT</v>
          </cell>
          <cell r="U1138" t="str">
            <v>CPV</v>
          </cell>
          <cell r="V1138" t="str">
            <v/>
          </cell>
          <cell r="X1138">
            <v>0.36919999999999997</v>
          </cell>
          <cell r="Y1138">
            <v>0</v>
          </cell>
          <cell r="Z1138">
            <v>0.32100000000000001</v>
          </cell>
          <cell r="AA1138">
            <v>0</v>
          </cell>
          <cell r="AB1138">
            <v>0.27910000000000001</v>
          </cell>
          <cell r="AC1138">
            <v>0</v>
          </cell>
          <cell r="AD1138">
            <v>0.2427</v>
          </cell>
          <cell r="AE1138">
            <v>0</v>
          </cell>
          <cell r="AG1138" t="str">
            <v/>
          </cell>
          <cell r="AH1138" t="str">
            <v/>
          </cell>
          <cell r="AJ1138">
            <v>0.36919999999999997</v>
          </cell>
          <cell r="AK1138">
            <v>0</v>
          </cell>
          <cell r="AL1138">
            <v>0.32100000000000001</v>
          </cell>
          <cell r="AM1138">
            <v>0</v>
          </cell>
          <cell r="AN1138">
            <v>0.27910000000000001</v>
          </cell>
          <cell r="AO1138">
            <v>0</v>
          </cell>
          <cell r="AP1138">
            <v>0.2427</v>
          </cell>
          <cell r="AQ1138">
            <v>0</v>
          </cell>
          <cell r="AS1138" t="str">
            <v/>
          </cell>
          <cell r="AT1138" t="str">
            <v/>
          </cell>
          <cell r="AV1138" t="b">
            <v>1</v>
          </cell>
          <cell r="AW1138" t="str">
            <v>minute</v>
          </cell>
        </row>
        <row r="1139">
          <cell r="S1139" t="str">
            <v>INT CYM</v>
          </cell>
          <cell r="T1139" t="str">
            <v>INT</v>
          </cell>
          <cell r="U1139" t="str">
            <v>CYM</v>
          </cell>
          <cell r="V1139" t="str">
            <v/>
          </cell>
          <cell r="X1139">
            <v>0.26960000000000001</v>
          </cell>
          <cell r="Y1139">
            <v>0</v>
          </cell>
          <cell r="Z1139">
            <v>0.2344</v>
          </cell>
          <cell r="AA1139">
            <v>0</v>
          </cell>
          <cell r="AB1139">
            <v>0.20380000000000001</v>
          </cell>
          <cell r="AC1139">
            <v>0</v>
          </cell>
          <cell r="AD1139">
            <v>0.1772</v>
          </cell>
          <cell r="AE1139">
            <v>0</v>
          </cell>
          <cell r="AG1139" t="str">
            <v/>
          </cell>
          <cell r="AH1139" t="str">
            <v/>
          </cell>
          <cell r="AJ1139">
            <v>0.26960000000000001</v>
          </cell>
          <cell r="AK1139">
            <v>0</v>
          </cell>
          <cell r="AL1139">
            <v>0.2344</v>
          </cell>
          <cell r="AM1139">
            <v>0</v>
          </cell>
          <cell r="AN1139">
            <v>0.20380000000000001</v>
          </cell>
          <cell r="AO1139">
            <v>0</v>
          </cell>
          <cell r="AP1139">
            <v>0.1772</v>
          </cell>
          <cell r="AQ1139">
            <v>0</v>
          </cell>
          <cell r="AS1139" t="str">
            <v/>
          </cell>
          <cell r="AT1139" t="str">
            <v/>
          </cell>
          <cell r="AV1139" t="b">
            <v>1</v>
          </cell>
          <cell r="AW1139" t="str">
            <v>minute</v>
          </cell>
        </row>
        <row r="1140">
          <cell r="S1140" t="str">
            <v>INT CAF</v>
          </cell>
          <cell r="T1140" t="str">
            <v>INT</v>
          </cell>
          <cell r="U1140" t="str">
            <v>CAF</v>
          </cell>
          <cell r="V1140" t="str">
            <v/>
          </cell>
          <cell r="X1140">
            <v>0.55220000000000002</v>
          </cell>
          <cell r="Y1140">
            <v>0</v>
          </cell>
          <cell r="Z1140">
            <v>0.48020000000000002</v>
          </cell>
          <cell r="AA1140">
            <v>0</v>
          </cell>
          <cell r="AB1140">
            <v>0.41760000000000003</v>
          </cell>
          <cell r="AC1140">
            <v>0</v>
          </cell>
          <cell r="AD1140">
            <v>0.36309999999999998</v>
          </cell>
          <cell r="AE1140">
            <v>0</v>
          </cell>
          <cell r="AG1140" t="str">
            <v/>
          </cell>
          <cell r="AH1140" t="str">
            <v/>
          </cell>
          <cell r="AJ1140">
            <v>0.55220000000000002</v>
          </cell>
          <cell r="AK1140">
            <v>0</v>
          </cell>
          <cell r="AL1140">
            <v>0.48020000000000002</v>
          </cell>
          <cell r="AM1140">
            <v>0</v>
          </cell>
          <cell r="AN1140">
            <v>0.41760000000000003</v>
          </cell>
          <cell r="AO1140">
            <v>0</v>
          </cell>
          <cell r="AP1140">
            <v>0.36309999999999998</v>
          </cell>
          <cell r="AQ1140">
            <v>0</v>
          </cell>
          <cell r="AS1140" t="str">
            <v/>
          </cell>
          <cell r="AT1140" t="str">
            <v/>
          </cell>
          <cell r="AV1140" t="b">
            <v>1</v>
          </cell>
          <cell r="AW1140" t="str">
            <v>minute</v>
          </cell>
        </row>
        <row r="1141">
          <cell r="S1141" t="str">
            <v>INT TCD</v>
          </cell>
          <cell r="T1141" t="str">
            <v>INT</v>
          </cell>
          <cell r="U1141" t="str">
            <v>TCD</v>
          </cell>
          <cell r="V1141" t="str">
            <v/>
          </cell>
          <cell r="X1141">
            <v>0.59040000000000004</v>
          </cell>
          <cell r="Y1141">
            <v>0</v>
          </cell>
          <cell r="Z1141">
            <v>0.51329999999999998</v>
          </cell>
          <cell r="AA1141">
            <v>0</v>
          </cell>
          <cell r="AB1141">
            <v>0.44640000000000002</v>
          </cell>
          <cell r="AC1141">
            <v>0</v>
          </cell>
          <cell r="AD1141">
            <v>0.38819999999999999</v>
          </cell>
          <cell r="AE1141">
            <v>0</v>
          </cell>
          <cell r="AG1141" t="str">
            <v/>
          </cell>
          <cell r="AH1141" t="str">
            <v/>
          </cell>
          <cell r="AJ1141">
            <v>0.59040000000000004</v>
          </cell>
          <cell r="AK1141">
            <v>0</v>
          </cell>
          <cell r="AL1141">
            <v>0.51329999999999998</v>
          </cell>
          <cell r="AM1141">
            <v>0</v>
          </cell>
          <cell r="AN1141">
            <v>0.44640000000000002</v>
          </cell>
          <cell r="AO1141">
            <v>0</v>
          </cell>
          <cell r="AP1141">
            <v>0.38819999999999999</v>
          </cell>
          <cell r="AQ1141">
            <v>0</v>
          </cell>
          <cell r="AS1141" t="str">
            <v/>
          </cell>
          <cell r="AT1141" t="str">
            <v/>
          </cell>
          <cell r="AV1141" t="b">
            <v>1</v>
          </cell>
          <cell r="AW1141" t="str">
            <v>minute</v>
          </cell>
        </row>
        <row r="1142">
          <cell r="S1142" t="str">
            <v>INT CHL CHLMO</v>
          </cell>
          <cell r="T1142" t="str">
            <v>INT</v>
          </cell>
          <cell r="U1142" t="str">
            <v>CHL</v>
          </cell>
          <cell r="V1142" t="str">
            <v>CHLMO</v>
          </cell>
          <cell r="X1142">
            <v>0.2767</v>
          </cell>
          <cell r="Y1142">
            <v>0</v>
          </cell>
          <cell r="Z1142">
            <v>0.24060000000000001</v>
          </cell>
          <cell r="AA1142">
            <v>0</v>
          </cell>
          <cell r="AB1142">
            <v>0.2092</v>
          </cell>
          <cell r="AC1142">
            <v>0</v>
          </cell>
          <cell r="AD1142">
            <v>0.18190000000000001</v>
          </cell>
          <cell r="AE1142">
            <v>0</v>
          </cell>
          <cell r="AG1142" t="str">
            <v/>
          </cell>
          <cell r="AH1142" t="str">
            <v/>
          </cell>
          <cell r="AJ1142">
            <v>0.2767</v>
          </cell>
          <cell r="AK1142">
            <v>0</v>
          </cell>
          <cell r="AL1142">
            <v>0.24060000000000001</v>
          </cell>
          <cell r="AM1142">
            <v>0</v>
          </cell>
          <cell r="AN1142">
            <v>0.2092</v>
          </cell>
          <cell r="AO1142">
            <v>0</v>
          </cell>
          <cell r="AP1142">
            <v>0.18190000000000001</v>
          </cell>
          <cell r="AQ1142">
            <v>0</v>
          </cell>
          <cell r="AS1142" t="str">
            <v/>
          </cell>
          <cell r="AT1142" t="str">
            <v/>
          </cell>
          <cell r="AV1142" t="b">
            <v>1</v>
          </cell>
          <cell r="AW1142" t="str">
            <v>minute</v>
          </cell>
        </row>
        <row r="1143">
          <cell r="S1143" t="str">
            <v>INT CHL</v>
          </cell>
          <cell r="T1143" t="str">
            <v>INT</v>
          </cell>
          <cell r="U1143" t="str">
            <v>CHL</v>
          </cell>
          <cell r="V1143" t="str">
            <v/>
          </cell>
          <cell r="X1143">
            <v>0.11210000000000001</v>
          </cell>
          <cell r="Y1143">
            <v>0</v>
          </cell>
          <cell r="Z1143">
            <v>0.1009</v>
          </cell>
          <cell r="AA1143">
            <v>0</v>
          </cell>
          <cell r="AB1143">
            <v>9.5299999999999996E-2</v>
          </cell>
          <cell r="AC1143">
            <v>0</v>
          </cell>
          <cell r="AD1143">
            <v>7.6899999999999996E-2</v>
          </cell>
          <cell r="AE1143">
            <v>0</v>
          </cell>
          <cell r="AG1143" t="str">
            <v/>
          </cell>
          <cell r="AH1143" t="str">
            <v/>
          </cell>
          <cell r="AJ1143">
            <v>0.11210000000000001</v>
          </cell>
          <cell r="AK1143">
            <v>0</v>
          </cell>
          <cell r="AL1143">
            <v>0.1009</v>
          </cell>
          <cell r="AM1143">
            <v>0</v>
          </cell>
          <cell r="AN1143">
            <v>9.5299999999999996E-2</v>
          </cell>
          <cell r="AO1143">
            <v>0</v>
          </cell>
          <cell r="AP1143">
            <v>7.6899999999999996E-2</v>
          </cell>
          <cell r="AQ1143">
            <v>0</v>
          </cell>
          <cell r="AS1143" t="str">
            <v/>
          </cell>
          <cell r="AT1143" t="str">
            <v/>
          </cell>
          <cell r="AV1143" t="b">
            <v>1</v>
          </cell>
          <cell r="AW1143" t="str">
            <v>minute</v>
          </cell>
        </row>
        <row r="1144">
          <cell r="S1144" t="str">
            <v>INT CHN CHNMO</v>
          </cell>
          <cell r="T1144" t="str">
            <v>INT</v>
          </cell>
          <cell r="U1144" t="str">
            <v>CHN</v>
          </cell>
          <cell r="V1144" t="str">
            <v>CHNMO</v>
          </cell>
          <cell r="X1144">
            <v>2.6700000000000002E-2</v>
          </cell>
          <cell r="Y1144">
            <v>0</v>
          </cell>
          <cell r="Z1144">
            <v>2.3199999999999998E-2</v>
          </cell>
          <cell r="AA1144">
            <v>0</v>
          </cell>
          <cell r="AB1144">
            <v>2.0199999999999999E-2</v>
          </cell>
          <cell r="AC1144">
            <v>0</v>
          </cell>
          <cell r="AD1144">
            <v>1.7600000000000001E-2</v>
          </cell>
          <cell r="AE1144">
            <v>0</v>
          </cell>
          <cell r="AG1144" t="str">
            <v/>
          </cell>
          <cell r="AH1144" t="str">
            <v/>
          </cell>
          <cell r="AJ1144">
            <v>2.6700000000000002E-2</v>
          </cell>
          <cell r="AK1144">
            <v>0</v>
          </cell>
          <cell r="AL1144">
            <v>2.3199999999999998E-2</v>
          </cell>
          <cell r="AM1144">
            <v>0</v>
          </cell>
          <cell r="AN1144">
            <v>2.0199999999999999E-2</v>
          </cell>
          <cell r="AO1144">
            <v>0</v>
          </cell>
          <cell r="AP1144">
            <v>1.7600000000000001E-2</v>
          </cell>
          <cell r="AQ1144">
            <v>0</v>
          </cell>
          <cell r="AS1144" t="str">
            <v/>
          </cell>
          <cell r="AT1144" t="str">
            <v/>
          </cell>
          <cell r="AV1144" t="b">
            <v>1</v>
          </cell>
          <cell r="AW1144" t="str">
            <v>minute</v>
          </cell>
        </row>
        <row r="1145">
          <cell r="S1145" t="str">
            <v>INT CHN</v>
          </cell>
          <cell r="T1145" t="str">
            <v>INT</v>
          </cell>
          <cell r="U1145" t="str">
            <v>CHN</v>
          </cell>
          <cell r="V1145" t="str">
            <v/>
          </cell>
          <cell r="X1145">
            <v>2.6700000000000002E-2</v>
          </cell>
          <cell r="Y1145">
            <v>0</v>
          </cell>
          <cell r="Z1145">
            <v>2.3199999999999998E-2</v>
          </cell>
          <cell r="AA1145">
            <v>0</v>
          </cell>
          <cell r="AB1145">
            <v>2.0199999999999999E-2</v>
          </cell>
          <cell r="AC1145">
            <v>0</v>
          </cell>
          <cell r="AD1145">
            <v>1.7600000000000001E-2</v>
          </cell>
          <cell r="AE1145">
            <v>0</v>
          </cell>
          <cell r="AG1145" t="str">
            <v/>
          </cell>
          <cell r="AH1145" t="str">
            <v/>
          </cell>
          <cell r="AJ1145">
            <v>2.6700000000000002E-2</v>
          </cell>
          <cell r="AK1145">
            <v>0</v>
          </cell>
          <cell r="AL1145">
            <v>2.3199999999999998E-2</v>
          </cell>
          <cell r="AM1145">
            <v>0</v>
          </cell>
          <cell r="AN1145">
            <v>2.0199999999999999E-2</v>
          </cell>
          <cell r="AO1145">
            <v>0</v>
          </cell>
          <cell r="AP1145">
            <v>1.7600000000000001E-2</v>
          </cell>
          <cell r="AQ1145">
            <v>0</v>
          </cell>
          <cell r="AS1145" t="str">
            <v/>
          </cell>
          <cell r="AT1145" t="str">
            <v/>
          </cell>
          <cell r="AV1145" t="b">
            <v>1</v>
          </cell>
          <cell r="AW1145" t="str">
            <v>minute</v>
          </cell>
        </row>
        <row r="1146">
          <cell r="S1146" t="str">
            <v>INT COL COLMO</v>
          </cell>
          <cell r="T1146" t="str">
            <v>INT</v>
          </cell>
          <cell r="U1146" t="str">
            <v>COL</v>
          </cell>
          <cell r="V1146" t="str">
            <v>COLMO</v>
          </cell>
          <cell r="X1146">
            <v>0.1431</v>
          </cell>
          <cell r="Y1146">
            <v>0</v>
          </cell>
          <cell r="Z1146">
            <v>0.1244</v>
          </cell>
          <cell r="AA1146">
            <v>0</v>
          </cell>
          <cell r="AB1146">
            <v>0.1082</v>
          </cell>
          <cell r="AC1146">
            <v>0</v>
          </cell>
          <cell r="AD1146">
            <v>9.4100000000000003E-2</v>
          </cell>
          <cell r="AE1146">
            <v>0</v>
          </cell>
          <cell r="AG1146" t="str">
            <v/>
          </cell>
          <cell r="AH1146" t="str">
            <v/>
          </cell>
          <cell r="AJ1146">
            <v>0.1431</v>
          </cell>
          <cell r="AK1146">
            <v>0</v>
          </cell>
          <cell r="AL1146">
            <v>0.1244</v>
          </cell>
          <cell r="AM1146">
            <v>0</v>
          </cell>
          <cell r="AN1146">
            <v>0.1082</v>
          </cell>
          <cell r="AO1146">
            <v>0</v>
          </cell>
          <cell r="AP1146">
            <v>9.4100000000000003E-2</v>
          </cell>
          <cell r="AQ1146">
            <v>0</v>
          </cell>
          <cell r="AS1146" t="str">
            <v/>
          </cell>
          <cell r="AT1146" t="str">
            <v/>
          </cell>
          <cell r="AV1146" t="b">
            <v>1</v>
          </cell>
          <cell r="AW1146" t="str">
            <v>minute</v>
          </cell>
        </row>
        <row r="1147">
          <cell r="S1147" t="str">
            <v>INT COL</v>
          </cell>
          <cell r="T1147" t="str">
            <v>INT</v>
          </cell>
          <cell r="U1147" t="str">
            <v>COL</v>
          </cell>
          <cell r="V1147" t="str">
            <v/>
          </cell>
          <cell r="X1147">
            <v>3.3700000000000001E-2</v>
          </cell>
          <cell r="Y1147">
            <v>0</v>
          </cell>
          <cell r="Z1147">
            <v>2.93E-2</v>
          </cell>
          <cell r="AA1147">
            <v>0</v>
          </cell>
          <cell r="AB1147">
            <v>2.5499999999999998E-2</v>
          </cell>
          <cell r="AC1147">
            <v>0</v>
          </cell>
          <cell r="AD1147">
            <v>2.2200000000000001E-2</v>
          </cell>
          <cell r="AE1147">
            <v>0</v>
          </cell>
          <cell r="AG1147" t="str">
            <v/>
          </cell>
          <cell r="AH1147" t="str">
            <v/>
          </cell>
          <cell r="AJ1147">
            <v>3.3700000000000001E-2</v>
          </cell>
          <cell r="AK1147">
            <v>0</v>
          </cell>
          <cell r="AL1147">
            <v>2.93E-2</v>
          </cell>
          <cell r="AM1147">
            <v>0</v>
          </cell>
          <cell r="AN1147">
            <v>2.5499999999999998E-2</v>
          </cell>
          <cell r="AO1147">
            <v>0</v>
          </cell>
          <cell r="AP1147">
            <v>2.2200000000000001E-2</v>
          </cell>
          <cell r="AQ1147">
            <v>0</v>
          </cell>
          <cell r="AS1147" t="str">
            <v/>
          </cell>
          <cell r="AT1147" t="str">
            <v/>
          </cell>
          <cell r="AV1147" t="b">
            <v>1</v>
          </cell>
          <cell r="AW1147" t="str">
            <v>minute</v>
          </cell>
        </row>
        <row r="1148">
          <cell r="S1148" t="str">
            <v>INT COM</v>
          </cell>
          <cell r="T1148" t="str">
            <v>INT</v>
          </cell>
          <cell r="U1148" t="str">
            <v>COM</v>
          </cell>
          <cell r="V1148" t="str">
            <v/>
          </cell>
          <cell r="X1148">
            <v>0.48330000000000001</v>
          </cell>
          <cell r="Y1148">
            <v>0</v>
          </cell>
          <cell r="Z1148">
            <v>0.42030000000000001</v>
          </cell>
          <cell r="AA1148">
            <v>0</v>
          </cell>
          <cell r="AB1148">
            <v>0.36549999999999999</v>
          </cell>
          <cell r="AC1148">
            <v>0</v>
          </cell>
          <cell r="AD1148">
            <v>0.31780000000000003</v>
          </cell>
          <cell r="AE1148">
            <v>0</v>
          </cell>
          <cell r="AG1148" t="str">
            <v/>
          </cell>
          <cell r="AH1148" t="str">
            <v/>
          </cell>
          <cell r="AJ1148">
            <v>0.48330000000000001</v>
          </cell>
          <cell r="AK1148">
            <v>0</v>
          </cell>
          <cell r="AL1148">
            <v>0.42030000000000001</v>
          </cell>
          <cell r="AM1148">
            <v>0</v>
          </cell>
          <cell r="AN1148">
            <v>0.36549999999999999</v>
          </cell>
          <cell r="AO1148">
            <v>0</v>
          </cell>
          <cell r="AP1148">
            <v>0.31780000000000003</v>
          </cell>
          <cell r="AQ1148">
            <v>0</v>
          </cell>
          <cell r="AS1148" t="str">
            <v/>
          </cell>
          <cell r="AT1148" t="str">
            <v/>
          </cell>
          <cell r="AV1148" t="b">
            <v>1</v>
          </cell>
          <cell r="AW1148" t="str">
            <v>minute</v>
          </cell>
        </row>
        <row r="1149">
          <cell r="S1149" t="str">
            <v>INT COG</v>
          </cell>
          <cell r="T1149" t="str">
            <v>INT</v>
          </cell>
          <cell r="U1149" t="str">
            <v>COG</v>
          </cell>
          <cell r="V1149" t="str">
            <v/>
          </cell>
          <cell r="X1149">
            <v>0.52449999999999997</v>
          </cell>
          <cell r="Y1149">
            <v>0</v>
          </cell>
          <cell r="Z1149">
            <v>0.47199999999999998</v>
          </cell>
          <cell r="AA1149">
            <v>0</v>
          </cell>
          <cell r="AB1149">
            <v>0.44579999999999997</v>
          </cell>
          <cell r="AC1149">
            <v>0</v>
          </cell>
          <cell r="AD1149">
            <v>0.41959999999999997</v>
          </cell>
          <cell r="AE1149">
            <v>0</v>
          </cell>
          <cell r="AG1149" t="str">
            <v/>
          </cell>
          <cell r="AH1149" t="str">
            <v/>
          </cell>
          <cell r="AJ1149">
            <v>0.52449999999999997</v>
          </cell>
          <cell r="AK1149">
            <v>0</v>
          </cell>
          <cell r="AL1149">
            <v>0.47199999999999998</v>
          </cell>
          <cell r="AM1149">
            <v>0</v>
          </cell>
          <cell r="AN1149">
            <v>0.44579999999999997</v>
          </cell>
          <cell r="AO1149">
            <v>0</v>
          </cell>
          <cell r="AP1149">
            <v>0.41959999999999997</v>
          </cell>
          <cell r="AQ1149">
            <v>0</v>
          </cell>
          <cell r="AS1149" t="str">
            <v/>
          </cell>
          <cell r="AT1149" t="str">
            <v/>
          </cell>
          <cell r="AV1149" t="b">
            <v>1</v>
          </cell>
          <cell r="AW1149" t="str">
            <v>minute</v>
          </cell>
        </row>
        <row r="1150">
          <cell r="S1150" t="str">
            <v>INT ZAR</v>
          </cell>
          <cell r="T1150" t="str">
            <v>INT</v>
          </cell>
          <cell r="U1150" t="str">
            <v>ZAR</v>
          </cell>
          <cell r="V1150" t="str">
            <v/>
          </cell>
          <cell r="X1150">
            <v>0.66110000000000002</v>
          </cell>
          <cell r="Y1150">
            <v>0</v>
          </cell>
          <cell r="Z1150">
            <v>0.57489999999999997</v>
          </cell>
          <cell r="AA1150">
            <v>0</v>
          </cell>
          <cell r="AB1150">
            <v>0.49990000000000001</v>
          </cell>
          <cell r="AC1150">
            <v>0</v>
          </cell>
          <cell r="AD1150">
            <v>0.43469999999999998</v>
          </cell>
          <cell r="AE1150">
            <v>0</v>
          </cell>
          <cell r="AG1150" t="str">
            <v/>
          </cell>
          <cell r="AH1150" t="str">
            <v/>
          </cell>
          <cell r="AJ1150">
            <v>0.66110000000000002</v>
          </cell>
          <cell r="AK1150">
            <v>0</v>
          </cell>
          <cell r="AL1150">
            <v>0.57489999999999997</v>
          </cell>
          <cell r="AM1150">
            <v>0</v>
          </cell>
          <cell r="AN1150">
            <v>0.49990000000000001</v>
          </cell>
          <cell r="AO1150">
            <v>0</v>
          </cell>
          <cell r="AP1150">
            <v>0.43469999999999998</v>
          </cell>
          <cell r="AQ1150">
            <v>0</v>
          </cell>
          <cell r="AS1150" t="str">
            <v/>
          </cell>
          <cell r="AT1150" t="str">
            <v/>
          </cell>
          <cell r="AV1150" t="b">
            <v>1</v>
          </cell>
          <cell r="AW1150" t="str">
            <v>minute</v>
          </cell>
        </row>
        <row r="1151">
          <cell r="S1151" t="str">
            <v>INT COK COKMO</v>
          </cell>
          <cell r="T1151" t="str">
            <v>INT</v>
          </cell>
          <cell r="U1151" t="str">
            <v>COK</v>
          </cell>
          <cell r="V1151" t="str">
            <v>COKMO</v>
          </cell>
          <cell r="X1151">
            <v>1.1676</v>
          </cell>
          <cell r="Y1151">
            <v>0</v>
          </cell>
          <cell r="Z1151">
            <v>1.0153000000000001</v>
          </cell>
          <cell r="AA1151">
            <v>0</v>
          </cell>
          <cell r="AB1151">
            <v>0.88290000000000002</v>
          </cell>
          <cell r="AC1151">
            <v>0</v>
          </cell>
          <cell r="AD1151">
            <v>0.76770000000000005</v>
          </cell>
          <cell r="AE1151">
            <v>0</v>
          </cell>
          <cell r="AG1151" t="str">
            <v/>
          </cell>
          <cell r="AH1151" t="str">
            <v/>
          </cell>
          <cell r="AJ1151">
            <v>1.1676</v>
          </cell>
          <cell r="AK1151">
            <v>0</v>
          </cell>
          <cell r="AL1151">
            <v>1.0153000000000001</v>
          </cell>
          <cell r="AM1151">
            <v>0</v>
          </cell>
          <cell r="AN1151">
            <v>0.88290000000000002</v>
          </cell>
          <cell r="AO1151">
            <v>0</v>
          </cell>
          <cell r="AP1151">
            <v>0.76770000000000005</v>
          </cell>
          <cell r="AQ1151">
            <v>0</v>
          </cell>
          <cell r="AS1151" t="str">
            <v/>
          </cell>
          <cell r="AT1151" t="str">
            <v/>
          </cell>
          <cell r="AV1151" t="b">
            <v>1</v>
          </cell>
          <cell r="AW1151" t="str">
            <v>minute</v>
          </cell>
        </row>
        <row r="1152">
          <cell r="S1152" t="str">
            <v>INT COK</v>
          </cell>
          <cell r="T1152" t="str">
            <v>INT</v>
          </cell>
          <cell r="U1152" t="str">
            <v>COK</v>
          </cell>
          <cell r="V1152" t="str">
            <v/>
          </cell>
          <cell r="X1152">
            <v>1.1676</v>
          </cell>
          <cell r="Y1152">
            <v>0</v>
          </cell>
          <cell r="Z1152">
            <v>1.0153000000000001</v>
          </cell>
          <cell r="AA1152">
            <v>0</v>
          </cell>
          <cell r="AB1152">
            <v>0.88290000000000002</v>
          </cell>
          <cell r="AC1152">
            <v>0</v>
          </cell>
          <cell r="AD1152">
            <v>0.76770000000000005</v>
          </cell>
          <cell r="AE1152">
            <v>0</v>
          </cell>
          <cell r="AG1152" t="str">
            <v/>
          </cell>
          <cell r="AH1152" t="str">
            <v/>
          </cell>
          <cell r="AJ1152">
            <v>1.1676</v>
          </cell>
          <cell r="AK1152">
            <v>0</v>
          </cell>
          <cell r="AL1152">
            <v>1.0153000000000001</v>
          </cell>
          <cell r="AM1152">
            <v>0</v>
          </cell>
          <cell r="AN1152">
            <v>0.88290000000000002</v>
          </cell>
          <cell r="AO1152">
            <v>0</v>
          </cell>
          <cell r="AP1152">
            <v>0.76770000000000005</v>
          </cell>
          <cell r="AQ1152">
            <v>0</v>
          </cell>
          <cell r="AS1152" t="str">
            <v/>
          </cell>
          <cell r="AT1152" t="str">
            <v/>
          </cell>
          <cell r="AV1152" t="b">
            <v>1</v>
          </cell>
          <cell r="AW1152" t="str">
            <v>minute</v>
          </cell>
        </row>
        <row r="1153">
          <cell r="S1153" t="str">
            <v>INT CRI CRIMO</v>
          </cell>
          <cell r="T1153" t="str">
            <v>INT</v>
          </cell>
          <cell r="U1153" t="str">
            <v>CRI</v>
          </cell>
          <cell r="V1153" t="str">
            <v>CRIMO</v>
          </cell>
          <cell r="X1153">
            <v>0.12280000000000001</v>
          </cell>
          <cell r="Y1153">
            <v>0</v>
          </cell>
          <cell r="Z1153">
            <v>0.10680000000000001</v>
          </cell>
          <cell r="AA1153">
            <v>0</v>
          </cell>
          <cell r="AB1153">
            <v>9.2899999999999996E-2</v>
          </cell>
          <cell r="AC1153">
            <v>0</v>
          </cell>
          <cell r="AD1153">
            <v>8.0799999999999997E-2</v>
          </cell>
          <cell r="AE1153">
            <v>0</v>
          </cell>
          <cell r="AG1153" t="str">
            <v/>
          </cell>
          <cell r="AH1153" t="str">
            <v/>
          </cell>
          <cell r="AJ1153">
            <v>0.12280000000000001</v>
          </cell>
          <cell r="AK1153">
            <v>0</v>
          </cell>
          <cell r="AL1153">
            <v>0.10680000000000001</v>
          </cell>
          <cell r="AM1153">
            <v>0</v>
          </cell>
          <cell r="AN1153">
            <v>9.2899999999999996E-2</v>
          </cell>
          <cell r="AO1153">
            <v>0</v>
          </cell>
          <cell r="AP1153">
            <v>8.0799999999999997E-2</v>
          </cell>
          <cell r="AQ1153">
            <v>0</v>
          </cell>
          <cell r="AS1153" t="str">
            <v/>
          </cell>
          <cell r="AT1153" t="str">
            <v/>
          </cell>
          <cell r="AV1153" t="b">
            <v>1</v>
          </cell>
          <cell r="AW1153" t="str">
            <v>minute</v>
          </cell>
        </row>
        <row r="1154">
          <cell r="S1154" t="str">
            <v>INT CRI</v>
          </cell>
          <cell r="T1154" t="str">
            <v>INT</v>
          </cell>
          <cell r="U1154" t="str">
            <v>CRI</v>
          </cell>
          <cell r="V1154" t="str">
            <v/>
          </cell>
          <cell r="X1154">
            <v>3.9600000000000003E-2</v>
          </cell>
          <cell r="Y1154">
            <v>0</v>
          </cell>
          <cell r="Z1154">
            <v>3.44E-2</v>
          </cell>
          <cell r="AA1154">
            <v>0</v>
          </cell>
          <cell r="AB1154">
            <v>2.9899999999999999E-2</v>
          </cell>
          <cell r="AC1154">
            <v>0</v>
          </cell>
          <cell r="AD1154">
            <v>2.5999999999999999E-2</v>
          </cell>
          <cell r="AE1154">
            <v>0</v>
          </cell>
          <cell r="AG1154" t="str">
            <v/>
          </cell>
          <cell r="AH1154" t="str">
            <v/>
          </cell>
          <cell r="AJ1154">
            <v>3.9600000000000003E-2</v>
          </cell>
          <cell r="AK1154">
            <v>0</v>
          </cell>
          <cell r="AL1154">
            <v>3.44E-2</v>
          </cell>
          <cell r="AM1154">
            <v>0</v>
          </cell>
          <cell r="AN1154">
            <v>2.9899999999999999E-2</v>
          </cell>
          <cell r="AO1154">
            <v>0</v>
          </cell>
          <cell r="AP1154">
            <v>2.5999999999999999E-2</v>
          </cell>
          <cell r="AQ1154">
            <v>0</v>
          </cell>
          <cell r="AS1154" t="str">
            <v/>
          </cell>
          <cell r="AT1154" t="str">
            <v/>
          </cell>
          <cell r="AV1154" t="b">
            <v>1</v>
          </cell>
          <cell r="AW1154" t="str">
            <v>minute</v>
          </cell>
        </row>
        <row r="1155">
          <cell r="S1155" t="str">
            <v>INT CIV CIVMO</v>
          </cell>
          <cell r="T1155" t="str">
            <v>INT</v>
          </cell>
          <cell r="U1155" t="str">
            <v>CIV</v>
          </cell>
          <cell r="V1155" t="str">
            <v>CIVMO</v>
          </cell>
          <cell r="X1155">
            <v>0.44569999999999999</v>
          </cell>
          <cell r="Y1155">
            <v>0</v>
          </cell>
          <cell r="Z1155">
            <v>0.3876</v>
          </cell>
          <cell r="AA1155">
            <v>0</v>
          </cell>
          <cell r="AB1155">
            <v>0.33700000000000002</v>
          </cell>
          <cell r="AC1155">
            <v>0</v>
          </cell>
          <cell r="AD1155">
            <v>0.29299999999999998</v>
          </cell>
          <cell r="AE1155">
            <v>0</v>
          </cell>
          <cell r="AG1155" t="str">
            <v/>
          </cell>
          <cell r="AH1155" t="str">
            <v/>
          </cell>
          <cell r="AJ1155">
            <v>0.44569999999999999</v>
          </cell>
          <cell r="AK1155">
            <v>0</v>
          </cell>
          <cell r="AL1155">
            <v>0.3876</v>
          </cell>
          <cell r="AM1155">
            <v>0</v>
          </cell>
          <cell r="AN1155">
            <v>0.33700000000000002</v>
          </cell>
          <cell r="AO1155">
            <v>0</v>
          </cell>
          <cell r="AP1155">
            <v>0.29299999999999998</v>
          </cell>
          <cell r="AQ1155">
            <v>0</v>
          </cell>
          <cell r="AS1155" t="str">
            <v/>
          </cell>
          <cell r="AT1155" t="str">
            <v/>
          </cell>
          <cell r="AV1155" t="b">
            <v>1</v>
          </cell>
          <cell r="AW1155" t="str">
            <v>minute</v>
          </cell>
        </row>
        <row r="1156">
          <cell r="S1156" t="str">
            <v>INT CIV</v>
          </cell>
          <cell r="T1156" t="str">
            <v>INT</v>
          </cell>
          <cell r="U1156" t="str">
            <v>CIV</v>
          </cell>
          <cell r="V1156" t="str">
            <v/>
          </cell>
          <cell r="X1156">
            <v>0.30830000000000002</v>
          </cell>
          <cell r="Y1156">
            <v>0</v>
          </cell>
          <cell r="Z1156">
            <v>0.2681</v>
          </cell>
          <cell r="AA1156">
            <v>0</v>
          </cell>
          <cell r="AB1156">
            <v>0.2331</v>
          </cell>
          <cell r="AC1156">
            <v>0</v>
          </cell>
          <cell r="AD1156">
            <v>0.20269999999999999</v>
          </cell>
          <cell r="AE1156">
            <v>0</v>
          </cell>
          <cell r="AG1156" t="str">
            <v/>
          </cell>
          <cell r="AH1156" t="str">
            <v/>
          </cell>
          <cell r="AJ1156">
            <v>0.30830000000000002</v>
          </cell>
          <cell r="AK1156">
            <v>0</v>
          </cell>
          <cell r="AL1156">
            <v>0.2681</v>
          </cell>
          <cell r="AM1156">
            <v>0</v>
          </cell>
          <cell r="AN1156">
            <v>0.2331</v>
          </cell>
          <cell r="AO1156">
            <v>0</v>
          </cell>
          <cell r="AP1156">
            <v>0.20269999999999999</v>
          </cell>
          <cell r="AQ1156">
            <v>0</v>
          </cell>
          <cell r="AS1156" t="str">
            <v/>
          </cell>
          <cell r="AT1156" t="str">
            <v/>
          </cell>
          <cell r="AV1156" t="b">
            <v>1</v>
          </cell>
          <cell r="AW1156" t="str">
            <v>minute</v>
          </cell>
        </row>
        <row r="1157">
          <cell r="S1157" t="str">
            <v>INT HRV HRVMO</v>
          </cell>
          <cell r="T1157" t="str">
            <v>INT</v>
          </cell>
          <cell r="U1157" t="str">
            <v>HRV</v>
          </cell>
          <cell r="V1157" t="str">
            <v>HRVMO</v>
          </cell>
          <cell r="X1157">
            <v>0.1646</v>
          </cell>
          <cell r="Y1157">
            <v>0</v>
          </cell>
          <cell r="Z1157">
            <v>0.1431</v>
          </cell>
          <cell r="AA1157">
            <v>0</v>
          </cell>
          <cell r="AB1157">
            <v>0.1244</v>
          </cell>
          <cell r="AC1157">
            <v>0</v>
          </cell>
          <cell r="AD1157">
            <v>0.1082</v>
          </cell>
          <cell r="AE1157">
            <v>0</v>
          </cell>
          <cell r="AG1157" t="str">
            <v/>
          </cell>
          <cell r="AH1157" t="str">
            <v/>
          </cell>
          <cell r="AJ1157">
            <v>0.1646</v>
          </cell>
          <cell r="AK1157">
            <v>0</v>
          </cell>
          <cell r="AL1157">
            <v>0.1431</v>
          </cell>
          <cell r="AM1157">
            <v>0</v>
          </cell>
          <cell r="AN1157">
            <v>0.1244</v>
          </cell>
          <cell r="AO1157">
            <v>0</v>
          </cell>
          <cell r="AP1157">
            <v>0.1082</v>
          </cell>
          <cell r="AQ1157">
            <v>0</v>
          </cell>
          <cell r="AS1157" t="str">
            <v/>
          </cell>
          <cell r="AT1157" t="str">
            <v/>
          </cell>
          <cell r="AV1157" t="b">
            <v>1</v>
          </cell>
          <cell r="AW1157" t="str">
            <v>minute</v>
          </cell>
        </row>
        <row r="1158">
          <cell r="S1158" t="str">
            <v>INT HRV</v>
          </cell>
          <cell r="T1158" t="str">
            <v>INT</v>
          </cell>
          <cell r="U1158" t="str">
            <v>HRV</v>
          </cell>
          <cell r="V1158" t="str">
            <v/>
          </cell>
          <cell r="X1158">
            <v>2.0400000000000001E-2</v>
          </cell>
          <cell r="Y1158">
            <v>0</v>
          </cell>
          <cell r="Z1158">
            <v>1.83E-2</v>
          </cell>
          <cell r="AA1158">
            <v>0</v>
          </cell>
          <cell r="AB1158">
            <v>1.7299999999999999E-2</v>
          </cell>
          <cell r="AC1158">
            <v>0</v>
          </cell>
          <cell r="AD1158">
            <v>1.6299999999999999E-2</v>
          </cell>
          <cell r="AE1158">
            <v>0</v>
          </cell>
          <cell r="AG1158" t="str">
            <v/>
          </cell>
          <cell r="AH1158" t="str">
            <v/>
          </cell>
          <cell r="AJ1158">
            <v>2.0400000000000001E-2</v>
          </cell>
          <cell r="AK1158">
            <v>0</v>
          </cell>
          <cell r="AL1158">
            <v>1.83E-2</v>
          </cell>
          <cell r="AM1158">
            <v>0</v>
          </cell>
          <cell r="AN1158">
            <v>1.7299999999999999E-2</v>
          </cell>
          <cell r="AO1158">
            <v>0</v>
          </cell>
          <cell r="AP1158">
            <v>1.6299999999999999E-2</v>
          </cell>
          <cell r="AQ1158">
            <v>0</v>
          </cell>
          <cell r="AS1158" t="str">
            <v/>
          </cell>
          <cell r="AT1158" t="str">
            <v/>
          </cell>
          <cell r="AV1158" t="b">
            <v>1</v>
          </cell>
          <cell r="AW1158" t="str">
            <v>minute</v>
          </cell>
        </row>
        <row r="1159">
          <cell r="S1159" t="str">
            <v>INT CUB CUBMO</v>
          </cell>
          <cell r="T1159" t="str">
            <v>INT</v>
          </cell>
          <cell r="U1159" t="str">
            <v>CUB</v>
          </cell>
          <cell r="V1159" t="str">
            <v>CUBMO</v>
          </cell>
          <cell r="X1159">
            <v>1.5811999999999999</v>
          </cell>
          <cell r="Y1159">
            <v>0</v>
          </cell>
          <cell r="Z1159">
            <v>1.3752</v>
          </cell>
          <cell r="AA1159">
            <v>0</v>
          </cell>
          <cell r="AB1159">
            <v>1.1958</v>
          </cell>
          <cell r="AC1159">
            <v>0</v>
          </cell>
          <cell r="AD1159">
            <v>1.0398000000000001</v>
          </cell>
          <cell r="AE1159">
            <v>0</v>
          </cell>
          <cell r="AG1159" t="str">
            <v/>
          </cell>
          <cell r="AH1159" t="str">
            <v/>
          </cell>
          <cell r="AJ1159">
            <v>1.5811999999999999</v>
          </cell>
          <cell r="AK1159">
            <v>0</v>
          </cell>
          <cell r="AL1159">
            <v>1.3752</v>
          </cell>
          <cell r="AM1159">
            <v>0</v>
          </cell>
          <cell r="AN1159">
            <v>1.1958</v>
          </cell>
          <cell r="AO1159">
            <v>0</v>
          </cell>
          <cell r="AP1159">
            <v>1.0398000000000001</v>
          </cell>
          <cell r="AQ1159">
            <v>0</v>
          </cell>
          <cell r="AS1159" t="str">
            <v/>
          </cell>
          <cell r="AT1159" t="str">
            <v/>
          </cell>
          <cell r="AV1159" t="b">
            <v>1</v>
          </cell>
          <cell r="AW1159" t="str">
            <v>minute</v>
          </cell>
        </row>
        <row r="1160">
          <cell r="S1160" t="str">
            <v>INT CUB</v>
          </cell>
          <cell r="T1160" t="str">
            <v>INT</v>
          </cell>
          <cell r="U1160" t="str">
            <v>CUB</v>
          </cell>
          <cell r="V1160" t="str">
            <v/>
          </cell>
          <cell r="X1160">
            <v>1.5798000000000001</v>
          </cell>
          <cell r="Y1160">
            <v>0</v>
          </cell>
          <cell r="Z1160">
            <v>1.3734</v>
          </cell>
          <cell r="AA1160">
            <v>0</v>
          </cell>
          <cell r="AB1160">
            <v>1.1941999999999999</v>
          </cell>
          <cell r="AC1160">
            <v>0</v>
          </cell>
          <cell r="AD1160">
            <v>1.0387</v>
          </cell>
          <cell r="AE1160">
            <v>0</v>
          </cell>
          <cell r="AG1160" t="str">
            <v/>
          </cell>
          <cell r="AH1160" t="str">
            <v/>
          </cell>
          <cell r="AJ1160">
            <v>1.5798000000000001</v>
          </cell>
          <cell r="AK1160">
            <v>0</v>
          </cell>
          <cell r="AL1160">
            <v>1.3734</v>
          </cell>
          <cell r="AM1160">
            <v>0</v>
          </cell>
          <cell r="AN1160">
            <v>1.1941999999999999</v>
          </cell>
          <cell r="AO1160">
            <v>0</v>
          </cell>
          <cell r="AP1160">
            <v>1.0387</v>
          </cell>
          <cell r="AQ1160">
            <v>0</v>
          </cell>
          <cell r="AS1160" t="str">
            <v/>
          </cell>
          <cell r="AT1160" t="str">
            <v/>
          </cell>
          <cell r="AV1160" t="b">
            <v>1</v>
          </cell>
          <cell r="AW1160" t="str">
            <v>minute</v>
          </cell>
        </row>
        <row r="1161">
          <cell r="S1161" t="str">
            <v>INT CUW CUWMO</v>
          </cell>
          <cell r="T1161" t="str">
            <v>INT</v>
          </cell>
          <cell r="U1161" t="str">
            <v>CUW</v>
          </cell>
          <cell r="V1161" t="str">
            <v>CUWMO</v>
          </cell>
          <cell r="X1161">
            <v>0.24590000000000001</v>
          </cell>
          <cell r="Y1161">
            <v>0</v>
          </cell>
          <cell r="Z1161">
            <v>0.19670000000000001</v>
          </cell>
          <cell r="AA1161">
            <v>0</v>
          </cell>
          <cell r="AB1161">
            <v>0.1721</v>
          </cell>
          <cell r="AC1161">
            <v>0</v>
          </cell>
          <cell r="AD1161">
            <v>0.12540000000000001</v>
          </cell>
          <cell r="AE1161">
            <v>0</v>
          </cell>
          <cell r="AG1161" t="str">
            <v/>
          </cell>
          <cell r="AH1161" t="str">
            <v/>
          </cell>
          <cell r="AJ1161">
            <v>0.24590000000000001</v>
          </cell>
          <cell r="AK1161">
            <v>0</v>
          </cell>
          <cell r="AL1161">
            <v>0.19670000000000001</v>
          </cell>
          <cell r="AM1161">
            <v>0</v>
          </cell>
          <cell r="AN1161">
            <v>0.1721</v>
          </cell>
          <cell r="AO1161">
            <v>0</v>
          </cell>
          <cell r="AP1161">
            <v>0.12540000000000001</v>
          </cell>
          <cell r="AQ1161">
            <v>0</v>
          </cell>
          <cell r="AS1161" t="str">
            <v/>
          </cell>
          <cell r="AT1161" t="str">
            <v/>
          </cell>
          <cell r="AV1161" t="b">
            <v>1</v>
          </cell>
          <cell r="AW1161" t="str">
            <v>minute</v>
          </cell>
        </row>
        <row r="1162">
          <cell r="S1162" t="str">
            <v>INT CUW</v>
          </cell>
          <cell r="T1162" t="str">
            <v>INT</v>
          </cell>
          <cell r="U1162" t="str">
            <v>CUW</v>
          </cell>
          <cell r="V1162" t="str">
            <v/>
          </cell>
          <cell r="X1162">
            <v>0.19070000000000001</v>
          </cell>
          <cell r="Y1162">
            <v>0</v>
          </cell>
          <cell r="Z1162">
            <v>0.1658</v>
          </cell>
          <cell r="AA1162">
            <v>0</v>
          </cell>
          <cell r="AB1162">
            <v>0.14419999999999999</v>
          </cell>
          <cell r="AC1162">
            <v>0</v>
          </cell>
          <cell r="AD1162">
            <v>0.12540000000000001</v>
          </cell>
          <cell r="AE1162">
            <v>0</v>
          </cell>
          <cell r="AG1162" t="str">
            <v/>
          </cell>
          <cell r="AH1162" t="str">
            <v/>
          </cell>
          <cell r="AJ1162">
            <v>0.19070000000000001</v>
          </cell>
          <cell r="AK1162">
            <v>0</v>
          </cell>
          <cell r="AL1162">
            <v>0.1658</v>
          </cell>
          <cell r="AM1162">
            <v>0</v>
          </cell>
          <cell r="AN1162">
            <v>0.14419999999999999</v>
          </cell>
          <cell r="AO1162">
            <v>0</v>
          </cell>
          <cell r="AP1162">
            <v>0.12540000000000001</v>
          </cell>
          <cell r="AQ1162">
            <v>0</v>
          </cell>
          <cell r="AS1162" t="str">
            <v/>
          </cell>
          <cell r="AT1162" t="str">
            <v/>
          </cell>
          <cell r="AV1162" t="b">
            <v>1</v>
          </cell>
          <cell r="AW1162" t="str">
            <v>minute</v>
          </cell>
        </row>
        <row r="1163">
          <cell r="S1163" t="str">
            <v>INT CSK CSKMO</v>
          </cell>
          <cell r="T1163" t="str">
            <v>INT</v>
          </cell>
          <cell r="U1163" t="str">
            <v>CSK</v>
          </cell>
          <cell r="V1163" t="str">
            <v>CSKMO</v>
          </cell>
          <cell r="X1163">
            <v>9.5899999999999999E-2</v>
          </cell>
          <cell r="Y1163">
            <v>0</v>
          </cell>
          <cell r="Z1163">
            <v>8.6300000000000002E-2</v>
          </cell>
          <cell r="AA1163">
            <v>0</v>
          </cell>
          <cell r="AB1163">
            <v>8.1500000000000003E-2</v>
          </cell>
          <cell r="AC1163">
            <v>0</v>
          </cell>
          <cell r="AD1163">
            <v>7.6700000000000004E-2</v>
          </cell>
          <cell r="AE1163">
            <v>0</v>
          </cell>
          <cell r="AG1163" t="str">
            <v/>
          </cell>
          <cell r="AH1163" t="str">
            <v/>
          </cell>
          <cell r="AJ1163">
            <v>9.5899999999999999E-2</v>
          </cell>
          <cell r="AK1163">
            <v>0</v>
          </cell>
          <cell r="AL1163">
            <v>8.6300000000000002E-2</v>
          </cell>
          <cell r="AM1163">
            <v>0</v>
          </cell>
          <cell r="AN1163">
            <v>8.1500000000000003E-2</v>
          </cell>
          <cell r="AO1163">
            <v>0</v>
          </cell>
          <cell r="AP1163">
            <v>7.6700000000000004E-2</v>
          </cell>
          <cell r="AQ1163">
            <v>0</v>
          </cell>
          <cell r="AS1163" t="str">
            <v/>
          </cell>
          <cell r="AT1163" t="str">
            <v/>
          </cell>
          <cell r="AV1163" t="b">
            <v>1</v>
          </cell>
          <cell r="AW1163" t="str">
            <v>minute</v>
          </cell>
        </row>
        <row r="1164">
          <cell r="S1164" t="str">
            <v>INT CSK</v>
          </cell>
          <cell r="T1164" t="str">
            <v>INT</v>
          </cell>
          <cell r="U1164" t="str">
            <v>CSK</v>
          </cell>
          <cell r="V1164" t="str">
            <v/>
          </cell>
          <cell r="X1164">
            <v>2.6499999999999999E-2</v>
          </cell>
          <cell r="Y1164">
            <v>0</v>
          </cell>
          <cell r="Z1164">
            <v>2.5399999999999999E-2</v>
          </cell>
          <cell r="AA1164">
            <v>0</v>
          </cell>
          <cell r="AB1164">
            <v>2.4299999999999999E-2</v>
          </cell>
          <cell r="AC1164">
            <v>0</v>
          </cell>
          <cell r="AD1164">
            <v>2.3300000000000001E-2</v>
          </cell>
          <cell r="AE1164">
            <v>0</v>
          </cell>
          <cell r="AG1164" t="str">
            <v/>
          </cell>
          <cell r="AH1164" t="str">
            <v/>
          </cell>
          <cell r="AJ1164">
            <v>2.6499999999999999E-2</v>
          </cell>
          <cell r="AK1164">
            <v>0</v>
          </cell>
          <cell r="AL1164">
            <v>2.5399999999999999E-2</v>
          </cell>
          <cell r="AM1164">
            <v>0</v>
          </cell>
          <cell r="AN1164">
            <v>2.4299999999999999E-2</v>
          </cell>
          <cell r="AO1164">
            <v>0</v>
          </cell>
          <cell r="AP1164">
            <v>2.3300000000000001E-2</v>
          </cell>
          <cell r="AQ1164">
            <v>0</v>
          </cell>
          <cell r="AS1164" t="str">
            <v/>
          </cell>
          <cell r="AT1164" t="str">
            <v/>
          </cell>
          <cell r="AV1164" t="b">
            <v>1</v>
          </cell>
          <cell r="AW1164" t="str">
            <v>minute</v>
          </cell>
        </row>
        <row r="1165">
          <cell r="S1165" t="str">
            <v>INT CSK CSKWN</v>
          </cell>
          <cell r="T1165" t="str">
            <v>INT</v>
          </cell>
          <cell r="U1165" t="str">
            <v>CSK</v>
          </cell>
          <cell r="V1165" t="str">
            <v>CSKWN</v>
          </cell>
          <cell r="X1165">
            <v>2.3300000000000001E-2</v>
          </cell>
          <cell r="Y1165">
            <v>0</v>
          </cell>
          <cell r="Z1165">
            <v>2.3300000000000001E-2</v>
          </cell>
          <cell r="AA1165">
            <v>0</v>
          </cell>
          <cell r="AB1165">
            <v>2.3300000000000001E-2</v>
          </cell>
          <cell r="AC1165">
            <v>0</v>
          </cell>
          <cell r="AD1165">
            <v>2.3300000000000001E-2</v>
          </cell>
          <cell r="AE1165">
            <v>0</v>
          </cell>
          <cell r="AG1165" t="str">
            <v/>
          </cell>
          <cell r="AH1165" t="str">
            <v/>
          </cell>
          <cell r="AJ1165">
            <v>2.3300000000000001E-2</v>
          </cell>
          <cell r="AK1165">
            <v>0</v>
          </cell>
          <cell r="AL1165">
            <v>2.3300000000000001E-2</v>
          </cell>
          <cell r="AM1165">
            <v>0</v>
          </cell>
          <cell r="AN1165">
            <v>2.3300000000000001E-2</v>
          </cell>
          <cell r="AO1165">
            <v>0</v>
          </cell>
          <cell r="AP1165">
            <v>2.3300000000000001E-2</v>
          </cell>
          <cell r="AQ1165">
            <v>0</v>
          </cell>
          <cell r="AS1165" t="str">
            <v/>
          </cell>
          <cell r="AT1165" t="str">
            <v/>
          </cell>
          <cell r="AV1165" t="b">
            <v>0</v>
          </cell>
          <cell r="AW1165" t="str">
            <v>minute</v>
          </cell>
        </row>
        <row r="1166">
          <cell r="S1166" t="str">
            <v>INT DNK DNKMO</v>
          </cell>
          <cell r="T1166" t="str">
            <v>INT</v>
          </cell>
          <cell r="U1166" t="str">
            <v>DNK</v>
          </cell>
          <cell r="V1166" t="str">
            <v>DNKMO</v>
          </cell>
          <cell r="X1166">
            <v>2.9399999999999999E-2</v>
          </cell>
          <cell r="Y1166">
            <v>0</v>
          </cell>
          <cell r="Z1166">
            <v>2.75E-2</v>
          </cell>
          <cell r="AA1166">
            <v>0</v>
          </cell>
          <cell r="AB1166">
            <v>2.5700000000000001E-2</v>
          </cell>
          <cell r="AC1166">
            <v>0</v>
          </cell>
          <cell r="AD1166">
            <v>2.4E-2</v>
          </cell>
          <cell r="AE1166">
            <v>0</v>
          </cell>
          <cell r="AG1166" t="str">
            <v/>
          </cell>
          <cell r="AH1166" t="str">
            <v/>
          </cell>
          <cell r="AJ1166">
            <v>2.9399999999999999E-2</v>
          </cell>
          <cell r="AK1166">
            <v>0</v>
          </cell>
          <cell r="AL1166">
            <v>2.75E-2</v>
          </cell>
          <cell r="AM1166">
            <v>0</v>
          </cell>
          <cell r="AN1166">
            <v>2.5700000000000001E-2</v>
          </cell>
          <cell r="AO1166">
            <v>0</v>
          </cell>
          <cell r="AP1166">
            <v>2.4E-2</v>
          </cell>
          <cell r="AQ1166">
            <v>0</v>
          </cell>
          <cell r="AS1166" t="str">
            <v/>
          </cell>
          <cell r="AT1166" t="str">
            <v/>
          </cell>
          <cell r="AV1166" t="b">
            <v>1</v>
          </cell>
          <cell r="AW1166" t="str">
            <v>minute</v>
          </cell>
        </row>
        <row r="1167">
          <cell r="S1167" t="str">
            <v>INT DNK DNKMX</v>
          </cell>
          <cell r="T1167" t="str">
            <v>INT</v>
          </cell>
          <cell r="U1167" t="str">
            <v>DNK</v>
          </cell>
          <cell r="V1167" t="str">
            <v>DNKMX</v>
          </cell>
          <cell r="X1167">
            <v>2.9399999999999999E-2</v>
          </cell>
          <cell r="Y1167">
            <v>0</v>
          </cell>
          <cell r="Z1167">
            <v>2.75E-2</v>
          </cell>
          <cell r="AA1167">
            <v>0</v>
          </cell>
          <cell r="AB1167">
            <v>2.5700000000000001E-2</v>
          </cell>
          <cell r="AC1167">
            <v>0</v>
          </cell>
          <cell r="AD1167">
            <v>2.4E-2</v>
          </cell>
          <cell r="AE1167">
            <v>0</v>
          </cell>
          <cell r="AG1167" t="str">
            <v/>
          </cell>
          <cell r="AH1167" t="str">
            <v/>
          </cell>
          <cell r="AJ1167">
            <v>2.9399999999999999E-2</v>
          </cell>
          <cell r="AK1167">
            <v>0</v>
          </cell>
          <cell r="AL1167">
            <v>2.75E-2</v>
          </cell>
          <cell r="AM1167">
            <v>0</v>
          </cell>
          <cell r="AN1167">
            <v>2.5700000000000001E-2</v>
          </cell>
          <cell r="AO1167">
            <v>0</v>
          </cell>
          <cell r="AP1167">
            <v>2.4E-2</v>
          </cell>
          <cell r="AQ1167">
            <v>0</v>
          </cell>
          <cell r="AS1167" t="str">
            <v/>
          </cell>
          <cell r="AT1167" t="str">
            <v/>
          </cell>
          <cell r="AV1167" t="b">
            <v>1</v>
          </cell>
          <cell r="AW1167" t="str">
            <v>minute</v>
          </cell>
        </row>
        <row r="1168">
          <cell r="S1168" t="str">
            <v>INT DNK</v>
          </cell>
          <cell r="T1168" t="str">
            <v>INT</v>
          </cell>
          <cell r="U1168" t="str">
            <v>DNK</v>
          </cell>
          <cell r="V1168" t="str">
            <v/>
          </cell>
          <cell r="X1168">
            <v>1.5299999999999999E-2</v>
          </cell>
          <cell r="Y1168">
            <v>0</v>
          </cell>
          <cell r="Z1168">
            <v>1.43E-2</v>
          </cell>
          <cell r="AA1168">
            <v>0</v>
          </cell>
          <cell r="AB1168">
            <v>1.34E-2</v>
          </cell>
          <cell r="AC1168">
            <v>0</v>
          </cell>
          <cell r="AD1168">
            <v>1.2500000000000001E-2</v>
          </cell>
          <cell r="AE1168">
            <v>0</v>
          </cell>
          <cell r="AG1168" t="str">
            <v/>
          </cell>
          <cell r="AH1168" t="str">
            <v/>
          </cell>
          <cell r="AJ1168">
            <v>1.5299999999999999E-2</v>
          </cell>
          <cell r="AK1168">
            <v>0</v>
          </cell>
          <cell r="AL1168">
            <v>1.43E-2</v>
          </cell>
          <cell r="AM1168">
            <v>0</v>
          </cell>
          <cell r="AN1168">
            <v>1.34E-2</v>
          </cell>
          <cell r="AO1168">
            <v>0</v>
          </cell>
          <cell r="AP1168">
            <v>1.2500000000000001E-2</v>
          </cell>
          <cell r="AQ1168">
            <v>0</v>
          </cell>
          <cell r="AS1168" t="str">
            <v/>
          </cell>
          <cell r="AT1168" t="str">
            <v/>
          </cell>
          <cell r="AV1168" t="b">
            <v>1</v>
          </cell>
          <cell r="AW1168" t="str">
            <v>minute</v>
          </cell>
        </row>
        <row r="1169">
          <cell r="S1169" t="str">
            <v>INT DNK DKFRE</v>
          </cell>
          <cell r="T1169" t="str">
            <v>INT</v>
          </cell>
          <cell r="U1169" t="str">
            <v>DNK</v>
          </cell>
          <cell r="V1169" t="str">
            <v>DKFRE</v>
          </cell>
          <cell r="X1169">
            <v>1.5299999999999999E-2</v>
          </cell>
          <cell r="Y1169">
            <v>0</v>
          </cell>
          <cell r="Z1169">
            <v>1.5299999999999999E-2</v>
          </cell>
          <cell r="AA1169">
            <v>0</v>
          </cell>
          <cell r="AB1169">
            <v>1.5299999999999999E-2</v>
          </cell>
          <cell r="AC1169">
            <v>0</v>
          </cell>
          <cell r="AD1169">
            <v>1.5299999999999999E-2</v>
          </cell>
          <cell r="AE1169">
            <v>0</v>
          </cell>
          <cell r="AG1169" t="str">
            <v/>
          </cell>
          <cell r="AH1169" t="str">
            <v/>
          </cell>
          <cell r="AJ1169">
            <v>1.5299999999999999E-2</v>
          </cell>
          <cell r="AK1169">
            <v>0</v>
          </cell>
          <cell r="AL1169">
            <v>1.5299999999999999E-2</v>
          </cell>
          <cell r="AM1169">
            <v>0</v>
          </cell>
          <cell r="AN1169">
            <v>1.5299999999999999E-2</v>
          </cell>
          <cell r="AO1169">
            <v>0</v>
          </cell>
          <cell r="AP1169">
            <v>1.5299999999999999E-2</v>
          </cell>
          <cell r="AQ1169">
            <v>0</v>
          </cell>
          <cell r="AS1169" t="str">
            <v/>
          </cell>
          <cell r="AT1169" t="str">
            <v/>
          </cell>
          <cell r="AV1169" t="b">
            <v>0</v>
          </cell>
          <cell r="AW1169" t="str">
            <v>minute</v>
          </cell>
        </row>
        <row r="1170">
          <cell r="S1170" t="str">
            <v>INT DNK DKP18</v>
          </cell>
          <cell r="T1170" t="str">
            <v>INT</v>
          </cell>
          <cell r="U1170" t="str">
            <v>DNK</v>
          </cell>
          <cell r="V1170" t="str">
            <v>DKP18</v>
          </cell>
          <cell r="X1170">
            <v>26.174199999999999</v>
          </cell>
          <cell r="Y1170">
            <v>0</v>
          </cell>
          <cell r="Z1170">
            <v>26.174199999999999</v>
          </cell>
          <cell r="AA1170">
            <v>0</v>
          </cell>
          <cell r="AB1170">
            <v>26.174199999999999</v>
          </cell>
          <cell r="AC1170">
            <v>0</v>
          </cell>
          <cell r="AD1170">
            <v>26.174199999999999</v>
          </cell>
          <cell r="AE1170">
            <v>0</v>
          </cell>
          <cell r="AG1170" t="str">
            <v/>
          </cell>
          <cell r="AH1170" t="str">
            <v/>
          </cell>
          <cell r="AJ1170">
            <v>26.174199999999999</v>
          </cell>
          <cell r="AK1170">
            <v>0</v>
          </cell>
          <cell r="AL1170">
            <v>26.174199999999999</v>
          </cell>
          <cell r="AM1170">
            <v>0</v>
          </cell>
          <cell r="AN1170">
            <v>26.174199999999999</v>
          </cell>
          <cell r="AO1170">
            <v>0</v>
          </cell>
          <cell r="AP1170">
            <v>26.174199999999999</v>
          </cell>
          <cell r="AQ1170">
            <v>0</v>
          </cell>
          <cell r="AS1170" t="str">
            <v/>
          </cell>
          <cell r="AT1170" t="str">
            <v/>
          </cell>
          <cell r="AV1170" t="b">
            <v>0</v>
          </cell>
          <cell r="AW1170" t="str">
            <v>minute</v>
          </cell>
        </row>
        <row r="1171">
          <cell r="S1171" t="str">
            <v>INT DNK DKFLX</v>
          </cell>
          <cell r="T1171" t="str">
            <v>INT</v>
          </cell>
          <cell r="U1171" t="str">
            <v>DNK</v>
          </cell>
          <cell r="V1171" t="str">
            <v>DKFLX</v>
          </cell>
          <cell r="X1171">
            <v>6.6299999999999998E-2</v>
          </cell>
          <cell r="Y1171">
            <v>0</v>
          </cell>
          <cell r="Z1171">
            <v>6.6299999999999998E-2</v>
          </cell>
          <cell r="AA1171">
            <v>0</v>
          </cell>
          <cell r="AB1171">
            <v>6.6299999999999998E-2</v>
          </cell>
          <cell r="AC1171">
            <v>0</v>
          </cell>
          <cell r="AD1171">
            <v>6.6299999999999998E-2</v>
          </cell>
          <cell r="AE1171">
            <v>0</v>
          </cell>
          <cell r="AG1171" t="str">
            <v/>
          </cell>
          <cell r="AH1171" t="str">
            <v/>
          </cell>
          <cell r="AJ1171">
            <v>6.6299999999999998E-2</v>
          </cell>
          <cell r="AK1171">
            <v>0</v>
          </cell>
          <cell r="AL1171">
            <v>6.6299999999999998E-2</v>
          </cell>
          <cell r="AM1171">
            <v>0</v>
          </cell>
          <cell r="AN1171">
            <v>6.6299999999999998E-2</v>
          </cell>
          <cell r="AO1171">
            <v>0</v>
          </cell>
          <cell r="AP1171">
            <v>6.6299999999999998E-2</v>
          </cell>
          <cell r="AQ1171">
            <v>0</v>
          </cell>
          <cell r="AS1171" t="str">
            <v/>
          </cell>
          <cell r="AT1171" t="str">
            <v/>
          </cell>
          <cell r="AV1171" t="b">
            <v>0</v>
          </cell>
          <cell r="AW1171" t="str">
            <v>minute</v>
          </cell>
        </row>
        <row r="1172">
          <cell r="S1172" t="str">
            <v>INT DGG</v>
          </cell>
          <cell r="T1172" t="str">
            <v>INT</v>
          </cell>
          <cell r="U1172" t="str">
            <v>DGG</v>
          </cell>
          <cell r="V1172" t="str">
            <v/>
          </cell>
          <cell r="X1172">
            <v>0.29060000000000002</v>
          </cell>
          <cell r="Y1172">
            <v>0</v>
          </cell>
          <cell r="Z1172">
            <v>0.25259999999999999</v>
          </cell>
          <cell r="AA1172">
            <v>0</v>
          </cell>
          <cell r="AB1172">
            <v>0.21970000000000001</v>
          </cell>
          <cell r="AC1172">
            <v>0</v>
          </cell>
          <cell r="AD1172">
            <v>0.191</v>
          </cell>
          <cell r="AE1172">
            <v>0</v>
          </cell>
          <cell r="AG1172" t="str">
            <v/>
          </cell>
          <cell r="AH1172" t="str">
            <v/>
          </cell>
          <cell r="AJ1172">
            <v>0.29060000000000002</v>
          </cell>
          <cell r="AK1172">
            <v>0</v>
          </cell>
          <cell r="AL1172">
            <v>0.25259999999999999</v>
          </cell>
          <cell r="AM1172">
            <v>0</v>
          </cell>
          <cell r="AN1172">
            <v>0.21970000000000001</v>
          </cell>
          <cell r="AO1172">
            <v>0</v>
          </cell>
          <cell r="AP1172">
            <v>0.191</v>
          </cell>
          <cell r="AQ1172">
            <v>0</v>
          </cell>
          <cell r="AS1172" t="str">
            <v/>
          </cell>
          <cell r="AT1172" t="str">
            <v/>
          </cell>
          <cell r="AV1172" t="b">
            <v>1</v>
          </cell>
          <cell r="AW1172" t="str">
            <v>minute</v>
          </cell>
        </row>
        <row r="1173">
          <cell r="S1173" t="str">
            <v>INT DJI DJIMO</v>
          </cell>
          <cell r="T1173" t="str">
            <v>INT</v>
          </cell>
          <cell r="U1173" t="str">
            <v>DJI</v>
          </cell>
          <cell r="V1173" t="str">
            <v>DJIMO</v>
          </cell>
          <cell r="X1173">
            <v>0.51029999999999998</v>
          </cell>
          <cell r="Y1173">
            <v>0</v>
          </cell>
          <cell r="Z1173">
            <v>0.44369999999999998</v>
          </cell>
          <cell r="AA1173">
            <v>0</v>
          </cell>
          <cell r="AB1173">
            <v>0.38579999999999998</v>
          </cell>
          <cell r="AC1173">
            <v>0</v>
          </cell>
          <cell r="AD1173">
            <v>0.33550000000000002</v>
          </cell>
          <cell r="AE1173">
            <v>0</v>
          </cell>
          <cell r="AG1173" t="str">
            <v/>
          </cell>
          <cell r="AH1173" t="str">
            <v/>
          </cell>
          <cell r="AJ1173">
            <v>0.51029999999999998</v>
          </cell>
          <cell r="AK1173">
            <v>0</v>
          </cell>
          <cell r="AL1173">
            <v>0.44369999999999998</v>
          </cell>
          <cell r="AM1173">
            <v>0</v>
          </cell>
          <cell r="AN1173">
            <v>0.38579999999999998</v>
          </cell>
          <cell r="AO1173">
            <v>0</v>
          </cell>
          <cell r="AP1173">
            <v>0.33550000000000002</v>
          </cell>
          <cell r="AQ1173">
            <v>0</v>
          </cell>
          <cell r="AS1173" t="str">
            <v/>
          </cell>
          <cell r="AT1173" t="str">
            <v/>
          </cell>
          <cell r="AV1173" t="b">
            <v>1</v>
          </cell>
          <cell r="AW1173" t="str">
            <v>minute</v>
          </cell>
        </row>
        <row r="1174">
          <cell r="S1174" t="str">
            <v>INT DJI</v>
          </cell>
          <cell r="T1174" t="str">
            <v>INT</v>
          </cell>
          <cell r="U1174" t="str">
            <v>DJI</v>
          </cell>
          <cell r="V1174" t="str">
            <v/>
          </cell>
          <cell r="X1174">
            <v>0.51029999999999998</v>
          </cell>
          <cell r="Y1174">
            <v>0</v>
          </cell>
          <cell r="Z1174">
            <v>0.44369999999999998</v>
          </cell>
          <cell r="AA1174">
            <v>0</v>
          </cell>
          <cell r="AB1174">
            <v>0.38579999999999998</v>
          </cell>
          <cell r="AC1174">
            <v>0</v>
          </cell>
          <cell r="AD1174">
            <v>0.33550000000000002</v>
          </cell>
          <cell r="AE1174">
            <v>0</v>
          </cell>
          <cell r="AG1174" t="str">
            <v/>
          </cell>
          <cell r="AH1174" t="str">
            <v/>
          </cell>
          <cell r="AJ1174">
            <v>0.51029999999999998</v>
          </cell>
          <cell r="AK1174">
            <v>0</v>
          </cell>
          <cell r="AL1174">
            <v>0.44369999999999998</v>
          </cell>
          <cell r="AM1174">
            <v>0</v>
          </cell>
          <cell r="AN1174">
            <v>0.38579999999999998</v>
          </cell>
          <cell r="AO1174">
            <v>0</v>
          </cell>
          <cell r="AP1174">
            <v>0.33550000000000002</v>
          </cell>
          <cell r="AQ1174">
            <v>0</v>
          </cell>
          <cell r="AS1174" t="str">
            <v/>
          </cell>
          <cell r="AT1174" t="str">
            <v/>
          </cell>
          <cell r="AV1174" t="b">
            <v>1</v>
          </cell>
          <cell r="AW1174" t="str">
            <v>minute</v>
          </cell>
        </row>
        <row r="1175">
          <cell r="S1175" t="str">
            <v>INT DMA</v>
          </cell>
          <cell r="T1175" t="str">
            <v>INT</v>
          </cell>
          <cell r="U1175" t="str">
            <v>DMA</v>
          </cell>
          <cell r="V1175" t="str">
            <v/>
          </cell>
          <cell r="X1175">
            <v>0.31640000000000001</v>
          </cell>
          <cell r="Y1175">
            <v>0</v>
          </cell>
          <cell r="Z1175">
            <v>0.27510000000000001</v>
          </cell>
          <cell r="AA1175">
            <v>0</v>
          </cell>
          <cell r="AB1175">
            <v>0.2392</v>
          </cell>
          <cell r="AC1175">
            <v>0</v>
          </cell>
          <cell r="AD1175">
            <v>0.20799999999999999</v>
          </cell>
          <cell r="AE1175">
            <v>0</v>
          </cell>
          <cell r="AG1175" t="str">
            <v/>
          </cell>
          <cell r="AH1175" t="str">
            <v/>
          </cell>
          <cell r="AJ1175">
            <v>0.31640000000000001</v>
          </cell>
          <cell r="AK1175">
            <v>0</v>
          </cell>
          <cell r="AL1175">
            <v>0.27510000000000001</v>
          </cell>
          <cell r="AM1175">
            <v>0</v>
          </cell>
          <cell r="AN1175">
            <v>0.2392</v>
          </cell>
          <cell r="AO1175">
            <v>0</v>
          </cell>
          <cell r="AP1175">
            <v>0.20799999999999999</v>
          </cell>
          <cell r="AQ1175">
            <v>0</v>
          </cell>
          <cell r="AS1175" t="str">
            <v/>
          </cell>
          <cell r="AT1175" t="str">
            <v/>
          </cell>
          <cell r="AV1175" t="b">
            <v>1</v>
          </cell>
          <cell r="AW1175" t="str">
            <v>minute</v>
          </cell>
        </row>
        <row r="1176">
          <cell r="S1176" t="str">
            <v>INT DOM</v>
          </cell>
          <cell r="T1176" t="str">
            <v>INT</v>
          </cell>
          <cell r="U1176" t="str">
            <v>DOM</v>
          </cell>
          <cell r="V1176" t="str">
            <v/>
          </cell>
          <cell r="X1176">
            <v>4.8599999999999997E-2</v>
          </cell>
          <cell r="Y1176">
            <v>0</v>
          </cell>
          <cell r="Z1176">
            <v>4.2299999999999997E-2</v>
          </cell>
          <cell r="AA1176">
            <v>0</v>
          </cell>
          <cell r="AB1176">
            <v>3.6799999999999999E-2</v>
          </cell>
          <cell r="AC1176">
            <v>0</v>
          </cell>
          <cell r="AD1176">
            <v>3.2000000000000001E-2</v>
          </cell>
          <cell r="AE1176">
            <v>0</v>
          </cell>
          <cell r="AG1176" t="str">
            <v/>
          </cell>
          <cell r="AH1176" t="str">
            <v/>
          </cell>
          <cell r="AJ1176">
            <v>4.8599999999999997E-2</v>
          </cell>
          <cell r="AK1176">
            <v>0</v>
          </cell>
          <cell r="AL1176">
            <v>4.2299999999999997E-2</v>
          </cell>
          <cell r="AM1176">
            <v>0</v>
          </cell>
          <cell r="AN1176">
            <v>3.6799999999999999E-2</v>
          </cell>
          <cell r="AO1176">
            <v>0</v>
          </cell>
          <cell r="AP1176">
            <v>3.2000000000000001E-2</v>
          </cell>
          <cell r="AQ1176">
            <v>0</v>
          </cell>
          <cell r="AS1176" t="str">
            <v/>
          </cell>
          <cell r="AT1176" t="str">
            <v/>
          </cell>
          <cell r="AV1176" t="b">
            <v>1</v>
          </cell>
          <cell r="AW1176" t="str">
            <v>minute</v>
          </cell>
        </row>
        <row r="1177">
          <cell r="S1177" t="str">
            <v>INT TMP TMPMO</v>
          </cell>
          <cell r="T1177" t="str">
            <v>INT</v>
          </cell>
          <cell r="U1177" t="str">
            <v>TMP</v>
          </cell>
          <cell r="V1177" t="str">
            <v>TMPMO</v>
          </cell>
          <cell r="X1177">
            <v>0.93140000000000001</v>
          </cell>
          <cell r="Y1177">
            <v>0</v>
          </cell>
          <cell r="Z1177">
            <v>0.80989999999999995</v>
          </cell>
          <cell r="AA1177">
            <v>0</v>
          </cell>
          <cell r="AB1177">
            <v>0.70430000000000004</v>
          </cell>
          <cell r="AC1177">
            <v>0</v>
          </cell>
          <cell r="AD1177">
            <v>0.61240000000000006</v>
          </cell>
          <cell r="AE1177">
            <v>0</v>
          </cell>
          <cell r="AG1177" t="str">
            <v/>
          </cell>
          <cell r="AH1177" t="str">
            <v/>
          </cell>
          <cell r="AJ1177">
            <v>0.93140000000000001</v>
          </cell>
          <cell r="AK1177">
            <v>0</v>
          </cell>
          <cell r="AL1177">
            <v>0.80989999999999995</v>
          </cell>
          <cell r="AM1177">
            <v>0</v>
          </cell>
          <cell r="AN1177">
            <v>0.70430000000000004</v>
          </cell>
          <cell r="AO1177">
            <v>0</v>
          </cell>
          <cell r="AP1177">
            <v>0.61240000000000006</v>
          </cell>
          <cell r="AQ1177">
            <v>0</v>
          </cell>
          <cell r="AS1177" t="str">
            <v/>
          </cell>
          <cell r="AT1177" t="str">
            <v/>
          </cell>
          <cell r="AV1177" t="b">
            <v>1</v>
          </cell>
          <cell r="AW1177" t="str">
            <v>minute</v>
          </cell>
        </row>
        <row r="1178">
          <cell r="S1178" t="str">
            <v>INT TMP</v>
          </cell>
          <cell r="T1178" t="str">
            <v>INT</v>
          </cell>
          <cell r="U1178" t="str">
            <v>TMP</v>
          </cell>
          <cell r="V1178" t="str">
            <v/>
          </cell>
          <cell r="X1178">
            <v>0.93140000000000001</v>
          </cell>
          <cell r="Y1178">
            <v>0</v>
          </cell>
          <cell r="Z1178">
            <v>0.80989999999999995</v>
          </cell>
          <cell r="AA1178">
            <v>0</v>
          </cell>
          <cell r="AB1178">
            <v>0.70430000000000004</v>
          </cell>
          <cell r="AC1178">
            <v>0</v>
          </cell>
          <cell r="AD1178">
            <v>0.61240000000000006</v>
          </cell>
          <cell r="AE1178">
            <v>0</v>
          </cell>
          <cell r="AG1178" t="str">
            <v/>
          </cell>
          <cell r="AH1178" t="str">
            <v/>
          </cell>
          <cell r="AJ1178">
            <v>0.93140000000000001</v>
          </cell>
          <cell r="AK1178">
            <v>0</v>
          </cell>
          <cell r="AL1178">
            <v>0.80989999999999995</v>
          </cell>
          <cell r="AM1178">
            <v>0</v>
          </cell>
          <cell r="AN1178">
            <v>0.70430000000000004</v>
          </cell>
          <cell r="AO1178">
            <v>0</v>
          </cell>
          <cell r="AP1178">
            <v>0.61240000000000006</v>
          </cell>
          <cell r="AQ1178">
            <v>0</v>
          </cell>
          <cell r="AS1178" t="str">
            <v/>
          </cell>
          <cell r="AT1178" t="str">
            <v/>
          </cell>
          <cell r="AV1178" t="b">
            <v>1</v>
          </cell>
          <cell r="AW1178" t="str">
            <v>minute</v>
          </cell>
        </row>
        <row r="1179">
          <cell r="S1179" t="str">
            <v>INT ECU ECUMO</v>
          </cell>
          <cell r="T1179" t="str">
            <v>INT</v>
          </cell>
          <cell r="U1179" t="str">
            <v>ECU</v>
          </cell>
          <cell r="V1179" t="str">
            <v>ECUMO</v>
          </cell>
          <cell r="X1179">
            <v>0.32329999999999998</v>
          </cell>
          <cell r="Y1179">
            <v>0</v>
          </cell>
          <cell r="Z1179">
            <v>0.28110000000000002</v>
          </cell>
          <cell r="AA1179">
            <v>0</v>
          </cell>
          <cell r="AB1179">
            <v>0.24440000000000001</v>
          </cell>
          <cell r="AC1179">
            <v>0</v>
          </cell>
          <cell r="AD1179">
            <v>0.21249999999999999</v>
          </cell>
          <cell r="AE1179">
            <v>0</v>
          </cell>
          <cell r="AG1179" t="str">
            <v/>
          </cell>
          <cell r="AH1179" t="str">
            <v/>
          </cell>
          <cell r="AJ1179">
            <v>0.32329999999999998</v>
          </cell>
          <cell r="AK1179">
            <v>0</v>
          </cell>
          <cell r="AL1179">
            <v>0.28110000000000002</v>
          </cell>
          <cell r="AM1179">
            <v>0</v>
          </cell>
          <cell r="AN1179">
            <v>0.24440000000000001</v>
          </cell>
          <cell r="AO1179">
            <v>0</v>
          </cell>
          <cell r="AP1179">
            <v>0.21249999999999999</v>
          </cell>
          <cell r="AQ1179">
            <v>0</v>
          </cell>
          <cell r="AS1179" t="str">
            <v/>
          </cell>
          <cell r="AT1179" t="str">
            <v/>
          </cell>
          <cell r="AV1179" t="b">
            <v>1</v>
          </cell>
          <cell r="AW1179" t="str">
            <v>minute</v>
          </cell>
        </row>
        <row r="1180">
          <cell r="S1180" t="str">
            <v>INT ECU</v>
          </cell>
          <cell r="T1180" t="str">
            <v>INT</v>
          </cell>
          <cell r="U1180" t="str">
            <v>ECU</v>
          </cell>
          <cell r="V1180" t="str">
            <v/>
          </cell>
          <cell r="X1180">
            <v>0.16250000000000001</v>
          </cell>
          <cell r="Y1180">
            <v>0</v>
          </cell>
          <cell r="Z1180">
            <v>0.14130000000000001</v>
          </cell>
          <cell r="AA1180">
            <v>0</v>
          </cell>
          <cell r="AB1180">
            <v>0.1229</v>
          </cell>
          <cell r="AC1180">
            <v>0</v>
          </cell>
          <cell r="AD1180">
            <v>0.1069</v>
          </cell>
          <cell r="AE1180">
            <v>0</v>
          </cell>
          <cell r="AG1180" t="str">
            <v/>
          </cell>
          <cell r="AH1180" t="str">
            <v/>
          </cell>
          <cell r="AJ1180">
            <v>0.16250000000000001</v>
          </cell>
          <cell r="AK1180">
            <v>0</v>
          </cell>
          <cell r="AL1180">
            <v>0.14130000000000001</v>
          </cell>
          <cell r="AM1180">
            <v>0</v>
          </cell>
          <cell r="AN1180">
            <v>0.1229</v>
          </cell>
          <cell r="AO1180">
            <v>0</v>
          </cell>
          <cell r="AP1180">
            <v>0.1069</v>
          </cell>
          <cell r="AQ1180">
            <v>0</v>
          </cell>
          <cell r="AS1180" t="str">
            <v/>
          </cell>
          <cell r="AT1180" t="str">
            <v/>
          </cell>
          <cell r="AV1180" t="b">
            <v>1</v>
          </cell>
          <cell r="AW1180" t="str">
            <v>minute</v>
          </cell>
        </row>
        <row r="1181">
          <cell r="S1181" t="str">
            <v>INT EGY EGYMO</v>
          </cell>
          <cell r="T1181" t="str">
            <v>INT</v>
          </cell>
          <cell r="U1181" t="str">
            <v>EGY</v>
          </cell>
          <cell r="V1181" t="str">
            <v>EGYMO</v>
          </cell>
          <cell r="X1181">
            <v>0.16020000000000001</v>
          </cell>
          <cell r="Y1181">
            <v>0</v>
          </cell>
          <cell r="Z1181">
            <v>0.14419999999999999</v>
          </cell>
          <cell r="AA1181">
            <v>0</v>
          </cell>
          <cell r="AB1181">
            <v>0.13619999999999999</v>
          </cell>
          <cell r="AC1181">
            <v>0</v>
          </cell>
          <cell r="AD1181">
            <v>0.12820000000000001</v>
          </cell>
          <cell r="AE1181">
            <v>0</v>
          </cell>
          <cell r="AG1181" t="str">
            <v/>
          </cell>
          <cell r="AH1181" t="str">
            <v/>
          </cell>
          <cell r="AJ1181">
            <v>0.16020000000000001</v>
          </cell>
          <cell r="AK1181">
            <v>0</v>
          </cell>
          <cell r="AL1181">
            <v>0.14419999999999999</v>
          </cell>
          <cell r="AM1181">
            <v>0</v>
          </cell>
          <cell r="AN1181">
            <v>0.13619999999999999</v>
          </cell>
          <cell r="AO1181">
            <v>0</v>
          </cell>
          <cell r="AP1181">
            <v>0.12820000000000001</v>
          </cell>
          <cell r="AQ1181">
            <v>0</v>
          </cell>
          <cell r="AS1181" t="str">
            <v/>
          </cell>
          <cell r="AT1181" t="str">
            <v/>
          </cell>
          <cell r="AV1181" t="b">
            <v>1</v>
          </cell>
          <cell r="AW1181" t="str">
            <v>minute</v>
          </cell>
        </row>
        <row r="1182">
          <cell r="S1182" t="str">
            <v>INT EGY</v>
          </cell>
          <cell r="T1182" t="str">
            <v>INT</v>
          </cell>
          <cell r="U1182" t="str">
            <v>EGY</v>
          </cell>
          <cell r="V1182" t="str">
            <v/>
          </cell>
          <cell r="X1182">
            <v>0.13819999999999999</v>
          </cell>
          <cell r="Y1182">
            <v>0</v>
          </cell>
          <cell r="Z1182">
            <v>0.1202</v>
          </cell>
          <cell r="AA1182">
            <v>0</v>
          </cell>
          <cell r="AB1182">
            <v>0.1045</v>
          </cell>
          <cell r="AC1182">
            <v>0</v>
          </cell>
          <cell r="AD1182">
            <v>9.0899999999999995E-2</v>
          </cell>
          <cell r="AE1182">
            <v>0</v>
          </cell>
          <cell r="AG1182" t="str">
            <v/>
          </cell>
          <cell r="AH1182" t="str">
            <v/>
          </cell>
          <cell r="AJ1182">
            <v>0.13819999999999999</v>
          </cell>
          <cell r="AK1182">
            <v>0</v>
          </cell>
          <cell r="AL1182">
            <v>0.1202</v>
          </cell>
          <cell r="AM1182">
            <v>0</v>
          </cell>
          <cell r="AN1182">
            <v>0.1045</v>
          </cell>
          <cell r="AO1182">
            <v>0</v>
          </cell>
          <cell r="AP1182">
            <v>9.0899999999999995E-2</v>
          </cell>
          <cell r="AQ1182">
            <v>0</v>
          </cell>
          <cell r="AS1182" t="str">
            <v/>
          </cell>
          <cell r="AT1182" t="str">
            <v/>
          </cell>
          <cell r="AV1182" t="b">
            <v>1</v>
          </cell>
          <cell r="AW1182" t="str">
            <v>minute</v>
          </cell>
        </row>
        <row r="1183">
          <cell r="S1183" t="str">
            <v>INT SLV SLVMO</v>
          </cell>
          <cell r="T1183" t="str">
            <v>INT</v>
          </cell>
          <cell r="U1183" t="str">
            <v>SLV</v>
          </cell>
          <cell r="V1183" t="str">
            <v>SLVMO</v>
          </cell>
          <cell r="X1183">
            <v>0.28510000000000002</v>
          </cell>
          <cell r="Y1183">
            <v>0</v>
          </cell>
          <cell r="Z1183">
            <v>0.24790000000000001</v>
          </cell>
          <cell r="AA1183">
            <v>0</v>
          </cell>
          <cell r="AB1183">
            <v>0.21560000000000001</v>
          </cell>
          <cell r="AC1183">
            <v>0</v>
          </cell>
          <cell r="AD1183">
            <v>0.1875</v>
          </cell>
          <cell r="AE1183">
            <v>0</v>
          </cell>
          <cell r="AG1183" t="str">
            <v/>
          </cell>
          <cell r="AH1183" t="str">
            <v/>
          </cell>
          <cell r="AJ1183">
            <v>0.28510000000000002</v>
          </cell>
          <cell r="AK1183">
            <v>0</v>
          </cell>
          <cell r="AL1183">
            <v>0.24790000000000001</v>
          </cell>
          <cell r="AM1183">
            <v>0</v>
          </cell>
          <cell r="AN1183">
            <v>0.21560000000000001</v>
          </cell>
          <cell r="AO1183">
            <v>0</v>
          </cell>
          <cell r="AP1183">
            <v>0.1875</v>
          </cell>
          <cell r="AQ1183">
            <v>0</v>
          </cell>
          <cell r="AS1183" t="str">
            <v/>
          </cell>
          <cell r="AT1183" t="str">
            <v/>
          </cell>
          <cell r="AV1183" t="b">
            <v>1</v>
          </cell>
          <cell r="AW1183" t="str">
            <v>minute</v>
          </cell>
        </row>
        <row r="1184">
          <cell r="S1184" t="str">
            <v>INT SLV</v>
          </cell>
          <cell r="T1184" t="str">
            <v>INT</v>
          </cell>
          <cell r="U1184" t="str">
            <v>SLV</v>
          </cell>
          <cell r="V1184" t="str">
            <v/>
          </cell>
          <cell r="X1184">
            <v>0.26519999999999999</v>
          </cell>
          <cell r="Y1184">
            <v>0</v>
          </cell>
          <cell r="Z1184">
            <v>0.23069999999999999</v>
          </cell>
          <cell r="AA1184">
            <v>0</v>
          </cell>
          <cell r="AB1184">
            <v>0.2006</v>
          </cell>
          <cell r="AC1184">
            <v>0</v>
          </cell>
          <cell r="AD1184">
            <v>0.1744</v>
          </cell>
          <cell r="AE1184">
            <v>0</v>
          </cell>
          <cell r="AG1184" t="str">
            <v/>
          </cell>
          <cell r="AH1184" t="str">
            <v/>
          </cell>
          <cell r="AJ1184">
            <v>0.26519999999999999</v>
          </cell>
          <cell r="AK1184">
            <v>0</v>
          </cell>
          <cell r="AL1184">
            <v>0.23069999999999999</v>
          </cell>
          <cell r="AM1184">
            <v>0</v>
          </cell>
          <cell r="AN1184">
            <v>0.2006</v>
          </cell>
          <cell r="AO1184">
            <v>0</v>
          </cell>
          <cell r="AP1184">
            <v>0.1744</v>
          </cell>
          <cell r="AQ1184">
            <v>0</v>
          </cell>
          <cell r="AS1184" t="str">
            <v/>
          </cell>
          <cell r="AT1184" t="str">
            <v/>
          </cell>
          <cell r="AV1184" t="b">
            <v>1</v>
          </cell>
          <cell r="AW1184" t="str">
            <v>minute</v>
          </cell>
        </row>
        <row r="1185">
          <cell r="S1185" t="str">
            <v>INT GNQ GNQMO</v>
          </cell>
          <cell r="T1185" t="str">
            <v>INT</v>
          </cell>
          <cell r="U1185" t="str">
            <v>GNQ</v>
          </cell>
          <cell r="V1185" t="str">
            <v>GNQMO</v>
          </cell>
          <cell r="X1185">
            <v>0.29210000000000003</v>
          </cell>
          <cell r="Y1185">
            <v>0</v>
          </cell>
          <cell r="Z1185">
            <v>0.254</v>
          </cell>
          <cell r="AA1185">
            <v>0</v>
          </cell>
          <cell r="AB1185">
            <v>0.22090000000000001</v>
          </cell>
          <cell r="AC1185">
            <v>0</v>
          </cell>
          <cell r="AD1185">
            <v>0.19209999999999999</v>
          </cell>
          <cell r="AE1185">
            <v>0</v>
          </cell>
          <cell r="AG1185" t="str">
            <v/>
          </cell>
          <cell r="AH1185" t="str">
            <v/>
          </cell>
          <cell r="AJ1185">
            <v>0.29210000000000003</v>
          </cell>
          <cell r="AK1185">
            <v>0</v>
          </cell>
          <cell r="AL1185">
            <v>0.254</v>
          </cell>
          <cell r="AM1185">
            <v>0</v>
          </cell>
          <cell r="AN1185">
            <v>0.22090000000000001</v>
          </cell>
          <cell r="AO1185">
            <v>0</v>
          </cell>
          <cell r="AP1185">
            <v>0.19209999999999999</v>
          </cell>
          <cell r="AQ1185">
            <v>0</v>
          </cell>
          <cell r="AS1185" t="str">
            <v/>
          </cell>
          <cell r="AT1185" t="str">
            <v/>
          </cell>
          <cell r="AV1185" t="b">
            <v>1</v>
          </cell>
          <cell r="AW1185" t="str">
            <v>minute</v>
          </cell>
        </row>
        <row r="1186">
          <cell r="S1186" t="str">
            <v>INT GNQ</v>
          </cell>
          <cell r="T1186" t="str">
            <v>INT</v>
          </cell>
          <cell r="U1186" t="str">
            <v>GNQ</v>
          </cell>
          <cell r="V1186" t="str">
            <v/>
          </cell>
          <cell r="X1186">
            <v>0.29210000000000003</v>
          </cell>
          <cell r="Y1186">
            <v>0</v>
          </cell>
          <cell r="Z1186">
            <v>0.254</v>
          </cell>
          <cell r="AA1186">
            <v>0</v>
          </cell>
          <cell r="AB1186">
            <v>0.22090000000000001</v>
          </cell>
          <cell r="AC1186">
            <v>0</v>
          </cell>
          <cell r="AD1186">
            <v>0.19209999999999999</v>
          </cell>
          <cell r="AE1186">
            <v>0</v>
          </cell>
          <cell r="AG1186" t="str">
            <v/>
          </cell>
          <cell r="AH1186" t="str">
            <v/>
          </cell>
          <cell r="AJ1186">
            <v>0.29210000000000003</v>
          </cell>
          <cell r="AK1186">
            <v>0</v>
          </cell>
          <cell r="AL1186">
            <v>0.254</v>
          </cell>
          <cell r="AM1186">
            <v>0</v>
          </cell>
          <cell r="AN1186">
            <v>0.22090000000000001</v>
          </cell>
          <cell r="AO1186">
            <v>0</v>
          </cell>
          <cell r="AP1186">
            <v>0.19209999999999999</v>
          </cell>
          <cell r="AQ1186">
            <v>0</v>
          </cell>
          <cell r="AS1186" t="str">
            <v/>
          </cell>
          <cell r="AT1186" t="str">
            <v/>
          </cell>
          <cell r="AV1186" t="b">
            <v>1</v>
          </cell>
          <cell r="AW1186" t="str">
            <v>minute</v>
          </cell>
        </row>
        <row r="1187">
          <cell r="S1187" t="str">
            <v>INT ERY</v>
          </cell>
          <cell r="T1187" t="str">
            <v>INT</v>
          </cell>
          <cell r="U1187" t="str">
            <v>ERY</v>
          </cell>
          <cell r="V1187" t="str">
            <v/>
          </cell>
          <cell r="X1187">
            <v>0.39850000000000002</v>
          </cell>
          <cell r="Y1187">
            <v>0</v>
          </cell>
          <cell r="Z1187">
            <v>0.34649999999999997</v>
          </cell>
          <cell r="AA1187">
            <v>0</v>
          </cell>
          <cell r="AB1187">
            <v>0.30130000000000001</v>
          </cell>
          <cell r="AC1187">
            <v>0</v>
          </cell>
          <cell r="AD1187">
            <v>0.26200000000000001</v>
          </cell>
          <cell r="AE1187">
            <v>0</v>
          </cell>
          <cell r="AG1187" t="str">
            <v/>
          </cell>
          <cell r="AH1187" t="str">
            <v/>
          </cell>
          <cell r="AJ1187">
            <v>0.39850000000000002</v>
          </cell>
          <cell r="AK1187">
            <v>0</v>
          </cell>
          <cell r="AL1187">
            <v>0.34649999999999997</v>
          </cell>
          <cell r="AM1187">
            <v>0</v>
          </cell>
          <cell r="AN1187">
            <v>0.30130000000000001</v>
          </cell>
          <cell r="AO1187">
            <v>0</v>
          </cell>
          <cell r="AP1187">
            <v>0.26200000000000001</v>
          </cell>
          <cell r="AQ1187">
            <v>0</v>
          </cell>
          <cell r="AS1187" t="str">
            <v/>
          </cell>
          <cell r="AT1187" t="str">
            <v/>
          </cell>
          <cell r="AV1187" t="b">
            <v>1</v>
          </cell>
          <cell r="AW1187" t="str">
            <v>minute</v>
          </cell>
        </row>
        <row r="1188">
          <cell r="S1188" t="str">
            <v>INT EST ESTMO</v>
          </cell>
          <cell r="T1188" t="str">
            <v>INT</v>
          </cell>
          <cell r="U1188" t="str">
            <v>EST</v>
          </cell>
          <cell r="V1188" t="str">
            <v>ESTMO</v>
          </cell>
          <cell r="X1188">
            <v>0.20230000000000001</v>
          </cell>
          <cell r="Y1188">
            <v>0</v>
          </cell>
          <cell r="Z1188">
            <v>0.1759</v>
          </cell>
          <cell r="AA1188">
            <v>0</v>
          </cell>
          <cell r="AB1188">
            <v>0.153</v>
          </cell>
          <cell r="AC1188">
            <v>0</v>
          </cell>
          <cell r="AD1188">
            <v>0.13300000000000001</v>
          </cell>
          <cell r="AE1188">
            <v>0</v>
          </cell>
          <cell r="AG1188" t="str">
            <v/>
          </cell>
          <cell r="AH1188" t="str">
            <v/>
          </cell>
          <cell r="AJ1188">
            <v>0.20230000000000001</v>
          </cell>
          <cell r="AK1188">
            <v>0</v>
          </cell>
          <cell r="AL1188">
            <v>0.1759</v>
          </cell>
          <cell r="AM1188">
            <v>0</v>
          </cell>
          <cell r="AN1188">
            <v>0.153</v>
          </cell>
          <cell r="AO1188">
            <v>0</v>
          </cell>
          <cell r="AP1188">
            <v>0.13300000000000001</v>
          </cell>
          <cell r="AQ1188">
            <v>0</v>
          </cell>
          <cell r="AS1188" t="str">
            <v/>
          </cell>
          <cell r="AT1188" t="str">
            <v/>
          </cell>
          <cell r="AV1188" t="b">
            <v>1</v>
          </cell>
          <cell r="AW1188" t="str">
            <v>minute</v>
          </cell>
        </row>
        <row r="1189">
          <cell r="S1189" t="str">
            <v>INT EST</v>
          </cell>
          <cell r="T1189" t="str">
            <v>INT</v>
          </cell>
          <cell r="U1189" t="str">
            <v>EST</v>
          </cell>
          <cell r="V1189" t="str">
            <v/>
          </cell>
          <cell r="X1189">
            <v>3.9300000000000002E-2</v>
          </cell>
          <cell r="Y1189">
            <v>0</v>
          </cell>
          <cell r="Z1189">
            <v>3.4099999999999998E-2</v>
          </cell>
          <cell r="AA1189">
            <v>0</v>
          </cell>
          <cell r="AB1189">
            <v>2.9700000000000001E-2</v>
          </cell>
          <cell r="AC1189">
            <v>0</v>
          </cell>
          <cell r="AD1189">
            <v>2.58E-2</v>
          </cell>
          <cell r="AE1189">
            <v>0</v>
          </cell>
          <cell r="AG1189" t="str">
            <v/>
          </cell>
          <cell r="AH1189" t="str">
            <v/>
          </cell>
          <cell r="AJ1189">
            <v>3.9300000000000002E-2</v>
          </cell>
          <cell r="AK1189">
            <v>0</v>
          </cell>
          <cell r="AL1189">
            <v>3.4099999999999998E-2</v>
          </cell>
          <cell r="AM1189">
            <v>0</v>
          </cell>
          <cell r="AN1189">
            <v>2.9700000000000001E-2</v>
          </cell>
          <cell r="AO1189">
            <v>0</v>
          </cell>
          <cell r="AP1189">
            <v>2.58E-2</v>
          </cell>
          <cell r="AQ1189">
            <v>0</v>
          </cell>
          <cell r="AS1189" t="str">
            <v/>
          </cell>
          <cell r="AT1189" t="str">
            <v/>
          </cell>
          <cell r="AV1189" t="b">
            <v>1</v>
          </cell>
          <cell r="AW1189" t="str">
            <v>minute</v>
          </cell>
        </row>
        <row r="1190">
          <cell r="S1190" t="str">
            <v>INT ETH ETHMO</v>
          </cell>
          <cell r="T1190" t="str">
            <v>INT</v>
          </cell>
          <cell r="U1190" t="str">
            <v>ETH</v>
          </cell>
          <cell r="V1190" t="str">
            <v>ETHMO</v>
          </cell>
          <cell r="X1190">
            <v>0.36320000000000002</v>
          </cell>
          <cell r="Y1190">
            <v>0</v>
          </cell>
          <cell r="Z1190">
            <v>0.31580000000000003</v>
          </cell>
          <cell r="AA1190">
            <v>0</v>
          </cell>
          <cell r="AB1190">
            <v>0.27460000000000001</v>
          </cell>
          <cell r="AC1190">
            <v>0</v>
          </cell>
          <cell r="AD1190">
            <v>0.23880000000000001</v>
          </cell>
          <cell r="AE1190">
            <v>0</v>
          </cell>
          <cell r="AG1190" t="str">
            <v/>
          </cell>
          <cell r="AH1190" t="str">
            <v/>
          </cell>
          <cell r="AJ1190">
            <v>0.36320000000000002</v>
          </cell>
          <cell r="AK1190">
            <v>0</v>
          </cell>
          <cell r="AL1190">
            <v>0.31580000000000003</v>
          </cell>
          <cell r="AM1190">
            <v>0</v>
          </cell>
          <cell r="AN1190">
            <v>0.27460000000000001</v>
          </cell>
          <cell r="AO1190">
            <v>0</v>
          </cell>
          <cell r="AP1190">
            <v>0.23880000000000001</v>
          </cell>
          <cell r="AQ1190">
            <v>0</v>
          </cell>
          <cell r="AS1190" t="str">
            <v/>
          </cell>
          <cell r="AT1190" t="str">
            <v/>
          </cell>
          <cell r="AV1190" t="b">
            <v>1</v>
          </cell>
          <cell r="AW1190" t="str">
            <v>minute</v>
          </cell>
        </row>
        <row r="1191">
          <cell r="S1191" t="str">
            <v>INT ETH</v>
          </cell>
          <cell r="T1191" t="str">
            <v>INT</v>
          </cell>
          <cell r="U1191" t="str">
            <v>ETH</v>
          </cell>
          <cell r="V1191" t="str">
            <v/>
          </cell>
          <cell r="X1191">
            <v>0.36320000000000002</v>
          </cell>
          <cell r="Y1191">
            <v>0</v>
          </cell>
          <cell r="Z1191">
            <v>0.31580000000000003</v>
          </cell>
          <cell r="AA1191">
            <v>0</v>
          </cell>
          <cell r="AB1191">
            <v>0.27460000000000001</v>
          </cell>
          <cell r="AC1191">
            <v>0</v>
          </cell>
          <cell r="AD1191">
            <v>0.23880000000000001</v>
          </cell>
          <cell r="AE1191">
            <v>0</v>
          </cell>
          <cell r="AG1191" t="str">
            <v/>
          </cell>
          <cell r="AH1191" t="str">
            <v/>
          </cell>
          <cell r="AJ1191">
            <v>0.36320000000000002</v>
          </cell>
          <cell r="AK1191">
            <v>0</v>
          </cell>
          <cell r="AL1191">
            <v>0.31580000000000003</v>
          </cell>
          <cell r="AM1191">
            <v>0</v>
          </cell>
          <cell r="AN1191">
            <v>0.27460000000000001</v>
          </cell>
          <cell r="AO1191">
            <v>0</v>
          </cell>
          <cell r="AP1191">
            <v>0.23880000000000001</v>
          </cell>
          <cell r="AQ1191">
            <v>0</v>
          </cell>
          <cell r="AS1191" t="str">
            <v/>
          </cell>
          <cell r="AT1191" t="str">
            <v/>
          </cell>
          <cell r="AV1191" t="b">
            <v>1</v>
          </cell>
          <cell r="AW1191" t="str">
            <v>minute</v>
          </cell>
        </row>
        <row r="1192">
          <cell r="S1192" t="str">
            <v>INT FRO</v>
          </cell>
          <cell r="T1192" t="str">
            <v>INT</v>
          </cell>
          <cell r="U1192" t="str">
            <v>FRO</v>
          </cell>
          <cell r="V1192" t="str">
            <v/>
          </cell>
          <cell r="X1192">
            <v>0.28699999999999998</v>
          </cell>
          <cell r="Y1192">
            <v>0</v>
          </cell>
          <cell r="Z1192">
            <v>0.24959999999999999</v>
          </cell>
          <cell r="AA1192">
            <v>0</v>
          </cell>
          <cell r="AB1192">
            <v>0.217</v>
          </cell>
          <cell r="AC1192">
            <v>0</v>
          </cell>
          <cell r="AD1192">
            <v>0.18870000000000001</v>
          </cell>
          <cell r="AE1192">
            <v>0</v>
          </cell>
          <cell r="AG1192" t="str">
            <v/>
          </cell>
          <cell r="AH1192" t="str">
            <v/>
          </cell>
          <cell r="AJ1192">
            <v>0.28699999999999998</v>
          </cell>
          <cell r="AK1192">
            <v>0</v>
          </cell>
          <cell r="AL1192">
            <v>0.24959999999999999</v>
          </cell>
          <cell r="AM1192">
            <v>0</v>
          </cell>
          <cell r="AN1192">
            <v>0.217</v>
          </cell>
          <cell r="AO1192">
            <v>0</v>
          </cell>
          <cell r="AP1192">
            <v>0.18870000000000001</v>
          </cell>
          <cell r="AQ1192">
            <v>0</v>
          </cell>
          <cell r="AS1192" t="str">
            <v/>
          </cell>
          <cell r="AT1192" t="str">
            <v/>
          </cell>
          <cell r="AV1192" t="b">
            <v>1</v>
          </cell>
          <cell r="AW1192" t="str">
            <v>minute</v>
          </cell>
        </row>
        <row r="1193">
          <cell r="S1193" t="str">
            <v>INT FLK</v>
          </cell>
          <cell r="T1193" t="str">
            <v>INT</v>
          </cell>
          <cell r="U1193" t="str">
            <v>FLK</v>
          </cell>
          <cell r="V1193" t="str">
            <v/>
          </cell>
          <cell r="X1193">
            <v>1.3345</v>
          </cell>
          <cell r="Y1193">
            <v>0</v>
          </cell>
          <cell r="Z1193">
            <v>1.1604000000000001</v>
          </cell>
          <cell r="AA1193">
            <v>0</v>
          </cell>
          <cell r="AB1193">
            <v>1.0086999999999999</v>
          </cell>
          <cell r="AC1193">
            <v>0</v>
          </cell>
          <cell r="AD1193">
            <v>0.87739999999999996</v>
          </cell>
          <cell r="AE1193">
            <v>0</v>
          </cell>
          <cell r="AG1193" t="str">
            <v/>
          </cell>
          <cell r="AH1193" t="str">
            <v/>
          </cell>
          <cell r="AJ1193">
            <v>1.3345</v>
          </cell>
          <cell r="AK1193">
            <v>0</v>
          </cell>
          <cell r="AL1193">
            <v>1.1604000000000001</v>
          </cell>
          <cell r="AM1193">
            <v>0</v>
          </cell>
          <cell r="AN1193">
            <v>1.0086999999999999</v>
          </cell>
          <cell r="AO1193">
            <v>0</v>
          </cell>
          <cell r="AP1193">
            <v>0.87739999999999996</v>
          </cell>
          <cell r="AQ1193">
            <v>0</v>
          </cell>
          <cell r="AS1193" t="str">
            <v/>
          </cell>
          <cell r="AT1193" t="str">
            <v/>
          </cell>
          <cell r="AV1193" t="b">
            <v>1</v>
          </cell>
          <cell r="AW1193" t="str">
            <v>minute</v>
          </cell>
        </row>
        <row r="1194">
          <cell r="S1194" t="str">
            <v>INT FJI FJIMO</v>
          </cell>
          <cell r="T1194" t="str">
            <v>INT</v>
          </cell>
          <cell r="U1194" t="str">
            <v>FJI</v>
          </cell>
          <cell r="V1194" t="str">
            <v>FJIMO</v>
          </cell>
          <cell r="X1194">
            <v>0.36120000000000002</v>
          </cell>
          <cell r="Y1194">
            <v>0</v>
          </cell>
          <cell r="Z1194">
            <v>0.31409999999999999</v>
          </cell>
          <cell r="AA1194">
            <v>0</v>
          </cell>
          <cell r="AB1194">
            <v>0.27310000000000001</v>
          </cell>
          <cell r="AC1194">
            <v>0</v>
          </cell>
          <cell r="AD1194">
            <v>0.23749999999999999</v>
          </cell>
          <cell r="AE1194">
            <v>0</v>
          </cell>
          <cell r="AG1194" t="str">
            <v/>
          </cell>
          <cell r="AH1194" t="str">
            <v/>
          </cell>
          <cell r="AJ1194">
            <v>0.36120000000000002</v>
          </cell>
          <cell r="AK1194">
            <v>0</v>
          </cell>
          <cell r="AL1194">
            <v>0.31409999999999999</v>
          </cell>
          <cell r="AM1194">
            <v>0</v>
          </cell>
          <cell r="AN1194">
            <v>0.27310000000000001</v>
          </cell>
          <cell r="AO1194">
            <v>0</v>
          </cell>
          <cell r="AP1194">
            <v>0.23749999999999999</v>
          </cell>
          <cell r="AQ1194">
            <v>0</v>
          </cell>
          <cell r="AS1194" t="str">
            <v/>
          </cell>
          <cell r="AT1194" t="str">
            <v/>
          </cell>
          <cell r="AV1194" t="b">
            <v>1</v>
          </cell>
          <cell r="AW1194" t="str">
            <v>minute</v>
          </cell>
        </row>
        <row r="1195">
          <cell r="S1195" t="str">
            <v>INT FJI</v>
          </cell>
          <cell r="T1195" t="str">
            <v>INT</v>
          </cell>
          <cell r="U1195" t="str">
            <v>FJI</v>
          </cell>
          <cell r="V1195" t="str">
            <v/>
          </cell>
          <cell r="X1195">
            <v>0.36120000000000002</v>
          </cell>
          <cell r="Y1195">
            <v>0</v>
          </cell>
          <cell r="Z1195">
            <v>0.31409999999999999</v>
          </cell>
          <cell r="AA1195">
            <v>0</v>
          </cell>
          <cell r="AB1195">
            <v>0.27310000000000001</v>
          </cell>
          <cell r="AC1195">
            <v>0</v>
          </cell>
          <cell r="AD1195">
            <v>0.23749999999999999</v>
          </cell>
          <cell r="AE1195">
            <v>0</v>
          </cell>
          <cell r="AG1195" t="str">
            <v/>
          </cell>
          <cell r="AH1195" t="str">
            <v/>
          </cell>
          <cell r="AJ1195">
            <v>0.36120000000000002</v>
          </cell>
          <cell r="AK1195">
            <v>0</v>
          </cell>
          <cell r="AL1195">
            <v>0.31409999999999999</v>
          </cell>
          <cell r="AM1195">
            <v>0</v>
          </cell>
          <cell r="AN1195">
            <v>0.27310000000000001</v>
          </cell>
          <cell r="AO1195">
            <v>0</v>
          </cell>
          <cell r="AP1195">
            <v>0.23749999999999999</v>
          </cell>
          <cell r="AQ1195">
            <v>0</v>
          </cell>
          <cell r="AS1195" t="str">
            <v/>
          </cell>
          <cell r="AT1195" t="str">
            <v/>
          </cell>
          <cell r="AV1195" t="b">
            <v>1</v>
          </cell>
          <cell r="AW1195" t="str">
            <v>minute</v>
          </cell>
        </row>
        <row r="1196">
          <cell r="S1196" t="str">
            <v>INT FIN FINMO</v>
          </cell>
          <cell r="T1196" t="str">
            <v>INT</v>
          </cell>
          <cell r="U1196" t="str">
            <v>FIN</v>
          </cell>
          <cell r="V1196" t="str">
            <v>FINMO</v>
          </cell>
          <cell r="X1196">
            <v>6.6000000000000003E-2</v>
          </cell>
          <cell r="Y1196">
            <v>0</v>
          </cell>
          <cell r="Z1196">
            <v>5.9400000000000001E-2</v>
          </cell>
          <cell r="AA1196">
            <v>0</v>
          </cell>
          <cell r="AB1196">
            <v>5.6099999999999997E-2</v>
          </cell>
          <cell r="AC1196">
            <v>0</v>
          </cell>
          <cell r="AD1196">
            <v>5.28E-2</v>
          </cell>
          <cell r="AE1196">
            <v>0</v>
          </cell>
          <cell r="AG1196" t="str">
            <v/>
          </cell>
          <cell r="AH1196" t="str">
            <v/>
          </cell>
          <cell r="AJ1196">
            <v>6.6000000000000003E-2</v>
          </cell>
          <cell r="AK1196">
            <v>0</v>
          </cell>
          <cell r="AL1196">
            <v>5.9400000000000001E-2</v>
          </cell>
          <cell r="AM1196">
            <v>0</v>
          </cell>
          <cell r="AN1196">
            <v>5.6099999999999997E-2</v>
          </cell>
          <cell r="AO1196">
            <v>0</v>
          </cell>
          <cell r="AP1196">
            <v>5.28E-2</v>
          </cell>
          <cell r="AQ1196">
            <v>0</v>
          </cell>
          <cell r="AS1196" t="str">
            <v/>
          </cell>
          <cell r="AT1196" t="str">
            <v/>
          </cell>
          <cell r="AV1196" t="b">
            <v>1</v>
          </cell>
          <cell r="AW1196" t="str">
            <v>minute</v>
          </cell>
        </row>
        <row r="1197">
          <cell r="S1197" t="str">
            <v>INT FIN</v>
          </cell>
          <cell r="T1197" t="str">
            <v>INT</v>
          </cell>
          <cell r="U1197" t="str">
            <v>FIN</v>
          </cell>
          <cell r="V1197" t="str">
            <v/>
          </cell>
          <cell r="X1197">
            <v>5.67E-2</v>
          </cell>
          <cell r="Y1197">
            <v>0</v>
          </cell>
          <cell r="Z1197">
            <v>5.11E-2</v>
          </cell>
          <cell r="AA1197">
            <v>0</v>
          </cell>
          <cell r="AB1197">
            <v>4.82E-2</v>
          </cell>
          <cell r="AC1197">
            <v>0</v>
          </cell>
          <cell r="AD1197">
            <v>4.5400000000000003E-2</v>
          </cell>
          <cell r="AE1197">
            <v>0</v>
          </cell>
          <cell r="AG1197" t="str">
            <v/>
          </cell>
          <cell r="AH1197" t="str">
            <v/>
          </cell>
          <cell r="AJ1197">
            <v>5.67E-2</v>
          </cell>
          <cell r="AK1197">
            <v>0</v>
          </cell>
          <cell r="AL1197">
            <v>5.11E-2</v>
          </cell>
          <cell r="AM1197">
            <v>0</v>
          </cell>
          <cell r="AN1197">
            <v>4.82E-2</v>
          </cell>
          <cell r="AO1197">
            <v>0</v>
          </cell>
          <cell r="AP1197">
            <v>4.5400000000000003E-2</v>
          </cell>
          <cell r="AQ1197">
            <v>0</v>
          </cell>
          <cell r="AS1197" t="str">
            <v/>
          </cell>
          <cell r="AT1197" t="str">
            <v/>
          </cell>
          <cell r="AV1197" t="b">
            <v>1</v>
          </cell>
          <cell r="AW1197" t="str">
            <v>minute</v>
          </cell>
        </row>
        <row r="1198">
          <cell r="S1198" t="str">
            <v>INT FIN FIB29</v>
          </cell>
          <cell r="T1198" t="str">
            <v>INT</v>
          </cell>
          <cell r="U1198" t="str">
            <v>FIN</v>
          </cell>
          <cell r="V1198" t="str">
            <v>FIB29</v>
          </cell>
          <cell r="X1198">
            <v>0.33310000000000001</v>
          </cell>
          <cell r="Y1198">
            <v>0</v>
          </cell>
          <cell r="Z1198">
            <v>0.33310000000000001</v>
          </cell>
          <cell r="AA1198">
            <v>0</v>
          </cell>
          <cell r="AB1198">
            <v>0.33310000000000001</v>
          </cell>
          <cell r="AC1198">
            <v>0</v>
          </cell>
          <cell r="AD1198">
            <v>0.33310000000000001</v>
          </cell>
          <cell r="AE1198">
            <v>0</v>
          </cell>
          <cell r="AG1198" t="str">
            <v/>
          </cell>
          <cell r="AH1198" t="str">
            <v/>
          </cell>
          <cell r="AJ1198">
            <v>0.33310000000000001</v>
          </cell>
          <cell r="AK1198">
            <v>0</v>
          </cell>
          <cell r="AL1198">
            <v>0.33310000000000001</v>
          </cell>
          <cell r="AM1198">
            <v>0</v>
          </cell>
          <cell r="AN1198">
            <v>0.33310000000000001</v>
          </cell>
          <cell r="AO1198">
            <v>0</v>
          </cell>
          <cell r="AP1198">
            <v>0.33310000000000001</v>
          </cell>
          <cell r="AQ1198">
            <v>0</v>
          </cell>
          <cell r="AS1198" t="str">
            <v/>
          </cell>
          <cell r="AT1198" t="str">
            <v/>
          </cell>
          <cell r="AV1198" t="b">
            <v>0</v>
          </cell>
          <cell r="AW1198" t="str">
            <v>minute</v>
          </cell>
        </row>
        <row r="1199">
          <cell r="S1199" t="str">
            <v>INT FIN FINPR</v>
          </cell>
          <cell r="T1199" t="str">
            <v>INT</v>
          </cell>
          <cell r="U1199" t="str">
            <v>FIN</v>
          </cell>
          <cell r="V1199" t="str">
            <v>FINPR</v>
          </cell>
          <cell r="X1199">
            <v>7.3400000000000007E-2</v>
          </cell>
          <cell r="Y1199">
            <v>0</v>
          </cell>
          <cell r="Z1199">
            <v>6.6000000000000003E-2</v>
          </cell>
          <cell r="AA1199">
            <v>0</v>
          </cell>
          <cell r="AB1199">
            <v>6.0900000000000003E-2</v>
          </cell>
          <cell r="AC1199">
            <v>0</v>
          </cell>
          <cell r="AD1199">
            <v>6.0900000000000003E-2</v>
          </cell>
          <cell r="AE1199">
            <v>0</v>
          </cell>
          <cell r="AG1199" t="str">
            <v/>
          </cell>
          <cell r="AH1199" t="str">
            <v/>
          </cell>
          <cell r="AJ1199">
            <v>7.3400000000000007E-2</v>
          </cell>
          <cell r="AK1199">
            <v>0</v>
          </cell>
          <cell r="AL1199">
            <v>6.6000000000000003E-2</v>
          </cell>
          <cell r="AM1199">
            <v>0</v>
          </cell>
          <cell r="AN1199">
            <v>6.0900000000000003E-2</v>
          </cell>
          <cell r="AO1199">
            <v>0</v>
          </cell>
          <cell r="AP1199">
            <v>6.0900000000000003E-2</v>
          </cell>
          <cell r="AQ1199">
            <v>0</v>
          </cell>
          <cell r="AS1199" t="str">
            <v/>
          </cell>
          <cell r="AT1199" t="str">
            <v/>
          </cell>
          <cell r="AV1199" t="b">
            <v>1</v>
          </cell>
          <cell r="AW1199" t="str">
            <v>minute</v>
          </cell>
        </row>
        <row r="1200">
          <cell r="S1200" t="str">
            <v>INT FIN FITFR</v>
          </cell>
          <cell r="T1200" t="str">
            <v>INT</v>
          </cell>
          <cell r="U1200" t="str">
            <v>FIN</v>
          </cell>
          <cell r="V1200" t="str">
            <v>FITFR</v>
          </cell>
          <cell r="X1200">
            <v>4.7800000000000002E-2</v>
          </cell>
          <cell r="Y1200">
            <v>0</v>
          </cell>
          <cell r="Z1200">
            <v>4.7800000000000002E-2</v>
          </cell>
          <cell r="AA1200">
            <v>0</v>
          </cell>
          <cell r="AB1200">
            <v>4.7800000000000002E-2</v>
          </cell>
          <cell r="AC1200">
            <v>0</v>
          </cell>
          <cell r="AD1200">
            <v>4.7800000000000002E-2</v>
          </cell>
          <cell r="AE1200">
            <v>0</v>
          </cell>
          <cell r="AG1200" t="str">
            <v/>
          </cell>
          <cell r="AH1200" t="str">
            <v/>
          </cell>
          <cell r="AJ1200">
            <v>4.7800000000000002E-2</v>
          </cell>
          <cell r="AK1200">
            <v>0</v>
          </cell>
          <cell r="AL1200">
            <v>4.7800000000000002E-2</v>
          </cell>
          <cell r="AM1200">
            <v>0</v>
          </cell>
          <cell r="AN1200">
            <v>4.7800000000000002E-2</v>
          </cell>
          <cell r="AO1200">
            <v>0</v>
          </cell>
          <cell r="AP1200">
            <v>4.7800000000000002E-2</v>
          </cell>
          <cell r="AQ1200">
            <v>0</v>
          </cell>
          <cell r="AS1200" t="str">
            <v/>
          </cell>
          <cell r="AT1200" t="str">
            <v/>
          </cell>
          <cell r="AV1200" t="b">
            <v>0</v>
          </cell>
          <cell r="AW1200" t="str">
            <v>minute</v>
          </cell>
        </row>
        <row r="1201">
          <cell r="S1201" t="str">
            <v>INT FIN FITS1</v>
          </cell>
          <cell r="T1201" t="str">
            <v>INT</v>
          </cell>
          <cell r="U1201" t="str">
            <v>FIN</v>
          </cell>
          <cell r="V1201" t="str">
            <v>FITS1</v>
          </cell>
          <cell r="X1201">
            <v>2.5350000000000001</v>
          </cell>
          <cell r="Y1201">
            <v>0</v>
          </cell>
          <cell r="Z1201">
            <v>2.5350000000000001</v>
          </cell>
          <cell r="AA1201">
            <v>0</v>
          </cell>
          <cell r="AB1201">
            <v>2.5350000000000001</v>
          </cell>
          <cell r="AC1201">
            <v>0</v>
          </cell>
          <cell r="AD1201">
            <v>2.5350000000000001</v>
          </cell>
          <cell r="AE1201">
            <v>0</v>
          </cell>
          <cell r="AG1201" t="str">
            <v/>
          </cell>
          <cell r="AH1201" t="str">
            <v/>
          </cell>
          <cell r="AJ1201">
            <v>2.5350000000000001</v>
          </cell>
          <cell r="AK1201">
            <v>0</v>
          </cell>
          <cell r="AL1201">
            <v>2.5350000000000001</v>
          </cell>
          <cell r="AM1201">
            <v>0</v>
          </cell>
          <cell r="AN1201">
            <v>2.5350000000000001</v>
          </cell>
          <cell r="AO1201">
            <v>0</v>
          </cell>
          <cell r="AP1201">
            <v>2.5350000000000001</v>
          </cell>
          <cell r="AQ1201">
            <v>0</v>
          </cell>
          <cell r="AS1201" t="str">
            <v/>
          </cell>
          <cell r="AT1201" t="str">
            <v/>
          </cell>
          <cell r="AV1201" t="b">
            <v>0</v>
          </cell>
          <cell r="AW1201" t="str">
            <v>minute</v>
          </cell>
        </row>
        <row r="1202">
          <cell r="S1202" t="str">
            <v>INT FRA FRAMO</v>
          </cell>
          <cell r="T1202" t="str">
            <v>INT</v>
          </cell>
          <cell r="U1202" t="str">
            <v>FRA</v>
          </cell>
          <cell r="V1202" t="str">
            <v>FRAMO</v>
          </cell>
          <cell r="X1202">
            <v>4.0099999999999997E-2</v>
          </cell>
          <cell r="Y1202">
            <v>0</v>
          </cell>
          <cell r="Z1202">
            <v>3.7499999999999999E-2</v>
          </cell>
          <cell r="AA1202">
            <v>0</v>
          </cell>
          <cell r="AB1202">
            <v>3.5000000000000003E-2</v>
          </cell>
          <cell r="AC1202">
            <v>0</v>
          </cell>
          <cell r="AD1202">
            <v>3.27E-2</v>
          </cell>
          <cell r="AE1202">
            <v>0</v>
          </cell>
          <cell r="AG1202" t="str">
            <v/>
          </cell>
          <cell r="AH1202" t="str">
            <v/>
          </cell>
          <cell r="AJ1202">
            <v>4.0099999999999997E-2</v>
          </cell>
          <cell r="AK1202">
            <v>0</v>
          </cell>
          <cell r="AL1202">
            <v>3.7499999999999999E-2</v>
          </cell>
          <cell r="AM1202">
            <v>0</v>
          </cell>
          <cell r="AN1202">
            <v>3.5000000000000003E-2</v>
          </cell>
          <cell r="AO1202">
            <v>0</v>
          </cell>
          <cell r="AP1202">
            <v>3.27E-2</v>
          </cell>
          <cell r="AQ1202">
            <v>0</v>
          </cell>
          <cell r="AS1202" t="str">
            <v/>
          </cell>
          <cell r="AT1202" t="str">
            <v/>
          </cell>
          <cell r="AV1202" t="b">
            <v>1</v>
          </cell>
          <cell r="AW1202" t="str">
            <v>minute</v>
          </cell>
        </row>
        <row r="1203">
          <cell r="S1203" t="str">
            <v>INT FRA FRMGL</v>
          </cell>
          <cell r="T1203" t="str">
            <v>INT</v>
          </cell>
          <cell r="U1203" t="str">
            <v>FRA</v>
          </cell>
          <cell r="V1203" t="str">
            <v>FRMGL</v>
          </cell>
          <cell r="X1203">
            <v>0.4</v>
          </cell>
          <cell r="Y1203">
            <v>0</v>
          </cell>
          <cell r="Z1203">
            <v>0.35</v>
          </cell>
          <cell r="AA1203">
            <v>0</v>
          </cell>
          <cell r="AB1203">
            <v>0.3</v>
          </cell>
          <cell r="AC1203">
            <v>0</v>
          </cell>
          <cell r="AD1203">
            <v>0.25</v>
          </cell>
          <cell r="AE1203">
            <v>0</v>
          </cell>
          <cell r="AG1203" t="str">
            <v/>
          </cell>
          <cell r="AH1203" t="str">
            <v/>
          </cell>
          <cell r="AJ1203">
            <v>0.4</v>
          </cell>
          <cell r="AK1203">
            <v>0</v>
          </cell>
          <cell r="AL1203">
            <v>0.35</v>
          </cell>
          <cell r="AM1203">
            <v>0</v>
          </cell>
          <cell r="AN1203">
            <v>0.3</v>
          </cell>
          <cell r="AO1203">
            <v>0</v>
          </cell>
          <cell r="AP1203">
            <v>0.25</v>
          </cell>
          <cell r="AQ1203">
            <v>0</v>
          </cell>
          <cell r="AS1203" t="str">
            <v/>
          </cell>
          <cell r="AT1203" t="str">
            <v/>
          </cell>
          <cell r="AV1203" t="b">
            <v>1</v>
          </cell>
          <cell r="AW1203" t="str">
            <v>minute</v>
          </cell>
        </row>
        <row r="1204">
          <cell r="S1204" t="str">
            <v>INT FRA FRAIT</v>
          </cell>
          <cell r="T1204" t="str">
            <v>INT</v>
          </cell>
          <cell r="U1204" t="str">
            <v>FRA</v>
          </cell>
          <cell r="V1204" t="str">
            <v>FRAIT</v>
          </cell>
          <cell r="X1204">
            <v>4.0099999999999997E-2</v>
          </cell>
          <cell r="Y1204">
            <v>0</v>
          </cell>
          <cell r="Z1204">
            <v>3.7499999999999999E-2</v>
          </cell>
          <cell r="AA1204">
            <v>0</v>
          </cell>
          <cell r="AB1204">
            <v>3.5000000000000003E-2</v>
          </cell>
          <cell r="AC1204">
            <v>0</v>
          </cell>
          <cell r="AD1204">
            <v>3.27E-2</v>
          </cell>
          <cell r="AE1204">
            <v>0</v>
          </cell>
          <cell r="AG1204" t="str">
            <v/>
          </cell>
          <cell r="AH1204" t="str">
            <v/>
          </cell>
          <cell r="AJ1204">
            <v>4.0099999999999997E-2</v>
          </cell>
          <cell r="AK1204">
            <v>0</v>
          </cell>
          <cell r="AL1204">
            <v>3.7499999999999999E-2</v>
          </cell>
          <cell r="AM1204">
            <v>0</v>
          </cell>
          <cell r="AN1204">
            <v>3.5000000000000003E-2</v>
          </cell>
          <cell r="AO1204">
            <v>0</v>
          </cell>
          <cell r="AP1204">
            <v>3.27E-2</v>
          </cell>
          <cell r="AQ1204">
            <v>0</v>
          </cell>
          <cell r="AS1204" t="str">
            <v/>
          </cell>
          <cell r="AT1204" t="str">
            <v/>
          </cell>
          <cell r="AV1204" t="b">
            <v>1</v>
          </cell>
          <cell r="AW1204" t="str">
            <v>minute</v>
          </cell>
        </row>
        <row r="1205">
          <cell r="S1205" t="str">
            <v>INT FRA</v>
          </cell>
          <cell r="T1205" t="str">
            <v>INT</v>
          </cell>
          <cell r="U1205" t="str">
            <v>FRA</v>
          </cell>
          <cell r="V1205" t="str">
            <v/>
          </cell>
          <cell r="X1205">
            <v>1.67E-2</v>
          </cell>
          <cell r="Y1205">
            <v>0</v>
          </cell>
          <cell r="Z1205">
            <v>1.5599999999999999E-2</v>
          </cell>
          <cell r="AA1205">
            <v>0</v>
          </cell>
          <cell r="AB1205">
            <v>1.46E-2</v>
          </cell>
          <cell r="AC1205">
            <v>0</v>
          </cell>
          <cell r="AD1205">
            <v>1.3599999999999999E-2</v>
          </cell>
          <cell r="AE1205">
            <v>0</v>
          </cell>
          <cell r="AG1205" t="str">
            <v/>
          </cell>
          <cell r="AH1205" t="str">
            <v/>
          </cell>
          <cell r="AJ1205">
            <v>1.67E-2</v>
          </cell>
          <cell r="AK1205">
            <v>0</v>
          </cell>
          <cell r="AL1205">
            <v>1.5599999999999999E-2</v>
          </cell>
          <cell r="AM1205">
            <v>0</v>
          </cell>
          <cell r="AN1205">
            <v>1.46E-2</v>
          </cell>
          <cell r="AO1205">
            <v>0</v>
          </cell>
          <cell r="AP1205">
            <v>1.3599999999999999E-2</v>
          </cell>
          <cell r="AQ1205">
            <v>0</v>
          </cell>
          <cell r="AS1205" t="str">
            <v/>
          </cell>
          <cell r="AT1205" t="str">
            <v/>
          </cell>
          <cell r="AV1205" t="b">
            <v>1</v>
          </cell>
          <cell r="AW1205" t="str">
            <v>minute</v>
          </cell>
        </row>
        <row r="1206">
          <cell r="S1206" t="str">
            <v>INT GUF GUFMO</v>
          </cell>
          <cell r="T1206" t="str">
            <v>INT</v>
          </cell>
          <cell r="U1206" t="str">
            <v>GUF</v>
          </cell>
          <cell r="V1206" t="str">
            <v>GUFMO</v>
          </cell>
          <cell r="X1206">
            <v>4.3900000000000002E-2</v>
          </cell>
          <cell r="Y1206">
            <v>0</v>
          </cell>
          <cell r="Z1206">
            <v>3.8199999999999998E-2</v>
          </cell>
          <cell r="AA1206">
            <v>0</v>
          </cell>
          <cell r="AB1206">
            <v>3.32E-2</v>
          </cell>
          <cell r="AC1206">
            <v>0</v>
          </cell>
          <cell r="AD1206">
            <v>2.8899999999999999E-2</v>
          </cell>
          <cell r="AE1206">
            <v>0</v>
          </cell>
          <cell r="AG1206" t="str">
            <v/>
          </cell>
          <cell r="AH1206" t="str">
            <v/>
          </cell>
          <cell r="AJ1206">
            <v>4.3900000000000002E-2</v>
          </cell>
          <cell r="AK1206">
            <v>0</v>
          </cell>
          <cell r="AL1206">
            <v>3.8199999999999998E-2</v>
          </cell>
          <cell r="AM1206">
            <v>0</v>
          </cell>
          <cell r="AN1206">
            <v>3.32E-2</v>
          </cell>
          <cell r="AO1206">
            <v>0</v>
          </cell>
          <cell r="AP1206">
            <v>2.8899999999999999E-2</v>
          </cell>
          <cell r="AQ1206">
            <v>0</v>
          </cell>
          <cell r="AS1206" t="str">
            <v/>
          </cell>
          <cell r="AT1206" t="str">
            <v/>
          </cell>
          <cell r="AV1206" t="b">
            <v>1</v>
          </cell>
          <cell r="AW1206" t="str">
            <v>minute</v>
          </cell>
        </row>
        <row r="1207">
          <cell r="S1207" t="str">
            <v>INT GUF</v>
          </cell>
          <cell r="T1207" t="str">
            <v>INT</v>
          </cell>
          <cell r="U1207" t="str">
            <v>GUF</v>
          </cell>
          <cell r="V1207" t="str">
            <v/>
          </cell>
          <cell r="X1207">
            <v>2.2200000000000001E-2</v>
          </cell>
          <cell r="Y1207">
            <v>0</v>
          </cell>
          <cell r="Z1207">
            <v>1.9300000000000001E-2</v>
          </cell>
          <cell r="AA1207">
            <v>0</v>
          </cell>
          <cell r="AB1207">
            <v>1.6799999999999999E-2</v>
          </cell>
          <cell r="AC1207">
            <v>0</v>
          </cell>
          <cell r="AD1207">
            <v>1.46E-2</v>
          </cell>
          <cell r="AE1207">
            <v>0</v>
          </cell>
          <cell r="AG1207" t="str">
            <v/>
          </cell>
          <cell r="AH1207" t="str">
            <v/>
          </cell>
          <cell r="AJ1207">
            <v>2.2200000000000001E-2</v>
          </cell>
          <cell r="AK1207">
            <v>0</v>
          </cell>
          <cell r="AL1207">
            <v>1.9300000000000001E-2</v>
          </cell>
          <cell r="AM1207">
            <v>0</v>
          </cell>
          <cell r="AN1207">
            <v>1.6799999999999999E-2</v>
          </cell>
          <cell r="AO1207">
            <v>0</v>
          </cell>
          <cell r="AP1207">
            <v>1.46E-2</v>
          </cell>
          <cell r="AQ1207">
            <v>0</v>
          </cell>
          <cell r="AS1207" t="str">
            <v/>
          </cell>
          <cell r="AT1207" t="str">
            <v/>
          </cell>
          <cell r="AV1207" t="b">
            <v>1</v>
          </cell>
          <cell r="AW1207" t="str">
            <v>minute</v>
          </cell>
        </row>
        <row r="1208">
          <cell r="S1208" t="str">
            <v>INT PYF PYFMO</v>
          </cell>
          <cell r="T1208" t="str">
            <v>INT</v>
          </cell>
          <cell r="U1208" t="str">
            <v>PYF</v>
          </cell>
          <cell r="V1208" t="str">
            <v>PYFMO</v>
          </cell>
          <cell r="X1208">
            <v>0.3947</v>
          </cell>
          <cell r="Y1208">
            <v>0</v>
          </cell>
          <cell r="Z1208">
            <v>0.34320000000000001</v>
          </cell>
          <cell r="AA1208">
            <v>0</v>
          </cell>
          <cell r="AB1208">
            <v>0.2984</v>
          </cell>
          <cell r="AC1208">
            <v>0</v>
          </cell>
          <cell r="AD1208">
            <v>0.25950000000000001</v>
          </cell>
          <cell r="AE1208">
            <v>0</v>
          </cell>
          <cell r="AG1208" t="str">
            <v/>
          </cell>
          <cell r="AH1208" t="str">
            <v/>
          </cell>
          <cell r="AJ1208">
            <v>0.3947</v>
          </cell>
          <cell r="AK1208">
            <v>0</v>
          </cell>
          <cell r="AL1208">
            <v>0.34320000000000001</v>
          </cell>
          <cell r="AM1208">
            <v>0</v>
          </cell>
          <cell r="AN1208">
            <v>0.2984</v>
          </cell>
          <cell r="AO1208">
            <v>0</v>
          </cell>
          <cell r="AP1208">
            <v>0.25950000000000001</v>
          </cell>
          <cell r="AQ1208">
            <v>0</v>
          </cell>
          <cell r="AS1208" t="str">
            <v/>
          </cell>
          <cell r="AT1208" t="str">
            <v/>
          </cell>
          <cell r="AV1208" t="b">
            <v>1</v>
          </cell>
          <cell r="AW1208" t="str">
            <v>minute</v>
          </cell>
        </row>
        <row r="1209">
          <cell r="S1209" t="str">
            <v>INT PYF</v>
          </cell>
          <cell r="T1209" t="str">
            <v>INT</v>
          </cell>
          <cell r="U1209" t="str">
            <v>PYF</v>
          </cell>
          <cell r="V1209" t="str">
            <v/>
          </cell>
          <cell r="X1209">
            <v>0.25209999999999999</v>
          </cell>
          <cell r="Y1209">
            <v>0</v>
          </cell>
          <cell r="Z1209">
            <v>0.21929999999999999</v>
          </cell>
          <cell r="AA1209">
            <v>0</v>
          </cell>
          <cell r="AB1209">
            <v>0.19070000000000001</v>
          </cell>
          <cell r="AC1209">
            <v>0</v>
          </cell>
          <cell r="AD1209">
            <v>0.1658</v>
          </cell>
          <cell r="AE1209">
            <v>0</v>
          </cell>
          <cell r="AG1209" t="str">
            <v/>
          </cell>
          <cell r="AH1209" t="str">
            <v/>
          </cell>
          <cell r="AJ1209">
            <v>0.25209999999999999</v>
          </cell>
          <cell r="AK1209">
            <v>0</v>
          </cell>
          <cell r="AL1209">
            <v>0.21929999999999999</v>
          </cell>
          <cell r="AM1209">
            <v>0</v>
          </cell>
          <cell r="AN1209">
            <v>0.19070000000000001</v>
          </cell>
          <cell r="AO1209">
            <v>0</v>
          </cell>
          <cell r="AP1209">
            <v>0.1658</v>
          </cell>
          <cell r="AQ1209">
            <v>0</v>
          </cell>
          <cell r="AS1209" t="str">
            <v/>
          </cell>
          <cell r="AT1209" t="str">
            <v/>
          </cell>
          <cell r="AV1209" t="b">
            <v>1</v>
          </cell>
          <cell r="AW1209" t="str">
            <v>minute</v>
          </cell>
        </row>
        <row r="1210">
          <cell r="S1210" t="str">
            <v>INT GAB</v>
          </cell>
          <cell r="T1210" t="str">
            <v>INT</v>
          </cell>
          <cell r="U1210" t="str">
            <v>GAB</v>
          </cell>
          <cell r="V1210" t="str">
            <v/>
          </cell>
          <cell r="X1210">
            <v>0.69320000000000004</v>
          </cell>
          <cell r="Y1210">
            <v>0</v>
          </cell>
          <cell r="Z1210">
            <v>0.6028</v>
          </cell>
          <cell r="AA1210">
            <v>0</v>
          </cell>
          <cell r="AB1210">
            <v>0.5242</v>
          </cell>
          <cell r="AC1210">
            <v>0</v>
          </cell>
          <cell r="AD1210">
            <v>0.45579999999999998</v>
          </cell>
          <cell r="AE1210">
            <v>0</v>
          </cell>
          <cell r="AG1210" t="str">
            <v/>
          </cell>
          <cell r="AH1210" t="str">
            <v/>
          </cell>
          <cell r="AJ1210">
            <v>0.69320000000000004</v>
          </cell>
          <cell r="AK1210">
            <v>0</v>
          </cell>
          <cell r="AL1210">
            <v>0.6028</v>
          </cell>
          <cell r="AM1210">
            <v>0</v>
          </cell>
          <cell r="AN1210">
            <v>0.5242</v>
          </cell>
          <cell r="AO1210">
            <v>0</v>
          </cell>
          <cell r="AP1210">
            <v>0.45579999999999998</v>
          </cell>
          <cell r="AQ1210">
            <v>0</v>
          </cell>
          <cell r="AS1210" t="str">
            <v/>
          </cell>
          <cell r="AT1210" t="str">
            <v/>
          </cell>
          <cell r="AV1210" t="b">
            <v>1</v>
          </cell>
          <cell r="AW1210" t="str">
            <v>minute</v>
          </cell>
        </row>
        <row r="1211">
          <cell r="S1211" t="str">
            <v>INT GMB GMBMO</v>
          </cell>
          <cell r="T1211" t="str">
            <v>INT</v>
          </cell>
          <cell r="U1211" t="str">
            <v>GMB</v>
          </cell>
          <cell r="V1211" t="str">
            <v>GMBMO</v>
          </cell>
          <cell r="X1211">
            <v>0.68759999999999999</v>
          </cell>
          <cell r="Y1211">
            <v>0</v>
          </cell>
          <cell r="Z1211">
            <v>0.59789999999999999</v>
          </cell>
          <cell r="AA1211">
            <v>0</v>
          </cell>
          <cell r="AB1211">
            <v>0.51990000000000003</v>
          </cell>
          <cell r="AC1211">
            <v>0</v>
          </cell>
          <cell r="AD1211">
            <v>0.4521</v>
          </cell>
          <cell r="AE1211">
            <v>0</v>
          </cell>
          <cell r="AG1211" t="str">
            <v/>
          </cell>
          <cell r="AH1211" t="str">
            <v/>
          </cell>
          <cell r="AJ1211">
            <v>0.68759999999999999</v>
          </cell>
          <cell r="AK1211">
            <v>0</v>
          </cell>
          <cell r="AL1211">
            <v>0.59789999999999999</v>
          </cell>
          <cell r="AM1211">
            <v>0</v>
          </cell>
          <cell r="AN1211">
            <v>0.51990000000000003</v>
          </cell>
          <cell r="AO1211">
            <v>0</v>
          </cell>
          <cell r="AP1211">
            <v>0.4521</v>
          </cell>
          <cell r="AQ1211">
            <v>0</v>
          </cell>
          <cell r="AS1211" t="str">
            <v/>
          </cell>
          <cell r="AT1211" t="str">
            <v/>
          </cell>
          <cell r="AV1211" t="b">
            <v>1</v>
          </cell>
          <cell r="AW1211" t="str">
            <v>minute</v>
          </cell>
        </row>
        <row r="1212">
          <cell r="S1212" t="str">
            <v>INT GMB</v>
          </cell>
          <cell r="T1212" t="str">
            <v>INT</v>
          </cell>
          <cell r="U1212" t="str">
            <v>GMB</v>
          </cell>
          <cell r="V1212" t="str">
            <v/>
          </cell>
          <cell r="X1212">
            <v>0.68759999999999999</v>
          </cell>
          <cell r="Y1212">
            <v>0</v>
          </cell>
          <cell r="Z1212">
            <v>0.59789999999999999</v>
          </cell>
          <cell r="AA1212">
            <v>0</v>
          </cell>
          <cell r="AB1212">
            <v>0.51990000000000003</v>
          </cell>
          <cell r="AC1212">
            <v>0</v>
          </cell>
          <cell r="AD1212">
            <v>0.4521</v>
          </cell>
          <cell r="AE1212">
            <v>0</v>
          </cell>
          <cell r="AG1212" t="str">
            <v/>
          </cell>
          <cell r="AH1212" t="str">
            <v/>
          </cell>
          <cell r="AJ1212">
            <v>0.68759999999999999</v>
          </cell>
          <cell r="AK1212">
            <v>0</v>
          </cell>
          <cell r="AL1212">
            <v>0.59789999999999999</v>
          </cell>
          <cell r="AM1212">
            <v>0</v>
          </cell>
          <cell r="AN1212">
            <v>0.51990000000000003</v>
          </cell>
          <cell r="AO1212">
            <v>0</v>
          </cell>
          <cell r="AP1212">
            <v>0.4521</v>
          </cell>
          <cell r="AQ1212">
            <v>0</v>
          </cell>
          <cell r="AS1212" t="str">
            <v/>
          </cell>
          <cell r="AT1212" t="str">
            <v/>
          </cell>
          <cell r="AV1212" t="b">
            <v>1</v>
          </cell>
          <cell r="AW1212" t="str">
            <v>minute</v>
          </cell>
        </row>
        <row r="1213">
          <cell r="S1213" t="str">
            <v>INT GEO GEOMO</v>
          </cell>
          <cell r="T1213" t="str">
            <v>INT</v>
          </cell>
          <cell r="U1213" t="str">
            <v>GEO</v>
          </cell>
          <cell r="V1213" t="str">
            <v>GEOMO</v>
          </cell>
          <cell r="X1213">
            <v>0.2046</v>
          </cell>
          <cell r="Y1213">
            <v>0</v>
          </cell>
          <cell r="Z1213">
            <v>0.1779</v>
          </cell>
          <cell r="AA1213">
            <v>0</v>
          </cell>
          <cell r="AB1213">
            <v>0.1547</v>
          </cell>
          <cell r="AC1213">
            <v>0</v>
          </cell>
          <cell r="AD1213">
            <v>0.13450000000000001</v>
          </cell>
          <cell r="AE1213">
            <v>0</v>
          </cell>
          <cell r="AG1213" t="str">
            <v/>
          </cell>
          <cell r="AH1213" t="str">
            <v/>
          </cell>
          <cell r="AJ1213">
            <v>0.2046</v>
          </cell>
          <cell r="AK1213">
            <v>0</v>
          </cell>
          <cell r="AL1213">
            <v>0.1779</v>
          </cell>
          <cell r="AM1213">
            <v>0</v>
          </cell>
          <cell r="AN1213">
            <v>0.1547</v>
          </cell>
          <cell r="AO1213">
            <v>0</v>
          </cell>
          <cell r="AP1213">
            <v>0.13450000000000001</v>
          </cell>
          <cell r="AQ1213">
            <v>0</v>
          </cell>
          <cell r="AS1213" t="str">
            <v/>
          </cell>
          <cell r="AT1213" t="str">
            <v/>
          </cell>
          <cell r="AV1213" t="b">
            <v>1</v>
          </cell>
          <cell r="AW1213" t="str">
            <v>minute</v>
          </cell>
        </row>
        <row r="1214">
          <cell r="S1214" t="str">
            <v>INT GEO</v>
          </cell>
          <cell r="T1214" t="str">
            <v>INT</v>
          </cell>
          <cell r="U1214" t="str">
            <v>GEO</v>
          </cell>
          <cell r="V1214" t="str">
            <v/>
          </cell>
          <cell r="X1214">
            <v>0.1103</v>
          </cell>
          <cell r="Y1214">
            <v>0</v>
          </cell>
          <cell r="Z1214">
            <v>9.5899999999999999E-2</v>
          </cell>
          <cell r="AA1214">
            <v>0</v>
          </cell>
          <cell r="AB1214">
            <v>8.3400000000000002E-2</v>
          </cell>
          <cell r="AC1214">
            <v>0</v>
          </cell>
          <cell r="AD1214">
            <v>7.2499999999999995E-2</v>
          </cell>
          <cell r="AE1214">
            <v>0</v>
          </cell>
          <cell r="AG1214" t="str">
            <v/>
          </cell>
          <cell r="AH1214" t="str">
            <v/>
          </cell>
          <cell r="AJ1214">
            <v>0.1103</v>
          </cell>
          <cell r="AK1214">
            <v>0</v>
          </cell>
          <cell r="AL1214">
            <v>9.5899999999999999E-2</v>
          </cell>
          <cell r="AM1214">
            <v>0</v>
          </cell>
          <cell r="AN1214">
            <v>8.3400000000000002E-2</v>
          </cell>
          <cell r="AO1214">
            <v>0</v>
          </cell>
          <cell r="AP1214">
            <v>7.2499999999999995E-2</v>
          </cell>
          <cell r="AQ1214">
            <v>0</v>
          </cell>
          <cell r="AS1214" t="str">
            <v/>
          </cell>
          <cell r="AT1214" t="str">
            <v/>
          </cell>
          <cell r="AV1214" t="b">
            <v>1</v>
          </cell>
          <cell r="AW1214" t="str">
            <v>minute</v>
          </cell>
        </row>
        <row r="1215">
          <cell r="S1215" t="str">
            <v>INT GER GERMO</v>
          </cell>
          <cell r="T1215" t="str">
            <v>INT</v>
          </cell>
          <cell r="U1215" t="str">
            <v>GER</v>
          </cell>
          <cell r="V1215" t="str">
            <v>GERMO</v>
          </cell>
          <cell r="X1215">
            <v>4.02E-2</v>
          </cell>
          <cell r="Y1215">
            <v>0</v>
          </cell>
          <cell r="Z1215">
            <v>3.9199999999999999E-2</v>
          </cell>
          <cell r="AA1215">
            <v>0</v>
          </cell>
          <cell r="AB1215">
            <v>3.8199999999999998E-2</v>
          </cell>
          <cell r="AC1215">
            <v>0</v>
          </cell>
          <cell r="AD1215">
            <v>3.73E-2</v>
          </cell>
          <cell r="AE1215">
            <v>0</v>
          </cell>
          <cell r="AG1215" t="str">
            <v/>
          </cell>
          <cell r="AH1215" t="str">
            <v/>
          </cell>
          <cell r="AJ1215">
            <v>4.02E-2</v>
          </cell>
          <cell r="AK1215">
            <v>0</v>
          </cell>
          <cell r="AL1215">
            <v>3.9199999999999999E-2</v>
          </cell>
          <cell r="AM1215">
            <v>0</v>
          </cell>
          <cell r="AN1215">
            <v>3.8199999999999998E-2</v>
          </cell>
          <cell r="AO1215">
            <v>0</v>
          </cell>
          <cell r="AP1215">
            <v>3.73E-2</v>
          </cell>
          <cell r="AQ1215">
            <v>0</v>
          </cell>
          <cell r="AS1215" t="str">
            <v/>
          </cell>
          <cell r="AT1215" t="str">
            <v/>
          </cell>
          <cell r="AV1215" t="b">
            <v>1</v>
          </cell>
          <cell r="AW1215" t="str">
            <v>minute</v>
          </cell>
        </row>
        <row r="1216">
          <cell r="S1216" t="str">
            <v>INT GER</v>
          </cell>
          <cell r="T1216" t="str">
            <v>INT</v>
          </cell>
          <cell r="U1216" t="str">
            <v>GER</v>
          </cell>
          <cell r="V1216" t="str">
            <v/>
          </cell>
          <cell r="X1216">
            <v>1.9900000000000001E-2</v>
          </cell>
          <cell r="Y1216">
            <v>0</v>
          </cell>
          <cell r="Z1216">
            <v>1.7899999999999999E-2</v>
          </cell>
          <cell r="AA1216">
            <v>0</v>
          </cell>
          <cell r="AB1216">
            <v>1.6899999999999998E-2</v>
          </cell>
          <cell r="AC1216">
            <v>0</v>
          </cell>
          <cell r="AD1216">
            <v>1.5900000000000001E-2</v>
          </cell>
          <cell r="AE1216">
            <v>0</v>
          </cell>
          <cell r="AG1216" t="str">
            <v/>
          </cell>
          <cell r="AH1216" t="str">
            <v/>
          </cell>
          <cell r="AJ1216">
            <v>1.9900000000000001E-2</v>
          </cell>
          <cell r="AK1216">
            <v>0</v>
          </cell>
          <cell r="AL1216">
            <v>1.7899999999999999E-2</v>
          </cell>
          <cell r="AM1216">
            <v>0</v>
          </cell>
          <cell r="AN1216">
            <v>1.6899999999999998E-2</v>
          </cell>
          <cell r="AO1216">
            <v>0</v>
          </cell>
          <cell r="AP1216">
            <v>1.5900000000000001E-2</v>
          </cell>
          <cell r="AQ1216">
            <v>0</v>
          </cell>
          <cell r="AS1216" t="str">
            <v/>
          </cell>
          <cell r="AT1216" t="str">
            <v/>
          </cell>
          <cell r="AV1216" t="b">
            <v>1</v>
          </cell>
          <cell r="AW1216" t="str">
            <v>minute</v>
          </cell>
        </row>
        <row r="1217">
          <cell r="S1217" t="str">
            <v>INT GER GEPN1</v>
          </cell>
          <cell r="T1217" t="str">
            <v>INT</v>
          </cell>
          <cell r="U1217" t="str">
            <v>GER</v>
          </cell>
          <cell r="V1217" t="str">
            <v>GEPN1</v>
          </cell>
          <cell r="X1217">
            <v>0.1353</v>
          </cell>
          <cell r="Y1217">
            <v>0</v>
          </cell>
          <cell r="Z1217">
            <v>0.1353</v>
          </cell>
          <cell r="AA1217">
            <v>0</v>
          </cell>
          <cell r="AB1217">
            <v>0.1353</v>
          </cell>
          <cell r="AC1217">
            <v>0</v>
          </cell>
          <cell r="AD1217">
            <v>0.1353</v>
          </cell>
          <cell r="AE1217">
            <v>0</v>
          </cell>
          <cell r="AG1217" t="str">
            <v/>
          </cell>
          <cell r="AH1217" t="str">
            <v/>
          </cell>
          <cell r="AJ1217">
            <v>0.1353</v>
          </cell>
          <cell r="AK1217">
            <v>0</v>
          </cell>
          <cell r="AL1217">
            <v>0.1353</v>
          </cell>
          <cell r="AM1217">
            <v>0</v>
          </cell>
          <cell r="AN1217">
            <v>0.1353</v>
          </cell>
          <cell r="AO1217">
            <v>0</v>
          </cell>
          <cell r="AP1217">
            <v>0.1353</v>
          </cell>
          <cell r="AQ1217">
            <v>0</v>
          </cell>
          <cell r="AS1217" t="str">
            <v/>
          </cell>
          <cell r="AT1217" t="str">
            <v/>
          </cell>
          <cell r="AV1217" t="b">
            <v>0</v>
          </cell>
          <cell r="AW1217" t="str">
            <v>minute</v>
          </cell>
        </row>
        <row r="1218">
          <cell r="S1218" t="str">
            <v>INT GER GETS4</v>
          </cell>
          <cell r="T1218" t="str">
            <v>INT</v>
          </cell>
          <cell r="U1218" t="str">
            <v>GER</v>
          </cell>
          <cell r="V1218" t="str">
            <v>GETS4</v>
          </cell>
          <cell r="X1218">
            <v>0.21840000000000001</v>
          </cell>
          <cell r="Y1218">
            <v>0</v>
          </cell>
          <cell r="Z1218">
            <v>0.21840000000000001</v>
          </cell>
          <cell r="AA1218">
            <v>0</v>
          </cell>
          <cell r="AB1218">
            <v>0.21840000000000001</v>
          </cell>
          <cell r="AC1218">
            <v>0</v>
          </cell>
          <cell r="AD1218">
            <v>0.21840000000000001</v>
          </cell>
          <cell r="AE1218">
            <v>0</v>
          </cell>
          <cell r="AG1218" t="str">
            <v/>
          </cell>
          <cell r="AH1218" t="str">
            <v/>
          </cell>
          <cell r="AJ1218">
            <v>0.21840000000000001</v>
          </cell>
          <cell r="AK1218">
            <v>0</v>
          </cell>
          <cell r="AL1218">
            <v>0.21840000000000001</v>
          </cell>
          <cell r="AM1218">
            <v>0</v>
          </cell>
          <cell r="AN1218">
            <v>0.21840000000000001</v>
          </cell>
          <cell r="AO1218">
            <v>0</v>
          </cell>
          <cell r="AP1218">
            <v>0.21840000000000001</v>
          </cell>
          <cell r="AQ1218">
            <v>0</v>
          </cell>
          <cell r="AS1218" t="str">
            <v/>
          </cell>
          <cell r="AT1218" t="str">
            <v/>
          </cell>
          <cell r="AV1218" t="b">
            <v>0</v>
          </cell>
          <cell r="AW1218" t="str">
            <v>minute</v>
          </cell>
        </row>
        <row r="1219">
          <cell r="S1219" t="str">
            <v>INT GER GEV04</v>
          </cell>
          <cell r="T1219" t="str">
            <v>INT</v>
          </cell>
          <cell r="U1219" t="str">
            <v>GER</v>
          </cell>
          <cell r="V1219" t="str">
            <v>GEV04</v>
          </cell>
          <cell r="X1219">
            <v>1.0924</v>
          </cell>
          <cell r="Y1219">
            <v>0</v>
          </cell>
          <cell r="Z1219">
            <v>1.0924</v>
          </cell>
          <cell r="AA1219">
            <v>0</v>
          </cell>
          <cell r="AB1219">
            <v>1.0924</v>
          </cell>
          <cell r="AC1219">
            <v>0</v>
          </cell>
          <cell r="AD1219">
            <v>1.0924</v>
          </cell>
          <cell r="AE1219">
            <v>0</v>
          </cell>
          <cell r="AG1219" t="str">
            <v/>
          </cell>
          <cell r="AH1219" t="str">
            <v/>
          </cell>
          <cell r="AJ1219">
            <v>1.0924</v>
          </cell>
          <cell r="AK1219">
            <v>0</v>
          </cell>
          <cell r="AL1219">
            <v>1.0924</v>
          </cell>
          <cell r="AM1219">
            <v>0</v>
          </cell>
          <cell r="AN1219">
            <v>1.0924</v>
          </cell>
          <cell r="AO1219">
            <v>0</v>
          </cell>
          <cell r="AP1219">
            <v>1.0924</v>
          </cell>
          <cell r="AQ1219">
            <v>0</v>
          </cell>
          <cell r="AS1219" t="str">
            <v/>
          </cell>
          <cell r="AT1219" t="str">
            <v/>
          </cell>
          <cell r="AV1219" t="b">
            <v>0</v>
          </cell>
          <cell r="AW1219" t="str">
            <v>minute</v>
          </cell>
        </row>
        <row r="1220">
          <cell r="S1220" t="str">
            <v>INT GER GETFR</v>
          </cell>
          <cell r="T1220" t="str">
            <v>INT</v>
          </cell>
          <cell r="U1220" t="str">
            <v>GER</v>
          </cell>
          <cell r="V1220" t="str">
            <v>GETFR</v>
          </cell>
          <cell r="X1220">
            <v>1.61E-2</v>
          </cell>
          <cell r="Y1220">
            <v>0</v>
          </cell>
          <cell r="Z1220">
            <v>1.61E-2</v>
          </cell>
          <cell r="AA1220">
            <v>0</v>
          </cell>
          <cell r="AB1220">
            <v>1.61E-2</v>
          </cell>
          <cell r="AC1220">
            <v>0</v>
          </cell>
          <cell r="AD1220">
            <v>1.61E-2</v>
          </cell>
          <cell r="AE1220">
            <v>0</v>
          </cell>
          <cell r="AG1220" t="str">
            <v/>
          </cell>
          <cell r="AH1220" t="str">
            <v/>
          </cell>
          <cell r="AJ1220">
            <v>1.61E-2</v>
          </cell>
          <cell r="AK1220">
            <v>0</v>
          </cell>
          <cell r="AL1220">
            <v>1.61E-2</v>
          </cell>
          <cell r="AM1220">
            <v>0</v>
          </cell>
          <cell r="AN1220">
            <v>1.61E-2</v>
          </cell>
          <cell r="AO1220">
            <v>0</v>
          </cell>
          <cell r="AP1220">
            <v>1.61E-2</v>
          </cell>
          <cell r="AQ1220">
            <v>0</v>
          </cell>
          <cell r="AS1220" t="str">
            <v/>
          </cell>
          <cell r="AT1220" t="str">
            <v/>
          </cell>
          <cell r="AV1220" t="b">
            <v>0</v>
          </cell>
          <cell r="AW1220" t="str">
            <v>minute</v>
          </cell>
        </row>
        <row r="1221">
          <cell r="S1221" t="str">
            <v>INT GHA GHAMO</v>
          </cell>
          <cell r="T1221" t="str">
            <v>INT</v>
          </cell>
          <cell r="U1221" t="str">
            <v>GHA</v>
          </cell>
          <cell r="V1221" t="str">
            <v>GHAMO</v>
          </cell>
          <cell r="X1221">
            <v>0.32800000000000001</v>
          </cell>
          <cell r="Y1221">
            <v>0</v>
          </cell>
          <cell r="Z1221">
            <v>0.29520000000000002</v>
          </cell>
          <cell r="AA1221">
            <v>0</v>
          </cell>
          <cell r="AB1221">
            <v>0.27879999999999999</v>
          </cell>
          <cell r="AC1221">
            <v>0</v>
          </cell>
          <cell r="AD1221">
            <v>0.26240000000000002</v>
          </cell>
          <cell r="AE1221">
            <v>0</v>
          </cell>
          <cell r="AG1221" t="str">
            <v/>
          </cell>
          <cell r="AH1221" t="str">
            <v/>
          </cell>
          <cell r="AJ1221">
            <v>0.32800000000000001</v>
          </cell>
          <cell r="AK1221">
            <v>0</v>
          </cell>
          <cell r="AL1221">
            <v>0.29520000000000002</v>
          </cell>
          <cell r="AM1221">
            <v>0</v>
          </cell>
          <cell r="AN1221">
            <v>0.27879999999999999</v>
          </cell>
          <cell r="AO1221">
            <v>0</v>
          </cell>
          <cell r="AP1221">
            <v>0.26240000000000002</v>
          </cell>
          <cell r="AQ1221">
            <v>0</v>
          </cell>
          <cell r="AS1221" t="str">
            <v/>
          </cell>
          <cell r="AT1221" t="str">
            <v/>
          </cell>
          <cell r="AV1221" t="b">
            <v>1</v>
          </cell>
          <cell r="AW1221" t="str">
            <v>minute</v>
          </cell>
        </row>
        <row r="1222">
          <cell r="S1222" t="str">
            <v>INT GHA</v>
          </cell>
          <cell r="T1222" t="str">
            <v>INT</v>
          </cell>
          <cell r="U1222" t="str">
            <v>GHA</v>
          </cell>
          <cell r="V1222" t="str">
            <v/>
          </cell>
          <cell r="X1222">
            <v>0.30719999999999997</v>
          </cell>
          <cell r="Y1222">
            <v>0</v>
          </cell>
          <cell r="Z1222">
            <v>0.2671</v>
          </cell>
          <cell r="AA1222">
            <v>0</v>
          </cell>
          <cell r="AB1222">
            <v>0.23230000000000001</v>
          </cell>
          <cell r="AC1222">
            <v>0</v>
          </cell>
          <cell r="AD1222">
            <v>0.20200000000000001</v>
          </cell>
          <cell r="AE1222">
            <v>0</v>
          </cell>
          <cell r="AG1222" t="str">
            <v/>
          </cell>
          <cell r="AH1222" t="str">
            <v/>
          </cell>
          <cell r="AJ1222">
            <v>0.30719999999999997</v>
          </cell>
          <cell r="AK1222">
            <v>0</v>
          </cell>
          <cell r="AL1222">
            <v>0.2671</v>
          </cell>
          <cell r="AM1222">
            <v>0</v>
          </cell>
          <cell r="AN1222">
            <v>0.23230000000000001</v>
          </cell>
          <cell r="AO1222">
            <v>0</v>
          </cell>
          <cell r="AP1222">
            <v>0.20200000000000001</v>
          </cell>
          <cell r="AQ1222">
            <v>0</v>
          </cell>
          <cell r="AS1222" t="str">
            <v/>
          </cell>
          <cell r="AT1222" t="str">
            <v/>
          </cell>
          <cell r="AV1222" t="b">
            <v>1</v>
          </cell>
          <cell r="AW1222" t="str">
            <v>minute</v>
          </cell>
        </row>
        <row r="1223">
          <cell r="S1223" t="str">
            <v>INT GIB GIBMO</v>
          </cell>
          <cell r="T1223" t="str">
            <v>INT</v>
          </cell>
          <cell r="U1223" t="str">
            <v>GIB</v>
          </cell>
          <cell r="V1223" t="str">
            <v>GIBMO</v>
          </cell>
          <cell r="X1223">
            <v>0.29459999999999997</v>
          </cell>
          <cell r="Y1223">
            <v>0</v>
          </cell>
          <cell r="Z1223">
            <v>0.25609999999999999</v>
          </cell>
          <cell r="AA1223">
            <v>0</v>
          </cell>
          <cell r="AB1223">
            <v>0.2228</v>
          </cell>
          <cell r="AC1223">
            <v>0</v>
          </cell>
          <cell r="AD1223">
            <v>0.19370000000000001</v>
          </cell>
          <cell r="AE1223">
            <v>0</v>
          </cell>
          <cell r="AG1223" t="str">
            <v/>
          </cell>
          <cell r="AH1223" t="str">
            <v/>
          </cell>
          <cell r="AJ1223">
            <v>0.29459999999999997</v>
          </cell>
          <cell r="AK1223">
            <v>0</v>
          </cell>
          <cell r="AL1223">
            <v>0.25609999999999999</v>
          </cell>
          <cell r="AM1223">
            <v>0</v>
          </cell>
          <cell r="AN1223">
            <v>0.2228</v>
          </cell>
          <cell r="AO1223">
            <v>0</v>
          </cell>
          <cell r="AP1223">
            <v>0.19370000000000001</v>
          </cell>
          <cell r="AQ1223">
            <v>0</v>
          </cell>
          <cell r="AS1223" t="str">
            <v/>
          </cell>
          <cell r="AT1223" t="str">
            <v/>
          </cell>
          <cell r="AV1223" t="b">
            <v>1</v>
          </cell>
          <cell r="AW1223" t="str">
            <v>minute</v>
          </cell>
        </row>
        <row r="1224">
          <cell r="S1224" t="str">
            <v>INT GIB</v>
          </cell>
          <cell r="T1224" t="str">
            <v>INT</v>
          </cell>
          <cell r="U1224" t="str">
            <v>GIB</v>
          </cell>
          <cell r="V1224" t="str">
            <v/>
          </cell>
          <cell r="X1224">
            <v>0.29459999999999997</v>
          </cell>
          <cell r="Y1224">
            <v>0</v>
          </cell>
          <cell r="Z1224">
            <v>0.25609999999999999</v>
          </cell>
          <cell r="AA1224">
            <v>0</v>
          </cell>
          <cell r="AB1224">
            <v>0.2228</v>
          </cell>
          <cell r="AC1224">
            <v>0</v>
          </cell>
          <cell r="AD1224">
            <v>0.19370000000000001</v>
          </cell>
          <cell r="AE1224">
            <v>0</v>
          </cell>
          <cell r="AG1224" t="str">
            <v/>
          </cell>
          <cell r="AH1224" t="str">
            <v/>
          </cell>
          <cell r="AJ1224">
            <v>0.29459999999999997</v>
          </cell>
          <cell r="AK1224">
            <v>0</v>
          </cell>
          <cell r="AL1224">
            <v>0.25609999999999999</v>
          </cell>
          <cell r="AM1224">
            <v>0</v>
          </cell>
          <cell r="AN1224">
            <v>0.2228</v>
          </cell>
          <cell r="AO1224">
            <v>0</v>
          </cell>
          <cell r="AP1224">
            <v>0.19370000000000001</v>
          </cell>
          <cell r="AQ1224">
            <v>0</v>
          </cell>
          <cell r="AS1224" t="str">
            <v/>
          </cell>
          <cell r="AT1224" t="str">
            <v/>
          </cell>
          <cell r="AV1224" t="b">
            <v>1</v>
          </cell>
          <cell r="AW1224" t="str">
            <v>minute</v>
          </cell>
        </row>
        <row r="1225">
          <cell r="S1225" t="str">
            <v>INT EMS GNS</v>
          </cell>
          <cell r="T1225" t="str">
            <v>INT</v>
          </cell>
          <cell r="U1225" t="str">
            <v>EMS</v>
          </cell>
          <cell r="V1225" t="str">
            <v>GNS</v>
          </cell>
          <cell r="X1225">
            <v>0.37330000000000002</v>
          </cell>
          <cell r="Y1225">
            <v>0</v>
          </cell>
          <cell r="Z1225">
            <v>0.31730000000000003</v>
          </cell>
          <cell r="AA1225">
            <v>0</v>
          </cell>
          <cell r="AB1225">
            <v>0.28000000000000003</v>
          </cell>
          <cell r="AC1225">
            <v>0</v>
          </cell>
          <cell r="AD1225">
            <v>0.2417</v>
          </cell>
          <cell r="AE1225">
            <v>0</v>
          </cell>
          <cell r="AG1225" t="str">
            <v/>
          </cell>
          <cell r="AH1225" t="str">
            <v/>
          </cell>
          <cell r="AJ1225">
            <v>0.37330000000000002</v>
          </cell>
          <cell r="AK1225">
            <v>0</v>
          </cell>
          <cell r="AL1225">
            <v>0.31730000000000003</v>
          </cell>
          <cell r="AM1225">
            <v>0</v>
          </cell>
          <cell r="AN1225">
            <v>0.28000000000000003</v>
          </cell>
          <cell r="AO1225">
            <v>0</v>
          </cell>
          <cell r="AP1225">
            <v>0.2417</v>
          </cell>
          <cell r="AQ1225">
            <v>0</v>
          </cell>
          <cell r="AS1225" t="str">
            <v/>
          </cell>
          <cell r="AT1225" t="str">
            <v/>
          </cell>
          <cell r="AV1225" t="b">
            <v>1</v>
          </cell>
          <cell r="AW1225" t="str">
            <v>minute</v>
          </cell>
        </row>
        <row r="1226">
          <cell r="S1226" t="str">
            <v>INT IRB</v>
          </cell>
          <cell r="T1226" t="str">
            <v>INT</v>
          </cell>
          <cell r="U1226" t="str">
            <v>IRB</v>
          </cell>
          <cell r="V1226" t="str">
            <v/>
          </cell>
          <cell r="X1226">
            <v>2.8006000000000002</v>
          </cell>
          <cell r="Y1226">
            <v>0</v>
          </cell>
          <cell r="Z1226">
            <v>2.3805000000000001</v>
          </cell>
          <cell r="AA1226">
            <v>0</v>
          </cell>
          <cell r="AB1226">
            <v>2.1004</v>
          </cell>
          <cell r="AC1226">
            <v>0</v>
          </cell>
          <cell r="AD1226">
            <v>1.8351999999999999</v>
          </cell>
          <cell r="AE1226">
            <v>0</v>
          </cell>
          <cell r="AG1226" t="str">
            <v/>
          </cell>
          <cell r="AH1226" t="str">
            <v/>
          </cell>
          <cell r="AJ1226">
            <v>2.8006000000000002</v>
          </cell>
          <cell r="AK1226">
            <v>0</v>
          </cell>
          <cell r="AL1226">
            <v>2.3805000000000001</v>
          </cell>
          <cell r="AM1226">
            <v>0</v>
          </cell>
          <cell r="AN1226">
            <v>2.1004</v>
          </cell>
          <cell r="AO1226">
            <v>0</v>
          </cell>
          <cell r="AP1226">
            <v>1.8351999999999999</v>
          </cell>
          <cell r="AQ1226">
            <v>0</v>
          </cell>
          <cell r="AS1226" t="str">
            <v/>
          </cell>
          <cell r="AT1226" t="str">
            <v/>
          </cell>
          <cell r="AV1226" t="b">
            <v>1</v>
          </cell>
          <cell r="AW1226" t="str">
            <v>minute</v>
          </cell>
        </row>
        <row r="1227">
          <cell r="S1227" t="str">
            <v>INT IRB GLOB</v>
          </cell>
          <cell r="T1227" t="str">
            <v>INT</v>
          </cell>
          <cell r="U1227" t="str">
            <v>IRB</v>
          </cell>
          <cell r="V1227" t="str">
            <v>GLOB</v>
          </cell>
          <cell r="X1227">
            <v>3</v>
          </cell>
          <cell r="Y1227">
            <v>0</v>
          </cell>
          <cell r="Z1227">
            <v>2.5499999999999998</v>
          </cell>
          <cell r="AA1227">
            <v>0</v>
          </cell>
          <cell r="AB1227">
            <v>2.25</v>
          </cell>
          <cell r="AC1227">
            <v>0</v>
          </cell>
          <cell r="AD1227">
            <v>2</v>
          </cell>
          <cell r="AE1227">
            <v>0</v>
          </cell>
          <cell r="AG1227" t="str">
            <v/>
          </cell>
          <cell r="AH1227" t="str">
            <v/>
          </cell>
          <cell r="AJ1227">
            <v>3</v>
          </cell>
          <cell r="AK1227">
            <v>0</v>
          </cell>
          <cell r="AL1227">
            <v>2.5499999999999998</v>
          </cell>
          <cell r="AM1227">
            <v>0</v>
          </cell>
          <cell r="AN1227">
            <v>2.25</v>
          </cell>
          <cell r="AO1227">
            <v>0</v>
          </cell>
          <cell r="AP1227">
            <v>2</v>
          </cell>
          <cell r="AQ1227">
            <v>0</v>
          </cell>
          <cell r="AS1227" t="str">
            <v/>
          </cell>
          <cell r="AT1227" t="str">
            <v/>
          </cell>
          <cell r="AV1227" t="b">
            <v>1</v>
          </cell>
          <cell r="AW1227" t="str">
            <v>minute</v>
          </cell>
        </row>
        <row r="1228">
          <cell r="S1228" t="str">
            <v>INT GRC GRCMO</v>
          </cell>
          <cell r="T1228" t="str">
            <v>INT</v>
          </cell>
          <cell r="U1228" t="str">
            <v>GRC</v>
          </cell>
          <cell r="V1228" t="str">
            <v>GRCMO</v>
          </cell>
          <cell r="X1228">
            <v>4.2299999999999997E-2</v>
          </cell>
          <cell r="Y1228">
            <v>0</v>
          </cell>
          <cell r="Z1228">
            <v>3.8100000000000002E-2</v>
          </cell>
          <cell r="AA1228">
            <v>0</v>
          </cell>
          <cell r="AB1228">
            <v>3.5999999999999997E-2</v>
          </cell>
          <cell r="AC1228">
            <v>0</v>
          </cell>
          <cell r="AD1228">
            <v>3.39E-2</v>
          </cell>
          <cell r="AE1228">
            <v>0</v>
          </cell>
          <cell r="AG1228" t="str">
            <v/>
          </cell>
          <cell r="AH1228" t="str">
            <v/>
          </cell>
          <cell r="AJ1228">
            <v>4.2299999999999997E-2</v>
          </cell>
          <cell r="AK1228">
            <v>0</v>
          </cell>
          <cell r="AL1228">
            <v>3.8100000000000002E-2</v>
          </cell>
          <cell r="AM1228">
            <v>0</v>
          </cell>
          <cell r="AN1228">
            <v>3.5999999999999997E-2</v>
          </cell>
          <cell r="AO1228">
            <v>0</v>
          </cell>
          <cell r="AP1228">
            <v>3.39E-2</v>
          </cell>
          <cell r="AQ1228">
            <v>0</v>
          </cell>
          <cell r="AS1228" t="str">
            <v/>
          </cell>
          <cell r="AT1228" t="str">
            <v/>
          </cell>
          <cell r="AV1228" t="b">
            <v>1</v>
          </cell>
          <cell r="AW1228" t="str">
            <v>minute</v>
          </cell>
        </row>
        <row r="1229">
          <cell r="S1229" t="str">
            <v>INT GRC</v>
          </cell>
          <cell r="T1229" t="str">
            <v>INT</v>
          </cell>
          <cell r="U1229" t="str">
            <v>GRC</v>
          </cell>
          <cell r="V1229" t="str">
            <v/>
          </cell>
          <cell r="X1229">
            <v>1.77E-2</v>
          </cell>
          <cell r="Y1229">
            <v>0</v>
          </cell>
          <cell r="Z1229">
            <v>1.6500000000000001E-2</v>
          </cell>
          <cell r="AA1229">
            <v>0</v>
          </cell>
          <cell r="AB1229">
            <v>1.54E-2</v>
          </cell>
          <cell r="AC1229">
            <v>0</v>
          </cell>
          <cell r="AD1229">
            <v>1.44E-2</v>
          </cell>
          <cell r="AE1229">
            <v>0</v>
          </cell>
          <cell r="AG1229" t="str">
            <v/>
          </cell>
          <cell r="AH1229" t="str">
            <v/>
          </cell>
          <cell r="AJ1229">
            <v>1.77E-2</v>
          </cell>
          <cell r="AK1229">
            <v>0</v>
          </cell>
          <cell r="AL1229">
            <v>1.6500000000000001E-2</v>
          </cell>
          <cell r="AM1229">
            <v>0</v>
          </cell>
          <cell r="AN1229">
            <v>1.54E-2</v>
          </cell>
          <cell r="AO1229">
            <v>0</v>
          </cell>
          <cell r="AP1229">
            <v>1.44E-2</v>
          </cell>
          <cell r="AQ1229">
            <v>0</v>
          </cell>
          <cell r="AS1229" t="str">
            <v/>
          </cell>
          <cell r="AT1229" t="str">
            <v/>
          </cell>
          <cell r="AV1229" t="b">
            <v>1</v>
          </cell>
          <cell r="AW1229" t="str">
            <v>minute</v>
          </cell>
        </row>
        <row r="1230">
          <cell r="S1230" t="str">
            <v>INT GRL GRLMO</v>
          </cell>
          <cell r="T1230" t="str">
            <v>INT</v>
          </cell>
          <cell r="U1230" t="str">
            <v>GRL</v>
          </cell>
          <cell r="V1230" t="str">
            <v>GRLMO</v>
          </cell>
          <cell r="X1230">
            <v>0.75470000000000004</v>
          </cell>
          <cell r="Y1230">
            <v>0</v>
          </cell>
          <cell r="Z1230">
            <v>0.65629999999999999</v>
          </cell>
          <cell r="AA1230">
            <v>0</v>
          </cell>
          <cell r="AB1230">
            <v>0.57069999999999999</v>
          </cell>
          <cell r="AC1230">
            <v>0</v>
          </cell>
          <cell r="AD1230">
            <v>0.49630000000000002</v>
          </cell>
          <cell r="AE1230">
            <v>0</v>
          </cell>
          <cell r="AG1230" t="str">
            <v/>
          </cell>
          <cell r="AH1230" t="str">
            <v/>
          </cell>
          <cell r="AJ1230">
            <v>0.75470000000000004</v>
          </cell>
          <cell r="AK1230">
            <v>0</v>
          </cell>
          <cell r="AL1230">
            <v>0.65629999999999999</v>
          </cell>
          <cell r="AM1230">
            <v>0</v>
          </cell>
          <cell r="AN1230">
            <v>0.57069999999999999</v>
          </cell>
          <cell r="AO1230">
            <v>0</v>
          </cell>
          <cell r="AP1230">
            <v>0.49630000000000002</v>
          </cell>
          <cell r="AQ1230">
            <v>0</v>
          </cell>
          <cell r="AS1230" t="str">
            <v/>
          </cell>
          <cell r="AT1230" t="str">
            <v/>
          </cell>
          <cell r="AV1230" t="b">
            <v>1</v>
          </cell>
          <cell r="AW1230" t="str">
            <v>minute</v>
          </cell>
        </row>
        <row r="1231">
          <cell r="S1231" t="str">
            <v>INT GRL</v>
          </cell>
          <cell r="T1231" t="str">
            <v>INT</v>
          </cell>
          <cell r="U1231" t="str">
            <v>GRL</v>
          </cell>
          <cell r="V1231" t="str">
            <v/>
          </cell>
          <cell r="X1231">
            <v>0.75470000000000004</v>
          </cell>
          <cell r="Y1231">
            <v>0</v>
          </cell>
          <cell r="Z1231">
            <v>0.65629999999999999</v>
          </cell>
          <cell r="AA1231">
            <v>0</v>
          </cell>
          <cell r="AB1231">
            <v>0.57069999999999999</v>
          </cell>
          <cell r="AC1231">
            <v>0</v>
          </cell>
          <cell r="AD1231">
            <v>0.49630000000000002</v>
          </cell>
          <cell r="AE1231">
            <v>0</v>
          </cell>
          <cell r="AG1231" t="str">
            <v/>
          </cell>
          <cell r="AH1231" t="str">
            <v/>
          </cell>
          <cell r="AJ1231">
            <v>0.75470000000000004</v>
          </cell>
          <cell r="AK1231">
            <v>0</v>
          </cell>
          <cell r="AL1231">
            <v>0.65629999999999999</v>
          </cell>
          <cell r="AM1231">
            <v>0</v>
          </cell>
          <cell r="AN1231">
            <v>0.57069999999999999</v>
          </cell>
          <cell r="AO1231">
            <v>0</v>
          </cell>
          <cell r="AP1231">
            <v>0.49630000000000002</v>
          </cell>
          <cell r="AQ1231">
            <v>0</v>
          </cell>
          <cell r="AS1231" t="str">
            <v/>
          </cell>
          <cell r="AT1231" t="str">
            <v/>
          </cell>
          <cell r="AV1231" t="b">
            <v>1</v>
          </cell>
          <cell r="AW1231" t="str">
            <v>minute</v>
          </cell>
        </row>
        <row r="1232">
          <cell r="S1232" t="str">
            <v>INT GRD</v>
          </cell>
          <cell r="T1232" t="str">
            <v>INT</v>
          </cell>
          <cell r="U1232" t="str">
            <v>GRD</v>
          </cell>
          <cell r="V1232" t="str">
            <v/>
          </cell>
          <cell r="X1232">
            <v>0.34449999999999997</v>
          </cell>
          <cell r="Y1232">
            <v>0</v>
          </cell>
          <cell r="Z1232">
            <v>0.29959999999999998</v>
          </cell>
          <cell r="AA1232">
            <v>0</v>
          </cell>
          <cell r="AB1232">
            <v>0.26050000000000001</v>
          </cell>
          <cell r="AC1232">
            <v>0</v>
          </cell>
          <cell r="AD1232">
            <v>0.22650000000000001</v>
          </cell>
          <cell r="AE1232">
            <v>0</v>
          </cell>
          <cell r="AG1232" t="str">
            <v/>
          </cell>
          <cell r="AH1232" t="str">
            <v/>
          </cell>
          <cell r="AJ1232">
            <v>0.34449999999999997</v>
          </cell>
          <cell r="AK1232">
            <v>0</v>
          </cell>
          <cell r="AL1232">
            <v>0.29959999999999998</v>
          </cell>
          <cell r="AM1232">
            <v>0</v>
          </cell>
          <cell r="AN1232">
            <v>0.26050000000000001</v>
          </cell>
          <cell r="AO1232">
            <v>0</v>
          </cell>
          <cell r="AP1232">
            <v>0.22650000000000001</v>
          </cell>
          <cell r="AQ1232">
            <v>0</v>
          </cell>
          <cell r="AS1232" t="str">
            <v/>
          </cell>
          <cell r="AT1232" t="str">
            <v/>
          </cell>
          <cell r="AV1232" t="b">
            <v>1</v>
          </cell>
          <cell r="AW1232" t="str">
            <v>minute</v>
          </cell>
        </row>
        <row r="1233">
          <cell r="S1233" t="str">
            <v>INT GLP GLPMO</v>
          </cell>
          <cell r="T1233" t="str">
            <v>INT</v>
          </cell>
          <cell r="U1233" t="str">
            <v>GLP</v>
          </cell>
          <cell r="V1233" t="str">
            <v>GLPMO</v>
          </cell>
          <cell r="X1233">
            <v>4.4299999999999999E-2</v>
          </cell>
          <cell r="Y1233">
            <v>0</v>
          </cell>
          <cell r="Z1233">
            <v>3.85E-2</v>
          </cell>
          <cell r="AA1233">
            <v>0</v>
          </cell>
          <cell r="AB1233">
            <v>3.3500000000000002E-2</v>
          </cell>
          <cell r="AC1233">
            <v>0</v>
          </cell>
          <cell r="AD1233">
            <v>2.9100000000000001E-2</v>
          </cell>
          <cell r="AE1233">
            <v>0</v>
          </cell>
          <cell r="AG1233" t="str">
            <v/>
          </cell>
          <cell r="AH1233" t="str">
            <v/>
          </cell>
          <cell r="AJ1233">
            <v>4.4299999999999999E-2</v>
          </cell>
          <cell r="AK1233">
            <v>0</v>
          </cell>
          <cell r="AL1233">
            <v>3.85E-2</v>
          </cell>
          <cell r="AM1233">
            <v>0</v>
          </cell>
          <cell r="AN1233">
            <v>3.3500000000000002E-2</v>
          </cell>
          <cell r="AO1233">
            <v>0</v>
          </cell>
          <cell r="AP1233">
            <v>2.9100000000000001E-2</v>
          </cell>
          <cell r="AQ1233">
            <v>0</v>
          </cell>
          <cell r="AS1233" t="str">
            <v/>
          </cell>
          <cell r="AT1233" t="str">
            <v/>
          </cell>
          <cell r="AV1233" t="b">
            <v>1</v>
          </cell>
          <cell r="AW1233" t="str">
            <v>minute</v>
          </cell>
        </row>
        <row r="1234">
          <cell r="S1234" t="str">
            <v>INT GLP</v>
          </cell>
          <cell r="T1234" t="str">
            <v>INT</v>
          </cell>
          <cell r="U1234" t="str">
            <v>GLP</v>
          </cell>
          <cell r="V1234" t="str">
            <v/>
          </cell>
          <cell r="X1234">
            <v>2.2499999999999999E-2</v>
          </cell>
          <cell r="Y1234">
            <v>0</v>
          </cell>
          <cell r="Z1234">
            <v>1.9599999999999999E-2</v>
          </cell>
          <cell r="AA1234">
            <v>0</v>
          </cell>
          <cell r="AB1234">
            <v>1.7000000000000001E-2</v>
          </cell>
          <cell r="AC1234">
            <v>0</v>
          </cell>
          <cell r="AD1234">
            <v>1.4800000000000001E-2</v>
          </cell>
          <cell r="AE1234">
            <v>0</v>
          </cell>
          <cell r="AG1234" t="str">
            <v/>
          </cell>
          <cell r="AH1234" t="str">
            <v/>
          </cell>
          <cell r="AJ1234">
            <v>2.2499999999999999E-2</v>
          </cell>
          <cell r="AK1234">
            <v>0</v>
          </cell>
          <cell r="AL1234">
            <v>1.9599999999999999E-2</v>
          </cell>
          <cell r="AM1234">
            <v>0</v>
          </cell>
          <cell r="AN1234">
            <v>1.7000000000000001E-2</v>
          </cell>
          <cell r="AO1234">
            <v>0</v>
          </cell>
          <cell r="AP1234">
            <v>1.4800000000000001E-2</v>
          </cell>
          <cell r="AQ1234">
            <v>0</v>
          </cell>
          <cell r="AS1234" t="str">
            <v/>
          </cell>
          <cell r="AT1234" t="str">
            <v/>
          </cell>
          <cell r="AV1234" t="b">
            <v>1</v>
          </cell>
          <cell r="AW1234" t="str">
            <v>minute</v>
          </cell>
        </row>
        <row r="1235">
          <cell r="S1235" t="str">
            <v>INT GUM</v>
          </cell>
          <cell r="T1235" t="str">
            <v>INT</v>
          </cell>
          <cell r="U1235" t="str">
            <v>GUM</v>
          </cell>
          <cell r="V1235" t="str">
            <v/>
          </cell>
          <cell r="X1235">
            <v>3.4299999999999997E-2</v>
          </cell>
          <cell r="Y1235">
            <v>0</v>
          </cell>
          <cell r="Z1235">
            <v>2.98E-2</v>
          </cell>
          <cell r="AA1235">
            <v>0</v>
          </cell>
          <cell r="AB1235">
            <v>2.5899999999999999E-2</v>
          </cell>
          <cell r="AC1235">
            <v>0</v>
          </cell>
          <cell r="AD1235">
            <v>2.2499999999999999E-2</v>
          </cell>
          <cell r="AE1235">
            <v>0</v>
          </cell>
          <cell r="AG1235" t="str">
            <v/>
          </cell>
          <cell r="AH1235" t="str">
            <v/>
          </cell>
          <cell r="AJ1235">
            <v>3.4299999999999997E-2</v>
          </cell>
          <cell r="AK1235">
            <v>0</v>
          </cell>
          <cell r="AL1235">
            <v>2.98E-2</v>
          </cell>
          <cell r="AM1235">
            <v>0</v>
          </cell>
          <cell r="AN1235">
            <v>2.5899999999999999E-2</v>
          </cell>
          <cell r="AO1235">
            <v>0</v>
          </cell>
          <cell r="AP1235">
            <v>2.2499999999999999E-2</v>
          </cell>
          <cell r="AQ1235">
            <v>0</v>
          </cell>
          <cell r="AS1235" t="str">
            <v/>
          </cell>
          <cell r="AT1235" t="str">
            <v/>
          </cell>
          <cell r="AV1235" t="b">
            <v>1</v>
          </cell>
          <cell r="AW1235" t="str">
            <v>minute</v>
          </cell>
        </row>
        <row r="1236">
          <cell r="S1236" t="str">
            <v>INT CUB CUBGU</v>
          </cell>
          <cell r="T1236" t="str">
            <v>INT</v>
          </cell>
          <cell r="U1236" t="str">
            <v>CUB</v>
          </cell>
          <cell r="V1236" t="str">
            <v>CUBGU</v>
          </cell>
          <cell r="X1236">
            <v>0.84350000000000003</v>
          </cell>
          <cell r="Y1236">
            <v>0</v>
          </cell>
          <cell r="Z1236">
            <v>0.73350000000000004</v>
          </cell>
          <cell r="AA1236">
            <v>0</v>
          </cell>
          <cell r="AB1236">
            <v>0.63780000000000003</v>
          </cell>
          <cell r="AC1236">
            <v>0</v>
          </cell>
          <cell r="AD1236">
            <v>0.55459999999999998</v>
          </cell>
          <cell r="AE1236">
            <v>0</v>
          </cell>
          <cell r="AG1236" t="str">
            <v/>
          </cell>
          <cell r="AH1236" t="str">
            <v/>
          </cell>
          <cell r="AJ1236">
            <v>0.84350000000000003</v>
          </cell>
          <cell r="AK1236">
            <v>0</v>
          </cell>
          <cell r="AL1236">
            <v>0.73350000000000004</v>
          </cell>
          <cell r="AM1236">
            <v>0</v>
          </cell>
          <cell r="AN1236">
            <v>0.63780000000000003</v>
          </cell>
          <cell r="AO1236">
            <v>0</v>
          </cell>
          <cell r="AP1236">
            <v>0.55459999999999998</v>
          </cell>
          <cell r="AQ1236">
            <v>0</v>
          </cell>
          <cell r="AS1236" t="str">
            <v/>
          </cell>
          <cell r="AT1236" t="str">
            <v/>
          </cell>
          <cell r="AV1236" t="b">
            <v>1</v>
          </cell>
          <cell r="AW1236" t="str">
            <v>minute</v>
          </cell>
        </row>
        <row r="1237">
          <cell r="S1237" t="str">
            <v>INT GTM GTMMO</v>
          </cell>
          <cell r="T1237" t="str">
            <v>INT</v>
          </cell>
          <cell r="U1237" t="str">
            <v>GTM</v>
          </cell>
          <cell r="V1237" t="str">
            <v>GTMMO</v>
          </cell>
          <cell r="X1237">
            <v>0.2228</v>
          </cell>
          <cell r="Y1237">
            <v>0</v>
          </cell>
          <cell r="Z1237">
            <v>0.19370000000000001</v>
          </cell>
          <cell r="AA1237">
            <v>0</v>
          </cell>
          <cell r="AB1237">
            <v>0.16839999999999999</v>
          </cell>
          <cell r="AC1237">
            <v>0</v>
          </cell>
          <cell r="AD1237">
            <v>0.1464</v>
          </cell>
          <cell r="AE1237">
            <v>0</v>
          </cell>
          <cell r="AG1237" t="str">
            <v/>
          </cell>
          <cell r="AH1237" t="str">
            <v/>
          </cell>
          <cell r="AJ1237">
            <v>0.2228</v>
          </cell>
          <cell r="AK1237">
            <v>0</v>
          </cell>
          <cell r="AL1237">
            <v>0.19370000000000001</v>
          </cell>
          <cell r="AM1237">
            <v>0</v>
          </cell>
          <cell r="AN1237">
            <v>0.16839999999999999</v>
          </cell>
          <cell r="AO1237">
            <v>0</v>
          </cell>
          <cell r="AP1237">
            <v>0.1464</v>
          </cell>
          <cell r="AQ1237">
            <v>0</v>
          </cell>
          <cell r="AS1237" t="str">
            <v/>
          </cell>
          <cell r="AT1237" t="str">
            <v/>
          </cell>
          <cell r="AV1237" t="b">
            <v>1</v>
          </cell>
          <cell r="AW1237" t="str">
            <v>minute</v>
          </cell>
        </row>
        <row r="1238">
          <cell r="S1238" t="str">
            <v>INT GTM</v>
          </cell>
          <cell r="T1238" t="str">
            <v>INT</v>
          </cell>
          <cell r="U1238" t="str">
            <v>GTM</v>
          </cell>
          <cell r="V1238" t="str">
            <v/>
          </cell>
          <cell r="X1238">
            <v>0.22020000000000001</v>
          </cell>
          <cell r="Y1238">
            <v>0</v>
          </cell>
          <cell r="Z1238">
            <v>0.1915</v>
          </cell>
          <cell r="AA1238">
            <v>0</v>
          </cell>
          <cell r="AB1238">
            <v>0.16650000000000001</v>
          </cell>
          <cell r="AC1238">
            <v>0</v>
          </cell>
          <cell r="AD1238">
            <v>0.14480000000000001</v>
          </cell>
          <cell r="AE1238">
            <v>0</v>
          </cell>
          <cell r="AG1238" t="str">
            <v/>
          </cell>
          <cell r="AH1238" t="str">
            <v/>
          </cell>
          <cell r="AJ1238">
            <v>0.22020000000000001</v>
          </cell>
          <cell r="AK1238">
            <v>0</v>
          </cell>
          <cell r="AL1238">
            <v>0.1915</v>
          </cell>
          <cell r="AM1238">
            <v>0</v>
          </cell>
          <cell r="AN1238">
            <v>0.16650000000000001</v>
          </cell>
          <cell r="AO1238">
            <v>0</v>
          </cell>
          <cell r="AP1238">
            <v>0.14480000000000001</v>
          </cell>
          <cell r="AQ1238">
            <v>0</v>
          </cell>
          <cell r="AS1238" t="str">
            <v/>
          </cell>
          <cell r="AT1238" t="str">
            <v/>
          </cell>
          <cell r="AV1238" t="b">
            <v>1</v>
          </cell>
          <cell r="AW1238" t="str">
            <v>minute</v>
          </cell>
        </row>
        <row r="1239">
          <cell r="S1239" t="str">
            <v>INT GIN GINMO</v>
          </cell>
          <cell r="T1239" t="str">
            <v>INT</v>
          </cell>
          <cell r="U1239" t="str">
            <v>GIN</v>
          </cell>
          <cell r="V1239" t="str">
            <v>GINMO</v>
          </cell>
          <cell r="X1239">
            <v>0.65980000000000005</v>
          </cell>
          <cell r="Y1239">
            <v>0</v>
          </cell>
          <cell r="Z1239">
            <v>0.57369999999999999</v>
          </cell>
          <cell r="AA1239">
            <v>0</v>
          </cell>
          <cell r="AB1239">
            <v>0.49890000000000001</v>
          </cell>
          <cell r="AC1239">
            <v>0</v>
          </cell>
          <cell r="AD1239">
            <v>0.43380000000000002</v>
          </cell>
          <cell r="AE1239">
            <v>0</v>
          </cell>
          <cell r="AG1239" t="str">
            <v/>
          </cell>
          <cell r="AH1239" t="str">
            <v/>
          </cell>
          <cell r="AJ1239">
            <v>0.65980000000000005</v>
          </cell>
          <cell r="AK1239">
            <v>0</v>
          </cell>
          <cell r="AL1239">
            <v>0.57369999999999999</v>
          </cell>
          <cell r="AM1239">
            <v>0</v>
          </cell>
          <cell r="AN1239">
            <v>0.49890000000000001</v>
          </cell>
          <cell r="AO1239">
            <v>0</v>
          </cell>
          <cell r="AP1239">
            <v>0.43380000000000002</v>
          </cell>
          <cell r="AQ1239">
            <v>0</v>
          </cell>
          <cell r="AS1239" t="str">
            <v/>
          </cell>
          <cell r="AT1239" t="str">
            <v/>
          </cell>
          <cell r="AV1239" t="b">
            <v>1</v>
          </cell>
          <cell r="AW1239" t="str">
            <v>minute</v>
          </cell>
        </row>
        <row r="1240">
          <cell r="S1240" t="str">
            <v>INT GIN</v>
          </cell>
          <cell r="T1240" t="str">
            <v>INT</v>
          </cell>
          <cell r="U1240" t="str">
            <v>GIN</v>
          </cell>
          <cell r="V1240" t="str">
            <v/>
          </cell>
          <cell r="X1240">
            <v>0.65980000000000005</v>
          </cell>
          <cell r="Y1240">
            <v>0</v>
          </cell>
          <cell r="Z1240">
            <v>0.57369999999999999</v>
          </cell>
          <cell r="AA1240">
            <v>0</v>
          </cell>
          <cell r="AB1240">
            <v>0.49890000000000001</v>
          </cell>
          <cell r="AC1240">
            <v>0</v>
          </cell>
          <cell r="AD1240">
            <v>0.43380000000000002</v>
          </cell>
          <cell r="AE1240">
            <v>0</v>
          </cell>
          <cell r="AG1240" t="str">
            <v/>
          </cell>
          <cell r="AH1240" t="str">
            <v/>
          </cell>
          <cell r="AJ1240">
            <v>0.65980000000000005</v>
          </cell>
          <cell r="AK1240">
            <v>0</v>
          </cell>
          <cell r="AL1240">
            <v>0.57369999999999999</v>
          </cell>
          <cell r="AM1240">
            <v>0</v>
          </cell>
          <cell r="AN1240">
            <v>0.49890000000000001</v>
          </cell>
          <cell r="AO1240">
            <v>0</v>
          </cell>
          <cell r="AP1240">
            <v>0.43380000000000002</v>
          </cell>
          <cell r="AQ1240">
            <v>0</v>
          </cell>
          <cell r="AS1240" t="str">
            <v/>
          </cell>
          <cell r="AT1240" t="str">
            <v/>
          </cell>
          <cell r="AV1240" t="b">
            <v>1</v>
          </cell>
          <cell r="AW1240" t="str">
            <v>minute</v>
          </cell>
        </row>
        <row r="1241">
          <cell r="S1241" t="str">
            <v>INT GNB</v>
          </cell>
          <cell r="T1241" t="str">
            <v>INT</v>
          </cell>
          <cell r="U1241" t="str">
            <v>GNB</v>
          </cell>
          <cell r="V1241" t="str">
            <v/>
          </cell>
          <cell r="X1241">
            <v>0.56859999999999999</v>
          </cell>
          <cell r="Y1241">
            <v>0</v>
          </cell>
          <cell r="Z1241">
            <v>0.49440000000000001</v>
          </cell>
          <cell r="AA1241">
            <v>0</v>
          </cell>
          <cell r="AB1241">
            <v>0.4299</v>
          </cell>
          <cell r="AC1241">
            <v>0</v>
          </cell>
          <cell r="AD1241">
            <v>0.37380000000000002</v>
          </cell>
          <cell r="AE1241">
            <v>0</v>
          </cell>
          <cell r="AG1241" t="str">
            <v/>
          </cell>
          <cell r="AH1241" t="str">
            <v/>
          </cell>
          <cell r="AJ1241">
            <v>0.56859999999999999</v>
          </cell>
          <cell r="AK1241">
            <v>0</v>
          </cell>
          <cell r="AL1241">
            <v>0.49440000000000001</v>
          </cell>
          <cell r="AM1241">
            <v>0</v>
          </cell>
          <cell r="AN1241">
            <v>0.4299</v>
          </cell>
          <cell r="AO1241">
            <v>0</v>
          </cell>
          <cell r="AP1241">
            <v>0.37380000000000002</v>
          </cell>
          <cell r="AQ1241">
            <v>0</v>
          </cell>
          <cell r="AS1241" t="str">
            <v/>
          </cell>
          <cell r="AT1241" t="str">
            <v/>
          </cell>
          <cell r="AV1241" t="b">
            <v>1</v>
          </cell>
          <cell r="AW1241" t="str">
            <v>minute</v>
          </cell>
        </row>
        <row r="1242">
          <cell r="S1242" t="str">
            <v>INT GUY GUYMO</v>
          </cell>
          <cell r="T1242" t="str">
            <v>INT</v>
          </cell>
          <cell r="U1242" t="str">
            <v>GUY</v>
          </cell>
          <cell r="V1242" t="str">
            <v>GUYMO</v>
          </cell>
          <cell r="X1242">
            <v>0.3629</v>
          </cell>
          <cell r="Y1242">
            <v>0</v>
          </cell>
          <cell r="Z1242">
            <v>0.31559999999999999</v>
          </cell>
          <cell r="AA1242">
            <v>0</v>
          </cell>
          <cell r="AB1242">
            <v>0.27439999999999998</v>
          </cell>
          <cell r="AC1242">
            <v>0</v>
          </cell>
          <cell r="AD1242">
            <v>0.23860000000000001</v>
          </cell>
          <cell r="AE1242">
            <v>0</v>
          </cell>
          <cell r="AG1242" t="str">
            <v/>
          </cell>
          <cell r="AH1242" t="str">
            <v/>
          </cell>
          <cell r="AJ1242">
            <v>0.3629</v>
          </cell>
          <cell r="AK1242">
            <v>0</v>
          </cell>
          <cell r="AL1242">
            <v>0.31559999999999999</v>
          </cell>
          <cell r="AM1242">
            <v>0</v>
          </cell>
          <cell r="AN1242">
            <v>0.27439999999999998</v>
          </cell>
          <cell r="AO1242">
            <v>0</v>
          </cell>
          <cell r="AP1242">
            <v>0.23860000000000001</v>
          </cell>
          <cell r="AQ1242">
            <v>0</v>
          </cell>
          <cell r="AS1242" t="str">
            <v/>
          </cell>
          <cell r="AT1242" t="str">
            <v/>
          </cell>
          <cell r="AV1242" t="b">
            <v>1</v>
          </cell>
          <cell r="AW1242" t="str">
            <v>minute</v>
          </cell>
        </row>
        <row r="1243">
          <cell r="S1243" t="str">
            <v>INT GUY</v>
          </cell>
          <cell r="T1243" t="str">
            <v>INT</v>
          </cell>
          <cell r="U1243" t="str">
            <v>GUY</v>
          </cell>
          <cell r="V1243" t="str">
            <v/>
          </cell>
          <cell r="X1243">
            <v>0.3629</v>
          </cell>
          <cell r="Y1243">
            <v>0</v>
          </cell>
          <cell r="Z1243">
            <v>0.31559999999999999</v>
          </cell>
          <cell r="AA1243">
            <v>0</v>
          </cell>
          <cell r="AB1243">
            <v>0.27439999999999998</v>
          </cell>
          <cell r="AC1243">
            <v>0</v>
          </cell>
          <cell r="AD1243">
            <v>0.23860000000000001</v>
          </cell>
          <cell r="AE1243">
            <v>0</v>
          </cell>
          <cell r="AG1243" t="str">
            <v/>
          </cell>
          <cell r="AH1243" t="str">
            <v/>
          </cell>
          <cell r="AJ1243">
            <v>0.3629</v>
          </cell>
          <cell r="AK1243">
            <v>0</v>
          </cell>
          <cell r="AL1243">
            <v>0.31559999999999999</v>
          </cell>
          <cell r="AM1243">
            <v>0</v>
          </cell>
          <cell r="AN1243">
            <v>0.27439999999999998</v>
          </cell>
          <cell r="AO1243">
            <v>0</v>
          </cell>
          <cell r="AP1243">
            <v>0.23860000000000001</v>
          </cell>
          <cell r="AQ1243">
            <v>0</v>
          </cell>
          <cell r="AS1243" t="str">
            <v/>
          </cell>
          <cell r="AT1243" t="str">
            <v/>
          </cell>
          <cell r="AV1243" t="b">
            <v>1</v>
          </cell>
          <cell r="AW1243" t="str">
            <v>minute</v>
          </cell>
        </row>
        <row r="1244">
          <cell r="S1244" t="str">
            <v>INT HTI HTIMO</v>
          </cell>
          <cell r="T1244" t="str">
            <v>INT</v>
          </cell>
          <cell r="U1244" t="str">
            <v>HTI</v>
          </cell>
          <cell r="V1244" t="str">
            <v>HTIMO</v>
          </cell>
          <cell r="X1244">
            <v>0.4647</v>
          </cell>
          <cell r="Y1244">
            <v>0</v>
          </cell>
          <cell r="Z1244">
            <v>0.40410000000000001</v>
          </cell>
          <cell r="AA1244">
            <v>0</v>
          </cell>
          <cell r="AB1244">
            <v>0.35139999999999999</v>
          </cell>
          <cell r="AC1244">
            <v>0</v>
          </cell>
          <cell r="AD1244">
            <v>0.30559999999999998</v>
          </cell>
          <cell r="AE1244">
            <v>0</v>
          </cell>
          <cell r="AG1244" t="str">
            <v/>
          </cell>
          <cell r="AH1244" t="str">
            <v/>
          </cell>
          <cell r="AJ1244">
            <v>0.4647</v>
          </cell>
          <cell r="AK1244">
            <v>0</v>
          </cell>
          <cell r="AL1244">
            <v>0.40410000000000001</v>
          </cell>
          <cell r="AM1244">
            <v>0</v>
          </cell>
          <cell r="AN1244">
            <v>0.35139999999999999</v>
          </cell>
          <cell r="AO1244">
            <v>0</v>
          </cell>
          <cell r="AP1244">
            <v>0.30559999999999998</v>
          </cell>
          <cell r="AQ1244">
            <v>0</v>
          </cell>
          <cell r="AS1244" t="str">
            <v/>
          </cell>
          <cell r="AT1244" t="str">
            <v/>
          </cell>
          <cell r="AV1244" t="b">
            <v>1</v>
          </cell>
          <cell r="AW1244" t="str">
            <v>minute</v>
          </cell>
        </row>
        <row r="1245">
          <cell r="S1245" t="str">
            <v>INT HTI</v>
          </cell>
          <cell r="T1245" t="str">
            <v>INT</v>
          </cell>
          <cell r="U1245" t="str">
            <v>HTI</v>
          </cell>
          <cell r="V1245" t="str">
            <v/>
          </cell>
          <cell r="X1245">
            <v>0.4471</v>
          </cell>
          <cell r="Y1245">
            <v>0</v>
          </cell>
          <cell r="Z1245">
            <v>0.38879999999999998</v>
          </cell>
          <cell r="AA1245">
            <v>0</v>
          </cell>
          <cell r="AB1245">
            <v>0.33810000000000001</v>
          </cell>
          <cell r="AC1245">
            <v>0</v>
          </cell>
          <cell r="AD1245">
            <v>0.29399999999999998</v>
          </cell>
          <cell r="AE1245">
            <v>0</v>
          </cell>
          <cell r="AG1245" t="str">
            <v/>
          </cell>
          <cell r="AH1245" t="str">
            <v/>
          </cell>
          <cell r="AJ1245">
            <v>0.4471</v>
          </cell>
          <cell r="AK1245">
            <v>0</v>
          </cell>
          <cell r="AL1245">
            <v>0.38879999999999998</v>
          </cell>
          <cell r="AM1245">
            <v>0</v>
          </cell>
          <cell r="AN1245">
            <v>0.33810000000000001</v>
          </cell>
          <cell r="AO1245">
            <v>0</v>
          </cell>
          <cell r="AP1245">
            <v>0.29399999999999998</v>
          </cell>
          <cell r="AQ1245">
            <v>0</v>
          </cell>
          <cell r="AS1245" t="str">
            <v/>
          </cell>
          <cell r="AT1245" t="str">
            <v/>
          </cell>
          <cell r="AV1245" t="b">
            <v>1</v>
          </cell>
          <cell r="AW1245" t="str">
            <v>minute</v>
          </cell>
        </row>
        <row r="1246">
          <cell r="S1246" t="str">
            <v>INT HND HNDMO</v>
          </cell>
          <cell r="T1246" t="str">
            <v>INT</v>
          </cell>
          <cell r="U1246" t="str">
            <v>HND</v>
          </cell>
          <cell r="V1246" t="str">
            <v>HNDMO</v>
          </cell>
          <cell r="X1246">
            <v>0.20949999999999999</v>
          </cell>
          <cell r="Y1246">
            <v>0</v>
          </cell>
          <cell r="Z1246">
            <v>0.1822</v>
          </cell>
          <cell r="AA1246">
            <v>0</v>
          </cell>
          <cell r="AB1246">
            <v>0.15840000000000001</v>
          </cell>
          <cell r="AC1246">
            <v>0</v>
          </cell>
          <cell r="AD1246">
            <v>0.13769999999999999</v>
          </cell>
          <cell r="AE1246">
            <v>0</v>
          </cell>
          <cell r="AG1246" t="str">
            <v/>
          </cell>
          <cell r="AH1246" t="str">
            <v/>
          </cell>
          <cell r="AJ1246">
            <v>0.20949999999999999</v>
          </cell>
          <cell r="AK1246">
            <v>0</v>
          </cell>
          <cell r="AL1246">
            <v>0.1822</v>
          </cell>
          <cell r="AM1246">
            <v>0</v>
          </cell>
          <cell r="AN1246">
            <v>0.15840000000000001</v>
          </cell>
          <cell r="AO1246">
            <v>0</v>
          </cell>
          <cell r="AP1246">
            <v>0.13769999999999999</v>
          </cell>
          <cell r="AQ1246">
            <v>0</v>
          </cell>
          <cell r="AS1246" t="str">
            <v/>
          </cell>
          <cell r="AT1246" t="str">
            <v/>
          </cell>
          <cell r="AV1246" t="b">
            <v>1</v>
          </cell>
          <cell r="AW1246" t="str">
            <v>minute</v>
          </cell>
        </row>
        <row r="1247">
          <cell r="S1247" t="str">
            <v>INT HND</v>
          </cell>
          <cell r="T1247" t="str">
            <v>INT</v>
          </cell>
          <cell r="U1247" t="str">
            <v>HND</v>
          </cell>
          <cell r="V1247" t="str">
            <v/>
          </cell>
          <cell r="X1247">
            <v>0.1857</v>
          </cell>
          <cell r="Y1247">
            <v>0</v>
          </cell>
          <cell r="Z1247">
            <v>0.1671</v>
          </cell>
          <cell r="AA1247">
            <v>0</v>
          </cell>
          <cell r="AB1247">
            <v>0.1578</v>
          </cell>
          <cell r="AC1247">
            <v>0</v>
          </cell>
          <cell r="AD1247">
            <v>0.14849999999999999</v>
          </cell>
          <cell r="AE1247">
            <v>0</v>
          </cell>
          <cell r="AG1247" t="str">
            <v/>
          </cell>
          <cell r="AH1247" t="str">
            <v/>
          </cell>
          <cell r="AJ1247">
            <v>0.1857</v>
          </cell>
          <cell r="AK1247">
            <v>0</v>
          </cell>
          <cell r="AL1247">
            <v>0.1671</v>
          </cell>
          <cell r="AM1247">
            <v>0</v>
          </cell>
          <cell r="AN1247">
            <v>0.1578</v>
          </cell>
          <cell r="AO1247">
            <v>0</v>
          </cell>
          <cell r="AP1247">
            <v>0.14849999999999999</v>
          </cell>
          <cell r="AQ1247">
            <v>0</v>
          </cell>
          <cell r="AS1247" t="str">
            <v/>
          </cell>
          <cell r="AT1247" t="str">
            <v/>
          </cell>
          <cell r="AV1247" t="b">
            <v>1</v>
          </cell>
          <cell r="AW1247" t="str">
            <v>minute</v>
          </cell>
        </row>
        <row r="1248">
          <cell r="S1248" t="str">
            <v>INT HKG HKGMO</v>
          </cell>
          <cell r="T1248" t="str">
            <v>INT</v>
          </cell>
          <cell r="U1248" t="str">
            <v>HKG</v>
          </cell>
          <cell r="V1248" t="str">
            <v>HKGMO</v>
          </cell>
          <cell r="X1248">
            <v>4.02E-2</v>
          </cell>
          <cell r="Y1248">
            <v>0</v>
          </cell>
          <cell r="Z1248">
            <v>3.6299999999999999E-2</v>
          </cell>
          <cell r="AA1248">
            <v>0</v>
          </cell>
          <cell r="AB1248">
            <v>3.4200000000000001E-2</v>
          </cell>
          <cell r="AC1248">
            <v>0</v>
          </cell>
          <cell r="AD1248">
            <v>3.2199999999999999E-2</v>
          </cell>
          <cell r="AE1248">
            <v>0</v>
          </cell>
          <cell r="AG1248" t="str">
            <v/>
          </cell>
          <cell r="AH1248" t="str">
            <v/>
          </cell>
          <cell r="AJ1248">
            <v>4.02E-2</v>
          </cell>
          <cell r="AK1248">
            <v>0</v>
          </cell>
          <cell r="AL1248">
            <v>3.6299999999999999E-2</v>
          </cell>
          <cell r="AM1248">
            <v>0</v>
          </cell>
          <cell r="AN1248">
            <v>3.4200000000000001E-2</v>
          </cell>
          <cell r="AO1248">
            <v>0</v>
          </cell>
          <cell r="AP1248">
            <v>3.2199999999999999E-2</v>
          </cell>
          <cell r="AQ1248">
            <v>0</v>
          </cell>
          <cell r="AS1248" t="str">
            <v/>
          </cell>
          <cell r="AT1248" t="str">
            <v/>
          </cell>
          <cell r="AV1248" t="b">
            <v>1</v>
          </cell>
          <cell r="AW1248" t="str">
            <v>minute</v>
          </cell>
        </row>
        <row r="1249">
          <cell r="S1249" t="str">
            <v>INT HKG</v>
          </cell>
          <cell r="T1249" t="str">
            <v>INT</v>
          </cell>
          <cell r="U1249" t="str">
            <v>HKG</v>
          </cell>
          <cell r="V1249" t="str">
            <v/>
          </cell>
          <cell r="X1249">
            <v>3.09E-2</v>
          </cell>
          <cell r="Y1249">
            <v>0</v>
          </cell>
          <cell r="Z1249">
            <v>2.7900000000000001E-2</v>
          </cell>
          <cell r="AA1249">
            <v>0</v>
          </cell>
          <cell r="AB1249">
            <v>2.63E-2</v>
          </cell>
          <cell r="AC1249">
            <v>0</v>
          </cell>
          <cell r="AD1249">
            <v>2.4799999999999999E-2</v>
          </cell>
          <cell r="AE1249">
            <v>0</v>
          </cell>
          <cell r="AG1249" t="str">
            <v/>
          </cell>
          <cell r="AH1249" t="str">
            <v/>
          </cell>
          <cell r="AJ1249">
            <v>3.09E-2</v>
          </cell>
          <cell r="AK1249">
            <v>0</v>
          </cell>
          <cell r="AL1249">
            <v>2.7900000000000001E-2</v>
          </cell>
          <cell r="AM1249">
            <v>0</v>
          </cell>
          <cell r="AN1249">
            <v>2.63E-2</v>
          </cell>
          <cell r="AO1249">
            <v>0</v>
          </cell>
          <cell r="AP1249">
            <v>2.4799999999999999E-2</v>
          </cell>
          <cell r="AQ1249">
            <v>0</v>
          </cell>
          <cell r="AS1249" t="str">
            <v/>
          </cell>
          <cell r="AT1249" t="str">
            <v/>
          </cell>
          <cell r="AV1249" t="b">
            <v>1</v>
          </cell>
          <cell r="AW1249" t="str">
            <v>minute</v>
          </cell>
        </row>
        <row r="1250">
          <cell r="S1250" t="str">
            <v>INT HUN HUNMO</v>
          </cell>
          <cell r="T1250" t="str">
            <v>INT</v>
          </cell>
          <cell r="U1250" t="str">
            <v>HUN</v>
          </cell>
          <cell r="V1250" t="str">
            <v>HUNMO</v>
          </cell>
          <cell r="X1250">
            <v>4.9599999999999998E-2</v>
          </cell>
          <cell r="Y1250">
            <v>0</v>
          </cell>
          <cell r="Z1250">
            <v>4.6399999999999997E-2</v>
          </cell>
          <cell r="AA1250">
            <v>0</v>
          </cell>
          <cell r="AB1250">
            <v>4.3400000000000001E-2</v>
          </cell>
          <cell r="AC1250">
            <v>0</v>
          </cell>
          <cell r="AD1250">
            <v>4.0500000000000001E-2</v>
          </cell>
          <cell r="AE1250">
            <v>0</v>
          </cell>
          <cell r="AG1250" t="str">
            <v/>
          </cell>
          <cell r="AH1250" t="str">
            <v/>
          </cell>
          <cell r="AJ1250">
            <v>4.9599999999999998E-2</v>
          </cell>
          <cell r="AK1250">
            <v>0</v>
          </cell>
          <cell r="AL1250">
            <v>4.6399999999999997E-2</v>
          </cell>
          <cell r="AM1250">
            <v>0</v>
          </cell>
          <cell r="AN1250">
            <v>4.3400000000000001E-2</v>
          </cell>
          <cell r="AO1250">
            <v>0</v>
          </cell>
          <cell r="AP1250">
            <v>4.0500000000000001E-2</v>
          </cell>
          <cell r="AQ1250">
            <v>0</v>
          </cell>
          <cell r="AS1250" t="str">
            <v/>
          </cell>
          <cell r="AT1250" t="str">
            <v/>
          </cell>
          <cell r="AV1250" t="b">
            <v>1</v>
          </cell>
          <cell r="AW1250" t="str">
            <v>minute</v>
          </cell>
        </row>
        <row r="1251">
          <cell r="S1251" t="str">
            <v>INT HUN</v>
          </cell>
          <cell r="T1251" t="str">
            <v>INT</v>
          </cell>
          <cell r="U1251" t="str">
            <v>HUN</v>
          </cell>
          <cell r="V1251" t="str">
            <v/>
          </cell>
          <cell r="X1251">
            <v>1.6899999999999998E-2</v>
          </cell>
          <cell r="Y1251">
            <v>0</v>
          </cell>
          <cell r="Z1251">
            <v>1.5800000000000002E-2</v>
          </cell>
          <cell r="AA1251">
            <v>0</v>
          </cell>
          <cell r="AB1251">
            <v>1.4800000000000001E-2</v>
          </cell>
          <cell r="AC1251">
            <v>0</v>
          </cell>
          <cell r="AD1251">
            <v>1.38E-2</v>
          </cell>
          <cell r="AE1251">
            <v>0</v>
          </cell>
          <cell r="AG1251" t="str">
            <v/>
          </cell>
          <cell r="AH1251" t="str">
            <v/>
          </cell>
          <cell r="AJ1251">
            <v>1.6899999999999998E-2</v>
          </cell>
          <cell r="AK1251">
            <v>0</v>
          </cell>
          <cell r="AL1251">
            <v>1.5800000000000002E-2</v>
          </cell>
          <cell r="AM1251">
            <v>0</v>
          </cell>
          <cell r="AN1251">
            <v>1.4800000000000001E-2</v>
          </cell>
          <cell r="AO1251">
            <v>0</v>
          </cell>
          <cell r="AP1251">
            <v>1.38E-2</v>
          </cell>
          <cell r="AQ1251">
            <v>0</v>
          </cell>
          <cell r="AS1251" t="str">
            <v/>
          </cell>
          <cell r="AT1251" t="str">
            <v/>
          </cell>
          <cell r="AV1251" t="b">
            <v>1</v>
          </cell>
          <cell r="AW1251" t="str">
            <v>minute</v>
          </cell>
        </row>
        <row r="1252">
          <cell r="S1252" t="str">
            <v>INT ISL ISLMO</v>
          </cell>
          <cell r="T1252" t="str">
            <v>INT</v>
          </cell>
          <cell r="U1252" t="str">
            <v>ISL</v>
          </cell>
          <cell r="V1252" t="str">
            <v>ISLMO</v>
          </cell>
          <cell r="X1252">
            <v>0.1643</v>
          </cell>
          <cell r="Y1252">
            <v>0</v>
          </cell>
          <cell r="Z1252">
            <v>0.1429</v>
          </cell>
          <cell r="AA1252">
            <v>0</v>
          </cell>
          <cell r="AB1252">
            <v>0.12429999999999999</v>
          </cell>
          <cell r="AC1252">
            <v>0</v>
          </cell>
          <cell r="AD1252">
            <v>0.1081</v>
          </cell>
          <cell r="AE1252">
            <v>0</v>
          </cell>
          <cell r="AG1252" t="str">
            <v/>
          </cell>
          <cell r="AH1252" t="str">
            <v/>
          </cell>
          <cell r="AJ1252">
            <v>0.1643</v>
          </cell>
          <cell r="AK1252">
            <v>0</v>
          </cell>
          <cell r="AL1252">
            <v>0.1429</v>
          </cell>
          <cell r="AM1252">
            <v>0</v>
          </cell>
          <cell r="AN1252">
            <v>0.12429999999999999</v>
          </cell>
          <cell r="AO1252">
            <v>0</v>
          </cell>
          <cell r="AP1252">
            <v>0.1081</v>
          </cell>
          <cell r="AQ1252">
            <v>0</v>
          </cell>
          <cell r="AS1252" t="str">
            <v/>
          </cell>
          <cell r="AT1252" t="str">
            <v/>
          </cell>
          <cell r="AV1252" t="b">
            <v>1</v>
          </cell>
          <cell r="AW1252" t="str">
            <v>minute</v>
          </cell>
        </row>
        <row r="1253">
          <cell r="S1253" t="str">
            <v>INT ISL</v>
          </cell>
          <cell r="T1253" t="str">
            <v>INT</v>
          </cell>
          <cell r="U1253" t="str">
            <v>ISL</v>
          </cell>
          <cell r="V1253" t="str">
            <v/>
          </cell>
          <cell r="X1253">
            <v>3.4599999999999999E-2</v>
          </cell>
          <cell r="Y1253">
            <v>0</v>
          </cell>
          <cell r="Z1253">
            <v>3.0099999999999998E-2</v>
          </cell>
          <cell r="AA1253">
            <v>0</v>
          </cell>
          <cell r="AB1253">
            <v>2.6200000000000001E-2</v>
          </cell>
          <cell r="AC1253">
            <v>0</v>
          </cell>
          <cell r="AD1253">
            <v>2.2800000000000001E-2</v>
          </cell>
          <cell r="AE1253">
            <v>0</v>
          </cell>
          <cell r="AG1253" t="str">
            <v/>
          </cell>
          <cell r="AH1253" t="str">
            <v/>
          </cell>
          <cell r="AJ1253">
            <v>3.4599999999999999E-2</v>
          </cell>
          <cell r="AK1253">
            <v>0</v>
          </cell>
          <cell r="AL1253">
            <v>3.0099999999999998E-2</v>
          </cell>
          <cell r="AM1253">
            <v>0</v>
          </cell>
          <cell r="AN1253">
            <v>2.6200000000000001E-2</v>
          </cell>
          <cell r="AO1253">
            <v>0</v>
          </cell>
          <cell r="AP1253">
            <v>2.2800000000000001E-2</v>
          </cell>
          <cell r="AQ1253">
            <v>0</v>
          </cell>
          <cell r="AS1253" t="str">
            <v/>
          </cell>
          <cell r="AT1253" t="str">
            <v/>
          </cell>
          <cell r="AV1253" t="b">
            <v>1</v>
          </cell>
          <cell r="AW1253" t="str">
            <v>minute</v>
          </cell>
        </row>
        <row r="1254">
          <cell r="S1254" t="str">
            <v>INT IND INDMO</v>
          </cell>
          <cell r="T1254" t="str">
            <v>INT</v>
          </cell>
          <cell r="U1254" t="str">
            <v>IND</v>
          </cell>
          <cell r="V1254" t="str">
            <v>INDMO</v>
          </cell>
          <cell r="X1254">
            <v>2.7699999999999999E-2</v>
          </cell>
          <cell r="Y1254">
            <v>0</v>
          </cell>
          <cell r="Z1254">
            <v>2.4899999999999999E-2</v>
          </cell>
          <cell r="AA1254">
            <v>0</v>
          </cell>
          <cell r="AB1254">
            <v>2.3599999999999999E-2</v>
          </cell>
          <cell r="AC1254">
            <v>0</v>
          </cell>
          <cell r="AD1254">
            <v>2.2200000000000001E-2</v>
          </cell>
          <cell r="AE1254">
            <v>0</v>
          </cell>
          <cell r="AG1254" t="str">
            <v/>
          </cell>
          <cell r="AH1254" t="str">
            <v/>
          </cell>
          <cell r="AJ1254">
            <v>2.7699999999999999E-2</v>
          </cell>
          <cell r="AK1254">
            <v>0</v>
          </cell>
          <cell r="AL1254">
            <v>2.4899999999999999E-2</v>
          </cell>
          <cell r="AM1254">
            <v>0</v>
          </cell>
          <cell r="AN1254">
            <v>2.3599999999999999E-2</v>
          </cell>
          <cell r="AO1254">
            <v>0</v>
          </cell>
          <cell r="AP1254">
            <v>2.2200000000000001E-2</v>
          </cell>
          <cell r="AQ1254">
            <v>0</v>
          </cell>
          <cell r="AS1254" t="str">
            <v/>
          </cell>
          <cell r="AT1254" t="str">
            <v/>
          </cell>
          <cell r="AV1254" t="b">
            <v>1</v>
          </cell>
          <cell r="AW1254" t="str">
            <v>minute</v>
          </cell>
        </row>
        <row r="1255">
          <cell r="S1255" t="str">
            <v>INT IND</v>
          </cell>
          <cell r="T1255" t="str">
            <v>INT</v>
          </cell>
          <cell r="U1255" t="str">
            <v>IND</v>
          </cell>
          <cell r="V1255" t="str">
            <v/>
          </cell>
          <cell r="X1255">
            <v>2.7699999999999999E-2</v>
          </cell>
          <cell r="Y1255">
            <v>0</v>
          </cell>
          <cell r="Z1255">
            <v>2.4899999999999999E-2</v>
          </cell>
          <cell r="AA1255">
            <v>0</v>
          </cell>
          <cell r="AB1255">
            <v>2.3599999999999999E-2</v>
          </cell>
          <cell r="AC1255">
            <v>0</v>
          </cell>
          <cell r="AD1255">
            <v>2.2200000000000001E-2</v>
          </cell>
          <cell r="AE1255">
            <v>0</v>
          </cell>
          <cell r="AG1255" t="str">
            <v/>
          </cell>
          <cell r="AH1255" t="str">
            <v/>
          </cell>
          <cell r="AJ1255">
            <v>2.7699999999999999E-2</v>
          </cell>
          <cell r="AK1255">
            <v>0</v>
          </cell>
          <cell r="AL1255">
            <v>2.4899999999999999E-2</v>
          </cell>
          <cell r="AM1255">
            <v>0</v>
          </cell>
          <cell r="AN1255">
            <v>2.3599999999999999E-2</v>
          </cell>
          <cell r="AO1255">
            <v>0</v>
          </cell>
          <cell r="AP1255">
            <v>2.2200000000000001E-2</v>
          </cell>
          <cell r="AQ1255">
            <v>0</v>
          </cell>
          <cell r="AS1255" t="str">
            <v/>
          </cell>
          <cell r="AT1255" t="str">
            <v/>
          </cell>
          <cell r="AV1255" t="b">
            <v>1</v>
          </cell>
          <cell r="AW1255" t="str">
            <v>minute</v>
          </cell>
        </row>
        <row r="1256">
          <cell r="S1256" t="str">
            <v>INT IDN IDNMO</v>
          </cell>
          <cell r="T1256" t="str">
            <v>INT</v>
          </cell>
          <cell r="U1256" t="str">
            <v>IDN</v>
          </cell>
          <cell r="V1256" t="str">
            <v>IDNMO</v>
          </cell>
          <cell r="X1256">
            <v>0.1096</v>
          </cell>
          <cell r="Y1256">
            <v>0</v>
          </cell>
          <cell r="Z1256">
            <v>9.5299999999999996E-2</v>
          </cell>
          <cell r="AA1256">
            <v>0</v>
          </cell>
          <cell r="AB1256">
            <v>8.2900000000000001E-2</v>
          </cell>
          <cell r="AC1256">
            <v>0</v>
          </cell>
          <cell r="AD1256">
            <v>7.2099999999999997E-2</v>
          </cell>
          <cell r="AE1256">
            <v>0</v>
          </cell>
          <cell r="AG1256" t="str">
            <v/>
          </cell>
          <cell r="AH1256" t="str">
            <v/>
          </cell>
          <cell r="AJ1256">
            <v>0.1096</v>
          </cell>
          <cell r="AK1256">
            <v>0</v>
          </cell>
          <cell r="AL1256">
            <v>9.5299999999999996E-2</v>
          </cell>
          <cell r="AM1256">
            <v>0</v>
          </cell>
          <cell r="AN1256">
            <v>8.2900000000000001E-2</v>
          </cell>
          <cell r="AO1256">
            <v>0</v>
          </cell>
          <cell r="AP1256">
            <v>7.2099999999999997E-2</v>
          </cell>
          <cell r="AQ1256">
            <v>0</v>
          </cell>
          <cell r="AS1256" t="str">
            <v/>
          </cell>
          <cell r="AT1256" t="str">
            <v/>
          </cell>
          <cell r="AV1256" t="b">
            <v>1</v>
          </cell>
          <cell r="AW1256" t="str">
            <v>minute</v>
          </cell>
        </row>
        <row r="1257">
          <cell r="S1257" t="str">
            <v>INT IDN</v>
          </cell>
          <cell r="T1257" t="str">
            <v>INT</v>
          </cell>
          <cell r="U1257" t="str">
            <v>IDN</v>
          </cell>
          <cell r="V1257" t="str">
            <v/>
          </cell>
          <cell r="X1257">
            <v>6.1199999999999997E-2</v>
          </cell>
          <cell r="Y1257">
            <v>0</v>
          </cell>
          <cell r="Z1257">
            <v>5.3199999999999997E-2</v>
          </cell>
          <cell r="AA1257">
            <v>0</v>
          </cell>
          <cell r="AB1257">
            <v>4.6300000000000001E-2</v>
          </cell>
          <cell r="AC1257">
            <v>0</v>
          </cell>
          <cell r="AD1257">
            <v>4.0300000000000002E-2</v>
          </cell>
          <cell r="AE1257">
            <v>0</v>
          </cell>
          <cell r="AG1257" t="str">
            <v/>
          </cell>
          <cell r="AH1257" t="str">
            <v/>
          </cell>
          <cell r="AJ1257">
            <v>6.1199999999999997E-2</v>
          </cell>
          <cell r="AK1257">
            <v>0</v>
          </cell>
          <cell r="AL1257">
            <v>5.3199999999999997E-2</v>
          </cell>
          <cell r="AM1257">
            <v>0</v>
          </cell>
          <cell r="AN1257">
            <v>4.6300000000000001E-2</v>
          </cell>
          <cell r="AO1257">
            <v>0</v>
          </cell>
          <cell r="AP1257">
            <v>4.0300000000000002E-2</v>
          </cell>
          <cell r="AQ1257">
            <v>0</v>
          </cell>
          <cell r="AS1257" t="str">
            <v/>
          </cell>
          <cell r="AT1257" t="str">
            <v/>
          </cell>
          <cell r="AV1257" t="b">
            <v>1</v>
          </cell>
          <cell r="AW1257" t="str">
            <v>minute</v>
          </cell>
        </row>
        <row r="1258">
          <cell r="S1258" t="str">
            <v>INT OCE</v>
          </cell>
          <cell r="T1258" t="str">
            <v>INT</v>
          </cell>
          <cell r="U1258" t="str">
            <v>OCE</v>
          </cell>
          <cell r="V1258" t="str">
            <v/>
          </cell>
          <cell r="X1258">
            <v>14.136200000000001</v>
          </cell>
          <cell r="Y1258">
            <v>0</v>
          </cell>
          <cell r="Z1258">
            <v>12.0159</v>
          </cell>
          <cell r="AA1258">
            <v>0</v>
          </cell>
          <cell r="AB1258">
            <v>10.601900000000001</v>
          </cell>
          <cell r="AC1258">
            <v>0</v>
          </cell>
          <cell r="AD1258">
            <v>9.5263000000000009</v>
          </cell>
          <cell r="AE1258">
            <v>0</v>
          </cell>
          <cell r="AG1258" t="str">
            <v/>
          </cell>
          <cell r="AH1258" t="str">
            <v/>
          </cell>
          <cell r="AJ1258">
            <v>14.136200000000001</v>
          </cell>
          <cell r="AK1258">
            <v>0</v>
          </cell>
          <cell r="AL1258">
            <v>12.0159</v>
          </cell>
          <cell r="AM1258">
            <v>0</v>
          </cell>
          <cell r="AN1258">
            <v>10.601900000000001</v>
          </cell>
          <cell r="AO1258">
            <v>0</v>
          </cell>
          <cell r="AP1258">
            <v>9.5263000000000009</v>
          </cell>
          <cell r="AQ1258">
            <v>0</v>
          </cell>
          <cell r="AS1258" t="str">
            <v/>
          </cell>
          <cell r="AT1258" t="str">
            <v/>
          </cell>
          <cell r="AV1258" t="b">
            <v>1</v>
          </cell>
          <cell r="AW1258" t="str">
            <v>minute</v>
          </cell>
        </row>
        <row r="1259">
          <cell r="S1259" t="str">
            <v>INT OCE SNACB</v>
          </cell>
          <cell r="T1259" t="str">
            <v>INT</v>
          </cell>
          <cell r="U1259" t="str">
            <v>OCE</v>
          </cell>
          <cell r="V1259" t="str">
            <v>SNACB</v>
          </cell>
          <cell r="X1259">
            <v>2.306</v>
          </cell>
          <cell r="Y1259">
            <v>0</v>
          </cell>
          <cell r="Z1259">
            <v>1.9601</v>
          </cell>
          <cell r="AA1259">
            <v>0</v>
          </cell>
          <cell r="AB1259">
            <v>1.7295</v>
          </cell>
          <cell r="AC1259">
            <v>0</v>
          </cell>
          <cell r="AD1259">
            <v>1.3834</v>
          </cell>
          <cell r="AE1259">
            <v>0</v>
          </cell>
          <cell r="AG1259" t="str">
            <v/>
          </cell>
          <cell r="AH1259" t="str">
            <v/>
          </cell>
          <cell r="AJ1259">
            <v>2.306</v>
          </cell>
          <cell r="AK1259">
            <v>0</v>
          </cell>
          <cell r="AL1259">
            <v>1.9601</v>
          </cell>
          <cell r="AM1259">
            <v>0</v>
          </cell>
          <cell r="AN1259">
            <v>1.7295</v>
          </cell>
          <cell r="AO1259">
            <v>0</v>
          </cell>
          <cell r="AP1259">
            <v>1.3834</v>
          </cell>
          <cell r="AQ1259">
            <v>0</v>
          </cell>
          <cell r="AS1259" t="str">
            <v/>
          </cell>
          <cell r="AT1259" t="str">
            <v/>
          </cell>
          <cell r="AV1259" t="b">
            <v>1</v>
          </cell>
          <cell r="AW1259" t="str">
            <v>minute</v>
          </cell>
        </row>
        <row r="1260">
          <cell r="S1260" t="str">
            <v>INT OCE SBHSD</v>
          </cell>
          <cell r="T1260" t="str">
            <v>INT</v>
          </cell>
          <cell r="U1260" t="str">
            <v>OCE</v>
          </cell>
          <cell r="V1260" t="str">
            <v>SBHSD</v>
          </cell>
          <cell r="X1260">
            <v>6.8646000000000003</v>
          </cell>
          <cell r="Y1260">
            <v>0</v>
          </cell>
          <cell r="Z1260">
            <v>5.8349000000000002</v>
          </cell>
          <cell r="AA1260">
            <v>0</v>
          </cell>
          <cell r="AB1260">
            <v>5.1485000000000003</v>
          </cell>
          <cell r="AC1260">
            <v>0</v>
          </cell>
          <cell r="AD1260">
            <v>4.1188000000000002</v>
          </cell>
          <cell r="AE1260">
            <v>0</v>
          </cell>
          <cell r="AG1260" t="str">
            <v/>
          </cell>
          <cell r="AH1260" t="str">
            <v/>
          </cell>
          <cell r="AJ1260">
            <v>6.8646000000000003</v>
          </cell>
          <cell r="AK1260">
            <v>0</v>
          </cell>
          <cell r="AL1260">
            <v>5.8349000000000002</v>
          </cell>
          <cell r="AM1260">
            <v>0</v>
          </cell>
          <cell r="AN1260">
            <v>5.1485000000000003</v>
          </cell>
          <cell r="AO1260">
            <v>0</v>
          </cell>
          <cell r="AP1260">
            <v>4.1188000000000002</v>
          </cell>
          <cell r="AQ1260">
            <v>0</v>
          </cell>
          <cell r="AS1260" t="str">
            <v/>
          </cell>
          <cell r="AT1260" t="str">
            <v/>
          </cell>
          <cell r="AV1260" t="b">
            <v>1</v>
          </cell>
          <cell r="AW1260" t="str">
            <v>minute</v>
          </cell>
        </row>
        <row r="1261">
          <cell r="S1261" t="str">
            <v>INT OCE BGAN</v>
          </cell>
          <cell r="T1261" t="str">
            <v>INT</v>
          </cell>
          <cell r="U1261" t="str">
            <v>OCE</v>
          </cell>
          <cell r="V1261" t="str">
            <v>BGAN</v>
          </cell>
          <cell r="X1261">
            <v>3.4529999999999998</v>
          </cell>
          <cell r="Y1261">
            <v>0</v>
          </cell>
          <cell r="Z1261">
            <v>3.1076999999999999</v>
          </cell>
          <cell r="AA1261">
            <v>0</v>
          </cell>
          <cell r="AB1261">
            <v>2.9350999999999998</v>
          </cell>
          <cell r="AC1261">
            <v>0</v>
          </cell>
          <cell r="AD1261">
            <v>2.7624</v>
          </cell>
          <cell r="AE1261">
            <v>0</v>
          </cell>
          <cell r="AG1261" t="str">
            <v/>
          </cell>
          <cell r="AH1261" t="str">
            <v/>
          </cell>
          <cell r="AJ1261">
            <v>3.4529999999999998</v>
          </cell>
          <cell r="AK1261">
            <v>0</v>
          </cell>
          <cell r="AL1261">
            <v>3.1076999999999999</v>
          </cell>
          <cell r="AM1261">
            <v>0</v>
          </cell>
          <cell r="AN1261">
            <v>2.9350999999999998</v>
          </cell>
          <cell r="AO1261">
            <v>0</v>
          </cell>
          <cell r="AP1261">
            <v>2.7624</v>
          </cell>
          <cell r="AQ1261">
            <v>0</v>
          </cell>
          <cell r="AS1261" t="str">
            <v/>
          </cell>
          <cell r="AT1261" t="str">
            <v/>
          </cell>
          <cell r="AV1261" t="b">
            <v>1</v>
          </cell>
          <cell r="AW1261" t="str">
            <v>minute</v>
          </cell>
        </row>
        <row r="1262">
          <cell r="S1262" t="str">
            <v>INT OCE BGHSD</v>
          </cell>
          <cell r="T1262" t="str">
            <v>INT</v>
          </cell>
          <cell r="U1262" t="str">
            <v>OCE</v>
          </cell>
          <cell r="V1262" t="str">
            <v>BGHSD</v>
          </cell>
          <cell r="X1262">
            <v>6.4969000000000001</v>
          </cell>
          <cell r="Y1262">
            <v>0</v>
          </cell>
          <cell r="Z1262">
            <v>5.5224000000000002</v>
          </cell>
          <cell r="AA1262">
            <v>0</v>
          </cell>
          <cell r="AB1262">
            <v>4.8727</v>
          </cell>
          <cell r="AC1262">
            <v>0</v>
          </cell>
          <cell r="AD1262">
            <v>3.8982000000000001</v>
          </cell>
          <cell r="AE1262">
            <v>0</v>
          </cell>
          <cell r="AG1262" t="str">
            <v/>
          </cell>
          <cell r="AH1262" t="str">
            <v/>
          </cell>
          <cell r="AJ1262">
            <v>6.4969000000000001</v>
          </cell>
          <cell r="AK1262">
            <v>0</v>
          </cell>
          <cell r="AL1262">
            <v>5.5224000000000002</v>
          </cell>
          <cell r="AM1262">
            <v>0</v>
          </cell>
          <cell r="AN1262">
            <v>4.8727</v>
          </cell>
          <cell r="AO1262">
            <v>0</v>
          </cell>
          <cell r="AP1262">
            <v>3.8982000000000001</v>
          </cell>
          <cell r="AQ1262">
            <v>0</v>
          </cell>
          <cell r="AS1262" t="str">
            <v/>
          </cell>
          <cell r="AT1262" t="str">
            <v/>
          </cell>
          <cell r="AV1262" t="b">
            <v>1</v>
          </cell>
          <cell r="AW1262" t="str">
            <v>minute</v>
          </cell>
        </row>
        <row r="1263">
          <cell r="S1263" t="str">
            <v>INT OCE SNACM</v>
          </cell>
          <cell r="T1263" t="str">
            <v>INT</v>
          </cell>
          <cell r="U1263" t="str">
            <v>OCE</v>
          </cell>
          <cell r="V1263" t="str">
            <v>SNACM</v>
          </cell>
          <cell r="X1263">
            <v>1.7383999999999999</v>
          </cell>
          <cell r="Y1263">
            <v>0</v>
          </cell>
          <cell r="Z1263">
            <v>1.478</v>
          </cell>
          <cell r="AA1263">
            <v>0</v>
          </cell>
          <cell r="AB1263">
            <v>1.3041</v>
          </cell>
          <cell r="AC1263">
            <v>0</v>
          </cell>
          <cell r="AD1263">
            <v>1.0429999999999999</v>
          </cell>
          <cell r="AE1263">
            <v>0</v>
          </cell>
          <cell r="AG1263" t="str">
            <v/>
          </cell>
          <cell r="AH1263" t="str">
            <v/>
          </cell>
          <cell r="AJ1263">
            <v>1.7383999999999999</v>
          </cell>
          <cell r="AK1263">
            <v>0</v>
          </cell>
          <cell r="AL1263">
            <v>1.478</v>
          </cell>
          <cell r="AM1263">
            <v>0</v>
          </cell>
          <cell r="AN1263">
            <v>1.3041</v>
          </cell>
          <cell r="AO1263">
            <v>0</v>
          </cell>
          <cell r="AP1263">
            <v>1.0429999999999999</v>
          </cell>
          <cell r="AQ1263">
            <v>0</v>
          </cell>
          <cell r="AS1263" t="str">
            <v/>
          </cell>
          <cell r="AT1263" t="str">
            <v/>
          </cell>
          <cell r="AV1263" t="b">
            <v>1</v>
          </cell>
          <cell r="AW1263" t="str">
            <v>minute</v>
          </cell>
        </row>
        <row r="1264">
          <cell r="S1264" t="str">
            <v>INT OCE M4HSD</v>
          </cell>
          <cell r="T1264" t="str">
            <v>INT</v>
          </cell>
          <cell r="U1264" t="str">
            <v>OCE</v>
          </cell>
          <cell r="V1264" t="str">
            <v>M4HSD</v>
          </cell>
          <cell r="X1264">
            <v>3.0291000000000001</v>
          </cell>
          <cell r="Y1264">
            <v>0</v>
          </cell>
          <cell r="Z1264">
            <v>2.5747</v>
          </cell>
          <cell r="AA1264">
            <v>0</v>
          </cell>
          <cell r="AB1264">
            <v>2.2717000000000001</v>
          </cell>
          <cell r="AC1264">
            <v>0</v>
          </cell>
          <cell r="AD1264">
            <v>2.1907000000000001</v>
          </cell>
          <cell r="AE1264">
            <v>0</v>
          </cell>
          <cell r="AG1264" t="str">
            <v/>
          </cell>
          <cell r="AH1264" t="str">
            <v/>
          </cell>
          <cell r="AJ1264">
            <v>3.0291000000000001</v>
          </cell>
          <cell r="AK1264">
            <v>0</v>
          </cell>
          <cell r="AL1264">
            <v>2.5747</v>
          </cell>
          <cell r="AM1264">
            <v>0</v>
          </cell>
          <cell r="AN1264">
            <v>2.2717000000000001</v>
          </cell>
          <cell r="AO1264">
            <v>0</v>
          </cell>
          <cell r="AP1264">
            <v>2.1907000000000001</v>
          </cell>
          <cell r="AQ1264">
            <v>0</v>
          </cell>
          <cell r="AS1264" t="str">
            <v/>
          </cell>
          <cell r="AT1264" t="str">
            <v/>
          </cell>
          <cell r="AV1264" t="b">
            <v>1</v>
          </cell>
          <cell r="AW1264" t="str">
            <v>minute</v>
          </cell>
        </row>
        <row r="1265">
          <cell r="S1265" t="str">
            <v>INT OCE NACMM</v>
          </cell>
          <cell r="T1265" t="str">
            <v>INT</v>
          </cell>
          <cell r="U1265" t="str">
            <v>OCE</v>
          </cell>
          <cell r="V1265" t="str">
            <v>NACMM</v>
          </cell>
          <cell r="X1265">
            <v>1.2414000000000001</v>
          </cell>
          <cell r="Y1265">
            <v>0</v>
          </cell>
          <cell r="Z1265">
            <v>1.1173</v>
          </cell>
          <cell r="AA1265">
            <v>0</v>
          </cell>
          <cell r="AB1265">
            <v>1.0551999999999999</v>
          </cell>
          <cell r="AC1265">
            <v>0</v>
          </cell>
          <cell r="AD1265">
            <v>0.99309999999999998</v>
          </cell>
          <cell r="AE1265">
            <v>0</v>
          </cell>
          <cell r="AG1265" t="str">
            <v/>
          </cell>
          <cell r="AH1265" t="str">
            <v/>
          </cell>
          <cell r="AJ1265">
            <v>1.2414000000000001</v>
          </cell>
          <cell r="AK1265">
            <v>0</v>
          </cell>
          <cell r="AL1265">
            <v>1.1173</v>
          </cell>
          <cell r="AM1265">
            <v>0</v>
          </cell>
          <cell r="AN1265">
            <v>1.0551999999999999</v>
          </cell>
          <cell r="AO1265">
            <v>0</v>
          </cell>
          <cell r="AP1265">
            <v>0.99309999999999998</v>
          </cell>
          <cell r="AQ1265">
            <v>0</v>
          </cell>
          <cell r="AS1265" t="str">
            <v/>
          </cell>
          <cell r="AT1265" t="str">
            <v/>
          </cell>
          <cell r="AV1265" t="b">
            <v>1</v>
          </cell>
          <cell r="AW1265" t="str">
            <v>minute</v>
          </cell>
        </row>
        <row r="1266">
          <cell r="S1266" t="str">
            <v>INT EMS</v>
          </cell>
          <cell r="T1266" t="str">
            <v>INT</v>
          </cell>
          <cell r="U1266" t="str">
            <v>EMS</v>
          </cell>
          <cell r="V1266" t="str">
            <v/>
          </cell>
          <cell r="X1266">
            <v>3.1953</v>
          </cell>
          <cell r="Y1266">
            <v>0</v>
          </cell>
          <cell r="Z1266">
            <v>2.7160000000000002</v>
          </cell>
          <cell r="AA1266">
            <v>0</v>
          </cell>
          <cell r="AB1266">
            <v>2.3965000000000001</v>
          </cell>
          <cell r="AC1266">
            <v>0</v>
          </cell>
          <cell r="AD1266">
            <v>2.1101000000000001</v>
          </cell>
          <cell r="AE1266">
            <v>0</v>
          </cell>
          <cell r="AG1266" t="str">
            <v/>
          </cell>
          <cell r="AH1266" t="str">
            <v/>
          </cell>
          <cell r="AJ1266">
            <v>3.1953</v>
          </cell>
          <cell r="AK1266">
            <v>0</v>
          </cell>
          <cell r="AL1266">
            <v>2.7160000000000002</v>
          </cell>
          <cell r="AM1266">
            <v>0</v>
          </cell>
          <cell r="AN1266">
            <v>2.3965000000000001</v>
          </cell>
          <cell r="AO1266">
            <v>0</v>
          </cell>
          <cell r="AP1266">
            <v>2.1101000000000001</v>
          </cell>
          <cell r="AQ1266">
            <v>0</v>
          </cell>
          <cell r="AS1266" t="str">
            <v/>
          </cell>
          <cell r="AT1266" t="str">
            <v/>
          </cell>
          <cell r="AV1266" t="b">
            <v>1</v>
          </cell>
          <cell r="AW1266" t="str">
            <v>minute</v>
          </cell>
        </row>
        <row r="1267">
          <cell r="S1267" t="str">
            <v>INT ITF</v>
          </cell>
          <cell r="T1267" t="str">
            <v>INT</v>
          </cell>
          <cell r="U1267" t="str">
            <v>ITF</v>
          </cell>
          <cell r="V1267" t="str">
            <v/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G1267" t="str">
            <v/>
          </cell>
          <cell r="AH1267" t="str">
            <v/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S1267" t="str">
            <v/>
          </cell>
          <cell r="AT1267" t="str">
            <v/>
          </cell>
          <cell r="AV1267" t="b">
            <v>1</v>
          </cell>
          <cell r="AW1267" t="str">
            <v>minute</v>
          </cell>
        </row>
        <row r="1268">
          <cell r="S1268" t="str">
            <v>INT IRN IRNMO</v>
          </cell>
          <cell r="T1268" t="str">
            <v>INT</v>
          </cell>
          <cell r="U1268" t="str">
            <v>IRN</v>
          </cell>
          <cell r="V1268" t="str">
            <v>IRNMO</v>
          </cell>
          <cell r="X1268">
            <v>0.129</v>
          </cell>
          <cell r="Y1268">
            <v>0</v>
          </cell>
          <cell r="Z1268">
            <v>0.11219999999999999</v>
          </cell>
          <cell r="AA1268">
            <v>0</v>
          </cell>
          <cell r="AB1268">
            <v>9.7600000000000006E-2</v>
          </cell>
          <cell r="AC1268">
            <v>0</v>
          </cell>
          <cell r="AD1268">
            <v>8.4900000000000003E-2</v>
          </cell>
          <cell r="AE1268">
            <v>0</v>
          </cell>
          <cell r="AG1268" t="str">
            <v/>
          </cell>
          <cell r="AH1268" t="str">
            <v/>
          </cell>
          <cell r="AJ1268">
            <v>0.129</v>
          </cell>
          <cell r="AK1268">
            <v>0</v>
          </cell>
          <cell r="AL1268">
            <v>0.11219999999999999</v>
          </cell>
          <cell r="AM1268">
            <v>0</v>
          </cell>
          <cell r="AN1268">
            <v>9.7600000000000006E-2</v>
          </cell>
          <cell r="AO1268">
            <v>0</v>
          </cell>
          <cell r="AP1268">
            <v>8.4900000000000003E-2</v>
          </cell>
          <cell r="AQ1268">
            <v>0</v>
          </cell>
          <cell r="AS1268" t="str">
            <v/>
          </cell>
          <cell r="AT1268" t="str">
            <v/>
          </cell>
          <cell r="AV1268" t="b">
            <v>1</v>
          </cell>
          <cell r="AW1268" t="str">
            <v>minute</v>
          </cell>
        </row>
        <row r="1269">
          <cell r="S1269" t="str">
            <v>INT IRN</v>
          </cell>
          <cell r="T1269" t="str">
            <v>INT</v>
          </cell>
          <cell r="U1269" t="str">
            <v>IRN</v>
          </cell>
          <cell r="V1269" t="str">
            <v/>
          </cell>
          <cell r="X1269">
            <v>8.5599999999999996E-2</v>
          </cell>
          <cell r="Y1269">
            <v>0</v>
          </cell>
          <cell r="Z1269">
            <v>7.4399999999999994E-2</v>
          </cell>
          <cell r="AA1269">
            <v>0</v>
          </cell>
          <cell r="AB1269">
            <v>6.4600000000000005E-2</v>
          </cell>
          <cell r="AC1269">
            <v>0</v>
          </cell>
          <cell r="AD1269">
            <v>5.6300000000000003E-2</v>
          </cell>
          <cell r="AE1269">
            <v>0</v>
          </cell>
          <cell r="AG1269" t="str">
            <v/>
          </cell>
          <cell r="AH1269" t="str">
            <v/>
          </cell>
          <cell r="AJ1269">
            <v>8.5599999999999996E-2</v>
          </cell>
          <cell r="AK1269">
            <v>0</v>
          </cell>
          <cell r="AL1269">
            <v>7.4399999999999994E-2</v>
          </cell>
          <cell r="AM1269">
            <v>0</v>
          </cell>
          <cell r="AN1269">
            <v>6.4600000000000005E-2</v>
          </cell>
          <cell r="AO1269">
            <v>0</v>
          </cell>
          <cell r="AP1269">
            <v>5.6300000000000003E-2</v>
          </cell>
          <cell r="AQ1269">
            <v>0</v>
          </cell>
          <cell r="AS1269" t="str">
            <v/>
          </cell>
          <cell r="AT1269" t="str">
            <v/>
          </cell>
          <cell r="AV1269" t="b">
            <v>1</v>
          </cell>
          <cell r="AW1269" t="str">
            <v>minute</v>
          </cell>
        </row>
        <row r="1270">
          <cell r="S1270" t="str">
            <v>INT IRQ</v>
          </cell>
          <cell r="T1270" t="str">
            <v>INT</v>
          </cell>
          <cell r="U1270" t="str">
            <v>IRQ</v>
          </cell>
          <cell r="V1270" t="str">
            <v/>
          </cell>
          <cell r="X1270">
            <v>0.1875</v>
          </cell>
          <cell r="Y1270">
            <v>0</v>
          </cell>
          <cell r="Z1270">
            <v>0.16300000000000001</v>
          </cell>
          <cell r="AA1270">
            <v>0</v>
          </cell>
          <cell r="AB1270">
            <v>0.14169999999999999</v>
          </cell>
          <cell r="AC1270">
            <v>0</v>
          </cell>
          <cell r="AD1270">
            <v>0.1232</v>
          </cell>
          <cell r="AE1270">
            <v>0</v>
          </cell>
          <cell r="AG1270" t="str">
            <v/>
          </cell>
          <cell r="AH1270" t="str">
            <v/>
          </cell>
          <cell r="AJ1270">
            <v>0.1875</v>
          </cell>
          <cell r="AK1270">
            <v>0</v>
          </cell>
          <cell r="AL1270">
            <v>0.16300000000000001</v>
          </cell>
          <cell r="AM1270">
            <v>0</v>
          </cell>
          <cell r="AN1270">
            <v>0.14169999999999999</v>
          </cell>
          <cell r="AO1270">
            <v>0</v>
          </cell>
          <cell r="AP1270">
            <v>0.1232</v>
          </cell>
          <cell r="AQ1270">
            <v>0</v>
          </cell>
          <cell r="AS1270" t="str">
            <v/>
          </cell>
          <cell r="AT1270" t="str">
            <v/>
          </cell>
          <cell r="AV1270" t="b">
            <v>1</v>
          </cell>
          <cell r="AW1270" t="str">
            <v>minute</v>
          </cell>
        </row>
        <row r="1271">
          <cell r="S1271" t="str">
            <v>INT IRL IRLMO</v>
          </cell>
          <cell r="T1271" t="str">
            <v>INT</v>
          </cell>
          <cell r="U1271" t="str">
            <v>IRL</v>
          </cell>
          <cell r="V1271" t="str">
            <v>IRLMO</v>
          </cell>
          <cell r="X1271">
            <v>5.4899999999999997E-2</v>
          </cell>
          <cell r="Y1271">
            <v>0</v>
          </cell>
          <cell r="Z1271">
            <v>4.9399999999999999E-2</v>
          </cell>
          <cell r="AA1271">
            <v>0</v>
          </cell>
          <cell r="AB1271">
            <v>4.6699999999999998E-2</v>
          </cell>
          <cell r="AC1271">
            <v>0</v>
          </cell>
          <cell r="AD1271">
            <v>4.3900000000000002E-2</v>
          </cell>
          <cell r="AE1271">
            <v>0</v>
          </cell>
          <cell r="AG1271" t="str">
            <v/>
          </cell>
          <cell r="AH1271" t="str">
            <v/>
          </cell>
          <cell r="AJ1271">
            <v>5.4899999999999997E-2</v>
          </cell>
          <cell r="AK1271">
            <v>0</v>
          </cell>
          <cell r="AL1271">
            <v>4.9399999999999999E-2</v>
          </cell>
          <cell r="AM1271">
            <v>0</v>
          </cell>
          <cell r="AN1271">
            <v>4.6699999999999998E-2</v>
          </cell>
          <cell r="AO1271">
            <v>0</v>
          </cell>
          <cell r="AP1271">
            <v>4.3900000000000002E-2</v>
          </cell>
          <cell r="AQ1271">
            <v>0</v>
          </cell>
          <cell r="AS1271" t="str">
            <v/>
          </cell>
          <cell r="AT1271" t="str">
            <v/>
          </cell>
          <cell r="AV1271" t="b">
            <v>1</v>
          </cell>
          <cell r="AW1271" t="str">
            <v>minute</v>
          </cell>
        </row>
        <row r="1272">
          <cell r="S1272" t="str">
            <v>INT IRL</v>
          </cell>
          <cell r="T1272" t="str">
            <v>INT</v>
          </cell>
          <cell r="U1272" t="str">
            <v>IRL</v>
          </cell>
          <cell r="V1272" t="str">
            <v/>
          </cell>
          <cell r="X1272">
            <v>1.72E-2</v>
          </cell>
          <cell r="Y1272">
            <v>0</v>
          </cell>
          <cell r="Z1272">
            <v>1.61E-2</v>
          </cell>
          <cell r="AA1272">
            <v>0</v>
          </cell>
          <cell r="AB1272">
            <v>1.4999999999999999E-2</v>
          </cell>
          <cell r="AC1272">
            <v>0</v>
          </cell>
          <cell r="AD1272">
            <v>1.4E-2</v>
          </cell>
          <cell r="AE1272">
            <v>0</v>
          </cell>
          <cell r="AG1272" t="str">
            <v/>
          </cell>
          <cell r="AH1272" t="str">
            <v/>
          </cell>
          <cell r="AJ1272">
            <v>1.72E-2</v>
          </cell>
          <cell r="AK1272">
            <v>0</v>
          </cell>
          <cell r="AL1272">
            <v>1.61E-2</v>
          </cell>
          <cell r="AM1272">
            <v>0</v>
          </cell>
          <cell r="AN1272">
            <v>1.4999999999999999E-2</v>
          </cell>
          <cell r="AO1272">
            <v>0</v>
          </cell>
          <cell r="AP1272">
            <v>1.4E-2</v>
          </cell>
          <cell r="AQ1272">
            <v>0</v>
          </cell>
          <cell r="AS1272" t="str">
            <v/>
          </cell>
          <cell r="AT1272" t="str">
            <v/>
          </cell>
          <cell r="AV1272" t="b">
            <v>1</v>
          </cell>
          <cell r="AW1272" t="str">
            <v>minute</v>
          </cell>
        </row>
        <row r="1273">
          <cell r="S1273" t="str">
            <v>INT IRL IEFRE</v>
          </cell>
          <cell r="T1273" t="str">
            <v>INT</v>
          </cell>
          <cell r="U1273" t="str">
            <v>IRL</v>
          </cell>
          <cell r="V1273" t="str">
            <v>IEFRE</v>
          </cell>
          <cell r="X1273">
            <v>1.72E-2</v>
          </cell>
          <cell r="Y1273">
            <v>0</v>
          </cell>
          <cell r="Z1273">
            <v>1.72E-2</v>
          </cell>
          <cell r="AA1273">
            <v>0</v>
          </cell>
          <cell r="AB1273">
            <v>1.72E-2</v>
          </cell>
          <cell r="AC1273">
            <v>0</v>
          </cell>
          <cell r="AD1273">
            <v>1.72E-2</v>
          </cell>
          <cell r="AE1273">
            <v>0</v>
          </cell>
          <cell r="AG1273" t="str">
            <v/>
          </cell>
          <cell r="AH1273" t="str">
            <v/>
          </cell>
          <cell r="AJ1273">
            <v>1.72E-2</v>
          </cell>
          <cell r="AK1273">
            <v>0</v>
          </cell>
          <cell r="AL1273">
            <v>1.72E-2</v>
          </cell>
          <cell r="AM1273">
            <v>0</v>
          </cell>
          <cell r="AN1273">
            <v>1.72E-2</v>
          </cell>
          <cell r="AO1273">
            <v>0</v>
          </cell>
          <cell r="AP1273">
            <v>1.72E-2</v>
          </cell>
          <cell r="AQ1273">
            <v>0</v>
          </cell>
          <cell r="AS1273" t="str">
            <v/>
          </cell>
          <cell r="AT1273" t="str">
            <v/>
          </cell>
          <cell r="AV1273" t="b">
            <v>0</v>
          </cell>
          <cell r="AW1273" t="str">
            <v>minute</v>
          </cell>
        </row>
        <row r="1274">
          <cell r="S1274" t="str">
            <v>INT IRL IEPC7</v>
          </cell>
          <cell r="T1274" t="str">
            <v>INT</v>
          </cell>
          <cell r="U1274" t="str">
            <v>IRL</v>
          </cell>
          <cell r="V1274" t="str">
            <v>IEPC7</v>
          </cell>
          <cell r="X1274">
            <v>3.6989000000000001</v>
          </cell>
          <cell r="Y1274">
            <v>0</v>
          </cell>
          <cell r="Z1274">
            <v>3.6989000000000001</v>
          </cell>
          <cell r="AA1274">
            <v>0</v>
          </cell>
          <cell r="AB1274">
            <v>3.6989000000000001</v>
          </cell>
          <cell r="AC1274">
            <v>0</v>
          </cell>
          <cell r="AD1274">
            <v>3.6989000000000001</v>
          </cell>
          <cell r="AE1274">
            <v>0</v>
          </cell>
          <cell r="AG1274" t="str">
            <v/>
          </cell>
          <cell r="AH1274" t="str">
            <v/>
          </cell>
          <cell r="AJ1274">
            <v>3.6989000000000001</v>
          </cell>
          <cell r="AK1274">
            <v>0</v>
          </cell>
          <cell r="AL1274">
            <v>3.6989000000000001</v>
          </cell>
          <cell r="AM1274">
            <v>0</v>
          </cell>
          <cell r="AN1274">
            <v>3.6989000000000001</v>
          </cell>
          <cell r="AO1274">
            <v>0</v>
          </cell>
          <cell r="AP1274">
            <v>3.6989000000000001</v>
          </cell>
          <cell r="AQ1274">
            <v>0</v>
          </cell>
          <cell r="AS1274" t="str">
            <v/>
          </cell>
          <cell r="AT1274" t="str">
            <v/>
          </cell>
          <cell r="AV1274" t="b">
            <v>0</v>
          </cell>
          <cell r="AW1274" t="str">
            <v>minute</v>
          </cell>
        </row>
        <row r="1275">
          <cell r="S1275" t="str">
            <v>INT IRL IESCM</v>
          </cell>
          <cell r="T1275" t="str">
            <v>INT</v>
          </cell>
          <cell r="U1275" t="str">
            <v>IRL</v>
          </cell>
          <cell r="V1275" t="str">
            <v>IESCM</v>
          </cell>
          <cell r="X1275">
            <v>8.9700000000000002E-2</v>
          </cell>
          <cell r="Y1275">
            <v>0</v>
          </cell>
          <cell r="Z1275">
            <v>8.9700000000000002E-2</v>
          </cell>
          <cell r="AA1275">
            <v>0</v>
          </cell>
          <cell r="AB1275">
            <v>8.9700000000000002E-2</v>
          </cell>
          <cell r="AC1275">
            <v>0</v>
          </cell>
          <cell r="AD1275">
            <v>8.9700000000000002E-2</v>
          </cell>
          <cell r="AE1275">
            <v>0</v>
          </cell>
          <cell r="AG1275" t="str">
            <v/>
          </cell>
          <cell r="AH1275" t="str">
            <v/>
          </cell>
          <cell r="AJ1275">
            <v>8.9700000000000002E-2</v>
          </cell>
          <cell r="AK1275">
            <v>0</v>
          </cell>
          <cell r="AL1275">
            <v>8.9700000000000002E-2</v>
          </cell>
          <cell r="AM1275">
            <v>0</v>
          </cell>
          <cell r="AN1275">
            <v>8.9700000000000002E-2</v>
          </cell>
          <cell r="AO1275">
            <v>0</v>
          </cell>
          <cell r="AP1275">
            <v>8.9700000000000002E-2</v>
          </cell>
          <cell r="AQ1275">
            <v>0</v>
          </cell>
          <cell r="AS1275" t="str">
            <v/>
          </cell>
          <cell r="AT1275" t="str">
            <v/>
          </cell>
          <cell r="AV1275" t="b">
            <v>0</v>
          </cell>
          <cell r="AW1275" t="str">
            <v>minute</v>
          </cell>
        </row>
        <row r="1276">
          <cell r="S1276" t="str">
            <v>INT ISR ISRMO</v>
          </cell>
          <cell r="T1276" t="str">
            <v>INT</v>
          </cell>
          <cell r="U1276" t="str">
            <v>ISR</v>
          </cell>
          <cell r="V1276" t="str">
            <v>ISRMO</v>
          </cell>
          <cell r="X1276">
            <v>0.28499999999999998</v>
          </cell>
          <cell r="Y1276">
            <v>0</v>
          </cell>
          <cell r="Z1276">
            <v>0.24779999999999999</v>
          </cell>
          <cell r="AA1276">
            <v>0</v>
          </cell>
          <cell r="AB1276">
            <v>0.2155</v>
          </cell>
          <cell r="AC1276">
            <v>0</v>
          </cell>
          <cell r="AD1276">
            <v>0.18740000000000001</v>
          </cell>
          <cell r="AE1276">
            <v>0</v>
          </cell>
          <cell r="AG1276" t="str">
            <v/>
          </cell>
          <cell r="AH1276" t="str">
            <v/>
          </cell>
          <cell r="AJ1276">
            <v>0.28499999999999998</v>
          </cell>
          <cell r="AK1276">
            <v>0</v>
          </cell>
          <cell r="AL1276">
            <v>0.24779999999999999</v>
          </cell>
          <cell r="AM1276">
            <v>0</v>
          </cell>
          <cell r="AN1276">
            <v>0.2155</v>
          </cell>
          <cell r="AO1276">
            <v>0</v>
          </cell>
          <cell r="AP1276">
            <v>0.18740000000000001</v>
          </cell>
          <cell r="AQ1276">
            <v>0</v>
          </cell>
          <cell r="AS1276" t="str">
            <v/>
          </cell>
          <cell r="AT1276" t="str">
            <v/>
          </cell>
          <cell r="AV1276" t="b">
            <v>1</v>
          </cell>
          <cell r="AW1276" t="str">
            <v>minute</v>
          </cell>
        </row>
        <row r="1277">
          <cell r="S1277" t="str">
            <v>INT ISR</v>
          </cell>
          <cell r="T1277" t="str">
            <v>INT</v>
          </cell>
          <cell r="U1277" t="str">
            <v>ISR</v>
          </cell>
          <cell r="V1277" t="str">
            <v/>
          </cell>
          <cell r="X1277">
            <v>2.52E-2</v>
          </cell>
          <cell r="Y1277">
            <v>0</v>
          </cell>
          <cell r="Z1277">
            <v>2.1899999999999999E-2</v>
          </cell>
          <cell r="AA1277">
            <v>0</v>
          </cell>
          <cell r="AB1277">
            <v>1.9E-2</v>
          </cell>
          <cell r="AC1277">
            <v>0</v>
          </cell>
          <cell r="AD1277">
            <v>1.6500000000000001E-2</v>
          </cell>
          <cell r="AE1277">
            <v>0</v>
          </cell>
          <cell r="AG1277" t="str">
            <v/>
          </cell>
          <cell r="AH1277" t="str">
            <v/>
          </cell>
          <cell r="AJ1277">
            <v>2.52E-2</v>
          </cell>
          <cell r="AK1277">
            <v>0</v>
          </cell>
          <cell r="AL1277">
            <v>2.1899999999999999E-2</v>
          </cell>
          <cell r="AM1277">
            <v>0</v>
          </cell>
          <cell r="AN1277">
            <v>1.9E-2</v>
          </cell>
          <cell r="AO1277">
            <v>0</v>
          </cell>
          <cell r="AP1277">
            <v>1.6500000000000001E-2</v>
          </cell>
          <cell r="AQ1277">
            <v>0</v>
          </cell>
          <cell r="AS1277" t="str">
            <v/>
          </cell>
          <cell r="AT1277" t="str">
            <v/>
          </cell>
          <cell r="AV1277" t="b">
            <v>1</v>
          </cell>
          <cell r="AW1277" t="str">
            <v>minute</v>
          </cell>
        </row>
        <row r="1278">
          <cell r="S1278" t="str">
            <v>INT ITA ZITA9</v>
          </cell>
          <cell r="T1278" t="str">
            <v>INT</v>
          </cell>
          <cell r="U1278" t="str">
            <v>ITA</v>
          </cell>
          <cell r="V1278" t="str">
            <v>ZITA9</v>
          </cell>
          <cell r="X1278">
            <v>4.02E-2</v>
          </cell>
          <cell r="Y1278">
            <v>0</v>
          </cell>
          <cell r="Z1278">
            <v>3.9199999999999999E-2</v>
          </cell>
          <cell r="AA1278">
            <v>0</v>
          </cell>
          <cell r="AB1278">
            <v>3.8199999999999998E-2</v>
          </cell>
          <cell r="AC1278">
            <v>0</v>
          </cell>
          <cell r="AD1278">
            <v>3.73E-2</v>
          </cell>
          <cell r="AE1278">
            <v>0</v>
          </cell>
          <cell r="AG1278" t="str">
            <v/>
          </cell>
          <cell r="AH1278" t="str">
            <v/>
          </cell>
          <cell r="AJ1278">
            <v>4.02E-2</v>
          </cell>
          <cell r="AK1278">
            <v>0</v>
          </cell>
          <cell r="AL1278">
            <v>3.9199999999999999E-2</v>
          </cell>
          <cell r="AM1278">
            <v>0</v>
          </cell>
          <cell r="AN1278">
            <v>3.8199999999999998E-2</v>
          </cell>
          <cell r="AO1278">
            <v>0</v>
          </cell>
          <cell r="AP1278">
            <v>3.73E-2</v>
          </cell>
          <cell r="AQ1278">
            <v>0</v>
          </cell>
          <cell r="AS1278" t="str">
            <v/>
          </cell>
          <cell r="AT1278" t="str">
            <v/>
          </cell>
          <cell r="AV1278" t="b">
            <v>1</v>
          </cell>
          <cell r="AW1278" t="str">
            <v>minute</v>
          </cell>
        </row>
        <row r="1279">
          <cell r="S1279" t="str">
            <v>INT ITA</v>
          </cell>
          <cell r="T1279" t="str">
            <v>INT</v>
          </cell>
          <cell r="U1279" t="str">
            <v>ITA</v>
          </cell>
          <cell r="V1279" t="str">
            <v/>
          </cell>
          <cell r="X1279">
            <v>1.84E-2</v>
          </cell>
          <cell r="Y1279">
            <v>0</v>
          </cell>
          <cell r="Z1279">
            <v>1.72E-2</v>
          </cell>
          <cell r="AA1279">
            <v>0</v>
          </cell>
          <cell r="AB1279">
            <v>1.61E-2</v>
          </cell>
          <cell r="AC1279">
            <v>0</v>
          </cell>
          <cell r="AD1279">
            <v>1.4999999999999999E-2</v>
          </cell>
          <cell r="AE1279">
            <v>0</v>
          </cell>
          <cell r="AG1279" t="str">
            <v/>
          </cell>
          <cell r="AH1279" t="str">
            <v/>
          </cell>
          <cell r="AJ1279">
            <v>1.84E-2</v>
          </cell>
          <cell r="AK1279">
            <v>0</v>
          </cell>
          <cell r="AL1279">
            <v>1.72E-2</v>
          </cell>
          <cell r="AM1279">
            <v>0</v>
          </cell>
          <cell r="AN1279">
            <v>1.61E-2</v>
          </cell>
          <cell r="AO1279">
            <v>0</v>
          </cell>
          <cell r="AP1279">
            <v>1.4999999999999999E-2</v>
          </cell>
          <cell r="AQ1279">
            <v>0</v>
          </cell>
          <cell r="AS1279" t="str">
            <v/>
          </cell>
          <cell r="AT1279" t="str">
            <v/>
          </cell>
          <cell r="AV1279" t="b">
            <v>1</v>
          </cell>
          <cell r="AW1279" t="str">
            <v>minute</v>
          </cell>
        </row>
        <row r="1280">
          <cell r="S1280" t="str">
            <v>INT ITA ITPRF</v>
          </cell>
          <cell r="T1280" t="str">
            <v>INT</v>
          </cell>
          <cell r="U1280" t="str">
            <v>ITA</v>
          </cell>
          <cell r="V1280" t="str">
            <v>ITPRF</v>
          </cell>
          <cell r="X1280">
            <v>13</v>
          </cell>
          <cell r="Y1280">
            <v>0</v>
          </cell>
          <cell r="Z1280">
            <v>13</v>
          </cell>
          <cell r="AA1280">
            <v>0</v>
          </cell>
          <cell r="AB1280">
            <v>13</v>
          </cell>
          <cell r="AC1280">
            <v>0</v>
          </cell>
          <cell r="AD1280">
            <v>13</v>
          </cell>
          <cell r="AE1280">
            <v>0</v>
          </cell>
          <cell r="AG1280" t="str">
            <v/>
          </cell>
          <cell r="AH1280" t="str">
            <v/>
          </cell>
          <cell r="AJ1280">
            <v>13</v>
          </cell>
          <cell r="AK1280">
            <v>0</v>
          </cell>
          <cell r="AL1280">
            <v>13</v>
          </cell>
          <cell r="AM1280">
            <v>0</v>
          </cell>
          <cell r="AN1280">
            <v>13</v>
          </cell>
          <cell r="AO1280">
            <v>0</v>
          </cell>
          <cell r="AP1280">
            <v>13</v>
          </cell>
          <cell r="AQ1280">
            <v>0</v>
          </cell>
          <cell r="AS1280" t="str">
            <v/>
          </cell>
          <cell r="AT1280" t="str">
            <v/>
          </cell>
          <cell r="AV1280" t="b">
            <v>0</v>
          </cell>
          <cell r="AW1280" t="str">
            <v>minute</v>
          </cell>
        </row>
        <row r="1281">
          <cell r="S1281" t="str">
            <v>INT ITA ITSB1</v>
          </cell>
          <cell r="T1281" t="str">
            <v>INT</v>
          </cell>
          <cell r="U1281" t="str">
            <v>ITA</v>
          </cell>
          <cell r="V1281" t="str">
            <v>ITSB1</v>
          </cell>
          <cell r="X1281">
            <v>0.13</v>
          </cell>
          <cell r="Y1281">
            <v>0</v>
          </cell>
          <cell r="Z1281">
            <v>0.13</v>
          </cell>
          <cell r="AA1281">
            <v>0</v>
          </cell>
          <cell r="AB1281">
            <v>0.13</v>
          </cell>
          <cell r="AC1281">
            <v>0</v>
          </cell>
          <cell r="AD1281">
            <v>0.13</v>
          </cell>
          <cell r="AE1281">
            <v>0</v>
          </cell>
          <cell r="AG1281" t="str">
            <v/>
          </cell>
          <cell r="AH1281" t="str">
            <v/>
          </cell>
          <cell r="AJ1281">
            <v>0.13</v>
          </cell>
          <cell r="AK1281">
            <v>0</v>
          </cell>
          <cell r="AL1281">
            <v>0.13</v>
          </cell>
          <cell r="AM1281">
            <v>0</v>
          </cell>
          <cell r="AN1281">
            <v>0.13</v>
          </cell>
          <cell r="AO1281">
            <v>0</v>
          </cell>
          <cell r="AP1281">
            <v>0.13</v>
          </cell>
          <cell r="AQ1281">
            <v>0</v>
          </cell>
          <cell r="AS1281" t="str">
            <v/>
          </cell>
          <cell r="AT1281" t="str">
            <v/>
          </cell>
          <cell r="AV1281" t="b">
            <v>0</v>
          </cell>
          <cell r="AW1281" t="str">
            <v>minute</v>
          </cell>
        </row>
        <row r="1282">
          <cell r="S1282" t="str">
            <v>INT ITA ITFRE</v>
          </cell>
          <cell r="T1282" t="str">
            <v>INT</v>
          </cell>
          <cell r="U1282" t="str">
            <v>ITA</v>
          </cell>
          <cell r="V1282" t="str">
            <v>ITFRE</v>
          </cell>
          <cell r="X1282">
            <v>1.95E-2</v>
          </cell>
          <cell r="Y1282">
            <v>0</v>
          </cell>
          <cell r="Z1282">
            <v>1.95E-2</v>
          </cell>
          <cell r="AA1282">
            <v>0</v>
          </cell>
          <cell r="AB1282">
            <v>1.95E-2</v>
          </cell>
          <cell r="AC1282">
            <v>0</v>
          </cell>
          <cell r="AD1282">
            <v>1.95E-2</v>
          </cell>
          <cell r="AE1282">
            <v>0</v>
          </cell>
          <cell r="AG1282" t="str">
            <v/>
          </cell>
          <cell r="AH1282" t="str">
            <v/>
          </cell>
          <cell r="AJ1282">
            <v>1.95E-2</v>
          </cell>
          <cell r="AK1282">
            <v>0</v>
          </cell>
          <cell r="AL1282">
            <v>1.95E-2</v>
          </cell>
          <cell r="AM1282">
            <v>0</v>
          </cell>
          <cell r="AN1282">
            <v>1.95E-2</v>
          </cell>
          <cell r="AO1282">
            <v>0</v>
          </cell>
          <cell r="AP1282">
            <v>1.95E-2</v>
          </cell>
          <cell r="AQ1282">
            <v>0</v>
          </cell>
          <cell r="AS1282" t="str">
            <v/>
          </cell>
          <cell r="AT1282" t="str">
            <v/>
          </cell>
          <cell r="AV1282" t="b">
            <v>0</v>
          </cell>
          <cell r="AW1282" t="str">
            <v>minute</v>
          </cell>
        </row>
        <row r="1283">
          <cell r="S1283" t="str">
            <v>INT JAM JAMMO</v>
          </cell>
          <cell r="T1283" t="str">
            <v>INT</v>
          </cell>
          <cell r="U1283" t="str">
            <v>JAM</v>
          </cell>
          <cell r="V1283" t="str">
            <v>JAMMO</v>
          </cell>
          <cell r="X1283">
            <v>0.36370000000000002</v>
          </cell>
          <cell r="Y1283">
            <v>0</v>
          </cell>
          <cell r="Z1283">
            <v>0.31630000000000003</v>
          </cell>
          <cell r="AA1283">
            <v>0</v>
          </cell>
          <cell r="AB1283">
            <v>0.27500000000000002</v>
          </cell>
          <cell r="AC1283">
            <v>0</v>
          </cell>
          <cell r="AD1283">
            <v>0.23910000000000001</v>
          </cell>
          <cell r="AE1283">
            <v>0</v>
          </cell>
          <cell r="AG1283" t="str">
            <v/>
          </cell>
          <cell r="AH1283" t="str">
            <v/>
          </cell>
          <cell r="AJ1283">
            <v>0.36370000000000002</v>
          </cell>
          <cell r="AK1283">
            <v>0</v>
          </cell>
          <cell r="AL1283">
            <v>0.31630000000000003</v>
          </cell>
          <cell r="AM1283">
            <v>0</v>
          </cell>
          <cell r="AN1283">
            <v>0.27500000000000002</v>
          </cell>
          <cell r="AO1283">
            <v>0</v>
          </cell>
          <cell r="AP1283">
            <v>0.23910000000000001</v>
          </cell>
          <cell r="AQ1283">
            <v>0</v>
          </cell>
          <cell r="AS1283" t="str">
            <v/>
          </cell>
          <cell r="AT1283" t="str">
            <v/>
          </cell>
          <cell r="AV1283" t="b">
            <v>1</v>
          </cell>
          <cell r="AW1283" t="str">
            <v>minute</v>
          </cell>
        </row>
        <row r="1284">
          <cell r="S1284" t="str">
            <v>INT JAM</v>
          </cell>
          <cell r="T1284" t="str">
            <v>INT</v>
          </cell>
          <cell r="U1284" t="str">
            <v>JAM</v>
          </cell>
          <cell r="V1284" t="str">
            <v/>
          </cell>
          <cell r="X1284">
            <v>0.17349999999999999</v>
          </cell>
          <cell r="Y1284">
            <v>0</v>
          </cell>
          <cell r="Z1284">
            <v>0.15090000000000001</v>
          </cell>
          <cell r="AA1284">
            <v>0</v>
          </cell>
          <cell r="AB1284">
            <v>0.13120000000000001</v>
          </cell>
          <cell r="AC1284">
            <v>0</v>
          </cell>
          <cell r="AD1284">
            <v>0.11409999999999999</v>
          </cell>
          <cell r="AE1284">
            <v>0</v>
          </cell>
          <cell r="AG1284" t="str">
            <v/>
          </cell>
          <cell r="AH1284" t="str">
            <v/>
          </cell>
          <cell r="AJ1284">
            <v>0.17349999999999999</v>
          </cell>
          <cell r="AK1284">
            <v>0</v>
          </cell>
          <cell r="AL1284">
            <v>0.15090000000000001</v>
          </cell>
          <cell r="AM1284">
            <v>0</v>
          </cell>
          <cell r="AN1284">
            <v>0.13120000000000001</v>
          </cell>
          <cell r="AO1284">
            <v>0</v>
          </cell>
          <cell r="AP1284">
            <v>0.11409999999999999</v>
          </cell>
          <cell r="AQ1284">
            <v>0</v>
          </cell>
          <cell r="AS1284" t="str">
            <v/>
          </cell>
          <cell r="AT1284" t="str">
            <v/>
          </cell>
          <cell r="AV1284" t="b">
            <v>1</v>
          </cell>
          <cell r="AW1284" t="str">
            <v>minute</v>
          </cell>
        </row>
        <row r="1285">
          <cell r="S1285" t="str">
            <v>INT JPN JPNMO</v>
          </cell>
          <cell r="T1285" t="str">
            <v>INT</v>
          </cell>
          <cell r="U1285" t="str">
            <v>JPN</v>
          </cell>
          <cell r="V1285" t="str">
            <v>JPNMO</v>
          </cell>
          <cell r="X1285">
            <v>0.20039999999999999</v>
          </cell>
          <cell r="Y1285">
            <v>0</v>
          </cell>
          <cell r="Z1285">
            <v>0.17430000000000001</v>
          </cell>
          <cell r="AA1285">
            <v>0</v>
          </cell>
          <cell r="AB1285">
            <v>0.15160000000000001</v>
          </cell>
          <cell r="AC1285">
            <v>0</v>
          </cell>
          <cell r="AD1285">
            <v>0.1318</v>
          </cell>
          <cell r="AE1285">
            <v>0</v>
          </cell>
          <cell r="AG1285" t="str">
            <v/>
          </cell>
          <cell r="AH1285" t="str">
            <v/>
          </cell>
          <cell r="AJ1285">
            <v>0.20039999999999999</v>
          </cell>
          <cell r="AK1285">
            <v>0</v>
          </cell>
          <cell r="AL1285">
            <v>0.17430000000000001</v>
          </cell>
          <cell r="AM1285">
            <v>0</v>
          </cell>
          <cell r="AN1285">
            <v>0.15160000000000001</v>
          </cell>
          <cell r="AO1285">
            <v>0</v>
          </cell>
          <cell r="AP1285">
            <v>0.1318</v>
          </cell>
          <cell r="AQ1285">
            <v>0</v>
          </cell>
          <cell r="AS1285" t="str">
            <v/>
          </cell>
          <cell r="AT1285" t="str">
            <v/>
          </cell>
          <cell r="AV1285" t="b">
            <v>1</v>
          </cell>
          <cell r="AW1285" t="str">
            <v>minute</v>
          </cell>
        </row>
        <row r="1286">
          <cell r="S1286" t="str">
            <v>INT JPN</v>
          </cell>
          <cell r="T1286" t="str">
            <v>INT</v>
          </cell>
          <cell r="U1286" t="str">
            <v>JPN</v>
          </cell>
          <cell r="V1286" t="str">
            <v/>
          </cell>
          <cell r="X1286">
            <v>5.7599999999999998E-2</v>
          </cell>
          <cell r="Y1286">
            <v>0</v>
          </cell>
          <cell r="Z1286">
            <v>5.0099999999999999E-2</v>
          </cell>
          <cell r="AA1286">
            <v>0</v>
          </cell>
          <cell r="AB1286">
            <v>4.36E-2</v>
          </cell>
          <cell r="AC1286">
            <v>0</v>
          </cell>
          <cell r="AD1286">
            <v>3.7900000000000003E-2</v>
          </cell>
          <cell r="AE1286">
            <v>0</v>
          </cell>
          <cell r="AG1286" t="str">
            <v/>
          </cell>
          <cell r="AH1286" t="str">
            <v/>
          </cell>
          <cell r="AJ1286">
            <v>5.7599999999999998E-2</v>
          </cell>
          <cell r="AK1286">
            <v>0</v>
          </cell>
          <cell r="AL1286">
            <v>5.0099999999999999E-2</v>
          </cell>
          <cell r="AM1286">
            <v>0</v>
          </cell>
          <cell r="AN1286">
            <v>4.36E-2</v>
          </cell>
          <cell r="AO1286">
            <v>0</v>
          </cell>
          <cell r="AP1286">
            <v>3.7900000000000003E-2</v>
          </cell>
          <cell r="AQ1286">
            <v>0</v>
          </cell>
          <cell r="AS1286" t="str">
            <v/>
          </cell>
          <cell r="AT1286" t="str">
            <v/>
          </cell>
          <cell r="AV1286" t="b">
            <v>1</v>
          </cell>
          <cell r="AW1286" t="str">
            <v>minute</v>
          </cell>
        </row>
        <row r="1287">
          <cell r="S1287" t="str">
            <v>INT JPN JPTFR</v>
          </cell>
          <cell r="T1287" t="str">
            <v>INT</v>
          </cell>
          <cell r="U1287" t="str">
            <v>JPN</v>
          </cell>
          <cell r="V1287" t="str">
            <v>JPTFR</v>
          </cell>
          <cell r="X1287">
            <v>4.7300000000000002E-2</v>
          </cell>
          <cell r="Y1287">
            <v>0</v>
          </cell>
          <cell r="Z1287">
            <v>4.7300000000000002E-2</v>
          </cell>
          <cell r="AA1287">
            <v>0</v>
          </cell>
          <cell r="AB1287">
            <v>4.7300000000000002E-2</v>
          </cell>
          <cell r="AC1287">
            <v>0</v>
          </cell>
          <cell r="AD1287">
            <v>4.7300000000000002E-2</v>
          </cell>
          <cell r="AE1287">
            <v>0</v>
          </cell>
          <cell r="AG1287" t="str">
            <v/>
          </cell>
          <cell r="AH1287" t="str">
            <v/>
          </cell>
          <cell r="AJ1287">
            <v>4.7300000000000002E-2</v>
          </cell>
          <cell r="AK1287">
            <v>0</v>
          </cell>
          <cell r="AL1287">
            <v>4.7300000000000002E-2</v>
          </cell>
          <cell r="AM1287">
            <v>0</v>
          </cell>
          <cell r="AN1287">
            <v>4.7300000000000002E-2</v>
          </cell>
          <cell r="AO1287">
            <v>0</v>
          </cell>
          <cell r="AP1287">
            <v>4.7300000000000002E-2</v>
          </cell>
          <cell r="AQ1287">
            <v>0</v>
          </cell>
          <cell r="AS1287" t="str">
            <v/>
          </cell>
          <cell r="AT1287" t="str">
            <v/>
          </cell>
          <cell r="AV1287" t="b">
            <v>0</v>
          </cell>
          <cell r="AW1287" t="str">
            <v>minute</v>
          </cell>
        </row>
        <row r="1288">
          <cell r="S1288" t="str">
            <v>INT JOR JORMO</v>
          </cell>
          <cell r="T1288" t="str">
            <v>INT</v>
          </cell>
          <cell r="U1288" t="str">
            <v>JOR</v>
          </cell>
          <cell r="V1288" t="str">
            <v>JORMO</v>
          </cell>
          <cell r="X1288">
            <v>0.1946</v>
          </cell>
          <cell r="Y1288">
            <v>0</v>
          </cell>
          <cell r="Z1288">
            <v>0.16919999999999999</v>
          </cell>
          <cell r="AA1288">
            <v>0</v>
          </cell>
          <cell r="AB1288">
            <v>0.14710000000000001</v>
          </cell>
          <cell r="AC1288">
            <v>0</v>
          </cell>
          <cell r="AD1288">
            <v>0.12790000000000001</v>
          </cell>
          <cell r="AE1288">
            <v>0</v>
          </cell>
          <cell r="AG1288" t="str">
            <v/>
          </cell>
          <cell r="AH1288" t="str">
            <v/>
          </cell>
          <cell r="AJ1288">
            <v>0.1946</v>
          </cell>
          <cell r="AK1288">
            <v>0</v>
          </cell>
          <cell r="AL1288">
            <v>0.16919999999999999</v>
          </cell>
          <cell r="AM1288">
            <v>0</v>
          </cell>
          <cell r="AN1288">
            <v>0.14710000000000001</v>
          </cell>
          <cell r="AO1288">
            <v>0</v>
          </cell>
          <cell r="AP1288">
            <v>0.12790000000000001</v>
          </cell>
          <cell r="AQ1288">
            <v>0</v>
          </cell>
          <cell r="AS1288" t="str">
            <v/>
          </cell>
          <cell r="AT1288" t="str">
            <v/>
          </cell>
          <cell r="AV1288" t="b">
            <v>1</v>
          </cell>
          <cell r="AW1288" t="str">
            <v>minute</v>
          </cell>
        </row>
        <row r="1289">
          <cell r="S1289" t="str">
            <v>INT JOR</v>
          </cell>
          <cell r="T1289" t="str">
            <v>INT</v>
          </cell>
          <cell r="U1289" t="str">
            <v>JOR</v>
          </cell>
          <cell r="V1289" t="str">
            <v/>
          </cell>
          <cell r="X1289">
            <v>0.15229999999999999</v>
          </cell>
          <cell r="Y1289">
            <v>0</v>
          </cell>
          <cell r="Z1289">
            <v>0.1323</v>
          </cell>
          <cell r="AA1289">
            <v>0</v>
          </cell>
          <cell r="AB1289">
            <v>0.11509999999999999</v>
          </cell>
          <cell r="AC1289">
            <v>0</v>
          </cell>
          <cell r="AD1289">
            <v>0.10009999999999999</v>
          </cell>
          <cell r="AE1289">
            <v>0</v>
          </cell>
          <cell r="AG1289" t="str">
            <v/>
          </cell>
          <cell r="AH1289" t="str">
            <v/>
          </cell>
          <cell r="AJ1289">
            <v>0.15229999999999999</v>
          </cell>
          <cell r="AK1289">
            <v>0</v>
          </cell>
          <cell r="AL1289">
            <v>0.1323</v>
          </cell>
          <cell r="AM1289">
            <v>0</v>
          </cell>
          <cell r="AN1289">
            <v>0.11509999999999999</v>
          </cell>
          <cell r="AO1289">
            <v>0</v>
          </cell>
          <cell r="AP1289">
            <v>0.10009999999999999</v>
          </cell>
          <cell r="AQ1289">
            <v>0</v>
          </cell>
          <cell r="AS1289" t="str">
            <v/>
          </cell>
          <cell r="AT1289" t="str">
            <v/>
          </cell>
          <cell r="AV1289" t="b">
            <v>1</v>
          </cell>
          <cell r="AW1289" t="str">
            <v>minute</v>
          </cell>
        </row>
        <row r="1290">
          <cell r="S1290" t="str">
            <v>INT KAZ</v>
          </cell>
          <cell r="T1290" t="str">
            <v>INT</v>
          </cell>
          <cell r="U1290" t="str">
            <v>KAZ</v>
          </cell>
          <cell r="V1290" t="str">
            <v/>
          </cell>
          <cell r="X1290">
            <v>0.14460000000000001</v>
          </cell>
          <cell r="Y1290">
            <v>0</v>
          </cell>
          <cell r="Z1290">
            <v>0.12570000000000001</v>
          </cell>
          <cell r="AA1290">
            <v>0</v>
          </cell>
          <cell r="AB1290">
            <v>0.10929999999999999</v>
          </cell>
          <cell r="AC1290">
            <v>0</v>
          </cell>
          <cell r="AD1290">
            <v>9.5000000000000001E-2</v>
          </cell>
          <cell r="AE1290">
            <v>0</v>
          </cell>
          <cell r="AG1290" t="str">
            <v/>
          </cell>
          <cell r="AH1290" t="str">
            <v/>
          </cell>
          <cell r="AJ1290">
            <v>0.14460000000000001</v>
          </cell>
          <cell r="AK1290">
            <v>0</v>
          </cell>
          <cell r="AL1290">
            <v>0.12570000000000001</v>
          </cell>
          <cell r="AM1290">
            <v>0</v>
          </cell>
          <cell r="AN1290">
            <v>0.10929999999999999</v>
          </cell>
          <cell r="AO1290">
            <v>0</v>
          </cell>
          <cell r="AP1290">
            <v>9.5000000000000001E-2</v>
          </cell>
          <cell r="AQ1290">
            <v>0</v>
          </cell>
          <cell r="AS1290" t="str">
            <v/>
          </cell>
          <cell r="AT1290" t="str">
            <v/>
          </cell>
          <cell r="AV1290" t="b">
            <v>1</v>
          </cell>
          <cell r="AW1290" t="str">
            <v>minute</v>
          </cell>
        </row>
        <row r="1291">
          <cell r="S1291" t="str">
            <v>INT KEN KENMO</v>
          </cell>
          <cell r="T1291" t="str">
            <v>INT</v>
          </cell>
          <cell r="U1291" t="str">
            <v>KEN</v>
          </cell>
          <cell r="V1291" t="str">
            <v>KENMO</v>
          </cell>
          <cell r="X1291">
            <v>0.16239999999999999</v>
          </cell>
          <cell r="Y1291">
            <v>0</v>
          </cell>
          <cell r="Z1291">
            <v>0.14119999999999999</v>
          </cell>
          <cell r="AA1291">
            <v>0</v>
          </cell>
          <cell r="AB1291">
            <v>0.12280000000000001</v>
          </cell>
          <cell r="AC1291">
            <v>0</v>
          </cell>
          <cell r="AD1291">
            <v>0.10680000000000001</v>
          </cell>
          <cell r="AE1291">
            <v>0</v>
          </cell>
          <cell r="AG1291" t="str">
            <v/>
          </cell>
          <cell r="AH1291" t="str">
            <v/>
          </cell>
          <cell r="AJ1291">
            <v>0.16239999999999999</v>
          </cell>
          <cell r="AK1291">
            <v>0</v>
          </cell>
          <cell r="AL1291">
            <v>0.14119999999999999</v>
          </cell>
          <cell r="AM1291">
            <v>0</v>
          </cell>
          <cell r="AN1291">
            <v>0.12280000000000001</v>
          </cell>
          <cell r="AO1291">
            <v>0</v>
          </cell>
          <cell r="AP1291">
            <v>0.10680000000000001</v>
          </cell>
          <cell r="AQ1291">
            <v>0</v>
          </cell>
          <cell r="AS1291" t="str">
            <v/>
          </cell>
          <cell r="AT1291" t="str">
            <v/>
          </cell>
          <cell r="AV1291" t="b">
            <v>1</v>
          </cell>
          <cell r="AW1291" t="str">
            <v>minute</v>
          </cell>
        </row>
        <row r="1292">
          <cell r="S1292" t="str">
            <v>INT KEN</v>
          </cell>
          <cell r="T1292" t="str">
            <v>INT</v>
          </cell>
          <cell r="U1292" t="str">
            <v>KEN</v>
          </cell>
          <cell r="V1292" t="str">
            <v/>
          </cell>
          <cell r="X1292">
            <v>0.1258</v>
          </cell>
          <cell r="Y1292">
            <v>0</v>
          </cell>
          <cell r="Z1292">
            <v>0.1094</v>
          </cell>
          <cell r="AA1292">
            <v>0</v>
          </cell>
          <cell r="AB1292">
            <v>9.5100000000000004E-2</v>
          </cell>
          <cell r="AC1292">
            <v>0</v>
          </cell>
          <cell r="AD1292">
            <v>8.2699999999999996E-2</v>
          </cell>
          <cell r="AE1292">
            <v>0</v>
          </cell>
          <cell r="AG1292" t="str">
            <v/>
          </cell>
          <cell r="AH1292" t="str">
            <v/>
          </cell>
          <cell r="AJ1292">
            <v>0.1258</v>
          </cell>
          <cell r="AK1292">
            <v>0</v>
          </cell>
          <cell r="AL1292">
            <v>0.1094</v>
          </cell>
          <cell r="AM1292">
            <v>0</v>
          </cell>
          <cell r="AN1292">
            <v>9.5100000000000004E-2</v>
          </cell>
          <cell r="AO1292">
            <v>0</v>
          </cell>
          <cell r="AP1292">
            <v>8.2699999999999996E-2</v>
          </cell>
          <cell r="AQ1292">
            <v>0</v>
          </cell>
          <cell r="AS1292" t="str">
            <v/>
          </cell>
          <cell r="AT1292" t="str">
            <v/>
          </cell>
          <cell r="AV1292" t="b">
            <v>1</v>
          </cell>
          <cell r="AW1292" t="str">
            <v>minute</v>
          </cell>
        </row>
        <row r="1293">
          <cell r="S1293" t="str">
            <v>INT KIR</v>
          </cell>
          <cell r="T1293" t="str">
            <v>INT</v>
          </cell>
          <cell r="U1293" t="str">
            <v>KIR</v>
          </cell>
          <cell r="V1293" t="str">
            <v/>
          </cell>
          <cell r="X1293">
            <v>0.80740000000000001</v>
          </cell>
          <cell r="Y1293">
            <v>0</v>
          </cell>
          <cell r="Z1293">
            <v>0.70209999999999995</v>
          </cell>
          <cell r="AA1293">
            <v>0</v>
          </cell>
          <cell r="AB1293">
            <v>0.61050000000000004</v>
          </cell>
          <cell r="AC1293">
            <v>0</v>
          </cell>
          <cell r="AD1293">
            <v>0.53090000000000004</v>
          </cell>
          <cell r="AE1293">
            <v>0</v>
          </cell>
          <cell r="AG1293" t="str">
            <v/>
          </cell>
          <cell r="AH1293" t="str">
            <v/>
          </cell>
          <cell r="AJ1293">
            <v>0.80740000000000001</v>
          </cell>
          <cell r="AK1293">
            <v>0</v>
          </cell>
          <cell r="AL1293">
            <v>0.70209999999999995</v>
          </cell>
          <cell r="AM1293">
            <v>0</v>
          </cell>
          <cell r="AN1293">
            <v>0.61050000000000004</v>
          </cell>
          <cell r="AO1293">
            <v>0</v>
          </cell>
          <cell r="AP1293">
            <v>0.53090000000000004</v>
          </cell>
          <cell r="AQ1293">
            <v>0</v>
          </cell>
          <cell r="AS1293" t="str">
            <v/>
          </cell>
          <cell r="AT1293" t="str">
            <v/>
          </cell>
          <cell r="AV1293" t="b">
            <v>1</v>
          </cell>
          <cell r="AW1293" t="str">
            <v>minute</v>
          </cell>
        </row>
        <row r="1294">
          <cell r="S1294" t="str">
            <v>INT PRK</v>
          </cell>
          <cell r="T1294" t="str">
            <v>INT</v>
          </cell>
          <cell r="U1294" t="str">
            <v>PRK</v>
          </cell>
          <cell r="V1294" t="str">
            <v/>
          </cell>
          <cell r="X1294">
            <v>0.83879999999999999</v>
          </cell>
          <cell r="Y1294">
            <v>0</v>
          </cell>
          <cell r="Z1294">
            <v>0.72940000000000005</v>
          </cell>
          <cell r="AA1294">
            <v>0</v>
          </cell>
          <cell r="AB1294">
            <v>0.63429999999999997</v>
          </cell>
          <cell r="AC1294">
            <v>0</v>
          </cell>
          <cell r="AD1294">
            <v>0.55159999999999998</v>
          </cell>
          <cell r="AE1294">
            <v>0</v>
          </cell>
          <cell r="AG1294" t="str">
            <v/>
          </cell>
          <cell r="AH1294" t="str">
            <v/>
          </cell>
          <cell r="AJ1294">
            <v>0.83879999999999999</v>
          </cell>
          <cell r="AK1294">
            <v>0</v>
          </cell>
          <cell r="AL1294">
            <v>0.72940000000000005</v>
          </cell>
          <cell r="AM1294">
            <v>0</v>
          </cell>
          <cell r="AN1294">
            <v>0.63429999999999997</v>
          </cell>
          <cell r="AO1294">
            <v>0</v>
          </cell>
          <cell r="AP1294">
            <v>0.55159999999999998</v>
          </cell>
          <cell r="AQ1294">
            <v>0</v>
          </cell>
          <cell r="AS1294" t="str">
            <v/>
          </cell>
          <cell r="AT1294" t="str">
            <v/>
          </cell>
          <cell r="AV1294" t="b">
            <v>1</v>
          </cell>
          <cell r="AW1294" t="str">
            <v>minute</v>
          </cell>
        </row>
        <row r="1295">
          <cell r="S1295" t="str">
            <v>INT KOR KORMO</v>
          </cell>
          <cell r="T1295" t="str">
            <v>INT</v>
          </cell>
          <cell r="U1295" t="str">
            <v>KOR</v>
          </cell>
          <cell r="V1295" t="str">
            <v>KORMO</v>
          </cell>
          <cell r="X1295">
            <v>5.1400000000000001E-2</v>
          </cell>
          <cell r="Y1295">
            <v>0</v>
          </cell>
          <cell r="Z1295">
            <v>4.6199999999999998E-2</v>
          </cell>
          <cell r="AA1295">
            <v>0</v>
          </cell>
          <cell r="AB1295">
            <v>4.3700000000000003E-2</v>
          </cell>
          <cell r="AC1295">
            <v>0</v>
          </cell>
          <cell r="AD1295">
            <v>4.1099999999999998E-2</v>
          </cell>
          <cell r="AE1295">
            <v>0</v>
          </cell>
          <cell r="AG1295" t="str">
            <v/>
          </cell>
          <cell r="AH1295" t="str">
            <v/>
          </cell>
          <cell r="AJ1295">
            <v>5.1400000000000001E-2</v>
          </cell>
          <cell r="AK1295">
            <v>0</v>
          </cell>
          <cell r="AL1295">
            <v>4.6199999999999998E-2</v>
          </cell>
          <cell r="AM1295">
            <v>0</v>
          </cell>
          <cell r="AN1295">
            <v>4.3700000000000003E-2</v>
          </cell>
          <cell r="AO1295">
            <v>0</v>
          </cell>
          <cell r="AP1295">
            <v>4.1099999999999998E-2</v>
          </cell>
          <cell r="AQ1295">
            <v>0</v>
          </cell>
          <cell r="AS1295" t="str">
            <v/>
          </cell>
          <cell r="AT1295" t="str">
            <v/>
          </cell>
          <cell r="AV1295" t="b">
            <v>1</v>
          </cell>
          <cell r="AW1295" t="str">
            <v>minute</v>
          </cell>
        </row>
        <row r="1296">
          <cell r="S1296" t="str">
            <v>INT KOR</v>
          </cell>
          <cell r="T1296" t="str">
            <v>INT</v>
          </cell>
          <cell r="U1296" t="str">
            <v>KOR</v>
          </cell>
          <cell r="V1296" t="str">
            <v/>
          </cell>
          <cell r="X1296">
            <v>3.4799999999999998E-2</v>
          </cell>
          <cell r="Y1296">
            <v>0</v>
          </cell>
          <cell r="Z1296">
            <v>3.1300000000000001E-2</v>
          </cell>
          <cell r="AA1296">
            <v>0</v>
          </cell>
          <cell r="AB1296">
            <v>2.9600000000000001E-2</v>
          </cell>
          <cell r="AC1296">
            <v>0</v>
          </cell>
          <cell r="AD1296">
            <v>2.7799999999999998E-2</v>
          </cell>
          <cell r="AE1296">
            <v>0</v>
          </cell>
          <cell r="AG1296" t="str">
            <v/>
          </cell>
          <cell r="AH1296" t="str">
            <v/>
          </cell>
          <cell r="AJ1296">
            <v>3.4799999999999998E-2</v>
          </cell>
          <cell r="AK1296">
            <v>0</v>
          </cell>
          <cell r="AL1296">
            <v>3.1300000000000001E-2</v>
          </cell>
          <cell r="AM1296">
            <v>0</v>
          </cell>
          <cell r="AN1296">
            <v>2.9600000000000001E-2</v>
          </cell>
          <cell r="AO1296">
            <v>0</v>
          </cell>
          <cell r="AP1296">
            <v>2.7799999999999998E-2</v>
          </cell>
          <cell r="AQ1296">
            <v>0</v>
          </cell>
          <cell r="AS1296" t="str">
            <v/>
          </cell>
          <cell r="AT1296" t="str">
            <v/>
          </cell>
          <cell r="AV1296" t="b">
            <v>1</v>
          </cell>
          <cell r="AW1296" t="str">
            <v>minute</v>
          </cell>
        </row>
        <row r="1297">
          <cell r="S1297" t="str">
            <v>INT KWT KWTMO</v>
          </cell>
          <cell r="T1297" t="str">
            <v>INT</v>
          </cell>
          <cell r="U1297" t="str">
            <v>KWT</v>
          </cell>
          <cell r="V1297" t="str">
            <v>KWTMO</v>
          </cell>
          <cell r="X1297">
            <v>0.15939999999999999</v>
          </cell>
          <cell r="Y1297">
            <v>0</v>
          </cell>
          <cell r="Z1297">
            <v>0.1386</v>
          </cell>
          <cell r="AA1297">
            <v>0</v>
          </cell>
          <cell r="AB1297">
            <v>0.1205</v>
          </cell>
          <cell r="AC1297">
            <v>0</v>
          </cell>
          <cell r="AD1297">
            <v>0.1048</v>
          </cell>
          <cell r="AE1297">
            <v>0</v>
          </cell>
          <cell r="AG1297" t="str">
            <v/>
          </cell>
          <cell r="AH1297" t="str">
            <v/>
          </cell>
          <cell r="AJ1297">
            <v>0.15939999999999999</v>
          </cell>
          <cell r="AK1297">
            <v>0</v>
          </cell>
          <cell r="AL1297">
            <v>0.1386</v>
          </cell>
          <cell r="AM1297">
            <v>0</v>
          </cell>
          <cell r="AN1297">
            <v>0.1205</v>
          </cell>
          <cell r="AO1297">
            <v>0</v>
          </cell>
          <cell r="AP1297">
            <v>0.1048</v>
          </cell>
          <cell r="AQ1297">
            <v>0</v>
          </cell>
          <cell r="AS1297" t="str">
            <v/>
          </cell>
          <cell r="AT1297" t="str">
            <v/>
          </cell>
          <cell r="AV1297" t="b">
            <v>1</v>
          </cell>
          <cell r="AW1297" t="str">
            <v>minute</v>
          </cell>
        </row>
        <row r="1298">
          <cell r="S1298" t="str">
            <v>INT KWT</v>
          </cell>
          <cell r="T1298" t="str">
            <v>INT</v>
          </cell>
          <cell r="U1298" t="str">
            <v>KWT</v>
          </cell>
          <cell r="V1298" t="str">
            <v/>
          </cell>
          <cell r="X1298">
            <v>0.159</v>
          </cell>
          <cell r="Y1298">
            <v>0</v>
          </cell>
          <cell r="Z1298">
            <v>0.13830000000000001</v>
          </cell>
          <cell r="AA1298">
            <v>0</v>
          </cell>
          <cell r="AB1298">
            <v>0.1203</v>
          </cell>
          <cell r="AC1298">
            <v>0</v>
          </cell>
          <cell r="AD1298">
            <v>0.1046</v>
          </cell>
          <cell r="AE1298">
            <v>0</v>
          </cell>
          <cell r="AG1298" t="str">
            <v/>
          </cell>
          <cell r="AH1298" t="str">
            <v/>
          </cell>
          <cell r="AJ1298">
            <v>0.159</v>
          </cell>
          <cell r="AK1298">
            <v>0</v>
          </cell>
          <cell r="AL1298">
            <v>0.13830000000000001</v>
          </cell>
          <cell r="AM1298">
            <v>0</v>
          </cell>
          <cell r="AN1298">
            <v>0.1203</v>
          </cell>
          <cell r="AO1298">
            <v>0</v>
          </cell>
          <cell r="AP1298">
            <v>0.1046</v>
          </cell>
          <cell r="AQ1298">
            <v>0</v>
          </cell>
          <cell r="AS1298" t="str">
            <v/>
          </cell>
          <cell r="AT1298" t="str">
            <v/>
          </cell>
          <cell r="AV1298" t="b">
            <v>1</v>
          </cell>
          <cell r="AW1298" t="str">
            <v>minute</v>
          </cell>
        </row>
        <row r="1299">
          <cell r="S1299" t="str">
            <v>INT KGZ</v>
          </cell>
          <cell r="T1299" t="str">
            <v>INT</v>
          </cell>
          <cell r="U1299" t="str">
            <v>KGZ</v>
          </cell>
          <cell r="V1299" t="str">
            <v/>
          </cell>
          <cell r="X1299">
            <v>0.23580000000000001</v>
          </cell>
          <cell r="Y1299">
            <v>0</v>
          </cell>
          <cell r="Z1299">
            <v>0.20499999999999999</v>
          </cell>
          <cell r="AA1299">
            <v>0</v>
          </cell>
          <cell r="AB1299">
            <v>0.17829999999999999</v>
          </cell>
          <cell r="AC1299">
            <v>0</v>
          </cell>
          <cell r="AD1299">
            <v>0.155</v>
          </cell>
          <cell r="AE1299">
            <v>0</v>
          </cell>
          <cell r="AG1299" t="str">
            <v/>
          </cell>
          <cell r="AH1299" t="str">
            <v/>
          </cell>
          <cell r="AJ1299">
            <v>0.23580000000000001</v>
          </cell>
          <cell r="AK1299">
            <v>0</v>
          </cell>
          <cell r="AL1299">
            <v>0.20499999999999999</v>
          </cell>
          <cell r="AM1299">
            <v>0</v>
          </cell>
          <cell r="AN1299">
            <v>0.17829999999999999</v>
          </cell>
          <cell r="AO1299">
            <v>0</v>
          </cell>
          <cell r="AP1299">
            <v>0.155</v>
          </cell>
          <cell r="AQ1299">
            <v>0</v>
          </cell>
          <cell r="AS1299" t="str">
            <v/>
          </cell>
          <cell r="AT1299" t="str">
            <v/>
          </cell>
          <cell r="AV1299" t="b">
            <v>1</v>
          </cell>
          <cell r="AW1299" t="str">
            <v>minute</v>
          </cell>
        </row>
        <row r="1300">
          <cell r="S1300" t="str">
            <v>INT LAO</v>
          </cell>
          <cell r="T1300" t="str">
            <v>INT</v>
          </cell>
          <cell r="U1300" t="str">
            <v>LAO</v>
          </cell>
          <cell r="V1300" t="str">
            <v/>
          </cell>
          <cell r="X1300">
            <v>0.1042</v>
          </cell>
          <cell r="Y1300">
            <v>0</v>
          </cell>
          <cell r="Z1300">
            <v>9.06E-2</v>
          </cell>
          <cell r="AA1300">
            <v>0</v>
          </cell>
          <cell r="AB1300">
            <v>7.8799999999999995E-2</v>
          </cell>
          <cell r="AC1300">
            <v>0</v>
          </cell>
          <cell r="AD1300">
            <v>6.8500000000000005E-2</v>
          </cell>
          <cell r="AE1300">
            <v>0</v>
          </cell>
          <cell r="AG1300" t="str">
            <v/>
          </cell>
          <cell r="AH1300" t="str">
            <v/>
          </cell>
          <cell r="AJ1300">
            <v>0.1042</v>
          </cell>
          <cell r="AK1300">
            <v>0</v>
          </cell>
          <cell r="AL1300">
            <v>9.06E-2</v>
          </cell>
          <cell r="AM1300">
            <v>0</v>
          </cell>
          <cell r="AN1300">
            <v>7.8799999999999995E-2</v>
          </cell>
          <cell r="AO1300">
            <v>0</v>
          </cell>
          <cell r="AP1300">
            <v>6.8500000000000005E-2</v>
          </cell>
          <cell r="AQ1300">
            <v>0</v>
          </cell>
          <cell r="AS1300" t="str">
            <v/>
          </cell>
          <cell r="AT1300" t="str">
            <v/>
          </cell>
          <cell r="AV1300" t="b">
            <v>1</v>
          </cell>
          <cell r="AW1300" t="str">
            <v>minute</v>
          </cell>
        </row>
        <row r="1301">
          <cell r="S1301" t="str">
            <v>INT LVA LVAMO</v>
          </cell>
          <cell r="T1301" t="str">
            <v>INT</v>
          </cell>
          <cell r="U1301" t="str">
            <v>LVA</v>
          </cell>
          <cell r="V1301" t="str">
            <v>LVAMO</v>
          </cell>
          <cell r="X1301">
            <v>0.1048</v>
          </cell>
          <cell r="Y1301">
            <v>0</v>
          </cell>
          <cell r="Z1301">
            <v>9.4299999999999995E-2</v>
          </cell>
          <cell r="AA1301">
            <v>0</v>
          </cell>
          <cell r="AB1301">
            <v>8.9099999999999999E-2</v>
          </cell>
          <cell r="AC1301">
            <v>0</v>
          </cell>
          <cell r="AD1301">
            <v>8.3799999999999999E-2</v>
          </cell>
          <cell r="AE1301">
            <v>0</v>
          </cell>
          <cell r="AG1301" t="str">
            <v/>
          </cell>
          <cell r="AH1301" t="str">
            <v/>
          </cell>
          <cell r="AJ1301">
            <v>0.1048</v>
          </cell>
          <cell r="AK1301">
            <v>0</v>
          </cell>
          <cell r="AL1301">
            <v>9.4299999999999995E-2</v>
          </cell>
          <cell r="AM1301">
            <v>0</v>
          </cell>
          <cell r="AN1301">
            <v>8.9099999999999999E-2</v>
          </cell>
          <cell r="AO1301">
            <v>0</v>
          </cell>
          <cell r="AP1301">
            <v>8.3799999999999999E-2</v>
          </cell>
          <cell r="AQ1301">
            <v>0</v>
          </cell>
          <cell r="AS1301" t="str">
            <v/>
          </cell>
          <cell r="AT1301" t="str">
            <v/>
          </cell>
          <cell r="AV1301" t="b">
            <v>1</v>
          </cell>
          <cell r="AW1301" t="str">
            <v>minute</v>
          </cell>
        </row>
        <row r="1302">
          <cell r="S1302" t="str">
            <v>INT LVA</v>
          </cell>
          <cell r="T1302" t="str">
            <v>INT</v>
          </cell>
          <cell r="U1302" t="str">
            <v>LVA</v>
          </cell>
          <cell r="V1302" t="str">
            <v/>
          </cell>
          <cell r="X1302">
            <v>0.1048</v>
          </cell>
          <cell r="Y1302">
            <v>0</v>
          </cell>
          <cell r="Z1302">
            <v>9.4299999999999995E-2</v>
          </cell>
          <cell r="AA1302">
            <v>0</v>
          </cell>
          <cell r="AB1302">
            <v>8.9099999999999999E-2</v>
          </cell>
          <cell r="AC1302">
            <v>0</v>
          </cell>
          <cell r="AD1302">
            <v>8.3799999999999999E-2</v>
          </cell>
          <cell r="AE1302">
            <v>0</v>
          </cell>
          <cell r="AG1302" t="str">
            <v/>
          </cell>
          <cell r="AH1302" t="str">
            <v/>
          </cell>
          <cell r="AJ1302">
            <v>0.1048</v>
          </cell>
          <cell r="AK1302">
            <v>0</v>
          </cell>
          <cell r="AL1302">
            <v>9.4299999999999995E-2</v>
          </cell>
          <cell r="AM1302">
            <v>0</v>
          </cell>
          <cell r="AN1302">
            <v>8.9099999999999999E-2</v>
          </cell>
          <cell r="AO1302">
            <v>0</v>
          </cell>
          <cell r="AP1302">
            <v>8.3799999999999999E-2</v>
          </cell>
          <cell r="AQ1302">
            <v>0</v>
          </cell>
          <cell r="AS1302" t="str">
            <v/>
          </cell>
          <cell r="AT1302" t="str">
            <v/>
          </cell>
          <cell r="AV1302" t="b">
            <v>1</v>
          </cell>
          <cell r="AW1302" t="str">
            <v>minute</v>
          </cell>
        </row>
        <row r="1303">
          <cell r="S1303" t="str">
            <v>INT LBN LBNMO</v>
          </cell>
          <cell r="T1303" t="str">
            <v>INT</v>
          </cell>
          <cell r="U1303" t="str">
            <v>LBN</v>
          </cell>
          <cell r="V1303" t="str">
            <v>LBNMO</v>
          </cell>
          <cell r="X1303">
            <v>0.26450000000000001</v>
          </cell>
          <cell r="Y1303">
            <v>0</v>
          </cell>
          <cell r="Z1303">
            <v>0.23</v>
          </cell>
          <cell r="AA1303">
            <v>0</v>
          </cell>
          <cell r="AB1303">
            <v>0.2</v>
          </cell>
          <cell r="AC1303">
            <v>0</v>
          </cell>
          <cell r="AD1303">
            <v>0.1739</v>
          </cell>
          <cell r="AE1303">
            <v>0</v>
          </cell>
          <cell r="AG1303" t="str">
            <v/>
          </cell>
          <cell r="AH1303" t="str">
            <v/>
          </cell>
          <cell r="AJ1303">
            <v>0.26450000000000001</v>
          </cell>
          <cell r="AK1303">
            <v>0</v>
          </cell>
          <cell r="AL1303">
            <v>0.23</v>
          </cell>
          <cell r="AM1303">
            <v>0</v>
          </cell>
          <cell r="AN1303">
            <v>0.2</v>
          </cell>
          <cell r="AO1303">
            <v>0</v>
          </cell>
          <cell r="AP1303">
            <v>0.1739</v>
          </cell>
          <cell r="AQ1303">
            <v>0</v>
          </cell>
          <cell r="AS1303" t="str">
            <v/>
          </cell>
          <cell r="AT1303" t="str">
            <v/>
          </cell>
          <cell r="AV1303" t="b">
            <v>1</v>
          </cell>
          <cell r="AW1303" t="str">
            <v>minute</v>
          </cell>
        </row>
        <row r="1304">
          <cell r="S1304" t="str">
            <v>INT LBN</v>
          </cell>
          <cell r="T1304" t="str">
            <v>INT</v>
          </cell>
          <cell r="U1304" t="str">
            <v>LBN</v>
          </cell>
          <cell r="V1304" t="str">
            <v/>
          </cell>
          <cell r="X1304">
            <v>0.13980000000000001</v>
          </cell>
          <cell r="Y1304">
            <v>0</v>
          </cell>
          <cell r="Z1304">
            <v>0.1216</v>
          </cell>
          <cell r="AA1304">
            <v>0</v>
          </cell>
          <cell r="AB1304">
            <v>0.1057</v>
          </cell>
          <cell r="AC1304">
            <v>0</v>
          </cell>
          <cell r="AD1304">
            <v>9.1899999999999996E-2</v>
          </cell>
          <cell r="AE1304">
            <v>0</v>
          </cell>
          <cell r="AG1304" t="str">
            <v/>
          </cell>
          <cell r="AH1304" t="str">
            <v/>
          </cell>
          <cell r="AJ1304">
            <v>0.13980000000000001</v>
          </cell>
          <cell r="AK1304">
            <v>0</v>
          </cell>
          <cell r="AL1304">
            <v>0.1216</v>
          </cell>
          <cell r="AM1304">
            <v>0</v>
          </cell>
          <cell r="AN1304">
            <v>0.1057</v>
          </cell>
          <cell r="AO1304">
            <v>0</v>
          </cell>
          <cell r="AP1304">
            <v>9.1899999999999996E-2</v>
          </cell>
          <cell r="AQ1304">
            <v>0</v>
          </cell>
          <cell r="AS1304" t="str">
            <v/>
          </cell>
          <cell r="AT1304" t="str">
            <v/>
          </cell>
          <cell r="AV1304" t="b">
            <v>1</v>
          </cell>
          <cell r="AW1304" t="str">
            <v>minute</v>
          </cell>
        </row>
        <row r="1305">
          <cell r="S1305" t="str">
            <v>INT LSO</v>
          </cell>
          <cell r="T1305" t="str">
            <v>INT</v>
          </cell>
          <cell r="U1305" t="str">
            <v>LSO</v>
          </cell>
          <cell r="V1305" t="str">
            <v/>
          </cell>
          <cell r="X1305">
            <v>0.3357</v>
          </cell>
          <cell r="Y1305">
            <v>0</v>
          </cell>
          <cell r="Z1305">
            <v>0.29189999999999999</v>
          </cell>
          <cell r="AA1305">
            <v>0</v>
          </cell>
          <cell r="AB1305">
            <v>0.25380000000000003</v>
          </cell>
          <cell r="AC1305">
            <v>0</v>
          </cell>
          <cell r="AD1305">
            <v>0.22070000000000001</v>
          </cell>
          <cell r="AE1305">
            <v>0</v>
          </cell>
          <cell r="AG1305" t="str">
            <v/>
          </cell>
          <cell r="AH1305" t="str">
            <v/>
          </cell>
          <cell r="AJ1305">
            <v>0.3357</v>
          </cell>
          <cell r="AK1305">
            <v>0</v>
          </cell>
          <cell r="AL1305">
            <v>0.29189999999999999</v>
          </cell>
          <cell r="AM1305">
            <v>0</v>
          </cell>
          <cell r="AN1305">
            <v>0.25380000000000003</v>
          </cell>
          <cell r="AO1305">
            <v>0</v>
          </cell>
          <cell r="AP1305">
            <v>0.22070000000000001</v>
          </cell>
          <cell r="AQ1305">
            <v>0</v>
          </cell>
          <cell r="AS1305" t="str">
            <v/>
          </cell>
          <cell r="AT1305" t="str">
            <v/>
          </cell>
          <cell r="AV1305" t="b">
            <v>1</v>
          </cell>
          <cell r="AW1305" t="str">
            <v>minute</v>
          </cell>
        </row>
        <row r="1306">
          <cell r="S1306" t="str">
            <v>INT LBR</v>
          </cell>
          <cell r="T1306" t="str">
            <v>INT</v>
          </cell>
          <cell r="U1306" t="str">
            <v>LBR</v>
          </cell>
          <cell r="V1306" t="str">
            <v/>
          </cell>
          <cell r="X1306">
            <v>0.57569999999999999</v>
          </cell>
          <cell r="Y1306">
            <v>0</v>
          </cell>
          <cell r="Z1306">
            <v>0.50060000000000004</v>
          </cell>
          <cell r="AA1306">
            <v>0</v>
          </cell>
          <cell r="AB1306">
            <v>0.43530000000000002</v>
          </cell>
          <cell r="AC1306">
            <v>0</v>
          </cell>
          <cell r="AD1306">
            <v>0.3785</v>
          </cell>
          <cell r="AE1306">
            <v>0</v>
          </cell>
          <cell r="AG1306" t="str">
            <v/>
          </cell>
          <cell r="AH1306" t="str">
            <v/>
          </cell>
          <cell r="AJ1306">
            <v>0.57569999999999999</v>
          </cell>
          <cell r="AK1306">
            <v>0</v>
          </cell>
          <cell r="AL1306">
            <v>0.50060000000000004</v>
          </cell>
          <cell r="AM1306">
            <v>0</v>
          </cell>
          <cell r="AN1306">
            <v>0.43530000000000002</v>
          </cell>
          <cell r="AO1306">
            <v>0</v>
          </cell>
          <cell r="AP1306">
            <v>0.3785</v>
          </cell>
          <cell r="AQ1306">
            <v>0</v>
          </cell>
          <cell r="AS1306" t="str">
            <v/>
          </cell>
          <cell r="AT1306" t="str">
            <v/>
          </cell>
          <cell r="AV1306" t="b">
            <v>1</v>
          </cell>
          <cell r="AW1306" t="str">
            <v>minute</v>
          </cell>
        </row>
        <row r="1307">
          <cell r="S1307" t="str">
            <v>INT LBY LBYMO</v>
          </cell>
          <cell r="T1307" t="str">
            <v>INT</v>
          </cell>
          <cell r="U1307" t="str">
            <v>LBY</v>
          </cell>
          <cell r="V1307" t="str">
            <v>LBYMO</v>
          </cell>
          <cell r="X1307">
            <v>0.46579999999999999</v>
          </cell>
          <cell r="Y1307">
            <v>0</v>
          </cell>
          <cell r="Z1307">
            <v>0.40500000000000003</v>
          </cell>
          <cell r="AA1307">
            <v>0</v>
          </cell>
          <cell r="AB1307">
            <v>0.35220000000000001</v>
          </cell>
          <cell r="AC1307">
            <v>0</v>
          </cell>
          <cell r="AD1307">
            <v>0.30630000000000002</v>
          </cell>
          <cell r="AE1307">
            <v>0</v>
          </cell>
          <cell r="AG1307" t="str">
            <v/>
          </cell>
          <cell r="AH1307" t="str">
            <v/>
          </cell>
          <cell r="AJ1307">
            <v>0.46579999999999999</v>
          </cell>
          <cell r="AK1307">
            <v>0</v>
          </cell>
          <cell r="AL1307">
            <v>0.40500000000000003</v>
          </cell>
          <cell r="AM1307">
            <v>0</v>
          </cell>
          <cell r="AN1307">
            <v>0.35220000000000001</v>
          </cell>
          <cell r="AO1307">
            <v>0</v>
          </cell>
          <cell r="AP1307">
            <v>0.30630000000000002</v>
          </cell>
          <cell r="AQ1307">
            <v>0</v>
          </cell>
          <cell r="AS1307" t="str">
            <v/>
          </cell>
          <cell r="AT1307" t="str">
            <v/>
          </cell>
          <cell r="AV1307" t="b">
            <v>1</v>
          </cell>
          <cell r="AW1307" t="str">
            <v>minute</v>
          </cell>
        </row>
        <row r="1308">
          <cell r="S1308" t="str">
            <v>INT LBY</v>
          </cell>
          <cell r="T1308" t="str">
            <v>INT</v>
          </cell>
          <cell r="U1308" t="str">
            <v>LBY</v>
          </cell>
          <cell r="V1308" t="str">
            <v/>
          </cell>
          <cell r="X1308">
            <v>0.32350000000000001</v>
          </cell>
          <cell r="Y1308">
            <v>0</v>
          </cell>
          <cell r="Z1308">
            <v>0.28129999999999999</v>
          </cell>
          <cell r="AA1308">
            <v>0</v>
          </cell>
          <cell r="AB1308">
            <v>0.24460000000000001</v>
          </cell>
          <cell r="AC1308">
            <v>0</v>
          </cell>
          <cell r="AD1308">
            <v>0.2127</v>
          </cell>
          <cell r="AE1308">
            <v>0</v>
          </cell>
          <cell r="AG1308" t="str">
            <v/>
          </cell>
          <cell r="AH1308" t="str">
            <v/>
          </cell>
          <cell r="AJ1308">
            <v>0.32350000000000001</v>
          </cell>
          <cell r="AK1308">
            <v>0</v>
          </cell>
          <cell r="AL1308">
            <v>0.28129999999999999</v>
          </cell>
          <cell r="AM1308">
            <v>0</v>
          </cell>
          <cell r="AN1308">
            <v>0.24460000000000001</v>
          </cell>
          <cell r="AO1308">
            <v>0</v>
          </cell>
          <cell r="AP1308">
            <v>0.2127</v>
          </cell>
          <cell r="AQ1308">
            <v>0</v>
          </cell>
          <cell r="AS1308" t="str">
            <v/>
          </cell>
          <cell r="AT1308" t="str">
            <v/>
          </cell>
          <cell r="AV1308" t="b">
            <v>1</v>
          </cell>
          <cell r="AW1308" t="str">
            <v>minute</v>
          </cell>
        </row>
        <row r="1309">
          <cell r="S1309" t="str">
            <v>INT LIE LIEMO</v>
          </cell>
          <cell r="T1309" t="str">
            <v>INT</v>
          </cell>
          <cell r="U1309" t="str">
            <v>LIE</v>
          </cell>
          <cell r="V1309" t="str">
            <v>LIEMO</v>
          </cell>
          <cell r="X1309">
            <v>0.51080000000000003</v>
          </cell>
          <cell r="Y1309">
            <v>0</v>
          </cell>
          <cell r="Z1309">
            <v>0.44419999999999998</v>
          </cell>
          <cell r="AA1309">
            <v>0</v>
          </cell>
          <cell r="AB1309">
            <v>0.38629999999999998</v>
          </cell>
          <cell r="AC1309">
            <v>0</v>
          </cell>
          <cell r="AD1309">
            <v>0.33589999999999998</v>
          </cell>
          <cell r="AE1309">
            <v>0</v>
          </cell>
          <cell r="AG1309" t="str">
            <v/>
          </cell>
          <cell r="AH1309" t="str">
            <v/>
          </cell>
          <cell r="AJ1309">
            <v>0.51080000000000003</v>
          </cell>
          <cell r="AK1309">
            <v>0</v>
          </cell>
          <cell r="AL1309">
            <v>0.44419999999999998</v>
          </cell>
          <cell r="AM1309">
            <v>0</v>
          </cell>
          <cell r="AN1309">
            <v>0.38629999999999998</v>
          </cell>
          <cell r="AO1309">
            <v>0</v>
          </cell>
          <cell r="AP1309">
            <v>0.33589999999999998</v>
          </cell>
          <cell r="AQ1309">
            <v>0</v>
          </cell>
          <cell r="AS1309" t="str">
            <v/>
          </cell>
          <cell r="AT1309" t="str">
            <v/>
          </cell>
          <cell r="AV1309" t="b">
            <v>1</v>
          </cell>
          <cell r="AW1309" t="str">
            <v>minute</v>
          </cell>
        </row>
        <row r="1310">
          <cell r="S1310" t="str">
            <v>INT LIE</v>
          </cell>
          <cell r="T1310" t="str">
            <v>INT</v>
          </cell>
          <cell r="U1310" t="str">
            <v>LIE</v>
          </cell>
          <cell r="V1310" t="str">
            <v/>
          </cell>
          <cell r="X1310">
            <v>0.1328</v>
          </cell>
          <cell r="Y1310">
            <v>0</v>
          </cell>
          <cell r="Z1310">
            <v>0.11550000000000001</v>
          </cell>
          <cell r="AA1310">
            <v>0</v>
          </cell>
          <cell r="AB1310">
            <v>0.1004</v>
          </cell>
          <cell r="AC1310">
            <v>0</v>
          </cell>
          <cell r="AD1310">
            <v>8.7300000000000003E-2</v>
          </cell>
          <cell r="AE1310">
            <v>0</v>
          </cell>
          <cell r="AG1310" t="str">
            <v/>
          </cell>
          <cell r="AH1310" t="str">
            <v/>
          </cell>
          <cell r="AJ1310">
            <v>0.1328</v>
          </cell>
          <cell r="AK1310">
            <v>0</v>
          </cell>
          <cell r="AL1310">
            <v>0.11550000000000001</v>
          </cell>
          <cell r="AM1310">
            <v>0</v>
          </cell>
          <cell r="AN1310">
            <v>0.1004</v>
          </cell>
          <cell r="AO1310">
            <v>0</v>
          </cell>
          <cell r="AP1310">
            <v>8.7300000000000003E-2</v>
          </cell>
          <cell r="AQ1310">
            <v>0</v>
          </cell>
          <cell r="AS1310" t="str">
            <v/>
          </cell>
          <cell r="AT1310" t="str">
            <v/>
          </cell>
          <cell r="AV1310" t="b">
            <v>1</v>
          </cell>
          <cell r="AW1310" t="str">
            <v>minute</v>
          </cell>
        </row>
        <row r="1311">
          <cell r="S1311" t="str">
            <v>INT LTU LTUMO</v>
          </cell>
          <cell r="T1311" t="str">
            <v>INT</v>
          </cell>
          <cell r="U1311" t="str">
            <v>LTU</v>
          </cell>
          <cell r="V1311" t="str">
            <v>LTUMO</v>
          </cell>
          <cell r="X1311">
            <v>6.7000000000000004E-2</v>
          </cell>
          <cell r="Y1311">
            <v>0</v>
          </cell>
          <cell r="Z1311">
            <v>5.8299999999999998E-2</v>
          </cell>
          <cell r="AA1311">
            <v>0</v>
          </cell>
          <cell r="AB1311">
            <v>5.0700000000000002E-2</v>
          </cell>
          <cell r="AC1311">
            <v>0</v>
          </cell>
          <cell r="AD1311">
            <v>4.41E-2</v>
          </cell>
          <cell r="AE1311">
            <v>0</v>
          </cell>
          <cell r="AG1311" t="str">
            <v/>
          </cell>
          <cell r="AH1311" t="str">
            <v/>
          </cell>
          <cell r="AJ1311">
            <v>6.7000000000000004E-2</v>
          </cell>
          <cell r="AK1311">
            <v>0</v>
          </cell>
          <cell r="AL1311">
            <v>5.8299999999999998E-2</v>
          </cell>
          <cell r="AM1311">
            <v>0</v>
          </cell>
          <cell r="AN1311">
            <v>5.0700000000000002E-2</v>
          </cell>
          <cell r="AO1311">
            <v>0</v>
          </cell>
          <cell r="AP1311">
            <v>4.41E-2</v>
          </cell>
          <cell r="AQ1311">
            <v>0</v>
          </cell>
          <cell r="AS1311" t="str">
            <v/>
          </cell>
          <cell r="AT1311" t="str">
            <v/>
          </cell>
          <cell r="AV1311" t="b">
            <v>1</v>
          </cell>
          <cell r="AW1311" t="str">
            <v>minute</v>
          </cell>
        </row>
        <row r="1312">
          <cell r="S1312" t="str">
            <v>INT LTU LTUGS</v>
          </cell>
          <cell r="T1312" t="str">
            <v>INT</v>
          </cell>
          <cell r="U1312" t="str">
            <v>LTU</v>
          </cell>
          <cell r="V1312" t="str">
            <v>LTUGS</v>
          </cell>
          <cell r="X1312">
            <v>6.7000000000000004E-2</v>
          </cell>
          <cell r="Y1312">
            <v>0</v>
          </cell>
          <cell r="Z1312">
            <v>5.8299999999999998E-2</v>
          </cell>
          <cell r="AA1312">
            <v>0</v>
          </cell>
          <cell r="AB1312">
            <v>5.0700000000000002E-2</v>
          </cell>
          <cell r="AC1312">
            <v>0</v>
          </cell>
          <cell r="AD1312">
            <v>4.41E-2</v>
          </cell>
          <cell r="AE1312">
            <v>0</v>
          </cell>
          <cell r="AG1312" t="str">
            <v/>
          </cell>
          <cell r="AH1312" t="str">
            <v/>
          </cell>
          <cell r="AJ1312">
            <v>6.7000000000000004E-2</v>
          </cell>
          <cell r="AK1312">
            <v>0</v>
          </cell>
          <cell r="AL1312">
            <v>5.8299999999999998E-2</v>
          </cell>
          <cell r="AM1312">
            <v>0</v>
          </cell>
          <cell r="AN1312">
            <v>5.0700000000000002E-2</v>
          </cell>
          <cell r="AO1312">
            <v>0</v>
          </cell>
          <cell r="AP1312">
            <v>4.41E-2</v>
          </cell>
          <cell r="AQ1312">
            <v>0</v>
          </cell>
          <cell r="AS1312" t="str">
            <v/>
          </cell>
          <cell r="AT1312" t="str">
            <v/>
          </cell>
          <cell r="AV1312" t="b">
            <v>1</v>
          </cell>
          <cell r="AW1312" t="str">
            <v>minute</v>
          </cell>
        </row>
        <row r="1313">
          <cell r="S1313" t="str">
            <v>INT LTU</v>
          </cell>
          <cell r="T1313" t="str">
            <v>INT</v>
          </cell>
          <cell r="U1313" t="str">
            <v>LTU</v>
          </cell>
          <cell r="V1313" t="str">
            <v/>
          </cell>
          <cell r="X1313">
            <v>3.4599999999999999E-2</v>
          </cell>
          <cell r="Y1313">
            <v>0</v>
          </cell>
          <cell r="Z1313">
            <v>3.0099999999999998E-2</v>
          </cell>
          <cell r="AA1313">
            <v>0</v>
          </cell>
          <cell r="AB1313">
            <v>2.6200000000000001E-2</v>
          </cell>
          <cell r="AC1313">
            <v>0</v>
          </cell>
          <cell r="AD1313">
            <v>2.2800000000000001E-2</v>
          </cell>
          <cell r="AE1313">
            <v>0</v>
          </cell>
          <cell r="AG1313" t="str">
            <v/>
          </cell>
          <cell r="AH1313" t="str">
            <v/>
          </cell>
          <cell r="AJ1313">
            <v>3.4599999999999999E-2</v>
          </cell>
          <cell r="AK1313">
            <v>0</v>
          </cell>
          <cell r="AL1313">
            <v>3.0099999999999998E-2</v>
          </cell>
          <cell r="AM1313">
            <v>0</v>
          </cell>
          <cell r="AN1313">
            <v>2.6200000000000001E-2</v>
          </cell>
          <cell r="AO1313">
            <v>0</v>
          </cell>
          <cell r="AP1313">
            <v>2.2800000000000001E-2</v>
          </cell>
          <cell r="AQ1313">
            <v>0</v>
          </cell>
          <cell r="AS1313" t="str">
            <v/>
          </cell>
          <cell r="AT1313" t="str">
            <v/>
          </cell>
          <cell r="AV1313" t="b">
            <v>1</v>
          </cell>
          <cell r="AW1313" t="str">
            <v>minute</v>
          </cell>
        </row>
        <row r="1314">
          <cell r="S1314" t="str">
            <v>INT LUX LUXMO</v>
          </cell>
          <cell r="T1314" t="str">
            <v>INT</v>
          </cell>
          <cell r="U1314" t="str">
            <v>LUX</v>
          </cell>
          <cell r="V1314" t="str">
            <v>LUXMO</v>
          </cell>
          <cell r="X1314">
            <v>0.14599999999999999</v>
          </cell>
          <cell r="Y1314">
            <v>0</v>
          </cell>
          <cell r="Z1314">
            <v>0.1424</v>
          </cell>
          <cell r="AA1314">
            <v>0</v>
          </cell>
          <cell r="AB1314">
            <v>0.1389</v>
          </cell>
          <cell r="AC1314">
            <v>0</v>
          </cell>
          <cell r="AD1314">
            <v>0.13550000000000001</v>
          </cell>
          <cell r="AE1314">
            <v>0</v>
          </cell>
          <cell r="AG1314" t="str">
            <v/>
          </cell>
          <cell r="AH1314" t="str">
            <v/>
          </cell>
          <cell r="AJ1314">
            <v>0.14599999999999999</v>
          </cell>
          <cell r="AK1314">
            <v>0</v>
          </cell>
          <cell r="AL1314">
            <v>0.1424</v>
          </cell>
          <cell r="AM1314">
            <v>0</v>
          </cell>
          <cell r="AN1314">
            <v>0.1389</v>
          </cell>
          <cell r="AO1314">
            <v>0</v>
          </cell>
          <cell r="AP1314">
            <v>0.13550000000000001</v>
          </cell>
          <cell r="AQ1314">
            <v>0</v>
          </cell>
          <cell r="AS1314" t="str">
            <v/>
          </cell>
          <cell r="AT1314" t="str">
            <v/>
          </cell>
          <cell r="AV1314" t="b">
            <v>1</v>
          </cell>
          <cell r="AW1314" t="str">
            <v>minute</v>
          </cell>
        </row>
        <row r="1315">
          <cell r="S1315" t="str">
            <v>INT LUX</v>
          </cell>
          <cell r="T1315" t="str">
            <v>INT</v>
          </cell>
          <cell r="U1315" t="str">
            <v>LUX</v>
          </cell>
          <cell r="V1315" t="str">
            <v/>
          </cell>
          <cell r="X1315">
            <v>1.8700000000000001E-2</v>
          </cell>
          <cell r="Y1315">
            <v>0</v>
          </cell>
          <cell r="Z1315">
            <v>1.8200000000000001E-2</v>
          </cell>
          <cell r="AA1315">
            <v>0</v>
          </cell>
          <cell r="AB1315">
            <v>1.78E-2</v>
          </cell>
          <cell r="AC1315">
            <v>0</v>
          </cell>
          <cell r="AD1315">
            <v>1.7399999999999999E-2</v>
          </cell>
          <cell r="AE1315">
            <v>0</v>
          </cell>
          <cell r="AG1315" t="str">
            <v/>
          </cell>
          <cell r="AH1315" t="str">
            <v/>
          </cell>
          <cell r="AJ1315">
            <v>1.8700000000000001E-2</v>
          </cell>
          <cell r="AK1315">
            <v>0</v>
          </cell>
          <cell r="AL1315">
            <v>1.8200000000000001E-2</v>
          </cell>
          <cell r="AM1315">
            <v>0</v>
          </cell>
          <cell r="AN1315">
            <v>1.78E-2</v>
          </cell>
          <cell r="AO1315">
            <v>0</v>
          </cell>
          <cell r="AP1315">
            <v>1.7399999999999999E-2</v>
          </cell>
          <cell r="AQ1315">
            <v>0</v>
          </cell>
          <cell r="AS1315" t="str">
            <v/>
          </cell>
          <cell r="AT1315" t="str">
            <v/>
          </cell>
          <cell r="AV1315" t="b">
            <v>1</v>
          </cell>
          <cell r="AW1315" t="str">
            <v>minute</v>
          </cell>
        </row>
        <row r="1316">
          <cell r="S1316" t="str">
            <v>INT LUX LXP8C</v>
          </cell>
          <cell r="T1316" t="str">
            <v>INT</v>
          </cell>
          <cell r="U1316" t="str">
            <v>LUX</v>
          </cell>
          <cell r="V1316" t="str">
            <v>LXP8C</v>
          </cell>
          <cell r="X1316">
            <v>6.7824</v>
          </cell>
          <cell r="Y1316">
            <v>0</v>
          </cell>
          <cell r="Z1316">
            <v>6.7824</v>
          </cell>
          <cell r="AA1316">
            <v>0</v>
          </cell>
          <cell r="AB1316">
            <v>6.7824</v>
          </cell>
          <cell r="AC1316">
            <v>0</v>
          </cell>
          <cell r="AD1316">
            <v>6.7824</v>
          </cell>
          <cell r="AE1316">
            <v>0</v>
          </cell>
          <cell r="AG1316" t="str">
            <v/>
          </cell>
          <cell r="AH1316" t="str">
            <v/>
          </cell>
          <cell r="AJ1316">
            <v>6.7824</v>
          </cell>
          <cell r="AK1316">
            <v>0</v>
          </cell>
          <cell r="AL1316">
            <v>6.7824</v>
          </cell>
          <cell r="AM1316">
            <v>0</v>
          </cell>
          <cell r="AN1316">
            <v>6.7824</v>
          </cell>
          <cell r="AO1316">
            <v>0</v>
          </cell>
          <cell r="AP1316">
            <v>6.7824</v>
          </cell>
          <cell r="AQ1316">
            <v>0</v>
          </cell>
          <cell r="AS1316" t="str">
            <v/>
          </cell>
          <cell r="AT1316" t="str">
            <v/>
          </cell>
          <cell r="AV1316" t="b">
            <v>0</v>
          </cell>
          <cell r="AW1316" t="str">
            <v>minute</v>
          </cell>
        </row>
        <row r="1317">
          <cell r="S1317" t="str">
            <v>INT LUX LXSC1</v>
          </cell>
          <cell r="T1317" t="str">
            <v>INT</v>
          </cell>
          <cell r="U1317" t="str">
            <v>LUX</v>
          </cell>
          <cell r="V1317" t="str">
            <v>LXSC1</v>
          </cell>
          <cell r="X1317">
            <v>0.14599999999999999</v>
          </cell>
          <cell r="Y1317">
            <v>0</v>
          </cell>
          <cell r="Z1317">
            <v>0.14599999999999999</v>
          </cell>
          <cell r="AA1317">
            <v>0</v>
          </cell>
          <cell r="AB1317">
            <v>0.14599999999999999</v>
          </cell>
          <cell r="AC1317">
            <v>0</v>
          </cell>
          <cell r="AD1317">
            <v>0.14599999999999999</v>
          </cell>
          <cell r="AE1317">
            <v>0</v>
          </cell>
          <cell r="AG1317" t="str">
            <v/>
          </cell>
          <cell r="AH1317" t="str">
            <v/>
          </cell>
          <cell r="AJ1317">
            <v>0.14599999999999999</v>
          </cell>
          <cell r="AK1317">
            <v>0</v>
          </cell>
          <cell r="AL1317">
            <v>0.14599999999999999</v>
          </cell>
          <cell r="AM1317">
            <v>0</v>
          </cell>
          <cell r="AN1317">
            <v>0.14599999999999999</v>
          </cell>
          <cell r="AO1317">
            <v>0</v>
          </cell>
          <cell r="AP1317">
            <v>0.14599999999999999</v>
          </cell>
          <cell r="AQ1317">
            <v>0</v>
          </cell>
          <cell r="AS1317" t="str">
            <v/>
          </cell>
          <cell r="AT1317" t="str">
            <v/>
          </cell>
          <cell r="AV1317" t="b">
            <v>0</v>
          </cell>
          <cell r="AW1317" t="str">
            <v>minute</v>
          </cell>
        </row>
        <row r="1318">
          <cell r="S1318" t="str">
            <v>INT LUX LXTF</v>
          </cell>
          <cell r="T1318" t="str">
            <v>INT</v>
          </cell>
          <cell r="U1318" t="str">
            <v>LUX</v>
          </cell>
          <cell r="V1318" t="str">
            <v>LXTF</v>
          </cell>
          <cell r="X1318">
            <v>1.8700000000000001E-2</v>
          </cell>
          <cell r="Y1318">
            <v>0</v>
          </cell>
          <cell r="Z1318">
            <v>1.8700000000000001E-2</v>
          </cell>
          <cell r="AA1318">
            <v>0</v>
          </cell>
          <cell r="AB1318">
            <v>1.8700000000000001E-2</v>
          </cell>
          <cell r="AC1318">
            <v>0</v>
          </cell>
          <cell r="AD1318">
            <v>1.8700000000000001E-2</v>
          </cell>
          <cell r="AE1318">
            <v>0</v>
          </cell>
          <cell r="AG1318" t="str">
            <v/>
          </cell>
          <cell r="AH1318" t="str">
            <v/>
          </cell>
          <cell r="AJ1318">
            <v>1.8700000000000001E-2</v>
          </cell>
          <cell r="AK1318">
            <v>0</v>
          </cell>
          <cell r="AL1318">
            <v>1.8700000000000001E-2</v>
          </cell>
          <cell r="AM1318">
            <v>0</v>
          </cell>
          <cell r="AN1318">
            <v>1.8700000000000001E-2</v>
          </cell>
          <cell r="AO1318">
            <v>0</v>
          </cell>
          <cell r="AP1318">
            <v>1.8700000000000001E-2</v>
          </cell>
          <cell r="AQ1318">
            <v>0</v>
          </cell>
          <cell r="AS1318" t="str">
            <v/>
          </cell>
          <cell r="AT1318" t="str">
            <v/>
          </cell>
          <cell r="AV1318" t="b">
            <v>0</v>
          </cell>
          <cell r="AW1318" t="str">
            <v>minute</v>
          </cell>
        </row>
        <row r="1319">
          <cell r="S1319" t="str">
            <v>INT MAC</v>
          </cell>
          <cell r="T1319" t="str">
            <v>INT</v>
          </cell>
          <cell r="U1319" t="str">
            <v>MAC</v>
          </cell>
          <cell r="V1319" t="str">
            <v/>
          </cell>
          <cell r="X1319">
            <v>0.11650000000000001</v>
          </cell>
          <cell r="Y1319">
            <v>0</v>
          </cell>
          <cell r="Z1319">
            <v>0.1013</v>
          </cell>
          <cell r="AA1319">
            <v>0</v>
          </cell>
          <cell r="AB1319">
            <v>8.8099999999999998E-2</v>
          </cell>
          <cell r="AC1319">
            <v>0</v>
          </cell>
          <cell r="AD1319">
            <v>7.6600000000000001E-2</v>
          </cell>
          <cell r="AE1319">
            <v>0</v>
          </cell>
          <cell r="AG1319" t="str">
            <v/>
          </cell>
          <cell r="AH1319" t="str">
            <v/>
          </cell>
          <cell r="AJ1319">
            <v>0.11650000000000001</v>
          </cell>
          <cell r="AK1319">
            <v>0</v>
          </cell>
          <cell r="AL1319">
            <v>0.1013</v>
          </cell>
          <cell r="AM1319">
            <v>0</v>
          </cell>
          <cell r="AN1319">
            <v>8.8099999999999998E-2</v>
          </cell>
          <cell r="AO1319">
            <v>0</v>
          </cell>
          <cell r="AP1319">
            <v>7.6600000000000001E-2</v>
          </cell>
          <cell r="AQ1319">
            <v>0</v>
          </cell>
          <cell r="AS1319" t="str">
            <v/>
          </cell>
          <cell r="AT1319" t="str">
            <v/>
          </cell>
          <cell r="AV1319" t="b">
            <v>1</v>
          </cell>
          <cell r="AW1319" t="str">
            <v>minute</v>
          </cell>
        </row>
        <row r="1320">
          <cell r="S1320" t="str">
            <v>INT MCD MCDMO</v>
          </cell>
          <cell r="T1320" t="str">
            <v>INT</v>
          </cell>
          <cell r="U1320" t="str">
            <v>MCD</v>
          </cell>
          <cell r="V1320" t="str">
            <v>MCDMO</v>
          </cell>
          <cell r="X1320">
            <v>0.57550000000000001</v>
          </cell>
          <cell r="Y1320">
            <v>0</v>
          </cell>
          <cell r="Z1320">
            <v>0.50039999999999996</v>
          </cell>
          <cell r="AA1320">
            <v>0</v>
          </cell>
          <cell r="AB1320">
            <v>0.43519999999999998</v>
          </cell>
          <cell r="AC1320">
            <v>0</v>
          </cell>
          <cell r="AD1320">
            <v>0.37840000000000001</v>
          </cell>
          <cell r="AE1320">
            <v>0</v>
          </cell>
          <cell r="AG1320" t="str">
            <v/>
          </cell>
          <cell r="AH1320" t="str">
            <v/>
          </cell>
          <cell r="AJ1320">
            <v>0.57550000000000001</v>
          </cell>
          <cell r="AK1320">
            <v>0</v>
          </cell>
          <cell r="AL1320">
            <v>0.50039999999999996</v>
          </cell>
          <cell r="AM1320">
            <v>0</v>
          </cell>
          <cell r="AN1320">
            <v>0.43519999999999998</v>
          </cell>
          <cell r="AO1320">
            <v>0</v>
          </cell>
          <cell r="AP1320">
            <v>0.37840000000000001</v>
          </cell>
          <cell r="AQ1320">
            <v>0</v>
          </cell>
          <cell r="AS1320" t="str">
            <v/>
          </cell>
          <cell r="AT1320" t="str">
            <v/>
          </cell>
          <cell r="AV1320" t="b">
            <v>1</v>
          </cell>
          <cell r="AW1320" t="str">
            <v>minute</v>
          </cell>
        </row>
        <row r="1321">
          <cell r="S1321" t="str">
            <v>INT MCD</v>
          </cell>
          <cell r="T1321" t="str">
            <v>INT</v>
          </cell>
          <cell r="U1321" t="str">
            <v>MCD</v>
          </cell>
          <cell r="V1321" t="str">
            <v/>
          </cell>
          <cell r="X1321">
            <v>0.17530000000000001</v>
          </cell>
          <cell r="Y1321">
            <v>0</v>
          </cell>
          <cell r="Z1321">
            <v>0.15240000000000001</v>
          </cell>
          <cell r="AA1321">
            <v>0</v>
          </cell>
          <cell r="AB1321">
            <v>0.13250000000000001</v>
          </cell>
          <cell r="AC1321">
            <v>0</v>
          </cell>
          <cell r="AD1321">
            <v>0.1152</v>
          </cell>
          <cell r="AE1321">
            <v>0</v>
          </cell>
          <cell r="AG1321" t="str">
            <v/>
          </cell>
          <cell r="AH1321" t="str">
            <v/>
          </cell>
          <cell r="AJ1321">
            <v>0.17530000000000001</v>
          </cell>
          <cell r="AK1321">
            <v>0</v>
          </cell>
          <cell r="AL1321">
            <v>0.15240000000000001</v>
          </cell>
          <cell r="AM1321">
            <v>0</v>
          </cell>
          <cell r="AN1321">
            <v>0.13250000000000001</v>
          </cell>
          <cell r="AO1321">
            <v>0</v>
          </cell>
          <cell r="AP1321">
            <v>0.1152</v>
          </cell>
          <cell r="AQ1321">
            <v>0</v>
          </cell>
          <cell r="AS1321" t="str">
            <v/>
          </cell>
          <cell r="AT1321" t="str">
            <v/>
          </cell>
          <cell r="AV1321" t="b">
            <v>1</v>
          </cell>
          <cell r="AW1321" t="str">
            <v>minute</v>
          </cell>
        </row>
        <row r="1322">
          <cell r="S1322" t="str">
            <v>INT MDG MDGMO</v>
          </cell>
          <cell r="T1322" t="str">
            <v>INT</v>
          </cell>
          <cell r="U1322" t="str">
            <v>MDG</v>
          </cell>
          <cell r="V1322" t="str">
            <v>MDGMO</v>
          </cell>
          <cell r="X1322">
            <v>0.68510000000000004</v>
          </cell>
          <cell r="Y1322">
            <v>0</v>
          </cell>
          <cell r="Z1322">
            <v>0.59570000000000001</v>
          </cell>
          <cell r="AA1322">
            <v>0</v>
          </cell>
          <cell r="AB1322">
            <v>0.51800000000000002</v>
          </cell>
          <cell r="AC1322">
            <v>0</v>
          </cell>
          <cell r="AD1322">
            <v>0.45040000000000002</v>
          </cell>
          <cell r="AE1322">
            <v>0</v>
          </cell>
          <cell r="AG1322" t="str">
            <v/>
          </cell>
          <cell r="AH1322" t="str">
            <v/>
          </cell>
          <cell r="AJ1322">
            <v>0.68510000000000004</v>
          </cell>
          <cell r="AK1322">
            <v>0</v>
          </cell>
          <cell r="AL1322">
            <v>0.59570000000000001</v>
          </cell>
          <cell r="AM1322">
            <v>0</v>
          </cell>
          <cell r="AN1322">
            <v>0.51800000000000002</v>
          </cell>
          <cell r="AO1322">
            <v>0</v>
          </cell>
          <cell r="AP1322">
            <v>0.45040000000000002</v>
          </cell>
          <cell r="AQ1322">
            <v>0</v>
          </cell>
          <cell r="AS1322" t="str">
            <v/>
          </cell>
          <cell r="AT1322" t="str">
            <v/>
          </cell>
          <cell r="AV1322" t="b">
            <v>1</v>
          </cell>
          <cell r="AW1322" t="str">
            <v>minute</v>
          </cell>
        </row>
        <row r="1323">
          <cell r="S1323" t="str">
            <v>INT MDG</v>
          </cell>
          <cell r="T1323" t="str">
            <v>INT</v>
          </cell>
          <cell r="U1323" t="str">
            <v>MDG</v>
          </cell>
          <cell r="V1323" t="str">
            <v/>
          </cell>
          <cell r="X1323">
            <v>0.59889999999999999</v>
          </cell>
          <cell r="Y1323">
            <v>0</v>
          </cell>
          <cell r="Z1323">
            <v>0.52080000000000004</v>
          </cell>
          <cell r="AA1323">
            <v>0</v>
          </cell>
          <cell r="AB1323">
            <v>0.45290000000000002</v>
          </cell>
          <cell r="AC1323">
            <v>0</v>
          </cell>
          <cell r="AD1323">
            <v>0.39379999999999998</v>
          </cell>
          <cell r="AE1323">
            <v>0</v>
          </cell>
          <cell r="AG1323" t="str">
            <v/>
          </cell>
          <cell r="AH1323" t="str">
            <v/>
          </cell>
          <cell r="AJ1323">
            <v>0.59889999999999999</v>
          </cell>
          <cell r="AK1323">
            <v>0</v>
          </cell>
          <cell r="AL1323">
            <v>0.52080000000000004</v>
          </cell>
          <cell r="AM1323">
            <v>0</v>
          </cell>
          <cell r="AN1323">
            <v>0.45290000000000002</v>
          </cell>
          <cell r="AO1323">
            <v>0</v>
          </cell>
          <cell r="AP1323">
            <v>0.39379999999999998</v>
          </cell>
          <cell r="AQ1323">
            <v>0</v>
          </cell>
          <cell r="AS1323" t="str">
            <v/>
          </cell>
          <cell r="AT1323" t="str">
            <v/>
          </cell>
          <cell r="AV1323" t="b">
            <v>1</v>
          </cell>
          <cell r="AW1323" t="str">
            <v>minute</v>
          </cell>
        </row>
        <row r="1324">
          <cell r="S1324" t="str">
            <v>INT PRT MDR</v>
          </cell>
          <cell r="T1324" t="str">
            <v>INT</v>
          </cell>
          <cell r="U1324" t="str">
            <v>PRT</v>
          </cell>
          <cell r="V1324" t="str">
            <v>MDR</v>
          </cell>
          <cell r="X1324">
            <v>1.6799999999999999E-2</v>
          </cell>
          <cell r="Y1324">
            <v>0</v>
          </cell>
          <cell r="Z1324">
            <v>1.61E-2</v>
          </cell>
          <cell r="AA1324">
            <v>0</v>
          </cell>
          <cell r="AB1324">
            <v>1.54E-2</v>
          </cell>
          <cell r="AC1324">
            <v>0</v>
          </cell>
          <cell r="AD1324">
            <v>1.47E-2</v>
          </cell>
          <cell r="AE1324">
            <v>0</v>
          </cell>
          <cell r="AG1324" t="str">
            <v/>
          </cell>
          <cell r="AH1324" t="str">
            <v/>
          </cell>
          <cell r="AJ1324">
            <v>1.6799999999999999E-2</v>
          </cell>
          <cell r="AK1324">
            <v>0</v>
          </cell>
          <cell r="AL1324">
            <v>1.61E-2</v>
          </cell>
          <cell r="AM1324">
            <v>0</v>
          </cell>
          <cell r="AN1324">
            <v>1.54E-2</v>
          </cell>
          <cell r="AO1324">
            <v>0</v>
          </cell>
          <cell r="AP1324">
            <v>1.47E-2</v>
          </cell>
          <cell r="AQ1324">
            <v>0</v>
          </cell>
          <cell r="AS1324" t="str">
            <v/>
          </cell>
          <cell r="AT1324" t="str">
            <v/>
          </cell>
          <cell r="AV1324" t="b">
            <v>1</v>
          </cell>
          <cell r="AW1324" t="str">
            <v>minute</v>
          </cell>
        </row>
        <row r="1325">
          <cell r="S1325" t="str">
            <v>INT MWI MWIMO</v>
          </cell>
          <cell r="T1325" t="str">
            <v>INT</v>
          </cell>
          <cell r="U1325" t="str">
            <v>MWI</v>
          </cell>
          <cell r="V1325" t="str">
            <v>MWIMO</v>
          </cell>
          <cell r="X1325">
            <v>0.15090000000000001</v>
          </cell>
          <cell r="Y1325">
            <v>0</v>
          </cell>
          <cell r="Z1325">
            <v>0.13120000000000001</v>
          </cell>
          <cell r="AA1325">
            <v>0</v>
          </cell>
          <cell r="AB1325">
            <v>0.11409999999999999</v>
          </cell>
          <cell r="AC1325">
            <v>0</v>
          </cell>
          <cell r="AD1325">
            <v>9.9199999999999997E-2</v>
          </cell>
          <cell r="AE1325">
            <v>0</v>
          </cell>
          <cell r="AG1325" t="str">
            <v/>
          </cell>
          <cell r="AH1325" t="str">
            <v/>
          </cell>
          <cell r="AJ1325">
            <v>0.15090000000000001</v>
          </cell>
          <cell r="AK1325">
            <v>0</v>
          </cell>
          <cell r="AL1325">
            <v>0.13120000000000001</v>
          </cell>
          <cell r="AM1325">
            <v>0</v>
          </cell>
          <cell r="AN1325">
            <v>0.11409999999999999</v>
          </cell>
          <cell r="AO1325">
            <v>0</v>
          </cell>
          <cell r="AP1325">
            <v>9.9199999999999997E-2</v>
          </cell>
          <cell r="AQ1325">
            <v>0</v>
          </cell>
          <cell r="AS1325" t="str">
            <v/>
          </cell>
          <cell r="AT1325" t="str">
            <v/>
          </cell>
          <cell r="AV1325" t="b">
            <v>1</v>
          </cell>
          <cell r="AW1325" t="str">
            <v>minute</v>
          </cell>
        </row>
        <row r="1326">
          <cell r="S1326" t="str">
            <v>INT MWI</v>
          </cell>
          <cell r="T1326" t="str">
            <v>INT</v>
          </cell>
          <cell r="U1326" t="str">
            <v>MWI</v>
          </cell>
          <cell r="V1326" t="str">
            <v/>
          </cell>
          <cell r="X1326">
            <v>0.15090000000000001</v>
          </cell>
          <cell r="Y1326">
            <v>0</v>
          </cell>
          <cell r="Z1326">
            <v>0.13120000000000001</v>
          </cell>
          <cell r="AA1326">
            <v>0</v>
          </cell>
          <cell r="AB1326">
            <v>0.11409999999999999</v>
          </cell>
          <cell r="AC1326">
            <v>0</v>
          </cell>
          <cell r="AD1326">
            <v>9.9199999999999997E-2</v>
          </cell>
          <cell r="AE1326">
            <v>0</v>
          </cell>
          <cell r="AG1326" t="str">
            <v/>
          </cell>
          <cell r="AH1326" t="str">
            <v/>
          </cell>
          <cell r="AJ1326">
            <v>0.15090000000000001</v>
          </cell>
          <cell r="AK1326">
            <v>0</v>
          </cell>
          <cell r="AL1326">
            <v>0.13120000000000001</v>
          </cell>
          <cell r="AM1326">
            <v>0</v>
          </cell>
          <cell r="AN1326">
            <v>0.11409999999999999</v>
          </cell>
          <cell r="AO1326">
            <v>0</v>
          </cell>
          <cell r="AP1326">
            <v>9.9199999999999997E-2</v>
          </cell>
          <cell r="AQ1326">
            <v>0</v>
          </cell>
          <cell r="AS1326" t="str">
            <v/>
          </cell>
          <cell r="AT1326" t="str">
            <v/>
          </cell>
          <cell r="AV1326" t="b">
            <v>1</v>
          </cell>
          <cell r="AW1326" t="str">
            <v>minute</v>
          </cell>
        </row>
        <row r="1327">
          <cell r="S1327" t="str">
            <v>INT MYS MYSMO</v>
          </cell>
          <cell r="T1327" t="str">
            <v>INT</v>
          </cell>
          <cell r="U1327" t="str">
            <v>MYS</v>
          </cell>
          <cell r="V1327" t="str">
            <v>MYSMO</v>
          </cell>
          <cell r="X1327">
            <v>4.1700000000000001E-2</v>
          </cell>
          <cell r="Y1327">
            <v>0</v>
          </cell>
          <cell r="Z1327">
            <v>3.6200000000000003E-2</v>
          </cell>
          <cell r="AA1327">
            <v>0</v>
          </cell>
          <cell r="AB1327">
            <v>3.15E-2</v>
          </cell>
          <cell r="AC1327">
            <v>0</v>
          </cell>
          <cell r="AD1327">
            <v>2.7300000000000001E-2</v>
          </cell>
          <cell r="AE1327">
            <v>0</v>
          </cell>
          <cell r="AG1327" t="str">
            <v/>
          </cell>
          <cell r="AH1327" t="str">
            <v/>
          </cell>
          <cell r="AJ1327">
            <v>4.1700000000000001E-2</v>
          </cell>
          <cell r="AK1327">
            <v>0</v>
          </cell>
          <cell r="AL1327">
            <v>3.6200000000000003E-2</v>
          </cell>
          <cell r="AM1327">
            <v>0</v>
          </cell>
          <cell r="AN1327">
            <v>3.15E-2</v>
          </cell>
          <cell r="AO1327">
            <v>0</v>
          </cell>
          <cell r="AP1327">
            <v>2.7300000000000001E-2</v>
          </cell>
          <cell r="AQ1327">
            <v>0</v>
          </cell>
          <cell r="AS1327" t="str">
            <v/>
          </cell>
          <cell r="AT1327" t="str">
            <v/>
          </cell>
          <cell r="AV1327" t="b">
            <v>1</v>
          </cell>
          <cell r="AW1327" t="str">
            <v>minute</v>
          </cell>
        </row>
        <row r="1328">
          <cell r="S1328" t="str">
            <v>INT MYS</v>
          </cell>
          <cell r="T1328" t="str">
            <v>INT</v>
          </cell>
          <cell r="U1328" t="str">
            <v>MYS</v>
          </cell>
          <cell r="V1328" t="str">
            <v/>
          </cell>
          <cell r="X1328">
            <v>4.02E-2</v>
          </cell>
          <cell r="Y1328">
            <v>0</v>
          </cell>
          <cell r="Z1328">
            <v>3.49E-2</v>
          </cell>
          <cell r="AA1328">
            <v>0</v>
          </cell>
          <cell r="AB1328">
            <v>3.04E-2</v>
          </cell>
          <cell r="AC1328">
            <v>0</v>
          </cell>
          <cell r="AD1328">
            <v>2.64E-2</v>
          </cell>
          <cell r="AE1328">
            <v>0</v>
          </cell>
          <cell r="AG1328" t="str">
            <v/>
          </cell>
          <cell r="AH1328" t="str">
            <v/>
          </cell>
          <cell r="AJ1328">
            <v>4.02E-2</v>
          </cell>
          <cell r="AK1328">
            <v>0</v>
          </cell>
          <cell r="AL1328">
            <v>3.49E-2</v>
          </cell>
          <cell r="AM1328">
            <v>0</v>
          </cell>
          <cell r="AN1328">
            <v>3.04E-2</v>
          </cell>
          <cell r="AO1328">
            <v>0</v>
          </cell>
          <cell r="AP1328">
            <v>2.64E-2</v>
          </cell>
          <cell r="AQ1328">
            <v>0</v>
          </cell>
          <cell r="AS1328" t="str">
            <v/>
          </cell>
          <cell r="AT1328" t="str">
            <v/>
          </cell>
          <cell r="AV1328" t="b">
            <v>1</v>
          </cell>
          <cell r="AW1328" t="str">
            <v>minute</v>
          </cell>
        </row>
        <row r="1329">
          <cell r="S1329" t="str">
            <v>INT MDV</v>
          </cell>
          <cell r="T1329" t="str">
            <v>INT</v>
          </cell>
          <cell r="U1329" t="str">
            <v>MDV</v>
          </cell>
          <cell r="V1329" t="str">
            <v/>
          </cell>
          <cell r="X1329">
            <v>1.0419</v>
          </cell>
          <cell r="Y1329">
            <v>0</v>
          </cell>
          <cell r="Z1329">
            <v>0.90600000000000003</v>
          </cell>
          <cell r="AA1329">
            <v>0</v>
          </cell>
          <cell r="AB1329">
            <v>0.78779999999999994</v>
          </cell>
          <cell r="AC1329">
            <v>0</v>
          </cell>
          <cell r="AD1329">
            <v>0.68500000000000005</v>
          </cell>
          <cell r="AE1329">
            <v>0</v>
          </cell>
          <cell r="AG1329" t="str">
            <v/>
          </cell>
          <cell r="AH1329" t="str">
            <v/>
          </cell>
          <cell r="AJ1329">
            <v>1.0419</v>
          </cell>
          <cell r="AK1329">
            <v>0</v>
          </cell>
          <cell r="AL1329">
            <v>0.90600000000000003</v>
          </cell>
          <cell r="AM1329">
            <v>0</v>
          </cell>
          <cell r="AN1329">
            <v>0.78779999999999994</v>
          </cell>
          <cell r="AO1329">
            <v>0</v>
          </cell>
          <cell r="AP1329">
            <v>0.68500000000000005</v>
          </cell>
          <cell r="AQ1329">
            <v>0</v>
          </cell>
          <cell r="AS1329" t="str">
            <v/>
          </cell>
          <cell r="AT1329" t="str">
            <v/>
          </cell>
          <cell r="AV1329" t="b">
            <v>1</v>
          </cell>
          <cell r="AW1329" t="str">
            <v>minute</v>
          </cell>
        </row>
        <row r="1330">
          <cell r="S1330" t="str">
            <v>INT MLI MLIMO</v>
          </cell>
          <cell r="T1330" t="str">
            <v>INT</v>
          </cell>
          <cell r="U1330" t="str">
            <v>MLI</v>
          </cell>
          <cell r="V1330" t="str">
            <v>MLIMO</v>
          </cell>
          <cell r="X1330">
            <v>0.44259999999999999</v>
          </cell>
          <cell r="Y1330">
            <v>0</v>
          </cell>
          <cell r="Z1330">
            <v>0.38490000000000002</v>
          </cell>
          <cell r="AA1330">
            <v>0</v>
          </cell>
          <cell r="AB1330">
            <v>0.3347</v>
          </cell>
          <cell r="AC1330">
            <v>0</v>
          </cell>
          <cell r="AD1330">
            <v>0.29099999999999998</v>
          </cell>
          <cell r="AE1330">
            <v>0</v>
          </cell>
          <cell r="AG1330" t="str">
            <v/>
          </cell>
          <cell r="AH1330" t="str">
            <v/>
          </cell>
          <cell r="AJ1330">
            <v>0.44259999999999999</v>
          </cell>
          <cell r="AK1330">
            <v>0</v>
          </cell>
          <cell r="AL1330">
            <v>0.38490000000000002</v>
          </cell>
          <cell r="AM1330">
            <v>0</v>
          </cell>
          <cell r="AN1330">
            <v>0.3347</v>
          </cell>
          <cell r="AO1330">
            <v>0</v>
          </cell>
          <cell r="AP1330">
            <v>0.29099999999999998</v>
          </cell>
          <cell r="AQ1330">
            <v>0</v>
          </cell>
          <cell r="AS1330" t="str">
            <v/>
          </cell>
          <cell r="AT1330" t="str">
            <v/>
          </cell>
          <cell r="AV1330" t="b">
            <v>1</v>
          </cell>
          <cell r="AW1330" t="str">
            <v>minute</v>
          </cell>
        </row>
        <row r="1331">
          <cell r="S1331" t="str">
            <v>INT MLI</v>
          </cell>
          <cell r="T1331" t="str">
            <v>INT</v>
          </cell>
          <cell r="U1331" t="str">
            <v>MLI</v>
          </cell>
          <cell r="V1331" t="str">
            <v/>
          </cell>
          <cell r="X1331">
            <v>0.29389999999999999</v>
          </cell>
          <cell r="Y1331">
            <v>0</v>
          </cell>
          <cell r="Z1331">
            <v>0.25559999999999999</v>
          </cell>
          <cell r="AA1331">
            <v>0</v>
          </cell>
          <cell r="AB1331">
            <v>0.2223</v>
          </cell>
          <cell r="AC1331">
            <v>0</v>
          </cell>
          <cell r="AD1331">
            <v>0.1933</v>
          </cell>
          <cell r="AE1331">
            <v>0</v>
          </cell>
          <cell r="AG1331" t="str">
            <v/>
          </cell>
          <cell r="AH1331" t="str">
            <v/>
          </cell>
          <cell r="AJ1331">
            <v>0.29389999999999999</v>
          </cell>
          <cell r="AK1331">
            <v>0</v>
          </cell>
          <cell r="AL1331">
            <v>0.25559999999999999</v>
          </cell>
          <cell r="AM1331">
            <v>0</v>
          </cell>
          <cell r="AN1331">
            <v>0.2223</v>
          </cell>
          <cell r="AO1331">
            <v>0</v>
          </cell>
          <cell r="AP1331">
            <v>0.1933</v>
          </cell>
          <cell r="AQ1331">
            <v>0</v>
          </cell>
          <cell r="AS1331" t="str">
            <v/>
          </cell>
          <cell r="AT1331" t="str">
            <v/>
          </cell>
          <cell r="AV1331" t="b">
            <v>1</v>
          </cell>
          <cell r="AW1331" t="str">
            <v>minute</v>
          </cell>
        </row>
        <row r="1332">
          <cell r="S1332" t="str">
            <v>INT MLT MLMO</v>
          </cell>
          <cell r="T1332" t="str">
            <v>INT</v>
          </cell>
          <cell r="U1332" t="str">
            <v>MLT</v>
          </cell>
          <cell r="V1332" t="str">
            <v>MLMO</v>
          </cell>
          <cell r="X1332">
            <v>9.3299999999999994E-2</v>
          </cell>
          <cell r="Y1332">
            <v>0</v>
          </cell>
          <cell r="Z1332">
            <v>8.1100000000000005E-2</v>
          </cell>
          <cell r="AA1332">
            <v>0</v>
          </cell>
          <cell r="AB1332">
            <v>7.0499999999999993E-2</v>
          </cell>
          <cell r="AC1332">
            <v>0</v>
          </cell>
          <cell r="AD1332">
            <v>6.13E-2</v>
          </cell>
          <cell r="AE1332">
            <v>0</v>
          </cell>
          <cell r="AG1332" t="str">
            <v/>
          </cell>
          <cell r="AH1332" t="str">
            <v/>
          </cell>
          <cell r="AJ1332">
            <v>9.3299999999999994E-2</v>
          </cell>
          <cell r="AK1332">
            <v>0</v>
          </cell>
          <cell r="AL1332">
            <v>8.1100000000000005E-2</v>
          </cell>
          <cell r="AM1332">
            <v>0</v>
          </cell>
          <cell r="AN1332">
            <v>7.0499999999999993E-2</v>
          </cell>
          <cell r="AO1332">
            <v>0</v>
          </cell>
          <cell r="AP1332">
            <v>6.13E-2</v>
          </cell>
          <cell r="AQ1332">
            <v>0</v>
          </cell>
          <cell r="AS1332" t="str">
            <v/>
          </cell>
          <cell r="AT1332" t="str">
            <v/>
          </cell>
          <cell r="AV1332" t="b">
            <v>1</v>
          </cell>
          <cell r="AW1332" t="str">
            <v>minute</v>
          </cell>
        </row>
        <row r="1333">
          <cell r="S1333" t="str">
            <v>INT MLT</v>
          </cell>
          <cell r="T1333" t="str">
            <v>INT</v>
          </cell>
          <cell r="U1333" t="str">
            <v>MLT</v>
          </cell>
          <cell r="V1333" t="str">
            <v/>
          </cell>
          <cell r="X1333">
            <v>3.32E-2</v>
          </cell>
          <cell r="Y1333">
            <v>0</v>
          </cell>
          <cell r="Z1333">
            <v>2.8899999999999999E-2</v>
          </cell>
          <cell r="AA1333">
            <v>0</v>
          </cell>
          <cell r="AB1333">
            <v>2.5100000000000001E-2</v>
          </cell>
          <cell r="AC1333">
            <v>0</v>
          </cell>
          <cell r="AD1333">
            <v>2.18E-2</v>
          </cell>
          <cell r="AE1333">
            <v>0</v>
          </cell>
          <cell r="AG1333" t="str">
            <v/>
          </cell>
          <cell r="AH1333" t="str">
            <v/>
          </cell>
          <cell r="AJ1333">
            <v>3.32E-2</v>
          </cell>
          <cell r="AK1333">
            <v>0</v>
          </cell>
          <cell r="AL1333">
            <v>2.8899999999999999E-2</v>
          </cell>
          <cell r="AM1333">
            <v>0</v>
          </cell>
          <cell r="AN1333">
            <v>2.5100000000000001E-2</v>
          </cell>
          <cell r="AO1333">
            <v>0</v>
          </cell>
          <cell r="AP1333">
            <v>2.18E-2</v>
          </cell>
          <cell r="AQ1333">
            <v>0</v>
          </cell>
          <cell r="AS1333" t="str">
            <v/>
          </cell>
          <cell r="AT1333" t="str">
            <v/>
          </cell>
          <cell r="AV1333" t="b">
            <v>1</v>
          </cell>
          <cell r="AW1333" t="str">
            <v>minute</v>
          </cell>
        </row>
        <row r="1334">
          <cell r="S1334" t="str">
            <v>INT EMS MCP</v>
          </cell>
          <cell r="T1334" t="str">
            <v>INT</v>
          </cell>
          <cell r="U1334" t="str">
            <v>EMS</v>
          </cell>
          <cell r="V1334" t="str">
            <v>MCP</v>
          </cell>
          <cell r="X1334">
            <v>2.1453000000000002</v>
          </cell>
          <cell r="Y1334">
            <v>0</v>
          </cell>
          <cell r="Z1334">
            <v>1.8232999999999999</v>
          </cell>
          <cell r="AA1334">
            <v>0</v>
          </cell>
          <cell r="AB1334">
            <v>1.609</v>
          </cell>
          <cell r="AC1334">
            <v>0</v>
          </cell>
          <cell r="AD1334">
            <v>1.2869999999999999</v>
          </cell>
          <cell r="AE1334">
            <v>0</v>
          </cell>
          <cell r="AG1334" t="str">
            <v/>
          </cell>
          <cell r="AH1334" t="str">
            <v/>
          </cell>
          <cell r="AJ1334">
            <v>2.1453000000000002</v>
          </cell>
          <cell r="AK1334">
            <v>0</v>
          </cell>
          <cell r="AL1334">
            <v>1.8232999999999999</v>
          </cell>
          <cell r="AM1334">
            <v>0</v>
          </cell>
          <cell r="AN1334">
            <v>1.609</v>
          </cell>
          <cell r="AO1334">
            <v>0</v>
          </cell>
          <cell r="AP1334">
            <v>1.2869999999999999</v>
          </cell>
          <cell r="AQ1334">
            <v>0</v>
          </cell>
          <cell r="AS1334" t="str">
            <v/>
          </cell>
          <cell r="AT1334" t="str">
            <v/>
          </cell>
          <cell r="AV1334" t="b">
            <v>1</v>
          </cell>
          <cell r="AW1334" t="str">
            <v>minute</v>
          </cell>
        </row>
        <row r="1335">
          <cell r="S1335" t="str">
            <v>INT MHL</v>
          </cell>
          <cell r="T1335" t="str">
            <v>INT</v>
          </cell>
          <cell r="U1335" t="str">
            <v>MHL</v>
          </cell>
          <cell r="V1335" t="str">
            <v/>
          </cell>
          <cell r="X1335">
            <v>0.35959999999999998</v>
          </cell>
          <cell r="Y1335">
            <v>0</v>
          </cell>
          <cell r="Z1335">
            <v>0.31269999999999998</v>
          </cell>
          <cell r="AA1335">
            <v>0</v>
          </cell>
          <cell r="AB1335">
            <v>0.27189999999999998</v>
          </cell>
          <cell r="AC1335">
            <v>0</v>
          </cell>
          <cell r="AD1335">
            <v>0.2364</v>
          </cell>
          <cell r="AE1335">
            <v>0</v>
          </cell>
          <cell r="AG1335" t="str">
            <v/>
          </cell>
          <cell r="AH1335" t="str">
            <v/>
          </cell>
          <cell r="AJ1335">
            <v>0.35959999999999998</v>
          </cell>
          <cell r="AK1335">
            <v>0</v>
          </cell>
          <cell r="AL1335">
            <v>0.31269999999999998</v>
          </cell>
          <cell r="AM1335">
            <v>0</v>
          </cell>
          <cell r="AN1335">
            <v>0.27189999999999998</v>
          </cell>
          <cell r="AO1335">
            <v>0</v>
          </cell>
          <cell r="AP1335">
            <v>0.2364</v>
          </cell>
          <cell r="AQ1335">
            <v>0</v>
          </cell>
          <cell r="AS1335" t="str">
            <v/>
          </cell>
          <cell r="AT1335" t="str">
            <v/>
          </cell>
          <cell r="AV1335" t="b">
            <v>1</v>
          </cell>
          <cell r="AW1335" t="str">
            <v>minute</v>
          </cell>
        </row>
        <row r="1336">
          <cell r="S1336" t="str">
            <v>INT MTQ MTQMO</v>
          </cell>
          <cell r="T1336" t="str">
            <v>INT</v>
          </cell>
          <cell r="U1336" t="str">
            <v>MTQ</v>
          </cell>
          <cell r="V1336" t="str">
            <v>MTQMO</v>
          </cell>
          <cell r="X1336">
            <v>4.4299999999999999E-2</v>
          </cell>
          <cell r="Y1336">
            <v>0</v>
          </cell>
          <cell r="Z1336">
            <v>3.85E-2</v>
          </cell>
          <cell r="AA1336">
            <v>0</v>
          </cell>
          <cell r="AB1336">
            <v>3.3500000000000002E-2</v>
          </cell>
          <cell r="AC1336">
            <v>0</v>
          </cell>
          <cell r="AD1336">
            <v>2.9100000000000001E-2</v>
          </cell>
          <cell r="AE1336">
            <v>0</v>
          </cell>
          <cell r="AG1336" t="str">
            <v/>
          </cell>
          <cell r="AH1336" t="str">
            <v/>
          </cell>
          <cell r="AJ1336">
            <v>4.4299999999999999E-2</v>
          </cell>
          <cell r="AK1336">
            <v>0</v>
          </cell>
          <cell r="AL1336">
            <v>3.85E-2</v>
          </cell>
          <cell r="AM1336">
            <v>0</v>
          </cell>
          <cell r="AN1336">
            <v>3.3500000000000002E-2</v>
          </cell>
          <cell r="AO1336">
            <v>0</v>
          </cell>
          <cell r="AP1336">
            <v>2.9100000000000001E-2</v>
          </cell>
          <cell r="AQ1336">
            <v>0</v>
          </cell>
          <cell r="AS1336" t="str">
            <v/>
          </cell>
          <cell r="AT1336" t="str">
            <v/>
          </cell>
          <cell r="AV1336" t="b">
            <v>1</v>
          </cell>
          <cell r="AW1336" t="str">
            <v>minute</v>
          </cell>
        </row>
        <row r="1337">
          <cell r="S1337" t="str">
            <v>INT MTQ</v>
          </cell>
          <cell r="T1337" t="str">
            <v>INT</v>
          </cell>
          <cell r="U1337" t="str">
            <v>MTQ</v>
          </cell>
          <cell r="V1337" t="str">
            <v/>
          </cell>
          <cell r="X1337">
            <v>2.23E-2</v>
          </cell>
          <cell r="Y1337">
            <v>0</v>
          </cell>
          <cell r="Z1337">
            <v>1.9400000000000001E-2</v>
          </cell>
          <cell r="AA1337">
            <v>0</v>
          </cell>
          <cell r="AB1337">
            <v>1.6899999999999998E-2</v>
          </cell>
          <cell r="AC1337">
            <v>0</v>
          </cell>
          <cell r="AD1337">
            <v>1.47E-2</v>
          </cell>
          <cell r="AE1337">
            <v>0</v>
          </cell>
          <cell r="AG1337" t="str">
            <v/>
          </cell>
          <cell r="AH1337" t="str">
            <v/>
          </cell>
          <cell r="AJ1337">
            <v>2.23E-2</v>
          </cell>
          <cell r="AK1337">
            <v>0</v>
          </cell>
          <cell r="AL1337">
            <v>1.9400000000000001E-2</v>
          </cell>
          <cell r="AM1337">
            <v>0</v>
          </cell>
          <cell r="AN1337">
            <v>1.6899999999999998E-2</v>
          </cell>
          <cell r="AO1337">
            <v>0</v>
          </cell>
          <cell r="AP1337">
            <v>1.47E-2</v>
          </cell>
          <cell r="AQ1337">
            <v>0</v>
          </cell>
          <cell r="AS1337" t="str">
            <v/>
          </cell>
          <cell r="AT1337" t="str">
            <v/>
          </cell>
          <cell r="AV1337" t="b">
            <v>1</v>
          </cell>
          <cell r="AW1337" t="str">
            <v>minute</v>
          </cell>
        </row>
        <row r="1338">
          <cell r="S1338" t="str">
            <v>INT MRT</v>
          </cell>
          <cell r="T1338" t="str">
            <v>INT</v>
          </cell>
          <cell r="U1338" t="str">
            <v>MRT</v>
          </cell>
          <cell r="V1338" t="str">
            <v/>
          </cell>
          <cell r="X1338">
            <v>0.62250000000000005</v>
          </cell>
          <cell r="Y1338">
            <v>0</v>
          </cell>
          <cell r="Z1338">
            <v>0.5413</v>
          </cell>
          <cell r="AA1338">
            <v>0</v>
          </cell>
          <cell r="AB1338">
            <v>0.47070000000000001</v>
          </cell>
          <cell r="AC1338">
            <v>0</v>
          </cell>
          <cell r="AD1338">
            <v>0.4093</v>
          </cell>
          <cell r="AE1338">
            <v>0</v>
          </cell>
          <cell r="AG1338" t="str">
            <v/>
          </cell>
          <cell r="AH1338" t="str">
            <v/>
          </cell>
          <cell r="AJ1338">
            <v>0.62250000000000005</v>
          </cell>
          <cell r="AK1338">
            <v>0</v>
          </cell>
          <cell r="AL1338">
            <v>0.5413</v>
          </cell>
          <cell r="AM1338">
            <v>0</v>
          </cell>
          <cell r="AN1338">
            <v>0.47070000000000001</v>
          </cell>
          <cell r="AO1338">
            <v>0</v>
          </cell>
          <cell r="AP1338">
            <v>0.4093</v>
          </cell>
          <cell r="AQ1338">
            <v>0</v>
          </cell>
          <cell r="AS1338" t="str">
            <v/>
          </cell>
          <cell r="AT1338" t="str">
            <v/>
          </cell>
          <cell r="AV1338" t="b">
            <v>1</v>
          </cell>
          <cell r="AW1338" t="str">
            <v>minute</v>
          </cell>
        </row>
        <row r="1339">
          <cell r="S1339" t="str">
            <v>INT MUS MUSMO</v>
          </cell>
          <cell r="T1339" t="str">
            <v>INT</v>
          </cell>
          <cell r="U1339" t="str">
            <v>MUS</v>
          </cell>
          <cell r="V1339" t="str">
            <v>MUSMO</v>
          </cell>
          <cell r="X1339">
            <v>0.24229999999999999</v>
          </cell>
          <cell r="Y1339">
            <v>0</v>
          </cell>
          <cell r="Z1339">
            <v>0.2107</v>
          </cell>
          <cell r="AA1339">
            <v>0</v>
          </cell>
          <cell r="AB1339">
            <v>0.1832</v>
          </cell>
          <cell r="AC1339">
            <v>0</v>
          </cell>
          <cell r="AD1339">
            <v>0.1593</v>
          </cell>
          <cell r="AE1339">
            <v>0</v>
          </cell>
          <cell r="AG1339" t="str">
            <v/>
          </cell>
          <cell r="AH1339" t="str">
            <v/>
          </cell>
          <cell r="AJ1339">
            <v>0.24229999999999999</v>
          </cell>
          <cell r="AK1339">
            <v>0</v>
          </cell>
          <cell r="AL1339">
            <v>0.2107</v>
          </cell>
          <cell r="AM1339">
            <v>0</v>
          </cell>
          <cell r="AN1339">
            <v>0.1832</v>
          </cell>
          <cell r="AO1339">
            <v>0</v>
          </cell>
          <cell r="AP1339">
            <v>0.1593</v>
          </cell>
          <cell r="AQ1339">
            <v>0</v>
          </cell>
          <cell r="AS1339" t="str">
            <v/>
          </cell>
          <cell r="AT1339" t="str">
            <v/>
          </cell>
          <cell r="AV1339" t="b">
            <v>1</v>
          </cell>
          <cell r="AW1339" t="str">
            <v>minute</v>
          </cell>
        </row>
        <row r="1340">
          <cell r="S1340" t="str">
            <v>INT MUS</v>
          </cell>
          <cell r="T1340" t="str">
            <v>INT</v>
          </cell>
          <cell r="U1340" t="str">
            <v>MUS</v>
          </cell>
          <cell r="V1340" t="str">
            <v/>
          </cell>
          <cell r="X1340">
            <v>0.24229999999999999</v>
          </cell>
          <cell r="Y1340">
            <v>0</v>
          </cell>
          <cell r="Z1340">
            <v>0.2107</v>
          </cell>
          <cell r="AA1340">
            <v>0</v>
          </cell>
          <cell r="AB1340">
            <v>0.1832</v>
          </cell>
          <cell r="AC1340">
            <v>0</v>
          </cell>
          <cell r="AD1340">
            <v>0.1593</v>
          </cell>
          <cell r="AE1340">
            <v>0</v>
          </cell>
          <cell r="AG1340" t="str">
            <v/>
          </cell>
          <cell r="AH1340" t="str">
            <v/>
          </cell>
          <cell r="AJ1340">
            <v>0.24229999999999999</v>
          </cell>
          <cell r="AK1340">
            <v>0</v>
          </cell>
          <cell r="AL1340">
            <v>0.2107</v>
          </cell>
          <cell r="AM1340">
            <v>0</v>
          </cell>
          <cell r="AN1340">
            <v>0.1832</v>
          </cell>
          <cell r="AO1340">
            <v>0</v>
          </cell>
          <cell r="AP1340">
            <v>0.1593</v>
          </cell>
          <cell r="AQ1340">
            <v>0</v>
          </cell>
          <cell r="AS1340" t="str">
            <v/>
          </cell>
          <cell r="AT1340" t="str">
            <v/>
          </cell>
          <cell r="AV1340" t="b">
            <v>1</v>
          </cell>
          <cell r="AW1340" t="str">
            <v>minute</v>
          </cell>
        </row>
        <row r="1341">
          <cell r="S1341" t="str">
            <v>INT MAY</v>
          </cell>
          <cell r="T1341" t="str">
            <v>INT</v>
          </cell>
          <cell r="U1341" t="str">
            <v>MAY</v>
          </cell>
          <cell r="V1341" t="str">
            <v/>
          </cell>
          <cell r="X1341">
            <v>0.1105</v>
          </cell>
          <cell r="Y1341">
            <v>0</v>
          </cell>
          <cell r="Z1341">
            <v>9.6100000000000005E-2</v>
          </cell>
          <cell r="AA1341">
            <v>0</v>
          </cell>
          <cell r="AB1341">
            <v>8.3599999999999994E-2</v>
          </cell>
          <cell r="AC1341">
            <v>0</v>
          </cell>
          <cell r="AD1341">
            <v>7.2700000000000001E-2</v>
          </cell>
          <cell r="AE1341">
            <v>0</v>
          </cell>
          <cell r="AG1341" t="str">
            <v/>
          </cell>
          <cell r="AH1341" t="str">
            <v/>
          </cell>
          <cell r="AJ1341">
            <v>0.1105</v>
          </cell>
          <cell r="AK1341">
            <v>0</v>
          </cell>
          <cell r="AL1341">
            <v>9.6100000000000005E-2</v>
          </cell>
          <cell r="AM1341">
            <v>0</v>
          </cell>
          <cell r="AN1341">
            <v>8.3599999999999994E-2</v>
          </cell>
          <cell r="AO1341">
            <v>0</v>
          </cell>
          <cell r="AP1341">
            <v>7.2700000000000001E-2</v>
          </cell>
          <cell r="AQ1341">
            <v>0</v>
          </cell>
          <cell r="AS1341" t="str">
            <v/>
          </cell>
          <cell r="AT1341" t="str">
            <v/>
          </cell>
          <cell r="AV1341" t="b">
            <v>1</v>
          </cell>
          <cell r="AW1341" t="str">
            <v>minute</v>
          </cell>
        </row>
        <row r="1342">
          <cell r="S1342" t="str">
            <v>INT MEX MEXMO</v>
          </cell>
          <cell r="T1342" t="str">
            <v>INT</v>
          </cell>
          <cell r="U1342" t="str">
            <v>MEX</v>
          </cell>
          <cell r="V1342" t="str">
            <v>MEXMO</v>
          </cell>
          <cell r="X1342">
            <v>0.1043</v>
          </cell>
          <cell r="Y1342">
            <v>0</v>
          </cell>
          <cell r="Z1342">
            <v>9.0700000000000003E-2</v>
          </cell>
          <cell r="AA1342">
            <v>0</v>
          </cell>
          <cell r="AB1342">
            <v>7.8899999999999998E-2</v>
          </cell>
          <cell r="AC1342">
            <v>0</v>
          </cell>
          <cell r="AD1342">
            <v>6.8599999999999994E-2</v>
          </cell>
          <cell r="AE1342">
            <v>0</v>
          </cell>
          <cell r="AG1342" t="str">
            <v/>
          </cell>
          <cell r="AH1342" t="str">
            <v/>
          </cell>
          <cell r="AJ1342">
            <v>0.1043</v>
          </cell>
          <cell r="AK1342">
            <v>0</v>
          </cell>
          <cell r="AL1342">
            <v>9.0700000000000003E-2</v>
          </cell>
          <cell r="AM1342">
            <v>0</v>
          </cell>
          <cell r="AN1342">
            <v>7.8899999999999998E-2</v>
          </cell>
          <cell r="AO1342">
            <v>0</v>
          </cell>
          <cell r="AP1342">
            <v>6.8599999999999994E-2</v>
          </cell>
          <cell r="AQ1342">
            <v>0</v>
          </cell>
          <cell r="AS1342" t="str">
            <v/>
          </cell>
          <cell r="AT1342" t="str">
            <v/>
          </cell>
          <cell r="AV1342" t="b">
            <v>1</v>
          </cell>
          <cell r="AW1342" t="str">
            <v>minute</v>
          </cell>
        </row>
        <row r="1343">
          <cell r="S1343" t="str">
            <v>INT MEX</v>
          </cell>
          <cell r="T1343" t="str">
            <v>INT</v>
          </cell>
          <cell r="U1343" t="str">
            <v>MEX</v>
          </cell>
          <cell r="V1343" t="str">
            <v/>
          </cell>
          <cell r="X1343">
            <v>5.2699999999999997E-2</v>
          </cell>
          <cell r="Y1343">
            <v>0</v>
          </cell>
          <cell r="Z1343">
            <v>4.58E-2</v>
          </cell>
          <cell r="AA1343">
            <v>0</v>
          </cell>
          <cell r="AB1343">
            <v>3.9800000000000002E-2</v>
          </cell>
          <cell r="AC1343">
            <v>0</v>
          </cell>
          <cell r="AD1343">
            <v>3.4599999999999999E-2</v>
          </cell>
          <cell r="AE1343">
            <v>0</v>
          </cell>
          <cell r="AG1343" t="str">
            <v/>
          </cell>
          <cell r="AH1343" t="str">
            <v/>
          </cell>
          <cell r="AJ1343">
            <v>5.2699999999999997E-2</v>
          </cell>
          <cell r="AK1343">
            <v>0</v>
          </cell>
          <cell r="AL1343">
            <v>4.58E-2</v>
          </cell>
          <cell r="AM1343">
            <v>0</v>
          </cell>
          <cell r="AN1343">
            <v>3.9800000000000002E-2</v>
          </cell>
          <cell r="AO1343">
            <v>0</v>
          </cell>
          <cell r="AP1343">
            <v>3.4599999999999999E-2</v>
          </cell>
          <cell r="AQ1343">
            <v>0</v>
          </cell>
          <cell r="AS1343" t="str">
            <v/>
          </cell>
          <cell r="AT1343" t="str">
            <v/>
          </cell>
          <cell r="AV1343" t="b">
            <v>1</v>
          </cell>
          <cell r="AW1343" t="str">
            <v>minute</v>
          </cell>
        </row>
        <row r="1344">
          <cell r="S1344" t="str">
            <v>INT FSM</v>
          </cell>
          <cell r="T1344" t="str">
            <v>INT</v>
          </cell>
          <cell r="U1344" t="str">
            <v>FSM</v>
          </cell>
          <cell r="V1344" t="str">
            <v/>
          </cell>
          <cell r="X1344">
            <v>0.29060000000000002</v>
          </cell>
          <cell r="Y1344">
            <v>0</v>
          </cell>
          <cell r="Z1344">
            <v>0.25259999999999999</v>
          </cell>
          <cell r="AA1344">
            <v>0</v>
          </cell>
          <cell r="AB1344">
            <v>0.21970000000000001</v>
          </cell>
          <cell r="AC1344">
            <v>0</v>
          </cell>
          <cell r="AD1344">
            <v>0.191</v>
          </cell>
          <cell r="AE1344">
            <v>0</v>
          </cell>
          <cell r="AG1344" t="str">
            <v/>
          </cell>
          <cell r="AH1344" t="str">
            <v/>
          </cell>
          <cell r="AJ1344">
            <v>0.29060000000000002</v>
          </cell>
          <cell r="AK1344">
            <v>0</v>
          </cell>
          <cell r="AL1344">
            <v>0.25259999999999999</v>
          </cell>
          <cell r="AM1344">
            <v>0</v>
          </cell>
          <cell r="AN1344">
            <v>0.21970000000000001</v>
          </cell>
          <cell r="AO1344">
            <v>0</v>
          </cell>
          <cell r="AP1344">
            <v>0.191</v>
          </cell>
          <cell r="AQ1344">
            <v>0</v>
          </cell>
          <cell r="AS1344" t="str">
            <v/>
          </cell>
          <cell r="AT1344" t="str">
            <v/>
          </cell>
          <cell r="AV1344" t="b">
            <v>1</v>
          </cell>
          <cell r="AW1344" t="str">
            <v>minute</v>
          </cell>
        </row>
        <row r="1345">
          <cell r="S1345" t="str">
            <v>INT UMI</v>
          </cell>
          <cell r="T1345" t="str">
            <v>INT</v>
          </cell>
          <cell r="U1345" t="str">
            <v>UMI</v>
          </cell>
          <cell r="V1345" t="str">
            <v/>
          </cell>
          <cell r="X1345">
            <v>2.1299999999999999E-2</v>
          </cell>
          <cell r="Y1345">
            <v>0</v>
          </cell>
          <cell r="Z1345">
            <v>2.0400000000000001E-2</v>
          </cell>
          <cell r="AA1345">
            <v>0</v>
          </cell>
          <cell r="AB1345">
            <v>1.95E-2</v>
          </cell>
          <cell r="AC1345">
            <v>0</v>
          </cell>
          <cell r="AD1345">
            <v>1.8700000000000001E-2</v>
          </cell>
          <cell r="AE1345">
            <v>0</v>
          </cell>
          <cell r="AG1345" t="str">
            <v/>
          </cell>
          <cell r="AH1345" t="str">
            <v/>
          </cell>
          <cell r="AJ1345">
            <v>2.1299999999999999E-2</v>
          </cell>
          <cell r="AK1345">
            <v>0</v>
          </cell>
          <cell r="AL1345">
            <v>2.0400000000000001E-2</v>
          </cell>
          <cell r="AM1345">
            <v>0</v>
          </cell>
          <cell r="AN1345">
            <v>1.95E-2</v>
          </cell>
          <cell r="AO1345">
            <v>0</v>
          </cell>
          <cell r="AP1345">
            <v>1.8700000000000001E-2</v>
          </cell>
          <cell r="AQ1345">
            <v>0</v>
          </cell>
          <cell r="AS1345" t="str">
            <v/>
          </cell>
          <cell r="AT1345" t="str">
            <v/>
          </cell>
          <cell r="AV1345" t="b">
            <v>1</v>
          </cell>
          <cell r="AW1345" t="str">
            <v>minute</v>
          </cell>
        </row>
        <row r="1346">
          <cell r="S1346" t="str">
            <v>INT MDA MDAMO</v>
          </cell>
          <cell r="T1346" t="str">
            <v>INT</v>
          </cell>
          <cell r="U1346" t="str">
            <v>MDA</v>
          </cell>
          <cell r="V1346" t="str">
            <v>MDAMO</v>
          </cell>
          <cell r="X1346">
            <v>0.37980000000000003</v>
          </cell>
          <cell r="Y1346">
            <v>0</v>
          </cell>
          <cell r="Z1346">
            <v>0.33029999999999998</v>
          </cell>
          <cell r="AA1346">
            <v>0</v>
          </cell>
          <cell r="AB1346">
            <v>0.28720000000000001</v>
          </cell>
          <cell r="AC1346">
            <v>0</v>
          </cell>
          <cell r="AD1346">
            <v>0.24970000000000001</v>
          </cell>
          <cell r="AE1346">
            <v>0</v>
          </cell>
          <cell r="AG1346" t="str">
            <v/>
          </cell>
          <cell r="AH1346" t="str">
            <v/>
          </cell>
          <cell r="AJ1346">
            <v>0.37980000000000003</v>
          </cell>
          <cell r="AK1346">
            <v>0</v>
          </cell>
          <cell r="AL1346">
            <v>0.33029999999999998</v>
          </cell>
          <cell r="AM1346">
            <v>0</v>
          </cell>
          <cell r="AN1346">
            <v>0.28720000000000001</v>
          </cell>
          <cell r="AO1346">
            <v>0</v>
          </cell>
          <cell r="AP1346">
            <v>0.24970000000000001</v>
          </cell>
          <cell r="AQ1346">
            <v>0</v>
          </cell>
          <cell r="AS1346" t="str">
            <v/>
          </cell>
          <cell r="AT1346" t="str">
            <v/>
          </cell>
          <cell r="AV1346" t="b">
            <v>1</v>
          </cell>
          <cell r="AW1346" t="str">
            <v>minute</v>
          </cell>
        </row>
        <row r="1347">
          <cell r="S1347" t="str">
            <v>INT MDA</v>
          </cell>
          <cell r="T1347" t="str">
            <v>INT</v>
          </cell>
          <cell r="U1347" t="str">
            <v>MDA</v>
          </cell>
          <cell r="V1347" t="str">
            <v/>
          </cell>
          <cell r="X1347">
            <v>0.20030000000000001</v>
          </cell>
          <cell r="Y1347">
            <v>0</v>
          </cell>
          <cell r="Z1347">
            <v>0.17419999999999999</v>
          </cell>
          <cell r="AA1347">
            <v>0</v>
          </cell>
          <cell r="AB1347">
            <v>0.1515</v>
          </cell>
          <cell r="AC1347">
            <v>0</v>
          </cell>
          <cell r="AD1347">
            <v>0.13170000000000001</v>
          </cell>
          <cell r="AE1347">
            <v>0</v>
          </cell>
          <cell r="AG1347" t="str">
            <v/>
          </cell>
          <cell r="AH1347" t="str">
            <v/>
          </cell>
          <cell r="AJ1347">
            <v>0.20030000000000001</v>
          </cell>
          <cell r="AK1347">
            <v>0</v>
          </cell>
          <cell r="AL1347">
            <v>0.17419999999999999</v>
          </cell>
          <cell r="AM1347">
            <v>0</v>
          </cell>
          <cell r="AN1347">
            <v>0.1515</v>
          </cell>
          <cell r="AO1347">
            <v>0</v>
          </cell>
          <cell r="AP1347">
            <v>0.13170000000000001</v>
          </cell>
          <cell r="AQ1347">
            <v>0</v>
          </cell>
          <cell r="AS1347" t="str">
            <v/>
          </cell>
          <cell r="AT1347" t="str">
            <v/>
          </cell>
          <cell r="AV1347" t="b">
            <v>1</v>
          </cell>
          <cell r="AW1347" t="str">
            <v>minute</v>
          </cell>
        </row>
        <row r="1348">
          <cell r="S1348" t="str">
            <v>INT MCO MCOMO</v>
          </cell>
          <cell r="T1348" t="str">
            <v>INT</v>
          </cell>
          <cell r="U1348" t="str">
            <v>MCO</v>
          </cell>
          <cell r="V1348" t="str">
            <v>MCOMO</v>
          </cell>
          <cell r="X1348">
            <v>0.51829999999999998</v>
          </cell>
          <cell r="Y1348">
            <v>0</v>
          </cell>
          <cell r="Z1348">
            <v>0.45069999999999999</v>
          </cell>
          <cell r="AA1348">
            <v>0</v>
          </cell>
          <cell r="AB1348">
            <v>0.39190000000000003</v>
          </cell>
          <cell r="AC1348">
            <v>0</v>
          </cell>
          <cell r="AD1348">
            <v>0.34079999999999999</v>
          </cell>
          <cell r="AE1348">
            <v>0</v>
          </cell>
          <cell r="AG1348" t="str">
            <v/>
          </cell>
          <cell r="AH1348" t="str">
            <v/>
          </cell>
          <cell r="AJ1348">
            <v>0.51829999999999998</v>
          </cell>
          <cell r="AK1348">
            <v>0</v>
          </cell>
          <cell r="AL1348">
            <v>0.45069999999999999</v>
          </cell>
          <cell r="AM1348">
            <v>0</v>
          </cell>
          <cell r="AN1348">
            <v>0.39190000000000003</v>
          </cell>
          <cell r="AO1348">
            <v>0</v>
          </cell>
          <cell r="AP1348">
            <v>0.34079999999999999</v>
          </cell>
          <cell r="AQ1348">
            <v>0</v>
          </cell>
          <cell r="AS1348" t="str">
            <v/>
          </cell>
          <cell r="AT1348" t="str">
            <v/>
          </cell>
          <cell r="AV1348" t="b">
            <v>1</v>
          </cell>
          <cell r="AW1348" t="str">
            <v>minute</v>
          </cell>
        </row>
        <row r="1349">
          <cell r="S1349" t="str">
            <v>INT MCO</v>
          </cell>
          <cell r="T1349" t="str">
            <v>INT</v>
          </cell>
          <cell r="U1349" t="str">
            <v>MCO</v>
          </cell>
          <cell r="V1349" t="str">
            <v/>
          </cell>
          <cell r="X1349">
            <v>0.1055</v>
          </cell>
          <cell r="Y1349">
            <v>0</v>
          </cell>
          <cell r="Z1349">
            <v>9.1700000000000004E-2</v>
          </cell>
          <cell r="AA1349">
            <v>0</v>
          </cell>
          <cell r="AB1349">
            <v>7.9699999999999993E-2</v>
          </cell>
          <cell r="AC1349">
            <v>0</v>
          </cell>
          <cell r="AD1349">
            <v>6.93E-2</v>
          </cell>
          <cell r="AE1349">
            <v>0</v>
          </cell>
          <cell r="AG1349" t="str">
            <v/>
          </cell>
          <cell r="AH1349" t="str">
            <v/>
          </cell>
          <cell r="AJ1349">
            <v>0.1055</v>
          </cell>
          <cell r="AK1349">
            <v>0</v>
          </cell>
          <cell r="AL1349">
            <v>9.1700000000000004E-2</v>
          </cell>
          <cell r="AM1349">
            <v>0</v>
          </cell>
          <cell r="AN1349">
            <v>7.9699999999999993E-2</v>
          </cell>
          <cell r="AO1349">
            <v>0</v>
          </cell>
          <cell r="AP1349">
            <v>6.93E-2</v>
          </cell>
          <cell r="AQ1349">
            <v>0</v>
          </cell>
          <cell r="AS1349" t="str">
            <v/>
          </cell>
          <cell r="AT1349" t="str">
            <v/>
          </cell>
          <cell r="AV1349" t="b">
            <v>1</v>
          </cell>
          <cell r="AW1349" t="str">
            <v>minute</v>
          </cell>
        </row>
        <row r="1350">
          <cell r="S1350" t="str">
            <v>INT MNG</v>
          </cell>
          <cell r="T1350" t="str">
            <v>INT</v>
          </cell>
          <cell r="U1350" t="str">
            <v>MNG</v>
          </cell>
          <cell r="V1350" t="str">
            <v/>
          </cell>
          <cell r="X1350">
            <v>7.5899999999999995E-2</v>
          </cell>
          <cell r="Y1350">
            <v>0</v>
          </cell>
          <cell r="Z1350">
            <v>6.6000000000000003E-2</v>
          </cell>
          <cell r="AA1350">
            <v>0</v>
          </cell>
          <cell r="AB1350">
            <v>5.74E-2</v>
          </cell>
          <cell r="AC1350">
            <v>0</v>
          </cell>
          <cell r="AD1350">
            <v>4.99E-2</v>
          </cell>
          <cell r="AE1350">
            <v>0</v>
          </cell>
          <cell r="AG1350" t="str">
            <v/>
          </cell>
          <cell r="AH1350" t="str">
            <v/>
          </cell>
          <cell r="AJ1350">
            <v>7.5899999999999995E-2</v>
          </cell>
          <cell r="AK1350">
            <v>0</v>
          </cell>
          <cell r="AL1350">
            <v>6.6000000000000003E-2</v>
          </cell>
          <cell r="AM1350">
            <v>0</v>
          </cell>
          <cell r="AN1350">
            <v>5.74E-2</v>
          </cell>
          <cell r="AO1350">
            <v>0</v>
          </cell>
          <cell r="AP1350">
            <v>4.99E-2</v>
          </cell>
          <cell r="AQ1350">
            <v>0</v>
          </cell>
          <cell r="AS1350" t="str">
            <v/>
          </cell>
          <cell r="AT1350" t="str">
            <v/>
          </cell>
          <cell r="AV1350" t="b">
            <v>1</v>
          </cell>
          <cell r="AW1350" t="str">
            <v>minute</v>
          </cell>
        </row>
        <row r="1351">
          <cell r="S1351" t="str">
            <v>INT MNE</v>
          </cell>
          <cell r="T1351" t="str">
            <v>INT</v>
          </cell>
          <cell r="U1351" t="str">
            <v>MNE</v>
          </cell>
          <cell r="V1351" t="str">
            <v/>
          </cell>
          <cell r="X1351">
            <v>0.53649999999999998</v>
          </cell>
          <cell r="Y1351">
            <v>0</v>
          </cell>
          <cell r="Z1351">
            <v>0.46660000000000001</v>
          </cell>
          <cell r="AA1351">
            <v>0</v>
          </cell>
          <cell r="AB1351">
            <v>0.40570000000000001</v>
          </cell>
          <cell r="AC1351">
            <v>0</v>
          </cell>
          <cell r="AD1351">
            <v>0.3528</v>
          </cell>
          <cell r="AE1351">
            <v>0</v>
          </cell>
          <cell r="AG1351" t="str">
            <v/>
          </cell>
          <cell r="AH1351" t="str">
            <v/>
          </cell>
          <cell r="AJ1351">
            <v>0.53649999999999998</v>
          </cell>
          <cell r="AK1351">
            <v>0</v>
          </cell>
          <cell r="AL1351">
            <v>0.46660000000000001</v>
          </cell>
          <cell r="AM1351">
            <v>0</v>
          </cell>
          <cell r="AN1351">
            <v>0.40570000000000001</v>
          </cell>
          <cell r="AO1351">
            <v>0</v>
          </cell>
          <cell r="AP1351">
            <v>0.3528</v>
          </cell>
          <cell r="AQ1351">
            <v>0</v>
          </cell>
          <cell r="AS1351" t="str">
            <v/>
          </cell>
          <cell r="AT1351" t="str">
            <v/>
          </cell>
          <cell r="AV1351" t="b">
            <v>1</v>
          </cell>
          <cell r="AW1351" t="str">
            <v>minute</v>
          </cell>
        </row>
        <row r="1352">
          <cell r="S1352" t="str">
            <v>INT MSR</v>
          </cell>
          <cell r="T1352" t="str">
            <v>INT</v>
          </cell>
          <cell r="U1352" t="str">
            <v>MSR</v>
          </cell>
          <cell r="V1352" t="str">
            <v/>
          </cell>
          <cell r="X1352">
            <v>0.26150000000000001</v>
          </cell>
          <cell r="Y1352">
            <v>0</v>
          </cell>
          <cell r="Z1352">
            <v>0.22739999999999999</v>
          </cell>
          <cell r="AA1352">
            <v>0</v>
          </cell>
          <cell r="AB1352">
            <v>0.19769999999999999</v>
          </cell>
          <cell r="AC1352">
            <v>0</v>
          </cell>
          <cell r="AD1352">
            <v>0.1719</v>
          </cell>
          <cell r="AE1352">
            <v>0</v>
          </cell>
          <cell r="AG1352" t="str">
            <v/>
          </cell>
          <cell r="AH1352" t="str">
            <v/>
          </cell>
          <cell r="AJ1352">
            <v>0.26150000000000001</v>
          </cell>
          <cell r="AK1352">
            <v>0</v>
          </cell>
          <cell r="AL1352">
            <v>0.22739999999999999</v>
          </cell>
          <cell r="AM1352">
            <v>0</v>
          </cell>
          <cell r="AN1352">
            <v>0.19769999999999999</v>
          </cell>
          <cell r="AO1352">
            <v>0</v>
          </cell>
          <cell r="AP1352">
            <v>0.1719</v>
          </cell>
          <cell r="AQ1352">
            <v>0</v>
          </cell>
          <cell r="AS1352" t="str">
            <v/>
          </cell>
          <cell r="AT1352" t="str">
            <v/>
          </cell>
          <cell r="AV1352" t="b">
            <v>1</v>
          </cell>
          <cell r="AW1352" t="str">
            <v>minute</v>
          </cell>
        </row>
        <row r="1353">
          <cell r="S1353" t="str">
            <v>INT MAR MARMO</v>
          </cell>
          <cell r="T1353" t="str">
            <v>INT</v>
          </cell>
          <cell r="U1353" t="str">
            <v>MAR</v>
          </cell>
          <cell r="V1353" t="str">
            <v>MARMO</v>
          </cell>
          <cell r="X1353">
            <v>0.55430000000000001</v>
          </cell>
          <cell r="Y1353">
            <v>0</v>
          </cell>
          <cell r="Z1353">
            <v>0.48199999999999998</v>
          </cell>
          <cell r="AA1353">
            <v>0</v>
          </cell>
          <cell r="AB1353">
            <v>0.41909999999999997</v>
          </cell>
          <cell r="AC1353">
            <v>0</v>
          </cell>
          <cell r="AD1353">
            <v>0.3644</v>
          </cell>
          <cell r="AE1353">
            <v>0</v>
          </cell>
          <cell r="AG1353" t="str">
            <v/>
          </cell>
          <cell r="AH1353" t="str">
            <v/>
          </cell>
          <cell r="AJ1353">
            <v>0.55430000000000001</v>
          </cell>
          <cell r="AK1353">
            <v>0</v>
          </cell>
          <cell r="AL1353">
            <v>0.48199999999999998</v>
          </cell>
          <cell r="AM1353">
            <v>0</v>
          </cell>
          <cell r="AN1353">
            <v>0.41909999999999997</v>
          </cell>
          <cell r="AO1353">
            <v>0</v>
          </cell>
          <cell r="AP1353">
            <v>0.3644</v>
          </cell>
          <cell r="AQ1353">
            <v>0</v>
          </cell>
          <cell r="AS1353" t="str">
            <v/>
          </cell>
          <cell r="AT1353" t="str">
            <v/>
          </cell>
          <cell r="AV1353" t="b">
            <v>1</v>
          </cell>
          <cell r="AW1353" t="str">
            <v>minute</v>
          </cell>
        </row>
        <row r="1354">
          <cell r="S1354" t="str">
            <v>INT MAR</v>
          </cell>
          <cell r="T1354" t="str">
            <v>INT</v>
          </cell>
          <cell r="U1354" t="str">
            <v>MAR</v>
          </cell>
          <cell r="V1354" t="str">
            <v/>
          </cell>
          <cell r="X1354">
            <v>3.4599999999999999E-2</v>
          </cell>
          <cell r="Y1354">
            <v>0</v>
          </cell>
          <cell r="Z1354">
            <v>3.0099999999999998E-2</v>
          </cell>
          <cell r="AA1354">
            <v>0</v>
          </cell>
          <cell r="AB1354">
            <v>2.6200000000000001E-2</v>
          </cell>
          <cell r="AC1354">
            <v>0</v>
          </cell>
          <cell r="AD1354">
            <v>2.2800000000000001E-2</v>
          </cell>
          <cell r="AE1354">
            <v>0</v>
          </cell>
          <cell r="AG1354" t="str">
            <v/>
          </cell>
          <cell r="AH1354" t="str">
            <v/>
          </cell>
          <cell r="AJ1354">
            <v>3.4599999999999999E-2</v>
          </cell>
          <cell r="AK1354">
            <v>0</v>
          </cell>
          <cell r="AL1354">
            <v>3.0099999999999998E-2</v>
          </cell>
          <cell r="AM1354">
            <v>0</v>
          </cell>
          <cell r="AN1354">
            <v>2.6200000000000001E-2</v>
          </cell>
          <cell r="AO1354">
            <v>0</v>
          </cell>
          <cell r="AP1354">
            <v>2.2800000000000001E-2</v>
          </cell>
          <cell r="AQ1354">
            <v>0</v>
          </cell>
          <cell r="AS1354" t="str">
            <v/>
          </cell>
          <cell r="AT1354" t="str">
            <v/>
          </cell>
          <cell r="AV1354" t="b">
            <v>1</v>
          </cell>
          <cell r="AW1354" t="str">
            <v>minute</v>
          </cell>
        </row>
        <row r="1355">
          <cell r="S1355" t="str">
            <v>INT MOZ MOZMO</v>
          </cell>
          <cell r="T1355" t="str">
            <v>INT</v>
          </cell>
          <cell r="U1355" t="str">
            <v>MOZ</v>
          </cell>
          <cell r="V1355" t="str">
            <v>MOZMO</v>
          </cell>
          <cell r="X1355">
            <v>0.36080000000000001</v>
          </cell>
          <cell r="Y1355">
            <v>0</v>
          </cell>
          <cell r="Z1355">
            <v>0.31369999999999998</v>
          </cell>
          <cell r="AA1355">
            <v>0</v>
          </cell>
          <cell r="AB1355">
            <v>0.27279999999999999</v>
          </cell>
          <cell r="AC1355">
            <v>0</v>
          </cell>
          <cell r="AD1355">
            <v>0.23719999999999999</v>
          </cell>
          <cell r="AE1355">
            <v>0</v>
          </cell>
          <cell r="AG1355" t="str">
            <v/>
          </cell>
          <cell r="AH1355" t="str">
            <v/>
          </cell>
          <cell r="AJ1355">
            <v>0.36080000000000001</v>
          </cell>
          <cell r="AK1355">
            <v>0</v>
          </cell>
          <cell r="AL1355">
            <v>0.31369999999999998</v>
          </cell>
          <cell r="AM1355">
            <v>0</v>
          </cell>
          <cell r="AN1355">
            <v>0.27279999999999999</v>
          </cell>
          <cell r="AO1355">
            <v>0</v>
          </cell>
          <cell r="AP1355">
            <v>0.23719999999999999</v>
          </cell>
          <cell r="AQ1355">
            <v>0</v>
          </cell>
          <cell r="AS1355" t="str">
            <v/>
          </cell>
          <cell r="AT1355" t="str">
            <v/>
          </cell>
          <cell r="AV1355" t="b">
            <v>1</v>
          </cell>
          <cell r="AW1355" t="str">
            <v>minute</v>
          </cell>
        </row>
        <row r="1356">
          <cell r="S1356" t="str">
            <v>INT MOZ</v>
          </cell>
          <cell r="T1356" t="str">
            <v>INT</v>
          </cell>
          <cell r="U1356" t="str">
            <v>MOZ</v>
          </cell>
          <cell r="V1356" t="str">
            <v/>
          </cell>
          <cell r="X1356">
            <v>0.1012</v>
          </cell>
          <cell r="Y1356">
            <v>0</v>
          </cell>
          <cell r="Z1356">
            <v>8.7999999999999995E-2</v>
          </cell>
          <cell r="AA1356">
            <v>0</v>
          </cell>
          <cell r="AB1356">
            <v>7.6499999999999999E-2</v>
          </cell>
          <cell r="AC1356">
            <v>0</v>
          </cell>
          <cell r="AD1356">
            <v>6.6500000000000004E-2</v>
          </cell>
          <cell r="AE1356">
            <v>0</v>
          </cell>
          <cell r="AG1356" t="str">
            <v/>
          </cell>
          <cell r="AH1356" t="str">
            <v/>
          </cell>
          <cell r="AJ1356">
            <v>0.1012</v>
          </cell>
          <cell r="AK1356">
            <v>0</v>
          </cell>
          <cell r="AL1356">
            <v>8.7999999999999995E-2</v>
          </cell>
          <cell r="AM1356">
            <v>0</v>
          </cell>
          <cell r="AN1356">
            <v>7.6499999999999999E-2</v>
          </cell>
          <cell r="AO1356">
            <v>0</v>
          </cell>
          <cell r="AP1356">
            <v>6.6500000000000004E-2</v>
          </cell>
          <cell r="AQ1356">
            <v>0</v>
          </cell>
          <cell r="AS1356" t="str">
            <v/>
          </cell>
          <cell r="AT1356" t="str">
            <v/>
          </cell>
          <cell r="AV1356" t="b">
            <v>1</v>
          </cell>
          <cell r="AW1356" t="str">
            <v>minute</v>
          </cell>
        </row>
        <row r="1357">
          <cell r="S1357" t="str">
            <v>INT BUR BURMO</v>
          </cell>
          <cell r="T1357" t="str">
            <v>INT</v>
          </cell>
          <cell r="U1357" t="str">
            <v>BUR</v>
          </cell>
          <cell r="V1357" t="str">
            <v>BURMO</v>
          </cell>
          <cell r="X1357">
            <v>0.41</v>
          </cell>
          <cell r="Y1357">
            <v>0</v>
          </cell>
          <cell r="Z1357">
            <v>0.35649999999999998</v>
          </cell>
          <cell r="AA1357">
            <v>0</v>
          </cell>
          <cell r="AB1357">
            <v>0.31</v>
          </cell>
          <cell r="AC1357">
            <v>0</v>
          </cell>
          <cell r="AD1357">
            <v>0.26960000000000001</v>
          </cell>
          <cell r="AE1357">
            <v>0</v>
          </cell>
          <cell r="AG1357" t="str">
            <v/>
          </cell>
          <cell r="AH1357" t="str">
            <v/>
          </cell>
          <cell r="AJ1357">
            <v>0.41</v>
          </cell>
          <cell r="AK1357">
            <v>0</v>
          </cell>
          <cell r="AL1357">
            <v>0.35649999999999998</v>
          </cell>
          <cell r="AM1357">
            <v>0</v>
          </cell>
          <cell r="AN1357">
            <v>0.31</v>
          </cell>
          <cell r="AO1357">
            <v>0</v>
          </cell>
          <cell r="AP1357">
            <v>0.26960000000000001</v>
          </cell>
          <cell r="AQ1357">
            <v>0</v>
          </cell>
          <cell r="AS1357" t="str">
            <v/>
          </cell>
          <cell r="AT1357" t="str">
            <v/>
          </cell>
          <cell r="AV1357" t="b">
            <v>1</v>
          </cell>
          <cell r="AW1357" t="str">
            <v>minute</v>
          </cell>
        </row>
        <row r="1358">
          <cell r="S1358" t="str">
            <v>INT BUR</v>
          </cell>
          <cell r="T1358" t="str">
            <v>INT</v>
          </cell>
          <cell r="U1358" t="str">
            <v>BUR</v>
          </cell>
          <cell r="V1358" t="str">
            <v/>
          </cell>
          <cell r="X1358">
            <v>0.40570000000000001</v>
          </cell>
          <cell r="Y1358">
            <v>0</v>
          </cell>
          <cell r="Z1358">
            <v>0.3528</v>
          </cell>
          <cell r="AA1358">
            <v>0</v>
          </cell>
          <cell r="AB1358">
            <v>0.30680000000000002</v>
          </cell>
          <cell r="AC1358">
            <v>0</v>
          </cell>
          <cell r="AD1358">
            <v>0.26669999999999999</v>
          </cell>
          <cell r="AE1358">
            <v>0</v>
          </cell>
          <cell r="AG1358" t="str">
            <v/>
          </cell>
          <cell r="AH1358" t="str">
            <v/>
          </cell>
          <cell r="AJ1358">
            <v>0.40570000000000001</v>
          </cell>
          <cell r="AK1358">
            <v>0</v>
          </cell>
          <cell r="AL1358">
            <v>0.3528</v>
          </cell>
          <cell r="AM1358">
            <v>0</v>
          </cell>
          <cell r="AN1358">
            <v>0.30680000000000002</v>
          </cell>
          <cell r="AO1358">
            <v>0</v>
          </cell>
          <cell r="AP1358">
            <v>0.26669999999999999</v>
          </cell>
          <cell r="AQ1358">
            <v>0</v>
          </cell>
          <cell r="AS1358" t="str">
            <v/>
          </cell>
          <cell r="AT1358" t="str">
            <v/>
          </cell>
          <cell r="AV1358" t="b">
            <v>1</v>
          </cell>
          <cell r="AW1358" t="str">
            <v>minute</v>
          </cell>
        </row>
        <row r="1359">
          <cell r="S1359" t="str">
            <v>INT NAM NAMMO</v>
          </cell>
          <cell r="T1359" t="str">
            <v>INT</v>
          </cell>
          <cell r="U1359" t="str">
            <v>NAM</v>
          </cell>
          <cell r="V1359" t="str">
            <v>NAMMO</v>
          </cell>
          <cell r="X1359">
            <v>0.19400000000000001</v>
          </cell>
          <cell r="Y1359">
            <v>0</v>
          </cell>
          <cell r="Z1359">
            <v>0.16869999999999999</v>
          </cell>
          <cell r="AA1359">
            <v>0</v>
          </cell>
          <cell r="AB1359">
            <v>0.1467</v>
          </cell>
          <cell r="AC1359">
            <v>0</v>
          </cell>
          <cell r="AD1359">
            <v>0.1275</v>
          </cell>
          <cell r="AE1359">
            <v>0</v>
          </cell>
          <cell r="AG1359" t="str">
            <v/>
          </cell>
          <cell r="AH1359" t="str">
            <v/>
          </cell>
          <cell r="AJ1359">
            <v>0.19400000000000001</v>
          </cell>
          <cell r="AK1359">
            <v>0</v>
          </cell>
          <cell r="AL1359">
            <v>0.16869999999999999</v>
          </cell>
          <cell r="AM1359">
            <v>0</v>
          </cell>
          <cell r="AN1359">
            <v>0.1467</v>
          </cell>
          <cell r="AO1359">
            <v>0</v>
          </cell>
          <cell r="AP1359">
            <v>0.1275</v>
          </cell>
          <cell r="AQ1359">
            <v>0</v>
          </cell>
          <cell r="AS1359" t="str">
            <v/>
          </cell>
          <cell r="AT1359" t="str">
            <v/>
          </cell>
          <cell r="AV1359" t="b">
            <v>1</v>
          </cell>
          <cell r="AW1359" t="str">
            <v>minute</v>
          </cell>
        </row>
        <row r="1360">
          <cell r="S1360" t="str">
            <v>INT NAM</v>
          </cell>
          <cell r="T1360" t="str">
            <v>INT</v>
          </cell>
          <cell r="U1360" t="str">
            <v>NAM</v>
          </cell>
          <cell r="V1360" t="str">
            <v/>
          </cell>
          <cell r="X1360">
            <v>0.18720000000000001</v>
          </cell>
          <cell r="Y1360">
            <v>0</v>
          </cell>
          <cell r="Z1360">
            <v>0.1628</v>
          </cell>
          <cell r="AA1360">
            <v>0</v>
          </cell>
          <cell r="AB1360">
            <v>0.1416</v>
          </cell>
          <cell r="AC1360">
            <v>0</v>
          </cell>
          <cell r="AD1360">
            <v>0.1231</v>
          </cell>
          <cell r="AE1360">
            <v>0</v>
          </cell>
          <cell r="AG1360" t="str">
            <v/>
          </cell>
          <cell r="AH1360" t="str">
            <v/>
          </cell>
          <cell r="AJ1360">
            <v>0.18720000000000001</v>
          </cell>
          <cell r="AK1360">
            <v>0</v>
          </cell>
          <cell r="AL1360">
            <v>0.1628</v>
          </cell>
          <cell r="AM1360">
            <v>0</v>
          </cell>
          <cell r="AN1360">
            <v>0.1416</v>
          </cell>
          <cell r="AO1360">
            <v>0</v>
          </cell>
          <cell r="AP1360">
            <v>0.1231</v>
          </cell>
          <cell r="AQ1360">
            <v>0</v>
          </cell>
          <cell r="AS1360" t="str">
            <v/>
          </cell>
          <cell r="AT1360" t="str">
            <v/>
          </cell>
          <cell r="AV1360" t="b">
            <v>1</v>
          </cell>
          <cell r="AW1360" t="str">
            <v>minute</v>
          </cell>
        </row>
        <row r="1361">
          <cell r="S1361" t="str">
            <v>INT NRU</v>
          </cell>
          <cell r="T1361" t="str">
            <v>INT</v>
          </cell>
          <cell r="U1361" t="str">
            <v>NRU</v>
          </cell>
          <cell r="V1361" t="str">
            <v/>
          </cell>
          <cell r="X1361">
            <v>1.2764</v>
          </cell>
          <cell r="Y1361">
            <v>0</v>
          </cell>
          <cell r="Z1361">
            <v>1.1099000000000001</v>
          </cell>
          <cell r="AA1361">
            <v>0</v>
          </cell>
          <cell r="AB1361">
            <v>0.96509999999999996</v>
          </cell>
          <cell r="AC1361">
            <v>0</v>
          </cell>
          <cell r="AD1361">
            <v>0.83919999999999995</v>
          </cell>
          <cell r="AE1361">
            <v>0</v>
          </cell>
          <cell r="AG1361" t="str">
            <v/>
          </cell>
          <cell r="AH1361" t="str">
            <v/>
          </cell>
          <cell r="AJ1361">
            <v>1.2764</v>
          </cell>
          <cell r="AK1361">
            <v>0</v>
          </cell>
          <cell r="AL1361">
            <v>1.1099000000000001</v>
          </cell>
          <cell r="AM1361">
            <v>0</v>
          </cell>
          <cell r="AN1361">
            <v>0.96509999999999996</v>
          </cell>
          <cell r="AO1361">
            <v>0</v>
          </cell>
          <cell r="AP1361">
            <v>0.83919999999999995</v>
          </cell>
          <cell r="AQ1361">
            <v>0</v>
          </cell>
          <cell r="AS1361" t="str">
            <v/>
          </cell>
          <cell r="AT1361" t="str">
            <v/>
          </cell>
          <cell r="AV1361" t="b">
            <v>1</v>
          </cell>
          <cell r="AW1361" t="str">
            <v>minute</v>
          </cell>
        </row>
        <row r="1362">
          <cell r="S1362" t="str">
            <v>INT NPL NPLMO</v>
          </cell>
          <cell r="T1362" t="str">
            <v>INT</v>
          </cell>
          <cell r="U1362" t="str">
            <v>NPL</v>
          </cell>
          <cell r="V1362" t="str">
            <v>NPLMO</v>
          </cell>
          <cell r="X1362">
            <v>0.1827</v>
          </cell>
          <cell r="Y1362">
            <v>0</v>
          </cell>
          <cell r="Z1362">
            <v>0.15890000000000001</v>
          </cell>
          <cell r="AA1362">
            <v>0</v>
          </cell>
          <cell r="AB1362">
            <v>0.13819999999999999</v>
          </cell>
          <cell r="AC1362">
            <v>0</v>
          </cell>
          <cell r="AD1362">
            <v>0.1202</v>
          </cell>
          <cell r="AE1362">
            <v>0</v>
          </cell>
          <cell r="AG1362" t="str">
            <v/>
          </cell>
          <cell r="AH1362" t="str">
            <v/>
          </cell>
          <cell r="AJ1362">
            <v>0.1827</v>
          </cell>
          <cell r="AK1362">
            <v>0</v>
          </cell>
          <cell r="AL1362">
            <v>0.15890000000000001</v>
          </cell>
          <cell r="AM1362">
            <v>0</v>
          </cell>
          <cell r="AN1362">
            <v>0.13819999999999999</v>
          </cell>
          <cell r="AO1362">
            <v>0</v>
          </cell>
          <cell r="AP1362">
            <v>0.1202</v>
          </cell>
          <cell r="AQ1362">
            <v>0</v>
          </cell>
          <cell r="AS1362" t="str">
            <v/>
          </cell>
          <cell r="AT1362" t="str">
            <v/>
          </cell>
          <cell r="AV1362" t="b">
            <v>1</v>
          </cell>
          <cell r="AW1362" t="str">
            <v>minute</v>
          </cell>
        </row>
        <row r="1363">
          <cell r="S1363" t="str">
            <v>INT NPL</v>
          </cell>
          <cell r="T1363" t="str">
            <v>INT</v>
          </cell>
          <cell r="U1363" t="str">
            <v>NPL</v>
          </cell>
          <cell r="V1363" t="str">
            <v/>
          </cell>
          <cell r="X1363">
            <v>0.17349999999999999</v>
          </cell>
          <cell r="Y1363">
            <v>0</v>
          </cell>
          <cell r="Z1363">
            <v>0.15090000000000001</v>
          </cell>
          <cell r="AA1363">
            <v>0</v>
          </cell>
          <cell r="AB1363">
            <v>0.13120000000000001</v>
          </cell>
          <cell r="AC1363">
            <v>0</v>
          </cell>
          <cell r="AD1363">
            <v>0.11409999999999999</v>
          </cell>
          <cell r="AE1363">
            <v>0</v>
          </cell>
          <cell r="AG1363" t="str">
            <v/>
          </cell>
          <cell r="AH1363" t="str">
            <v/>
          </cell>
          <cell r="AJ1363">
            <v>0.17349999999999999</v>
          </cell>
          <cell r="AK1363">
            <v>0</v>
          </cell>
          <cell r="AL1363">
            <v>0.15090000000000001</v>
          </cell>
          <cell r="AM1363">
            <v>0</v>
          </cell>
          <cell r="AN1363">
            <v>0.13120000000000001</v>
          </cell>
          <cell r="AO1363">
            <v>0</v>
          </cell>
          <cell r="AP1363">
            <v>0.11409999999999999</v>
          </cell>
          <cell r="AQ1363">
            <v>0</v>
          </cell>
          <cell r="AS1363" t="str">
            <v/>
          </cell>
          <cell r="AT1363" t="str">
            <v/>
          </cell>
          <cell r="AV1363" t="b">
            <v>1</v>
          </cell>
          <cell r="AW1363" t="str">
            <v>minute</v>
          </cell>
        </row>
        <row r="1364">
          <cell r="S1364" t="str">
            <v>INT NDL NLMOB</v>
          </cell>
          <cell r="T1364" t="str">
            <v>INT</v>
          </cell>
          <cell r="U1364" t="str">
            <v>NDL</v>
          </cell>
          <cell r="V1364" t="str">
            <v>NLMOB</v>
          </cell>
          <cell r="X1364">
            <v>5.6000000000000001E-2</v>
          </cell>
          <cell r="Y1364">
            <v>0</v>
          </cell>
          <cell r="Z1364">
            <v>5.0299999999999997E-2</v>
          </cell>
          <cell r="AA1364">
            <v>0</v>
          </cell>
          <cell r="AB1364">
            <v>4.7899999999999998E-2</v>
          </cell>
          <cell r="AC1364">
            <v>0</v>
          </cell>
          <cell r="AD1364">
            <v>4.5600000000000002E-2</v>
          </cell>
          <cell r="AE1364">
            <v>0</v>
          </cell>
          <cell r="AG1364" t="str">
            <v/>
          </cell>
          <cell r="AH1364" t="str">
            <v/>
          </cell>
          <cell r="AJ1364">
            <v>5.6000000000000001E-2</v>
          </cell>
          <cell r="AK1364">
            <v>0</v>
          </cell>
          <cell r="AL1364">
            <v>5.0299999999999997E-2</v>
          </cell>
          <cell r="AM1364">
            <v>0</v>
          </cell>
          <cell r="AN1364">
            <v>4.7899999999999998E-2</v>
          </cell>
          <cell r="AO1364">
            <v>0</v>
          </cell>
          <cell r="AP1364">
            <v>4.5600000000000002E-2</v>
          </cell>
          <cell r="AQ1364">
            <v>0</v>
          </cell>
          <cell r="AS1364" t="str">
            <v/>
          </cell>
          <cell r="AT1364" t="str">
            <v/>
          </cell>
          <cell r="AV1364" t="b">
            <v>1</v>
          </cell>
          <cell r="AW1364" t="str">
            <v>minute</v>
          </cell>
        </row>
        <row r="1365">
          <cell r="S1365" t="str">
            <v>INT NDL</v>
          </cell>
          <cell r="T1365" t="str">
            <v>INT</v>
          </cell>
          <cell r="U1365" t="str">
            <v>NDL</v>
          </cell>
          <cell r="V1365" t="str">
            <v/>
          </cell>
          <cell r="X1365">
            <v>2.01E-2</v>
          </cell>
          <cell r="Y1365">
            <v>0</v>
          </cell>
          <cell r="Z1365">
            <v>1.9099999999999999E-2</v>
          </cell>
          <cell r="AA1365">
            <v>0</v>
          </cell>
          <cell r="AB1365">
            <v>1.8200000000000001E-2</v>
          </cell>
          <cell r="AC1365">
            <v>0</v>
          </cell>
          <cell r="AD1365">
            <v>1.7299999999999999E-2</v>
          </cell>
          <cell r="AE1365">
            <v>0</v>
          </cell>
          <cell r="AG1365" t="str">
            <v/>
          </cell>
          <cell r="AH1365" t="str">
            <v/>
          </cell>
          <cell r="AJ1365">
            <v>2.01E-2</v>
          </cell>
          <cell r="AK1365">
            <v>0</v>
          </cell>
          <cell r="AL1365">
            <v>1.9099999999999999E-2</v>
          </cell>
          <cell r="AM1365">
            <v>0</v>
          </cell>
          <cell r="AN1365">
            <v>1.8200000000000001E-2</v>
          </cell>
          <cell r="AO1365">
            <v>0</v>
          </cell>
          <cell r="AP1365">
            <v>1.7299999999999999E-2</v>
          </cell>
          <cell r="AQ1365">
            <v>0</v>
          </cell>
          <cell r="AS1365" t="str">
            <v/>
          </cell>
          <cell r="AT1365" t="str">
            <v/>
          </cell>
          <cell r="AV1365" t="b">
            <v>1</v>
          </cell>
          <cell r="AW1365" t="str">
            <v>minute</v>
          </cell>
        </row>
        <row r="1366">
          <cell r="S1366" t="str">
            <v>INT NDL NDR</v>
          </cell>
          <cell r="T1366" t="str">
            <v>INT</v>
          </cell>
          <cell r="U1366" t="str">
            <v>NDL</v>
          </cell>
          <cell r="V1366" t="str">
            <v>NDR</v>
          </cell>
          <cell r="X1366">
            <v>1.4198</v>
          </cell>
          <cell r="Y1366">
            <v>0</v>
          </cell>
          <cell r="Z1366">
            <v>1.4198</v>
          </cell>
          <cell r="AA1366">
            <v>0</v>
          </cell>
          <cell r="AB1366">
            <v>1.4198</v>
          </cell>
          <cell r="AC1366">
            <v>0</v>
          </cell>
          <cell r="AD1366">
            <v>1.4198</v>
          </cell>
          <cell r="AE1366">
            <v>0</v>
          </cell>
          <cell r="AG1366" t="str">
            <v/>
          </cell>
          <cell r="AH1366" t="str">
            <v/>
          </cell>
          <cell r="AJ1366">
            <v>1.4198</v>
          </cell>
          <cell r="AK1366">
            <v>0</v>
          </cell>
          <cell r="AL1366">
            <v>1.4198</v>
          </cell>
          <cell r="AM1366">
            <v>0</v>
          </cell>
          <cell r="AN1366">
            <v>1.4198</v>
          </cell>
          <cell r="AO1366">
            <v>0</v>
          </cell>
          <cell r="AP1366">
            <v>1.4198</v>
          </cell>
          <cell r="AQ1366">
            <v>0</v>
          </cell>
          <cell r="AS1366" t="str">
            <v/>
          </cell>
          <cell r="AT1366" t="str">
            <v/>
          </cell>
          <cell r="AV1366" t="b">
            <v>0</v>
          </cell>
          <cell r="AW1366" t="str">
            <v>minute</v>
          </cell>
        </row>
        <row r="1367">
          <cell r="S1367" t="str">
            <v>INT NDL NDG</v>
          </cell>
          <cell r="T1367" t="str">
            <v>INT</v>
          </cell>
          <cell r="U1367" t="str">
            <v>NDL</v>
          </cell>
          <cell r="V1367" t="str">
            <v>NDG</v>
          </cell>
          <cell r="X1367">
            <v>1.4198</v>
          </cell>
          <cell r="Y1367">
            <v>0</v>
          </cell>
          <cell r="Z1367">
            <v>1.4198</v>
          </cell>
          <cell r="AA1367">
            <v>0</v>
          </cell>
          <cell r="AB1367">
            <v>1.4198</v>
          </cell>
          <cell r="AC1367">
            <v>0</v>
          </cell>
          <cell r="AD1367">
            <v>1.4198</v>
          </cell>
          <cell r="AE1367">
            <v>0</v>
          </cell>
          <cell r="AG1367" t="str">
            <v/>
          </cell>
          <cell r="AH1367" t="str">
            <v/>
          </cell>
          <cell r="AJ1367">
            <v>1.4198</v>
          </cell>
          <cell r="AK1367">
            <v>0</v>
          </cell>
          <cell r="AL1367">
            <v>1.4198</v>
          </cell>
          <cell r="AM1367">
            <v>0</v>
          </cell>
          <cell r="AN1367">
            <v>1.4198</v>
          </cell>
          <cell r="AO1367">
            <v>0</v>
          </cell>
          <cell r="AP1367">
            <v>1.4198</v>
          </cell>
          <cell r="AQ1367">
            <v>0</v>
          </cell>
          <cell r="AS1367" t="str">
            <v/>
          </cell>
          <cell r="AT1367" t="str">
            <v/>
          </cell>
          <cell r="AV1367" t="b">
            <v>0</v>
          </cell>
          <cell r="AW1367" t="str">
            <v>minute</v>
          </cell>
        </row>
        <row r="1368">
          <cell r="S1368" t="str">
            <v>INT NDL NDFRE</v>
          </cell>
          <cell r="T1368" t="str">
            <v>INT</v>
          </cell>
          <cell r="U1368" t="str">
            <v>NDL</v>
          </cell>
          <cell r="V1368" t="str">
            <v>NDFRE</v>
          </cell>
          <cell r="X1368">
            <v>2.01E-2</v>
          </cell>
          <cell r="Y1368">
            <v>0</v>
          </cell>
          <cell r="Z1368">
            <v>2.01E-2</v>
          </cell>
          <cell r="AA1368">
            <v>0</v>
          </cell>
          <cell r="AB1368">
            <v>2.01E-2</v>
          </cell>
          <cell r="AC1368">
            <v>0</v>
          </cell>
          <cell r="AD1368">
            <v>2.01E-2</v>
          </cell>
          <cell r="AE1368">
            <v>0</v>
          </cell>
          <cell r="AG1368" t="str">
            <v/>
          </cell>
          <cell r="AH1368" t="str">
            <v/>
          </cell>
          <cell r="AJ1368">
            <v>2.01E-2</v>
          </cell>
          <cell r="AK1368">
            <v>0</v>
          </cell>
          <cell r="AL1368">
            <v>2.01E-2</v>
          </cell>
          <cell r="AM1368">
            <v>0</v>
          </cell>
          <cell r="AN1368">
            <v>2.01E-2</v>
          </cell>
          <cell r="AO1368">
            <v>0</v>
          </cell>
          <cell r="AP1368">
            <v>2.01E-2</v>
          </cell>
          <cell r="AQ1368">
            <v>0</v>
          </cell>
          <cell r="AS1368" t="str">
            <v/>
          </cell>
          <cell r="AT1368" t="str">
            <v/>
          </cell>
          <cell r="AV1368" t="b">
            <v>0</v>
          </cell>
          <cell r="AW1368" t="str">
            <v>minute</v>
          </cell>
        </row>
        <row r="1369">
          <cell r="S1369" t="str">
            <v>INT NCL</v>
          </cell>
          <cell r="T1369" t="str">
            <v>INT</v>
          </cell>
          <cell r="U1369" t="str">
            <v>NCL</v>
          </cell>
          <cell r="V1369" t="str">
            <v/>
          </cell>
          <cell r="X1369">
            <v>0.25480000000000003</v>
          </cell>
          <cell r="Y1369">
            <v>0</v>
          </cell>
          <cell r="Z1369">
            <v>0.22159999999999999</v>
          </cell>
          <cell r="AA1369">
            <v>0</v>
          </cell>
          <cell r="AB1369">
            <v>0.19270000000000001</v>
          </cell>
          <cell r="AC1369">
            <v>0</v>
          </cell>
          <cell r="AD1369">
            <v>0.1676</v>
          </cell>
          <cell r="AE1369">
            <v>0</v>
          </cell>
          <cell r="AG1369" t="str">
            <v/>
          </cell>
          <cell r="AH1369" t="str">
            <v/>
          </cell>
          <cell r="AJ1369">
            <v>0.25480000000000003</v>
          </cell>
          <cell r="AK1369">
            <v>0</v>
          </cell>
          <cell r="AL1369">
            <v>0.22159999999999999</v>
          </cell>
          <cell r="AM1369">
            <v>0</v>
          </cell>
          <cell r="AN1369">
            <v>0.19270000000000001</v>
          </cell>
          <cell r="AO1369">
            <v>0</v>
          </cell>
          <cell r="AP1369">
            <v>0.1676</v>
          </cell>
          <cell r="AQ1369">
            <v>0</v>
          </cell>
          <cell r="AS1369" t="str">
            <v/>
          </cell>
          <cell r="AT1369" t="str">
            <v/>
          </cell>
          <cell r="AV1369" t="b">
            <v>1</v>
          </cell>
          <cell r="AW1369" t="str">
            <v>minute</v>
          </cell>
        </row>
        <row r="1370">
          <cell r="S1370" t="str">
            <v>INT NZL NZLMO</v>
          </cell>
          <cell r="T1370" t="str">
            <v>INT</v>
          </cell>
          <cell r="U1370" t="str">
            <v>NZL</v>
          </cell>
          <cell r="V1370" t="str">
            <v>NZLMO</v>
          </cell>
          <cell r="X1370">
            <v>7.9100000000000004E-2</v>
          </cell>
          <cell r="Y1370">
            <v>0</v>
          </cell>
          <cell r="Z1370">
            <v>6.88E-2</v>
          </cell>
          <cell r="AA1370">
            <v>0</v>
          </cell>
          <cell r="AB1370">
            <v>5.9799999999999999E-2</v>
          </cell>
          <cell r="AC1370">
            <v>0</v>
          </cell>
          <cell r="AD1370">
            <v>5.1999999999999998E-2</v>
          </cell>
          <cell r="AE1370">
            <v>0</v>
          </cell>
          <cell r="AG1370" t="str">
            <v/>
          </cell>
          <cell r="AH1370" t="str">
            <v/>
          </cell>
          <cell r="AJ1370">
            <v>7.9100000000000004E-2</v>
          </cell>
          <cell r="AK1370">
            <v>0</v>
          </cell>
          <cell r="AL1370">
            <v>6.88E-2</v>
          </cell>
          <cell r="AM1370">
            <v>0</v>
          </cell>
          <cell r="AN1370">
            <v>5.9799999999999999E-2</v>
          </cell>
          <cell r="AO1370">
            <v>0</v>
          </cell>
          <cell r="AP1370">
            <v>5.1999999999999998E-2</v>
          </cell>
          <cell r="AQ1370">
            <v>0</v>
          </cell>
          <cell r="AS1370" t="str">
            <v/>
          </cell>
          <cell r="AT1370" t="str">
            <v/>
          </cell>
          <cell r="AV1370" t="b">
            <v>1</v>
          </cell>
          <cell r="AW1370" t="str">
            <v>minute</v>
          </cell>
        </row>
        <row r="1371">
          <cell r="S1371" t="str">
            <v>INT NZL</v>
          </cell>
          <cell r="T1371" t="str">
            <v>INT</v>
          </cell>
          <cell r="U1371" t="str">
            <v>NZL</v>
          </cell>
          <cell r="V1371" t="str">
            <v/>
          </cell>
          <cell r="X1371">
            <v>2.6100000000000002E-2</v>
          </cell>
          <cell r="Y1371">
            <v>0</v>
          </cell>
          <cell r="Z1371">
            <v>2.2700000000000001E-2</v>
          </cell>
          <cell r="AA1371">
            <v>0</v>
          </cell>
          <cell r="AB1371">
            <v>1.9699999999999999E-2</v>
          </cell>
          <cell r="AC1371">
            <v>0</v>
          </cell>
          <cell r="AD1371">
            <v>1.7100000000000001E-2</v>
          </cell>
          <cell r="AE1371">
            <v>0</v>
          </cell>
          <cell r="AG1371" t="str">
            <v/>
          </cell>
          <cell r="AH1371" t="str">
            <v/>
          </cell>
          <cell r="AJ1371">
            <v>2.6100000000000002E-2</v>
          </cell>
          <cell r="AK1371">
            <v>0</v>
          </cell>
          <cell r="AL1371">
            <v>2.2700000000000001E-2</v>
          </cell>
          <cell r="AM1371">
            <v>0</v>
          </cell>
          <cell r="AN1371">
            <v>1.9699999999999999E-2</v>
          </cell>
          <cell r="AO1371">
            <v>0</v>
          </cell>
          <cell r="AP1371">
            <v>1.7100000000000001E-2</v>
          </cell>
          <cell r="AQ1371">
            <v>0</v>
          </cell>
          <cell r="AS1371" t="str">
            <v/>
          </cell>
          <cell r="AT1371" t="str">
            <v/>
          </cell>
          <cell r="AV1371" t="b">
            <v>1</v>
          </cell>
          <cell r="AW1371" t="str">
            <v>minute</v>
          </cell>
        </row>
        <row r="1372">
          <cell r="S1372" t="str">
            <v>INT NIC NICMO</v>
          </cell>
          <cell r="T1372" t="str">
            <v>INT</v>
          </cell>
          <cell r="U1372" t="str">
            <v>NIC</v>
          </cell>
          <cell r="V1372" t="str">
            <v>NICMO</v>
          </cell>
          <cell r="X1372">
            <v>0.35699999999999998</v>
          </cell>
          <cell r="Y1372">
            <v>0</v>
          </cell>
          <cell r="Z1372">
            <v>0.31040000000000001</v>
          </cell>
          <cell r="AA1372">
            <v>0</v>
          </cell>
          <cell r="AB1372">
            <v>0.26989999999999997</v>
          </cell>
          <cell r="AC1372">
            <v>0</v>
          </cell>
          <cell r="AD1372">
            <v>0.23469999999999999</v>
          </cell>
          <cell r="AE1372">
            <v>0</v>
          </cell>
          <cell r="AG1372" t="str">
            <v/>
          </cell>
          <cell r="AH1372" t="str">
            <v/>
          </cell>
          <cell r="AJ1372">
            <v>0.35699999999999998</v>
          </cell>
          <cell r="AK1372">
            <v>0</v>
          </cell>
          <cell r="AL1372">
            <v>0.31040000000000001</v>
          </cell>
          <cell r="AM1372">
            <v>0</v>
          </cell>
          <cell r="AN1372">
            <v>0.26989999999999997</v>
          </cell>
          <cell r="AO1372">
            <v>0</v>
          </cell>
          <cell r="AP1372">
            <v>0.23469999999999999</v>
          </cell>
          <cell r="AQ1372">
            <v>0</v>
          </cell>
          <cell r="AS1372" t="str">
            <v/>
          </cell>
          <cell r="AT1372" t="str">
            <v/>
          </cell>
          <cell r="AV1372" t="b">
            <v>1</v>
          </cell>
          <cell r="AW1372" t="str">
            <v>minute</v>
          </cell>
        </row>
        <row r="1373">
          <cell r="S1373" t="str">
            <v>INT NIC</v>
          </cell>
          <cell r="T1373" t="str">
            <v>INT</v>
          </cell>
          <cell r="U1373" t="str">
            <v>NIC</v>
          </cell>
          <cell r="V1373" t="str">
            <v/>
          </cell>
          <cell r="X1373">
            <v>0.2137</v>
          </cell>
          <cell r="Y1373">
            <v>0</v>
          </cell>
          <cell r="Z1373">
            <v>0.18579999999999999</v>
          </cell>
          <cell r="AA1373">
            <v>0</v>
          </cell>
          <cell r="AB1373">
            <v>0.16159999999999999</v>
          </cell>
          <cell r="AC1373">
            <v>0</v>
          </cell>
          <cell r="AD1373">
            <v>0.14050000000000001</v>
          </cell>
          <cell r="AE1373">
            <v>0</v>
          </cell>
          <cell r="AG1373" t="str">
            <v/>
          </cell>
          <cell r="AH1373" t="str">
            <v/>
          </cell>
          <cell r="AJ1373">
            <v>0.2137</v>
          </cell>
          <cell r="AK1373">
            <v>0</v>
          </cell>
          <cell r="AL1373">
            <v>0.18579999999999999</v>
          </cell>
          <cell r="AM1373">
            <v>0</v>
          </cell>
          <cell r="AN1373">
            <v>0.16159999999999999</v>
          </cell>
          <cell r="AO1373">
            <v>0</v>
          </cell>
          <cell r="AP1373">
            <v>0.14050000000000001</v>
          </cell>
          <cell r="AQ1373">
            <v>0</v>
          </cell>
          <cell r="AS1373" t="str">
            <v/>
          </cell>
          <cell r="AT1373" t="str">
            <v/>
          </cell>
          <cell r="AV1373" t="b">
            <v>1</v>
          </cell>
          <cell r="AW1373" t="str">
            <v>minute</v>
          </cell>
        </row>
        <row r="1374">
          <cell r="S1374" t="str">
            <v>INT NER NERMO</v>
          </cell>
          <cell r="T1374" t="str">
            <v>INT</v>
          </cell>
          <cell r="U1374" t="str">
            <v>NER</v>
          </cell>
          <cell r="V1374" t="str">
            <v>NERMO</v>
          </cell>
          <cell r="X1374">
            <v>0.2944</v>
          </cell>
          <cell r="Y1374">
            <v>0</v>
          </cell>
          <cell r="Z1374">
            <v>0.25600000000000001</v>
          </cell>
          <cell r="AA1374">
            <v>0</v>
          </cell>
          <cell r="AB1374">
            <v>0.22259999999999999</v>
          </cell>
          <cell r="AC1374">
            <v>0</v>
          </cell>
          <cell r="AD1374">
            <v>0.19359999999999999</v>
          </cell>
          <cell r="AE1374">
            <v>0</v>
          </cell>
          <cell r="AG1374" t="str">
            <v/>
          </cell>
          <cell r="AH1374" t="str">
            <v/>
          </cell>
          <cell r="AJ1374">
            <v>0.2944</v>
          </cell>
          <cell r="AK1374">
            <v>0</v>
          </cell>
          <cell r="AL1374">
            <v>0.25600000000000001</v>
          </cell>
          <cell r="AM1374">
            <v>0</v>
          </cell>
          <cell r="AN1374">
            <v>0.22259999999999999</v>
          </cell>
          <cell r="AO1374">
            <v>0</v>
          </cell>
          <cell r="AP1374">
            <v>0.19359999999999999</v>
          </cell>
          <cell r="AQ1374">
            <v>0</v>
          </cell>
          <cell r="AS1374" t="str">
            <v/>
          </cell>
          <cell r="AT1374" t="str">
            <v/>
          </cell>
          <cell r="AV1374" t="b">
            <v>1</v>
          </cell>
          <cell r="AW1374" t="str">
            <v>minute</v>
          </cell>
        </row>
        <row r="1375">
          <cell r="S1375" t="str">
            <v>INT NER</v>
          </cell>
          <cell r="T1375" t="str">
            <v>INT</v>
          </cell>
          <cell r="U1375" t="str">
            <v>NER</v>
          </cell>
          <cell r="V1375" t="str">
            <v/>
          </cell>
          <cell r="X1375">
            <v>0.29360000000000003</v>
          </cell>
          <cell r="Y1375">
            <v>0</v>
          </cell>
          <cell r="Z1375">
            <v>0.25530000000000003</v>
          </cell>
          <cell r="AA1375">
            <v>0</v>
          </cell>
          <cell r="AB1375">
            <v>0.222</v>
          </cell>
          <cell r="AC1375">
            <v>0</v>
          </cell>
          <cell r="AD1375">
            <v>0.193</v>
          </cell>
          <cell r="AE1375">
            <v>0</v>
          </cell>
          <cell r="AG1375" t="str">
            <v/>
          </cell>
          <cell r="AH1375" t="str">
            <v/>
          </cell>
          <cell r="AJ1375">
            <v>0.29360000000000003</v>
          </cell>
          <cell r="AK1375">
            <v>0</v>
          </cell>
          <cell r="AL1375">
            <v>0.25530000000000003</v>
          </cell>
          <cell r="AM1375">
            <v>0</v>
          </cell>
          <cell r="AN1375">
            <v>0.222</v>
          </cell>
          <cell r="AO1375">
            <v>0</v>
          </cell>
          <cell r="AP1375">
            <v>0.193</v>
          </cell>
          <cell r="AQ1375">
            <v>0</v>
          </cell>
          <cell r="AS1375" t="str">
            <v/>
          </cell>
          <cell r="AT1375" t="str">
            <v/>
          </cell>
          <cell r="AV1375" t="b">
            <v>1</v>
          </cell>
          <cell r="AW1375" t="str">
            <v>minute</v>
          </cell>
        </row>
        <row r="1376">
          <cell r="S1376" t="str">
            <v>INT NGA NGAMO</v>
          </cell>
          <cell r="T1376" t="str">
            <v>INT</v>
          </cell>
          <cell r="U1376" t="str">
            <v>NGA</v>
          </cell>
          <cell r="V1376" t="str">
            <v>NGAMO</v>
          </cell>
          <cell r="X1376">
            <v>0.1434</v>
          </cell>
          <cell r="Y1376">
            <v>0</v>
          </cell>
          <cell r="Z1376">
            <v>0.12470000000000001</v>
          </cell>
          <cell r="AA1376">
            <v>0</v>
          </cell>
          <cell r="AB1376">
            <v>0.1084</v>
          </cell>
          <cell r="AC1376">
            <v>0</v>
          </cell>
          <cell r="AD1376">
            <v>9.4299999999999995E-2</v>
          </cell>
          <cell r="AE1376">
            <v>0</v>
          </cell>
          <cell r="AG1376" t="str">
            <v/>
          </cell>
          <cell r="AH1376" t="str">
            <v/>
          </cell>
          <cell r="AJ1376">
            <v>0.1434</v>
          </cell>
          <cell r="AK1376">
            <v>0</v>
          </cell>
          <cell r="AL1376">
            <v>0.12470000000000001</v>
          </cell>
          <cell r="AM1376">
            <v>0</v>
          </cell>
          <cell r="AN1376">
            <v>0.1084</v>
          </cell>
          <cell r="AO1376">
            <v>0</v>
          </cell>
          <cell r="AP1376">
            <v>9.4299999999999995E-2</v>
          </cell>
          <cell r="AQ1376">
            <v>0</v>
          </cell>
          <cell r="AS1376" t="str">
            <v/>
          </cell>
          <cell r="AT1376" t="str">
            <v/>
          </cell>
          <cell r="AV1376" t="b">
            <v>1</v>
          </cell>
          <cell r="AW1376" t="str">
            <v>minute</v>
          </cell>
        </row>
        <row r="1377">
          <cell r="S1377" t="str">
            <v>INT NGA</v>
          </cell>
          <cell r="T1377" t="str">
            <v>INT</v>
          </cell>
          <cell r="U1377" t="str">
            <v>NGA</v>
          </cell>
          <cell r="V1377" t="str">
            <v/>
          </cell>
          <cell r="X1377">
            <v>0.1434</v>
          </cell>
          <cell r="Y1377">
            <v>0</v>
          </cell>
          <cell r="Z1377">
            <v>0.12470000000000001</v>
          </cell>
          <cell r="AA1377">
            <v>0</v>
          </cell>
          <cell r="AB1377">
            <v>0.1084</v>
          </cell>
          <cell r="AC1377">
            <v>0</v>
          </cell>
          <cell r="AD1377">
            <v>9.4299999999999995E-2</v>
          </cell>
          <cell r="AE1377">
            <v>0</v>
          </cell>
          <cell r="AG1377" t="str">
            <v/>
          </cell>
          <cell r="AH1377" t="str">
            <v/>
          </cell>
          <cell r="AJ1377">
            <v>0.1434</v>
          </cell>
          <cell r="AK1377">
            <v>0</v>
          </cell>
          <cell r="AL1377">
            <v>0.12470000000000001</v>
          </cell>
          <cell r="AM1377">
            <v>0</v>
          </cell>
          <cell r="AN1377">
            <v>0.1084</v>
          </cell>
          <cell r="AO1377">
            <v>0</v>
          </cell>
          <cell r="AP1377">
            <v>9.4299999999999995E-2</v>
          </cell>
          <cell r="AQ1377">
            <v>0</v>
          </cell>
          <cell r="AS1377" t="str">
            <v/>
          </cell>
          <cell r="AT1377" t="str">
            <v/>
          </cell>
          <cell r="AV1377" t="b">
            <v>1</v>
          </cell>
          <cell r="AW1377" t="str">
            <v>minute</v>
          </cell>
        </row>
        <row r="1378">
          <cell r="S1378" t="str">
            <v>INT NIU NIUMO</v>
          </cell>
          <cell r="T1378" t="str">
            <v>INT</v>
          </cell>
          <cell r="U1378" t="str">
            <v>NIU</v>
          </cell>
          <cell r="V1378" t="str">
            <v>NIUMO</v>
          </cell>
          <cell r="X1378">
            <v>0.7742</v>
          </cell>
          <cell r="Y1378">
            <v>0</v>
          </cell>
          <cell r="Z1378">
            <v>0.67320000000000002</v>
          </cell>
          <cell r="AA1378">
            <v>0</v>
          </cell>
          <cell r="AB1378">
            <v>0.58540000000000003</v>
          </cell>
          <cell r="AC1378">
            <v>0</v>
          </cell>
          <cell r="AD1378">
            <v>0.50900000000000001</v>
          </cell>
          <cell r="AE1378">
            <v>0</v>
          </cell>
          <cell r="AG1378" t="str">
            <v/>
          </cell>
          <cell r="AH1378" t="str">
            <v/>
          </cell>
          <cell r="AJ1378">
            <v>0.7742</v>
          </cell>
          <cell r="AK1378">
            <v>0</v>
          </cell>
          <cell r="AL1378">
            <v>0.67320000000000002</v>
          </cell>
          <cell r="AM1378">
            <v>0</v>
          </cell>
          <cell r="AN1378">
            <v>0.58540000000000003</v>
          </cell>
          <cell r="AO1378">
            <v>0</v>
          </cell>
          <cell r="AP1378">
            <v>0.50900000000000001</v>
          </cell>
          <cell r="AQ1378">
            <v>0</v>
          </cell>
          <cell r="AS1378" t="str">
            <v/>
          </cell>
          <cell r="AT1378" t="str">
            <v/>
          </cell>
          <cell r="AV1378" t="b">
            <v>1</v>
          </cell>
          <cell r="AW1378" t="str">
            <v>minute</v>
          </cell>
        </row>
        <row r="1379">
          <cell r="S1379" t="str">
            <v>INT NIU</v>
          </cell>
          <cell r="T1379" t="str">
            <v>INT</v>
          </cell>
          <cell r="U1379" t="str">
            <v>NIU</v>
          </cell>
          <cell r="V1379" t="str">
            <v/>
          </cell>
          <cell r="X1379">
            <v>0.5978</v>
          </cell>
          <cell r="Y1379">
            <v>0</v>
          </cell>
          <cell r="Z1379">
            <v>0.51980000000000004</v>
          </cell>
          <cell r="AA1379">
            <v>0</v>
          </cell>
          <cell r="AB1379">
            <v>0.45200000000000001</v>
          </cell>
          <cell r="AC1379">
            <v>0</v>
          </cell>
          <cell r="AD1379">
            <v>0.39300000000000002</v>
          </cell>
          <cell r="AE1379">
            <v>0</v>
          </cell>
          <cell r="AG1379" t="str">
            <v/>
          </cell>
          <cell r="AH1379" t="str">
            <v/>
          </cell>
          <cell r="AJ1379">
            <v>0.5978</v>
          </cell>
          <cell r="AK1379">
            <v>0</v>
          </cell>
          <cell r="AL1379">
            <v>0.51980000000000004</v>
          </cell>
          <cell r="AM1379">
            <v>0</v>
          </cell>
          <cell r="AN1379">
            <v>0.45200000000000001</v>
          </cell>
          <cell r="AO1379">
            <v>0</v>
          </cell>
          <cell r="AP1379">
            <v>0.39300000000000002</v>
          </cell>
          <cell r="AQ1379">
            <v>0</v>
          </cell>
          <cell r="AS1379" t="str">
            <v/>
          </cell>
          <cell r="AT1379" t="str">
            <v/>
          </cell>
          <cell r="AV1379" t="b">
            <v>1</v>
          </cell>
          <cell r="AW1379" t="str">
            <v>minute</v>
          </cell>
        </row>
        <row r="1380">
          <cell r="S1380" t="str">
            <v>INT ATA NFK</v>
          </cell>
          <cell r="T1380" t="str">
            <v>INT</v>
          </cell>
          <cell r="U1380" t="str">
            <v>ATA</v>
          </cell>
          <cell r="V1380" t="str">
            <v>NFK</v>
          </cell>
          <cell r="X1380">
            <v>1.1901999999999999</v>
          </cell>
          <cell r="Y1380">
            <v>0</v>
          </cell>
          <cell r="Z1380">
            <v>1.0348999999999999</v>
          </cell>
          <cell r="AA1380">
            <v>0</v>
          </cell>
          <cell r="AB1380">
            <v>0.9002</v>
          </cell>
          <cell r="AC1380">
            <v>0</v>
          </cell>
          <cell r="AD1380">
            <v>0.78280000000000005</v>
          </cell>
          <cell r="AE1380">
            <v>0</v>
          </cell>
          <cell r="AG1380" t="str">
            <v/>
          </cell>
          <cell r="AH1380" t="str">
            <v/>
          </cell>
          <cell r="AJ1380">
            <v>1.1901999999999999</v>
          </cell>
          <cell r="AK1380">
            <v>0</v>
          </cell>
          <cell r="AL1380">
            <v>1.0348999999999999</v>
          </cell>
          <cell r="AM1380">
            <v>0</v>
          </cell>
          <cell r="AN1380">
            <v>0.9002</v>
          </cell>
          <cell r="AO1380">
            <v>0</v>
          </cell>
          <cell r="AP1380">
            <v>0.78280000000000005</v>
          </cell>
          <cell r="AQ1380">
            <v>0</v>
          </cell>
          <cell r="AS1380" t="str">
            <v/>
          </cell>
          <cell r="AT1380" t="str">
            <v/>
          </cell>
          <cell r="AV1380" t="b">
            <v>1</v>
          </cell>
          <cell r="AW1380" t="str">
            <v>minute</v>
          </cell>
        </row>
        <row r="1381">
          <cell r="S1381" t="str">
            <v>INT MNP</v>
          </cell>
          <cell r="T1381" t="str">
            <v>INT</v>
          </cell>
          <cell r="U1381" t="str">
            <v>MNP</v>
          </cell>
          <cell r="V1381" t="str">
            <v/>
          </cell>
          <cell r="X1381">
            <v>5.91E-2</v>
          </cell>
          <cell r="Y1381">
            <v>0</v>
          </cell>
          <cell r="Z1381">
            <v>5.1400000000000001E-2</v>
          </cell>
          <cell r="AA1381">
            <v>0</v>
          </cell>
          <cell r="AB1381">
            <v>4.4699999999999997E-2</v>
          </cell>
          <cell r="AC1381">
            <v>0</v>
          </cell>
          <cell r="AD1381">
            <v>3.8899999999999997E-2</v>
          </cell>
          <cell r="AE1381">
            <v>0</v>
          </cell>
          <cell r="AG1381" t="str">
            <v/>
          </cell>
          <cell r="AH1381" t="str">
            <v/>
          </cell>
          <cell r="AJ1381">
            <v>5.91E-2</v>
          </cell>
          <cell r="AK1381">
            <v>0</v>
          </cell>
          <cell r="AL1381">
            <v>5.1400000000000001E-2</v>
          </cell>
          <cell r="AM1381">
            <v>0</v>
          </cell>
          <cell r="AN1381">
            <v>4.4699999999999997E-2</v>
          </cell>
          <cell r="AO1381">
            <v>0</v>
          </cell>
          <cell r="AP1381">
            <v>3.8899999999999997E-2</v>
          </cell>
          <cell r="AQ1381">
            <v>0</v>
          </cell>
          <cell r="AS1381" t="str">
            <v/>
          </cell>
          <cell r="AT1381" t="str">
            <v/>
          </cell>
          <cell r="AV1381" t="b">
            <v>1</v>
          </cell>
          <cell r="AW1381" t="str">
            <v>minute</v>
          </cell>
        </row>
        <row r="1382">
          <cell r="S1382" t="str">
            <v>INT NOR NORMO</v>
          </cell>
          <cell r="T1382" t="str">
            <v>INT</v>
          </cell>
          <cell r="U1382" t="str">
            <v>NOR</v>
          </cell>
          <cell r="V1382" t="str">
            <v>NORMO</v>
          </cell>
          <cell r="X1382">
            <v>4.5900000000000003E-2</v>
          </cell>
          <cell r="Y1382">
            <v>0</v>
          </cell>
          <cell r="Z1382">
            <v>4.2900000000000001E-2</v>
          </cell>
          <cell r="AA1382">
            <v>0</v>
          </cell>
          <cell r="AB1382">
            <v>4.0099999999999997E-2</v>
          </cell>
          <cell r="AC1382">
            <v>0</v>
          </cell>
          <cell r="AD1382">
            <v>3.7499999999999999E-2</v>
          </cell>
          <cell r="AE1382">
            <v>0</v>
          </cell>
          <cell r="AG1382" t="str">
            <v/>
          </cell>
          <cell r="AH1382" t="str">
            <v/>
          </cell>
          <cell r="AJ1382">
            <v>4.5900000000000003E-2</v>
          </cell>
          <cell r="AK1382">
            <v>0</v>
          </cell>
          <cell r="AL1382">
            <v>4.2900000000000001E-2</v>
          </cell>
          <cell r="AM1382">
            <v>0</v>
          </cell>
          <cell r="AN1382">
            <v>4.0099999999999997E-2</v>
          </cell>
          <cell r="AO1382">
            <v>0</v>
          </cell>
          <cell r="AP1382">
            <v>3.7499999999999999E-2</v>
          </cell>
          <cell r="AQ1382">
            <v>0</v>
          </cell>
          <cell r="AS1382" t="str">
            <v/>
          </cell>
          <cell r="AT1382" t="str">
            <v/>
          </cell>
          <cell r="AV1382" t="b">
            <v>1</v>
          </cell>
          <cell r="AW1382" t="str">
            <v>minute</v>
          </cell>
        </row>
        <row r="1383">
          <cell r="S1383" t="str">
            <v>INT NOR</v>
          </cell>
          <cell r="T1383" t="str">
            <v>INT</v>
          </cell>
          <cell r="U1383" t="str">
            <v>NOR</v>
          </cell>
          <cell r="V1383" t="str">
            <v/>
          </cell>
          <cell r="X1383">
            <v>2.0299999999999999E-2</v>
          </cell>
          <cell r="Y1383">
            <v>0</v>
          </cell>
          <cell r="Z1383">
            <v>1.83E-2</v>
          </cell>
          <cell r="AA1383">
            <v>0</v>
          </cell>
          <cell r="AB1383">
            <v>1.72E-2</v>
          </cell>
          <cell r="AC1383">
            <v>0</v>
          </cell>
          <cell r="AD1383">
            <v>1.6199999999999999E-2</v>
          </cell>
          <cell r="AE1383">
            <v>0</v>
          </cell>
          <cell r="AG1383" t="str">
            <v/>
          </cell>
          <cell r="AH1383" t="str">
            <v/>
          </cell>
          <cell r="AJ1383">
            <v>2.0299999999999999E-2</v>
          </cell>
          <cell r="AK1383">
            <v>0</v>
          </cell>
          <cell r="AL1383">
            <v>1.83E-2</v>
          </cell>
          <cell r="AM1383">
            <v>0</v>
          </cell>
          <cell r="AN1383">
            <v>1.72E-2</v>
          </cell>
          <cell r="AO1383">
            <v>0</v>
          </cell>
          <cell r="AP1383">
            <v>1.6199999999999999E-2</v>
          </cell>
          <cell r="AQ1383">
            <v>0</v>
          </cell>
          <cell r="AS1383" t="str">
            <v/>
          </cell>
          <cell r="AT1383" t="str">
            <v/>
          </cell>
          <cell r="AV1383" t="b">
            <v>1</v>
          </cell>
          <cell r="AW1383" t="str">
            <v>minute</v>
          </cell>
        </row>
        <row r="1384">
          <cell r="S1384" t="str">
            <v>INT NOR NOR3E</v>
          </cell>
          <cell r="T1384" t="str">
            <v>INT</v>
          </cell>
          <cell r="U1384" t="str">
            <v>NOR</v>
          </cell>
          <cell r="V1384" t="str">
            <v>NOR3E</v>
          </cell>
          <cell r="X1384">
            <v>20.123799999999999</v>
          </cell>
          <cell r="Y1384">
            <v>0</v>
          </cell>
          <cell r="Z1384">
            <v>20.123799999999999</v>
          </cell>
          <cell r="AA1384">
            <v>0</v>
          </cell>
          <cell r="AB1384">
            <v>20.123799999999999</v>
          </cell>
          <cell r="AC1384">
            <v>0</v>
          </cell>
          <cell r="AD1384">
            <v>20.123799999999999</v>
          </cell>
          <cell r="AE1384">
            <v>0</v>
          </cell>
          <cell r="AG1384" t="str">
            <v/>
          </cell>
          <cell r="AH1384" t="str">
            <v/>
          </cell>
          <cell r="AJ1384">
            <v>20.123799999999999</v>
          </cell>
          <cell r="AK1384">
            <v>0</v>
          </cell>
          <cell r="AL1384">
            <v>20.123799999999999</v>
          </cell>
          <cell r="AM1384">
            <v>0</v>
          </cell>
          <cell r="AN1384">
            <v>20.123799999999999</v>
          </cell>
          <cell r="AO1384">
            <v>0</v>
          </cell>
          <cell r="AP1384">
            <v>20.123799999999999</v>
          </cell>
          <cell r="AQ1384">
            <v>0</v>
          </cell>
          <cell r="AS1384" t="str">
            <v/>
          </cell>
          <cell r="AT1384" t="str">
            <v/>
          </cell>
          <cell r="AV1384" t="b">
            <v>0</v>
          </cell>
          <cell r="AW1384" t="str">
            <v>minute</v>
          </cell>
        </row>
        <row r="1385">
          <cell r="S1385" t="str">
            <v>INT NOR NORT2</v>
          </cell>
          <cell r="T1385" t="str">
            <v>INT</v>
          </cell>
          <cell r="U1385" t="str">
            <v>NOR</v>
          </cell>
          <cell r="V1385" t="str">
            <v>NORT2</v>
          </cell>
          <cell r="X1385">
            <v>0.15210000000000001</v>
          </cell>
          <cell r="Y1385">
            <v>0</v>
          </cell>
          <cell r="Z1385">
            <v>0.15210000000000001</v>
          </cell>
          <cell r="AA1385">
            <v>0</v>
          </cell>
          <cell r="AB1385">
            <v>0.15210000000000001</v>
          </cell>
          <cell r="AC1385">
            <v>0</v>
          </cell>
          <cell r="AD1385">
            <v>0.15210000000000001</v>
          </cell>
          <cell r="AE1385">
            <v>0</v>
          </cell>
          <cell r="AG1385" t="str">
            <v/>
          </cell>
          <cell r="AH1385" t="str">
            <v/>
          </cell>
          <cell r="AJ1385">
            <v>0.15210000000000001</v>
          </cell>
          <cell r="AK1385">
            <v>0</v>
          </cell>
          <cell r="AL1385">
            <v>0.15210000000000001</v>
          </cell>
          <cell r="AM1385">
            <v>0</v>
          </cell>
          <cell r="AN1385">
            <v>0.15210000000000001</v>
          </cell>
          <cell r="AO1385">
            <v>0</v>
          </cell>
          <cell r="AP1385">
            <v>0.15210000000000001</v>
          </cell>
          <cell r="AQ1385">
            <v>0</v>
          </cell>
          <cell r="AS1385" t="str">
            <v/>
          </cell>
          <cell r="AT1385" t="str">
            <v/>
          </cell>
          <cell r="AV1385" t="b">
            <v>0</v>
          </cell>
          <cell r="AW1385" t="str">
            <v>minute</v>
          </cell>
        </row>
        <row r="1386">
          <cell r="S1386" t="str">
            <v>INT NOR NORTF</v>
          </cell>
          <cell r="T1386" t="str">
            <v>INT</v>
          </cell>
          <cell r="U1386" t="str">
            <v>NOR</v>
          </cell>
          <cell r="V1386" t="str">
            <v>NORTF</v>
          </cell>
          <cell r="X1386">
            <v>1.7500000000000002E-2</v>
          </cell>
          <cell r="Y1386">
            <v>0</v>
          </cell>
          <cell r="Z1386">
            <v>1.7500000000000002E-2</v>
          </cell>
          <cell r="AA1386">
            <v>0</v>
          </cell>
          <cell r="AB1386">
            <v>1.7500000000000002E-2</v>
          </cell>
          <cell r="AC1386">
            <v>0</v>
          </cell>
          <cell r="AD1386">
            <v>1.7500000000000002E-2</v>
          </cell>
          <cell r="AE1386">
            <v>0</v>
          </cell>
          <cell r="AG1386" t="str">
            <v/>
          </cell>
          <cell r="AH1386" t="str">
            <v/>
          </cell>
          <cell r="AJ1386">
            <v>1.7500000000000002E-2</v>
          </cell>
          <cell r="AK1386">
            <v>0</v>
          </cell>
          <cell r="AL1386">
            <v>1.7500000000000002E-2</v>
          </cell>
          <cell r="AM1386">
            <v>0</v>
          </cell>
          <cell r="AN1386">
            <v>1.7500000000000002E-2</v>
          </cell>
          <cell r="AO1386">
            <v>0</v>
          </cell>
          <cell r="AP1386">
            <v>1.7500000000000002E-2</v>
          </cell>
          <cell r="AQ1386">
            <v>0</v>
          </cell>
          <cell r="AS1386" t="str">
            <v/>
          </cell>
          <cell r="AT1386" t="str">
            <v/>
          </cell>
          <cell r="AV1386" t="b">
            <v>0</v>
          </cell>
          <cell r="AW1386" t="str">
            <v>minute</v>
          </cell>
        </row>
        <row r="1387">
          <cell r="S1387" t="str">
            <v>INT OMN</v>
          </cell>
          <cell r="T1387" t="str">
            <v>INT</v>
          </cell>
          <cell r="U1387" t="str">
            <v>OMN</v>
          </cell>
          <cell r="V1387" t="str">
            <v/>
          </cell>
          <cell r="X1387">
            <v>0.41870000000000002</v>
          </cell>
          <cell r="Y1387">
            <v>0</v>
          </cell>
          <cell r="Z1387">
            <v>0.36409999999999998</v>
          </cell>
          <cell r="AA1387">
            <v>0</v>
          </cell>
          <cell r="AB1387">
            <v>0.31659999999999999</v>
          </cell>
          <cell r="AC1387">
            <v>0</v>
          </cell>
          <cell r="AD1387">
            <v>0.27529999999999999</v>
          </cell>
          <cell r="AE1387">
            <v>0</v>
          </cell>
          <cell r="AG1387" t="str">
            <v/>
          </cell>
          <cell r="AH1387" t="str">
            <v/>
          </cell>
          <cell r="AJ1387">
            <v>0.41870000000000002</v>
          </cell>
          <cell r="AK1387">
            <v>0</v>
          </cell>
          <cell r="AL1387">
            <v>0.36409999999999998</v>
          </cell>
          <cell r="AM1387">
            <v>0</v>
          </cell>
          <cell r="AN1387">
            <v>0.31659999999999999</v>
          </cell>
          <cell r="AO1387">
            <v>0</v>
          </cell>
          <cell r="AP1387">
            <v>0.27529999999999999</v>
          </cell>
          <cell r="AQ1387">
            <v>0</v>
          </cell>
          <cell r="AS1387" t="str">
            <v/>
          </cell>
          <cell r="AT1387" t="str">
            <v/>
          </cell>
          <cell r="AV1387" t="b">
            <v>1</v>
          </cell>
          <cell r="AW1387" t="str">
            <v>minute</v>
          </cell>
        </row>
        <row r="1388">
          <cell r="S1388" t="str">
            <v>INT PAK PAKMO</v>
          </cell>
          <cell r="T1388" t="str">
            <v>INT</v>
          </cell>
          <cell r="U1388" t="str">
            <v>PAK</v>
          </cell>
          <cell r="V1388" t="str">
            <v>PAKMO</v>
          </cell>
          <cell r="X1388">
            <v>0.17399999999999999</v>
          </cell>
          <cell r="Y1388">
            <v>0</v>
          </cell>
          <cell r="Z1388">
            <v>0.15129999999999999</v>
          </cell>
          <cell r="AA1388">
            <v>0</v>
          </cell>
          <cell r="AB1388">
            <v>0.13159999999999999</v>
          </cell>
          <cell r="AC1388">
            <v>0</v>
          </cell>
          <cell r="AD1388">
            <v>0.1144</v>
          </cell>
          <cell r="AE1388">
            <v>0</v>
          </cell>
          <cell r="AG1388" t="str">
            <v/>
          </cell>
          <cell r="AH1388" t="str">
            <v/>
          </cell>
          <cell r="AJ1388">
            <v>0.17399999999999999</v>
          </cell>
          <cell r="AK1388">
            <v>0</v>
          </cell>
          <cell r="AL1388">
            <v>0.15129999999999999</v>
          </cell>
          <cell r="AM1388">
            <v>0</v>
          </cell>
          <cell r="AN1388">
            <v>0.13159999999999999</v>
          </cell>
          <cell r="AO1388">
            <v>0</v>
          </cell>
          <cell r="AP1388">
            <v>0.1144</v>
          </cell>
          <cell r="AQ1388">
            <v>0</v>
          </cell>
          <cell r="AS1388" t="str">
            <v/>
          </cell>
          <cell r="AT1388" t="str">
            <v/>
          </cell>
          <cell r="AV1388" t="b">
            <v>1</v>
          </cell>
          <cell r="AW1388" t="str">
            <v>minute</v>
          </cell>
        </row>
        <row r="1389">
          <cell r="S1389" t="str">
            <v>INT PAK</v>
          </cell>
          <cell r="T1389" t="str">
            <v>INT</v>
          </cell>
          <cell r="U1389" t="str">
            <v>PAK</v>
          </cell>
          <cell r="V1389" t="str">
            <v/>
          </cell>
          <cell r="X1389">
            <v>0.17380000000000001</v>
          </cell>
          <cell r="Y1389">
            <v>0</v>
          </cell>
          <cell r="Z1389">
            <v>0.15110000000000001</v>
          </cell>
          <cell r="AA1389">
            <v>0</v>
          </cell>
          <cell r="AB1389">
            <v>0.1313</v>
          </cell>
          <cell r="AC1389">
            <v>0</v>
          </cell>
          <cell r="AD1389">
            <v>0.1143</v>
          </cell>
          <cell r="AE1389">
            <v>0</v>
          </cell>
          <cell r="AG1389" t="str">
            <v/>
          </cell>
          <cell r="AH1389" t="str">
            <v/>
          </cell>
          <cell r="AJ1389">
            <v>0.17380000000000001</v>
          </cell>
          <cell r="AK1389">
            <v>0</v>
          </cell>
          <cell r="AL1389">
            <v>0.15110000000000001</v>
          </cell>
          <cell r="AM1389">
            <v>0</v>
          </cell>
          <cell r="AN1389">
            <v>0.1313</v>
          </cell>
          <cell r="AO1389">
            <v>0</v>
          </cell>
          <cell r="AP1389">
            <v>0.1143</v>
          </cell>
          <cell r="AQ1389">
            <v>0</v>
          </cell>
          <cell r="AS1389" t="str">
            <v/>
          </cell>
          <cell r="AT1389" t="str">
            <v/>
          </cell>
          <cell r="AV1389" t="b">
            <v>1</v>
          </cell>
          <cell r="AW1389" t="str">
            <v>minute</v>
          </cell>
        </row>
        <row r="1390">
          <cell r="S1390" t="str">
            <v>INT PLW</v>
          </cell>
          <cell r="T1390" t="str">
            <v>INT</v>
          </cell>
          <cell r="U1390" t="str">
            <v>PLW</v>
          </cell>
          <cell r="V1390" t="str">
            <v/>
          </cell>
          <cell r="X1390">
            <v>0.48670000000000002</v>
          </cell>
          <cell r="Y1390">
            <v>0</v>
          </cell>
          <cell r="Z1390">
            <v>0.42320000000000002</v>
          </cell>
          <cell r="AA1390">
            <v>0</v>
          </cell>
          <cell r="AB1390">
            <v>0.36799999999999999</v>
          </cell>
          <cell r="AC1390">
            <v>0</v>
          </cell>
          <cell r="AD1390">
            <v>0.32</v>
          </cell>
          <cell r="AE1390">
            <v>0</v>
          </cell>
          <cell r="AG1390" t="str">
            <v/>
          </cell>
          <cell r="AH1390" t="str">
            <v/>
          </cell>
          <cell r="AJ1390">
            <v>0.48670000000000002</v>
          </cell>
          <cell r="AK1390">
            <v>0</v>
          </cell>
          <cell r="AL1390">
            <v>0.42320000000000002</v>
          </cell>
          <cell r="AM1390">
            <v>0</v>
          </cell>
          <cell r="AN1390">
            <v>0.36799999999999999</v>
          </cell>
          <cell r="AO1390">
            <v>0</v>
          </cell>
          <cell r="AP1390">
            <v>0.32</v>
          </cell>
          <cell r="AQ1390">
            <v>0</v>
          </cell>
          <cell r="AS1390" t="str">
            <v/>
          </cell>
          <cell r="AT1390" t="str">
            <v/>
          </cell>
          <cell r="AV1390" t="b">
            <v>1</v>
          </cell>
          <cell r="AW1390" t="str">
            <v>minute</v>
          </cell>
        </row>
        <row r="1391">
          <cell r="S1391" t="str">
            <v>INT PAL</v>
          </cell>
          <cell r="T1391" t="str">
            <v>INT</v>
          </cell>
          <cell r="U1391" t="str">
            <v>PAL</v>
          </cell>
          <cell r="V1391" t="str">
            <v/>
          </cell>
          <cell r="X1391">
            <v>0.28510000000000002</v>
          </cell>
          <cell r="Y1391">
            <v>0</v>
          </cell>
          <cell r="Z1391">
            <v>0.24790000000000001</v>
          </cell>
          <cell r="AA1391">
            <v>0</v>
          </cell>
          <cell r="AB1391">
            <v>0.21560000000000001</v>
          </cell>
          <cell r="AC1391">
            <v>0</v>
          </cell>
          <cell r="AD1391">
            <v>0.1875</v>
          </cell>
          <cell r="AE1391">
            <v>0</v>
          </cell>
          <cell r="AG1391" t="str">
            <v/>
          </cell>
          <cell r="AH1391" t="str">
            <v/>
          </cell>
          <cell r="AJ1391">
            <v>0.28510000000000002</v>
          </cell>
          <cell r="AK1391">
            <v>0</v>
          </cell>
          <cell r="AL1391">
            <v>0.24790000000000001</v>
          </cell>
          <cell r="AM1391">
            <v>0</v>
          </cell>
          <cell r="AN1391">
            <v>0.21560000000000001</v>
          </cell>
          <cell r="AO1391">
            <v>0</v>
          </cell>
          <cell r="AP1391">
            <v>0.1875</v>
          </cell>
          <cell r="AQ1391">
            <v>0</v>
          </cell>
          <cell r="AS1391" t="str">
            <v/>
          </cell>
          <cell r="AT1391" t="str">
            <v/>
          </cell>
          <cell r="AV1391" t="b">
            <v>1</v>
          </cell>
          <cell r="AW1391" t="str">
            <v>minute</v>
          </cell>
        </row>
        <row r="1392">
          <cell r="S1392" t="str">
            <v>INT PAN PANMO</v>
          </cell>
          <cell r="T1392" t="str">
            <v>INT</v>
          </cell>
          <cell r="U1392" t="str">
            <v>PAN</v>
          </cell>
          <cell r="V1392" t="str">
            <v>PANMO</v>
          </cell>
          <cell r="X1392">
            <v>0.33029999999999998</v>
          </cell>
          <cell r="Y1392">
            <v>0</v>
          </cell>
          <cell r="Z1392">
            <v>0.28720000000000001</v>
          </cell>
          <cell r="AA1392">
            <v>0</v>
          </cell>
          <cell r="AB1392">
            <v>0.24970000000000001</v>
          </cell>
          <cell r="AC1392">
            <v>0</v>
          </cell>
          <cell r="AD1392">
            <v>0.21709999999999999</v>
          </cell>
          <cell r="AE1392">
            <v>0</v>
          </cell>
          <cell r="AG1392" t="str">
            <v/>
          </cell>
          <cell r="AH1392" t="str">
            <v/>
          </cell>
          <cell r="AJ1392">
            <v>0.33029999999999998</v>
          </cell>
          <cell r="AK1392">
            <v>0</v>
          </cell>
          <cell r="AL1392">
            <v>0.28720000000000001</v>
          </cell>
          <cell r="AM1392">
            <v>0</v>
          </cell>
          <cell r="AN1392">
            <v>0.24970000000000001</v>
          </cell>
          <cell r="AO1392">
            <v>0</v>
          </cell>
          <cell r="AP1392">
            <v>0.21709999999999999</v>
          </cell>
          <cell r="AQ1392">
            <v>0</v>
          </cell>
          <cell r="AS1392" t="str">
            <v/>
          </cell>
          <cell r="AT1392" t="str">
            <v/>
          </cell>
          <cell r="AV1392" t="b">
            <v>1</v>
          </cell>
          <cell r="AW1392" t="str">
            <v>minute</v>
          </cell>
        </row>
        <row r="1393">
          <cell r="S1393" t="str">
            <v>INT PAN</v>
          </cell>
          <cell r="T1393" t="str">
            <v>INT</v>
          </cell>
          <cell r="U1393" t="str">
            <v>PAN</v>
          </cell>
          <cell r="V1393" t="str">
            <v/>
          </cell>
          <cell r="X1393">
            <v>0.23089999999999999</v>
          </cell>
          <cell r="Y1393">
            <v>0</v>
          </cell>
          <cell r="Z1393">
            <v>0.20080000000000001</v>
          </cell>
          <cell r="AA1393">
            <v>0</v>
          </cell>
          <cell r="AB1393">
            <v>0.17460000000000001</v>
          </cell>
          <cell r="AC1393">
            <v>0</v>
          </cell>
          <cell r="AD1393">
            <v>0.15179999999999999</v>
          </cell>
          <cell r="AE1393">
            <v>0</v>
          </cell>
          <cell r="AG1393" t="str">
            <v/>
          </cell>
          <cell r="AH1393" t="str">
            <v/>
          </cell>
          <cell r="AJ1393">
            <v>0.23089999999999999</v>
          </cell>
          <cell r="AK1393">
            <v>0</v>
          </cell>
          <cell r="AL1393">
            <v>0.20080000000000001</v>
          </cell>
          <cell r="AM1393">
            <v>0</v>
          </cell>
          <cell r="AN1393">
            <v>0.17460000000000001</v>
          </cell>
          <cell r="AO1393">
            <v>0</v>
          </cell>
          <cell r="AP1393">
            <v>0.15179999999999999</v>
          </cell>
          <cell r="AQ1393">
            <v>0</v>
          </cell>
          <cell r="AS1393" t="str">
            <v/>
          </cell>
          <cell r="AT1393" t="str">
            <v/>
          </cell>
          <cell r="AV1393" t="b">
            <v>1</v>
          </cell>
          <cell r="AW1393" t="str">
            <v>minute</v>
          </cell>
        </row>
        <row r="1394">
          <cell r="S1394" t="str">
            <v>INT PNG PNGMO</v>
          </cell>
          <cell r="T1394" t="str">
            <v>INT</v>
          </cell>
          <cell r="U1394" t="str">
            <v>PNG</v>
          </cell>
          <cell r="V1394" t="str">
            <v>PNGMO</v>
          </cell>
          <cell r="X1394">
            <v>0.33029999999999998</v>
          </cell>
          <cell r="Y1394">
            <v>0</v>
          </cell>
          <cell r="Z1394">
            <v>0.28720000000000001</v>
          </cell>
          <cell r="AA1394">
            <v>0</v>
          </cell>
          <cell r="AB1394">
            <v>0.24970000000000001</v>
          </cell>
          <cell r="AC1394">
            <v>0</v>
          </cell>
          <cell r="AD1394">
            <v>0.21709999999999999</v>
          </cell>
          <cell r="AE1394">
            <v>0</v>
          </cell>
          <cell r="AG1394" t="str">
            <v/>
          </cell>
          <cell r="AH1394" t="str">
            <v/>
          </cell>
          <cell r="AJ1394">
            <v>0.33029999999999998</v>
          </cell>
          <cell r="AK1394">
            <v>0</v>
          </cell>
          <cell r="AL1394">
            <v>0.28720000000000001</v>
          </cell>
          <cell r="AM1394">
            <v>0</v>
          </cell>
          <cell r="AN1394">
            <v>0.24970000000000001</v>
          </cell>
          <cell r="AO1394">
            <v>0</v>
          </cell>
          <cell r="AP1394">
            <v>0.21709999999999999</v>
          </cell>
          <cell r="AQ1394">
            <v>0</v>
          </cell>
          <cell r="AS1394" t="str">
            <v/>
          </cell>
          <cell r="AT1394" t="str">
            <v/>
          </cell>
          <cell r="AV1394" t="b">
            <v>1</v>
          </cell>
          <cell r="AW1394" t="str">
            <v>minute</v>
          </cell>
        </row>
        <row r="1395">
          <cell r="S1395" t="str">
            <v>INT PNG</v>
          </cell>
          <cell r="T1395" t="str">
            <v>INT</v>
          </cell>
          <cell r="U1395" t="str">
            <v>PNG</v>
          </cell>
          <cell r="V1395" t="str">
            <v/>
          </cell>
          <cell r="X1395">
            <v>0.23089999999999999</v>
          </cell>
          <cell r="Y1395">
            <v>0</v>
          </cell>
          <cell r="Z1395">
            <v>0.20080000000000001</v>
          </cell>
          <cell r="AA1395">
            <v>0</v>
          </cell>
          <cell r="AB1395">
            <v>0.17460000000000001</v>
          </cell>
          <cell r="AC1395">
            <v>0</v>
          </cell>
          <cell r="AD1395">
            <v>0.15179999999999999</v>
          </cell>
          <cell r="AE1395">
            <v>0</v>
          </cell>
          <cell r="AG1395" t="str">
            <v/>
          </cell>
          <cell r="AH1395" t="str">
            <v/>
          </cell>
          <cell r="AJ1395">
            <v>0.23089999999999999</v>
          </cell>
          <cell r="AK1395">
            <v>0</v>
          </cell>
          <cell r="AL1395">
            <v>0.20080000000000001</v>
          </cell>
          <cell r="AM1395">
            <v>0</v>
          </cell>
          <cell r="AN1395">
            <v>0.17460000000000001</v>
          </cell>
          <cell r="AO1395">
            <v>0</v>
          </cell>
          <cell r="AP1395">
            <v>0.15179999999999999</v>
          </cell>
          <cell r="AQ1395">
            <v>0</v>
          </cell>
          <cell r="AS1395" t="str">
            <v/>
          </cell>
          <cell r="AT1395" t="str">
            <v/>
          </cell>
          <cell r="AV1395" t="b">
            <v>1</v>
          </cell>
          <cell r="AW1395" t="str">
            <v>minute</v>
          </cell>
        </row>
        <row r="1396">
          <cell r="S1396" t="str">
            <v>INT PRY PRYMO</v>
          </cell>
          <cell r="T1396" t="str">
            <v>INT</v>
          </cell>
          <cell r="U1396" t="str">
            <v>PRY</v>
          </cell>
          <cell r="V1396" t="str">
            <v>PRYMO</v>
          </cell>
          <cell r="X1396">
            <v>0.1784</v>
          </cell>
          <cell r="Y1396">
            <v>0</v>
          </cell>
          <cell r="Z1396">
            <v>0.15509999999999999</v>
          </cell>
          <cell r="AA1396">
            <v>0</v>
          </cell>
          <cell r="AB1396">
            <v>0.13489999999999999</v>
          </cell>
          <cell r="AC1396">
            <v>0</v>
          </cell>
          <cell r="AD1396">
            <v>0.1173</v>
          </cell>
          <cell r="AE1396">
            <v>0</v>
          </cell>
          <cell r="AG1396" t="str">
            <v/>
          </cell>
          <cell r="AH1396" t="str">
            <v/>
          </cell>
          <cell r="AJ1396">
            <v>0.1784</v>
          </cell>
          <cell r="AK1396">
            <v>0</v>
          </cell>
          <cell r="AL1396">
            <v>0.15509999999999999</v>
          </cell>
          <cell r="AM1396">
            <v>0</v>
          </cell>
          <cell r="AN1396">
            <v>0.13489999999999999</v>
          </cell>
          <cell r="AO1396">
            <v>0</v>
          </cell>
          <cell r="AP1396">
            <v>0.1173</v>
          </cell>
          <cell r="AQ1396">
            <v>0</v>
          </cell>
          <cell r="AS1396" t="str">
            <v/>
          </cell>
          <cell r="AT1396" t="str">
            <v/>
          </cell>
          <cell r="AV1396" t="b">
            <v>1</v>
          </cell>
          <cell r="AW1396" t="str">
            <v>minute</v>
          </cell>
        </row>
        <row r="1397">
          <cell r="S1397" t="str">
            <v>INT PRY</v>
          </cell>
          <cell r="T1397" t="str">
            <v>INT</v>
          </cell>
          <cell r="U1397" t="str">
            <v>PRY</v>
          </cell>
          <cell r="V1397" t="str">
            <v/>
          </cell>
          <cell r="X1397">
            <v>5.8400000000000001E-2</v>
          </cell>
          <cell r="Y1397">
            <v>0</v>
          </cell>
          <cell r="Z1397">
            <v>5.0799999999999998E-2</v>
          </cell>
          <cell r="AA1397">
            <v>0</v>
          </cell>
          <cell r="AB1397">
            <v>4.4200000000000003E-2</v>
          </cell>
          <cell r="AC1397">
            <v>0</v>
          </cell>
          <cell r="AD1397">
            <v>3.8399999999999997E-2</v>
          </cell>
          <cell r="AE1397">
            <v>0</v>
          </cell>
          <cell r="AG1397" t="str">
            <v/>
          </cell>
          <cell r="AH1397" t="str">
            <v/>
          </cell>
          <cell r="AJ1397">
            <v>5.8400000000000001E-2</v>
          </cell>
          <cell r="AK1397">
            <v>0</v>
          </cell>
          <cell r="AL1397">
            <v>5.0799999999999998E-2</v>
          </cell>
          <cell r="AM1397">
            <v>0</v>
          </cell>
          <cell r="AN1397">
            <v>4.4200000000000003E-2</v>
          </cell>
          <cell r="AO1397">
            <v>0</v>
          </cell>
          <cell r="AP1397">
            <v>3.8399999999999997E-2</v>
          </cell>
          <cell r="AQ1397">
            <v>0</v>
          </cell>
          <cell r="AS1397" t="str">
            <v/>
          </cell>
          <cell r="AT1397" t="str">
            <v/>
          </cell>
          <cell r="AV1397" t="b">
            <v>1</v>
          </cell>
          <cell r="AW1397" t="str">
            <v>minute</v>
          </cell>
        </row>
        <row r="1398">
          <cell r="S1398" t="str">
            <v>INT PER PERMO</v>
          </cell>
          <cell r="T1398" t="str">
            <v>INT</v>
          </cell>
          <cell r="U1398" t="str">
            <v>PER</v>
          </cell>
          <cell r="V1398" t="str">
            <v>PERMO</v>
          </cell>
          <cell r="X1398">
            <v>0.1457</v>
          </cell>
          <cell r="Y1398">
            <v>0</v>
          </cell>
          <cell r="Z1398">
            <v>0.12670000000000001</v>
          </cell>
          <cell r="AA1398">
            <v>0</v>
          </cell>
          <cell r="AB1398">
            <v>0.11020000000000001</v>
          </cell>
          <cell r="AC1398">
            <v>0</v>
          </cell>
          <cell r="AD1398">
            <v>9.5799999999999996E-2</v>
          </cell>
          <cell r="AE1398">
            <v>0</v>
          </cell>
          <cell r="AG1398" t="str">
            <v/>
          </cell>
          <cell r="AH1398" t="str">
            <v/>
          </cell>
          <cell r="AJ1398">
            <v>0.1457</v>
          </cell>
          <cell r="AK1398">
            <v>0</v>
          </cell>
          <cell r="AL1398">
            <v>0.12670000000000001</v>
          </cell>
          <cell r="AM1398">
            <v>0</v>
          </cell>
          <cell r="AN1398">
            <v>0.11020000000000001</v>
          </cell>
          <cell r="AO1398">
            <v>0</v>
          </cell>
          <cell r="AP1398">
            <v>9.5799999999999996E-2</v>
          </cell>
          <cell r="AQ1398">
            <v>0</v>
          </cell>
          <cell r="AS1398" t="str">
            <v/>
          </cell>
          <cell r="AT1398" t="str">
            <v/>
          </cell>
          <cell r="AV1398" t="b">
            <v>1</v>
          </cell>
          <cell r="AW1398" t="str">
            <v>minute</v>
          </cell>
        </row>
        <row r="1399">
          <cell r="S1399" t="str">
            <v>INT PER</v>
          </cell>
          <cell r="T1399" t="str">
            <v>INT</v>
          </cell>
          <cell r="U1399" t="str">
            <v>PER</v>
          </cell>
          <cell r="V1399" t="str">
            <v/>
          </cell>
          <cell r="X1399">
            <v>3.0499999999999999E-2</v>
          </cell>
          <cell r="Y1399">
            <v>0</v>
          </cell>
          <cell r="Z1399">
            <v>2.6499999999999999E-2</v>
          </cell>
          <cell r="AA1399">
            <v>0</v>
          </cell>
          <cell r="AB1399">
            <v>2.3E-2</v>
          </cell>
          <cell r="AC1399">
            <v>0</v>
          </cell>
          <cell r="AD1399">
            <v>0.02</v>
          </cell>
          <cell r="AE1399">
            <v>0</v>
          </cell>
          <cell r="AG1399" t="str">
            <v/>
          </cell>
          <cell r="AH1399" t="str">
            <v/>
          </cell>
          <cell r="AJ1399">
            <v>3.0499999999999999E-2</v>
          </cell>
          <cell r="AK1399">
            <v>0</v>
          </cell>
          <cell r="AL1399">
            <v>2.6499999999999999E-2</v>
          </cell>
          <cell r="AM1399">
            <v>0</v>
          </cell>
          <cell r="AN1399">
            <v>2.3E-2</v>
          </cell>
          <cell r="AO1399">
            <v>0</v>
          </cell>
          <cell r="AP1399">
            <v>0.02</v>
          </cell>
          <cell r="AQ1399">
            <v>0</v>
          </cell>
          <cell r="AS1399" t="str">
            <v/>
          </cell>
          <cell r="AT1399" t="str">
            <v/>
          </cell>
          <cell r="AV1399" t="b">
            <v>1</v>
          </cell>
          <cell r="AW1399" t="str">
            <v>minute</v>
          </cell>
        </row>
        <row r="1400">
          <cell r="S1400" t="str">
            <v>INT PHL PHLMO</v>
          </cell>
          <cell r="T1400" t="str">
            <v>INT</v>
          </cell>
          <cell r="U1400" t="str">
            <v>PHL</v>
          </cell>
          <cell r="V1400" t="str">
            <v>PHLMO</v>
          </cell>
          <cell r="X1400">
            <v>0.2321</v>
          </cell>
          <cell r="Y1400">
            <v>0</v>
          </cell>
          <cell r="Z1400">
            <v>0.20180000000000001</v>
          </cell>
          <cell r="AA1400">
            <v>0</v>
          </cell>
          <cell r="AB1400">
            <v>0.17549999999999999</v>
          </cell>
          <cell r="AC1400">
            <v>0</v>
          </cell>
          <cell r="AD1400">
            <v>0.15260000000000001</v>
          </cell>
          <cell r="AE1400">
            <v>0</v>
          </cell>
          <cell r="AG1400" t="str">
            <v/>
          </cell>
          <cell r="AH1400" t="str">
            <v/>
          </cell>
          <cell r="AJ1400">
            <v>0.2321</v>
          </cell>
          <cell r="AK1400">
            <v>0</v>
          </cell>
          <cell r="AL1400">
            <v>0.20180000000000001</v>
          </cell>
          <cell r="AM1400">
            <v>0</v>
          </cell>
          <cell r="AN1400">
            <v>0.17549999999999999</v>
          </cell>
          <cell r="AO1400">
            <v>0</v>
          </cell>
          <cell r="AP1400">
            <v>0.15260000000000001</v>
          </cell>
          <cell r="AQ1400">
            <v>0</v>
          </cell>
          <cell r="AS1400" t="str">
            <v/>
          </cell>
          <cell r="AT1400" t="str">
            <v/>
          </cell>
          <cell r="AV1400" t="b">
            <v>1</v>
          </cell>
          <cell r="AW1400" t="str">
            <v>minute</v>
          </cell>
        </row>
        <row r="1401">
          <cell r="S1401" t="str">
            <v>INT PHL</v>
          </cell>
          <cell r="T1401" t="str">
            <v>INT</v>
          </cell>
          <cell r="U1401" t="str">
            <v>PHL</v>
          </cell>
          <cell r="V1401" t="str">
            <v/>
          </cell>
          <cell r="X1401">
            <v>0.17949999999999999</v>
          </cell>
          <cell r="Y1401">
            <v>0</v>
          </cell>
          <cell r="Z1401">
            <v>0.15609999999999999</v>
          </cell>
          <cell r="AA1401">
            <v>0</v>
          </cell>
          <cell r="AB1401">
            <v>0.13569999999999999</v>
          </cell>
          <cell r="AC1401">
            <v>0</v>
          </cell>
          <cell r="AD1401">
            <v>0.11799999999999999</v>
          </cell>
          <cell r="AE1401">
            <v>0</v>
          </cell>
          <cell r="AG1401" t="str">
            <v/>
          </cell>
          <cell r="AH1401" t="str">
            <v/>
          </cell>
          <cell r="AJ1401">
            <v>0.17949999999999999</v>
          </cell>
          <cell r="AK1401">
            <v>0</v>
          </cell>
          <cell r="AL1401">
            <v>0.15609999999999999</v>
          </cell>
          <cell r="AM1401">
            <v>0</v>
          </cell>
          <cell r="AN1401">
            <v>0.13569999999999999</v>
          </cell>
          <cell r="AO1401">
            <v>0</v>
          </cell>
          <cell r="AP1401">
            <v>0.11799999999999999</v>
          </cell>
          <cell r="AQ1401">
            <v>0</v>
          </cell>
          <cell r="AS1401" t="str">
            <v/>
          </cell>
          <cell r="AT1401" t="str">
            <v/>
          </cell>
          <cell r="AV1401" t="b">
            <v>1</v>
          </cell>
          <cell r="AW1401" t="str">
            <v>minute</v>
          </cell>
        </row>
        <row r="1402">
          <cell r="S1402" t="str">
            <v>INT POL POLMO</v>
          </cell>
          <cell r="T1402" t="str">
            <v>INT</v>
          </cell>
          <cell r="U1402" t="str">
            <v>POL</v>
          </cell>
          <cell r="V1402" t="str">
            <v>POLMO</v>
          </cell>
          <cell r="X1402">
            <v>2.69E-2</v>
          </cell>
          <cell r="Y1402">
            <v>0</v>
          </cell>
          <cell r="Z1402">
            <v>2.52E-2</v>
          </cell>
          <cell r="AA1402">
            <v>0</v>
          </cell>
          <cell r="AB1402">
            <v>2.35E-2</v>
          </cell>
          <cell r="AC1402">
            <v>0</v>
          </cell>
          <cell r="AD1402">
            <v>2.1999999999999999E-2</v>
          </cell>
          <cell r="AE1402">
            <v>0</v>
          </cell>
          <cell r="AG1402" t="str">
            <v/>
          </cell>
          <cell r="AH1402" t="str">
            <v/>
          </cell>
          <cell r="AJ1402">
            <v>2.69E-2</v>
          </cell>
          <cell r="AK1402">
            <v>0</v>
          </cell>
          <cell r="AL1402">
            <v>2.52E-2</v>
          </cell>
          <cell r="AM1402">
            <v>0</v>
          </cell>
          <cell r="AN1402">
            <v>2.35E-2</v>
          </cell>
          <cell r="AO1402">
            <v>0</v>
          </cell>
          <cell r="AP1402">
            <v>2.1999999999999999E-2</v>
          </cell>
          <cell r="AQ1402">
            <v>0</v>
          </cell>
          <cell r="AS1402" t="str">
            <v/>
          </cell>
          <cell r="AT1402" t="str">
            <v/>
          </cell>
          <cell r="AV1402" t="b">
            <v>1</v>
          </cell>
          <cell r="AW1402" t="str">
            <v>minute</v>
          </cell>
        </row>
        <row r="1403">
          <cell r="S1403" t="str">
            <v>INT POL</v>
          </cell>
          <cell r="T1403" t="str">
            <v>INT</v>
          </cell>
          <cell r="U1403" t="str">
            <v>POL</v>
          </cell>
          <cell r="V1403" t="str">
            <v/>
          </cell>
          <cell r="X1403">
            <v>2.1700000000000001E-2</v>
          </cell>
          <cell r="Y1403">
            <v>0</v>
          </cell>
          <cell r="Z1403">
            <v>1.95E-2</v>
          </cell>
          <cell r="AA1403">
            <v>0</v>
          </cell>
          <cell r="AB1403">
            <v>1.84E-2</v>
          </cell>
          <cell r="AC1403">
            <v>0</v>
          </cell>
          <cell r="AD1403">
            <v>1.7299999999999999E-2</v>
          </cell>
          <cell r="AE1403">
            <v>0</v>
          </cell>
          <cell r="AG1403" t="str">
            <v/>
          </cell>
          <cell r="AH1403" t="str">
            <v/>
          </cell>
          <cell r="AJ1403">
            <v>2.1700000000000001E-2</v>
          </cell>
          <cell r="AK1403">
            <v>0</v>
          </cell>
          <cell r="AL1403">
            <v>1.95E-2</v>
          </cell>
          <cell r="AM1403">
            <v>0</v>
          </cell>
          <cell r="AN1403">
            <v>1.84E-2</v>
          </cell>
          <cell r="AO1403">
            <v>0</v>
          </cell>
          <cell r="AP1403">
            <v>1.7299999999999999E-2</v>
          </cell>
          <cell r="AQ1403">
            <v>0</v>
          </cell>
          <cell r="AS1403" t="str">
            <v/>
          </cell>
          <cell r="AT1403" t="str">
            <v/>
          </cell>
          <cell r="AV1403" t="b">
            <v>1</v>
          </cell>
          <cell r="AW1403" t="str">
            <v>minute</v>
          </cell>
        </row>
        <row r="1404">
          <cell r="S1404" t="str">
            <v>INT PRT PRTMO</v>
          </cell>
          <cell r="T1404" t="str">
            <v>INT</v>
          </cell>
          <cell r="U1404" t="str">
            <v>PRT</v>
          </cell>
          <cell r="V1404" t="str">
            <v>PRTMO</v>
          </cell>
          <cell r="X1404">
            <v>5.6599999999999998E-2</v>
          </cell>
          <cell r="Y1404">
            <v>0</v>
          </cell>
          <cell r="Z1404">
            <v>5.0999999999999997E-2</v>
          </cell>
          <cell r="AA1404">
            <v>0</v>
          </cell>
          <cell r="AB1404">
            <v>4.8099999999999997E-2</v>
          </cell>
          <cell r="AC1404">
            <v>0</v>
          </cell>
          <cell r="AD1404">
            <v>4.53E-2</v>
          </cell>
          <cell r="AE1404">
            <v>0</v>
          </cell>
          <cell r="AG1404" t="str">
            <v/>
          </cell>
          <cell r="AH1404" t="str">
            <v/>
          </cell>
          <cell r="AJ1404">
            <v>5.6599999999999998E-2</v>
          </cell>
          <cell r="AK1404">
            <v>0</v>
          </cell>
          <cell r="AL1404">
            <v>5.0999999999999997E-2</v>
          </cell>
          <cell r="AM1404">
            <v>0</v>
          </cell>
          <cell r="AN1404">
            <v>4.8099999999999997E-2</v>
          </cell>
          <cell r="AO1404">
            <v>0</v>
          </cell>
          <cell r="AP1404">
            <v>4.53E-2</v>
          </cell>
          <cell r="AQ1404">
            <v>0</v>
          </cell>
          <cell r="AS1404" t="str">
            <v/>
          </cell>
          <cell r="AT1404" t="str">
            <v/>
          </cell>
          <cell r="AV1404" t="b">
            <v>1</v>
          </cell>
          <cell r="AW1404" t="str">
            <v>minute</v>
          </cell>
        </row>
        <row r="1405">
          <cell r="S1405" t="str">
            <v>INT PRT</v>
          </cell>
          <cell r="T1405" t="str">
            <v>INT</v>
          </cell>
          <cell r="U1405" t="str">
            <v>PRT</v>
          </cell>
          <cell r="V1405" t="str">
            <v/>
          </cell>
          <cell r="X1405">
            <v>1.7399999999999999E-2</v>
          </cell>
          <cell r="Y1405">
            <v>0</v>
          </cell>
          <cell r="Z1405">
            <v>1.67E-2</v>
          </cell>
          <cell r="AA1405">
            <v>0</v>
          </cell>
          <cell r="AB1405">
            <v>1.6E-2</v>
          </cell>
          <cell r="AC1405">
            <v>0</v>
          </cell>
          <cell r="AD1405">
            <v>1.52E-2</v>
          </cell>
          <cell r="AE1405">
            <v>0</v>
          </cell>
          <cell r="AG1405" t="str">
            <v/>
          </cell>
          <cell r="AH1405" t="str">
            <v/>
          </cell>
          <cell r="AJ1405">
            <v>1.7399999999999999E-2</v>
          </cell>
          <cell r="AK1405">
            <v>0</v>
          </cell>
          <cell r="AL1405">
            <v>1.67E-2</v>
          </cell>
          <cell r="AM1405">
            <v>0</v>
          </cell>
          <cell r="AN1405">
            <v>1.6E-2</v>
          </cell>
          <cell r="AO1405">
            <v>0</v>
          </cell>
          <cell r="AP1405">
            <v>1.52E-2</v>
          </cell>
          <cell r="AQ1405">
            <v>0</v>
          </cell>
          <cell r="AS1405" t="str">
            <v/>
          </cell>
          <cell r="AT1405" t="str">
            <v/>
          </cell>
          <cell r="AV1405" t="b">
            <v>1</v>
          </cell>
          <cell r="AW1405" t="str">
            <v>minute</v>
          </cell>
        </row>
        <row r="1406">
          <cell r="S1406" t="str">
            <v>INT PRT PTFIC</v>
          </cell>
          <cell r="T1406" t="str">
            <v>INT</v>
          </cell>
          <cell r="U1406" t="str">
            <v>PRT</v>
          </cell>
          <cell r="V1406" t="str">
            <v>PTFIC</v>
          </cell>
          <cell r="X1406">
            <v>1.72E-2</v>
          </cell>
          <cell r="Y1406">
            <v>0</v>
          </cell>
          <cell r="Z1406">
            <v>1.72E-2</v>
          </cell>
          <cell r="AA1406">
            <v>0</v>
          </cell>
          <cell r="AB1406">
            <v>1.72E-2</v>
          </cell>
          <cell r="AC1406">
            <v>0</v>
          </cell>
          <cell r="AD1406">
            <v>1.72E-2</v>
          </cell>
          <cell r="AE1406">
            <v>0</v>
          </cell>
          <cell r="AG1406" t="str">
            <v/>
          </cell>
          <cell r="AH1406" t="str">
            <v/>
          </cell>
          <cell r="AJ1406">
            <v>1.72E-2</v>
          </cell>
          <cell r="AK1406">
            <v>0</v>
          </cell>
          <cell r="AL1406">
            <v>1.72E-2</v>
          </cell>
          <cell r="AM1406">
            <v>0</v>
          </cell>
          <cell r="AN1406">
            <v>1.72E-2</v>
          </cell>
          <cell r="AO1406">
            <v>0</v>
          </cell>
          <cell r="AP1406">
            <v>1.72E-2</v>
          </cell>
          <cell r="AQ1406">
            <v>0</v>
          </cell>
          <cell r="AS1406" t="str">
            <v/>
          </cell>
          <cell r="AT1406" t="str">
            <v/>
          </cell>
          <cell r="AV1406" t="b">
            <v>0</v>
          </cell>
          <cell r="AW1406" t="str">
            <v>minute</v>
          </cell>
        </row>
        <row r="1407">
          <cell r="S1407" t="str">
            <v>INT PRT PTSC2</v>
          </cell>
          <cell r="T1407" t="str">
            <v>INT</v>
          </cell>
          <cell r="U1407" t="str">
            <v>PRT</v>
          </cell>
          <cell r="V1407" t="str">
            <v>PTSC2</v>
          </cell>
          <cell r="X1407">
            <v>2.6</v>
          </cell>
          <cell r="Y1407">
            <v>0</v>
          </cell>
          <cell r="Z1407">
            <v>2.6</v>
          </cell>
          <cell r="AA1407">
            <v>0</v>
          </cell>
          <cell r="AB1407">
            <v>2.6</v>
          </cell>
          <cell r="AC1407">
            <v>0</v>
          </cell>
          <cell r="AD1407">
            <v>2.6</v>
          </cell>
          <cell r="AE1407">
            <v>0</v>
          </cell>
          <cell r="AG1407" t="str">
            <v/>
          </cell>
          <cell r="AH1407" t="str">
            <v/>
          </cell>
          <cell r="AJ1407">
            <v>2.6</v>
          </cell>
          <cell r="AK1407">
            <v>0</v>
          </cell>
          <cell r="AL1407">
            <v>2.6</v>
          </cell>
          <cell r="AM1407">
            <v>0</v>
          </cell>
          <cell r="AN1407">
            <v>2.6</v>
          </cell>
          <cell r="AO1407">
            <v>0</v>
          </cell>
          <cell r="AP1407">
            <v>2.6</v>
          </cell>
          <cell r="AQ1407">
            <v>0</v>
          </cell>
          <cell r="AS1407" t="str">
            <v/>
          </cell>
          <cell r="AT1407" t="str">
            <v/>
          </cell>
          <cell r="AV1407" t="b">
            <v>0</v>
          </cell>
          <cell r="AW1407" t="str">
            <v>minute</v>
          </cell>
        </row>
        <row r="1408">
          <cell r="S1408" t="str">
            <v>INT PRT PTSCS</v>
          </cell>
          <cell r="T1408" t="str">
            <v>INT</v>
          </cell>
          <cell r="U1408" t="str">
            <v>PRT</v>
          </cell>
          <cell r="V1408" t="str">
            <v>PTSCS</v>
          </cell>
          <cell r="X1408">
            <v>6.7100000000000007E-2</v>
          </cell>
          <cell r="Y1408">
            <v>0</v>
          </cell>
          <cell r="Z1408">
            <v>6.7100000000000007E-2</v>
          </cell>
          <cell r="AA1408">
            <v>0</v>
          </cell>
          <cell r="AB1408">
            <v>6.7100000000000007E-2</v>
          </cell>
          <cell r="AC1408">
            <v>0</v>
          </cell>
          <cell r="AD1408">
            <v>6.7100000000000007E-2</v>
          </cell>
          <cell r="AE1408">
            <v>0</v>
          </cell>
          <cell r="AG1408" t="str">
            <v/>
          </cell>
          <cell r="AH1408" t="str">
            <v/>
          </cell>
          <cell r="AJ1408">
            <v>6.7100000000000007E-2</v>
          </cell>
          <cell r="AK1408">
            <v>0</v>
          </cell>
          <cell r="AL1408">
            <v>6.7100000000000007E-2</v>
          </cell>
          <cell r="AM1408">
            <v>0</v>
          </cell>
          <cell r="AN1408">
            <v>6.7100000000000007E-2</v>
          </cell>
          <cell r="AO1408">
            <v>0</v>
          </cell>
          <cell r="AP1408">
            <v>6.7100000000000007E-2</v>
          </cell>
          <cell r="AQ1408">
            <v>0</v>
          </cell>
          <cell r="AS1408" t="str">
            <v/>
          </cell>
          <cell r="AT1408" t="str">
            <v/>
          </cell>
          <cell r="AV1408" t="b">
            <v>0</v>
          </cell>
          <cell r="AW1408" t="str">
            <v>minute</v>
          </cell>
        </row>
        <row r="1409">
          <cell r="S1409" t="str">
            <v>INT PRI</v>
          </cell>
          <cell r="T1409" t="str">
            <v>INT</v>
          </cell>
          <cell r="U1409" t="str">
            <v>PRI</v>
          </cell>
          <cell r="V1409" t="str">
            <v/>
          </cell>
          <cell r="X1409">
            <v>3.7400000000000003E-2</v>
          </cell>
          <cell r="Y1409">
            <v>0</v>
          </cell>
          <cell r="Z1409">
            <v>3.2500000000000001E-2</v>
          </cell>
          <cell r="AA1409">
            <v>0</v>
          </cell>
          <cell r="AB1409">
            <v>2.8299999999999999E-2</v>
          </cell>
          <cell r="AC1409">
            <v>0</v>
          </cell>
          <cell r="AD1409">
            <v>2.46E-2</v>
          </cell>
          <cell r="AE1409">
            <v>0</v>
          </cell>
          <cell r="AG1409" t="str">
            <v/>
          </cell>
          <cell r="AH1409" t="str">
            <v/>
          </cell>
          <cell r="AJ1409">
            <v>3.7400000000000003E-2</v>
          </cell>
          <cell r="AK1409">
            <v>0</v>
          </cell>
          <cell r="AL1409">
            <v>3.2500000000000001E-2</v>
          </cell>
          <cell r="AM1409">
            <v>0</v>
          </cell>
          <cell r="AN1409">
            <v>2.8299999999999999E-2</v>
          </cell>
          <cell r="AO1409">
            <v>0</v>
          </cell>
          <cell r="AP1409">
            <v>2.46E-2</v>
          </cell>
          <cell r="AQ1409">
            <v>0</v>
          </cell>
          <cell r="AS1409" t="str">
            <v/>
          </cell>
          <cell r="AT1409" t="str">
            <v/>
          </cell>
          <cell r="AV1409" t="b">
            <v>1</v>
          </cell>
          <cell r="AW1409" t="str">
            <v>minute</v>
          </cell>
        </row>
        <row r="1410">
          <cell r="S1410" t="str">
            <v>INT QAT</v>
          </cell>
          <cell r="T1410" t="str">
            <v>INT</v>
          </cell>
          <cell r="U1410" t="str">
            <v>QAT</v>
          </cell>
          <cell r="V1410" t="str">
            <v/>
          </cell>
          <cell r="X1410">
            <v>0.28899999999999998</v>
          </cell>
          <cell r="Y1410">
            <v>0</v>
          </cell>
          <cell r="Z1410">
            <v>0.25130000000000002</v>
          </cell>
          <cell r="AA1410">
            <v>0</v>
          </cell>
          <cell r="AB1410">
            <v>0.2185</v>
          </cell>
          <cell r="AC1410">
            <v>0</v>
          </cell>
          <cell r="AD1410">
            <v>0.19</v>
          </cell>
          <cell r="AE1410">
            <v>0</v>
          </cell>
          <cell r="AG1410" t="str">
            <v/>
          </cell>
          <cell r="AH1410" t="str">
            <v/>
          </cell>
          <cell r="AJ1410">
            <v>0.28899999999999998</v>
          </cell>
          <cell r="AK1410">
            <v>0</v>
          </cell>
          <cell r="AL1410">
            <v>0.25130000000000002</v>
          </cell>
          <cell r="AM1410">
            <v>0</v>
          </cell>
          <cell r="AN1410">
            <v>0.2185</v>
          </cell>
          <cell r="AO1410">
            <v>0</v>
          </cell>
          <cell r="AP1410">
            <v>0.19</v>
          </cell>
          <cell r="AQ1410">
            <v>0</v>
          </cell>
          <cell r="AS1410" t="str">
            <v/>
          </cell>
          <cell r="AT1410" t="str">
            <v/>
          </cell>
          <cell r="AV1410" t="b">
            <v>1</v>
          </cell>
          <cell r="AW1410" t="str">
            <v>minute</v>
          </cell>
        </row>
        <row r="1411">
          <cell r="S1411" t="str">
            <v>INT REU REUMO</v>
          </cell>
          <cell r="T1411" t="str">
            <v>INT</v>
          </cell>
          <cell r="U1411" t="str">
            <v>REU</v>
          </cell>
          <cell r="V1411" t="str">
            <v>REUMO</v>
          </cell>
          <cell r="X1411">
            <v>4.3900000000000002E-2</v>
          </cell>
          <cell r="Y1411">
            <v>0</v>
          </cell>
          <cell r="Z1411">
            <v>3.8199999999999998E-2</v>
          </cell>
          <cell r="AA1411">
            <v>0</v>
          </cell>
          <cell r="AB1411">
            <v>3.32E-2</v>
          </cell>
          <cell r="AC1411">
            <v>0</v>
          </cell>
          <cell r="AD1411">
            <v>2.8899999999999999E-2</v>
          </cell>
          <cell r="AE1411">
            <v>0</v>
          </cell>
          <cell r="AG1411" t="str">
            <v/>
          </cell>
          <cell r="AH1411" t="str">
            <v/>
          </cell>
          <cell r="AJ1411">
            <v>4.3900000000000002E-2</v>
          </cell>
          <cell r="AK1411">
            <v>0</v>
          </cell>
          <cell r="AL1411">
            <v>3.8199999999999998E-2</v>
          </cell>
          <cell r="AM1411">
            <v>0</v>
          </cell>
          <cell r="AN1411">
            <v>3.32E-2</v>
          </cell>
          <cell r="AO1411">
            <v>0</v>
          </cell>
          <cell r="AP1411">
            <v>2.8899999999999999E-2</v>
          </cell>
          <cell r="AQ1411">
            <v>0</v>
          </cell>
          <cell r="AS1411" t="str">
            <v/>
          </cell>
          <cell r="AT1411" t="str">
            <v/>
          </cell>
          <cell r="AV1411" t="b">
            <v>1</v>
          </cell>
          <cell r="AW1411" t="str">
            <v>minute</v>
          </cell>
        </row>
        <row r="1412">
          <cell r="S1412" t="str">
            <v>INT REU</v>
          </cell>
          <cell r="T1412" t="str">
            <v>INT</v>
          </cell>
          <cell r="U1412" t="str">
            <v>REU</v>
          </cell>
          <cell r="V1412" t="str">
            <v/>
          </cell>
          <cell r="X1412">
            <v>2.2200000000000001E-2</v>
          </cell>
          <cell r="Y1412">
            <v>0</v>
          </cell>
          <cell r="Z1412">
            <v>1.9300000000000001E-2</v>
          </cell>
          <cell r="AA1412">
            <v>0</v>
          </cell>
          <cell r="AB1412">
            <v>1.6799999999999999E-2</v>
          </cell>
          <cell r="AC1412">
            <v>0</v>
          </cell>
          <cell r="AD1412">
            <v>1.46E-2</v>
          </cell>
          <cell r="AE1412">
            <v>0</v>
          </cell>
          <cell r="AG1412" t="str">
            <v/>
          </cell>
          <cell r="AH1412" t="str">
            <v/>
          </cell>
          <cell r="AJ1412">
            <v>2.2200000000000001E-2</v>
          </cell>
          <cell r="AK1412">
            <v>0</v>
          </cell>
          <cell r="AL1412">
            <v>1.9300000000000001E-2</v>
          </cell>
          <cell r="AM1412">
            <v>0</v>
          </cell>
          <cell r="AN1412">
            <v>1.6799999999999999E-2</v>
          </cell>
          <cell r="AO1412">
            <v>0</v>
          </cell>
          <cell r="AP1412">
            <v>1.46E-2</v>
          </cell>
          <cell r="AQ1412">
            <v>0</v>
          </cell>
          <cell r="AS1412" t="str">
            <v/>
          </cell>
          <cell r="AT1412" t="str">
            <v/>
          </cell>
          <cell r="AV1412" t="b">
            <v>1</v>
          </cell>
          <cell r="AW1412" t="str">
            <v>minute</v>
          </cell>
        </row>
        <row r="1413">
          <cell r="S1413" t="str">
            <v>INT ROM ROMMO</v>
          </cell>
          <cell r="T1413" t="str">
            <v>INT</v>
          </cell>
          <cell r="U1413" t="str">
            <v>ROM</v>
          </cell>
          <cell r="V1413" t="str">
            <v>ROMMO</v>
          </cell>
          <cell r="X1413">
            <v>6.4600000000000005E-2</v>
          </cell>
          <cell r="Y1413">
            <v>0</v>
          </cell>
          <cell r="Z1413">
            <v>6.0499999999999998E-2</v>
          </cell>
          <cell r="AA1413">
            <v>0</v>
          </cell>
          <cell r="AB1413">
            <v>5.6500000000000002E-2</v>
          </cell>
          <cell r="AC1413">
            <v>0</v>
          </cell>
          <cell r="AD1413">
            <v>5.28E-2</v>
          </cell>
          <cell r="AE1413">
            <v>0</v>
          </cell>
          <cell r="AG1413" t="str">
            <v/>
          </cell>
          <cell r="AH1413" t="str">
            <v/>
          </cell>
          <cell r="AJ1413">
            <v>6.4600000000000005E-2</v>
          </cell>
          <cell r="AK1413">
            <v>0</v>
          </cell>
          <cell r="AL1413">
            <v>6.0499999999999998E-2</v>
          </cell>
          <cell r="AM1413">
            <v>0</v>
          </cell>
          <cell r="AN1413">
            <v>5.6500000000000002E-2</v>
          </cell>
          <cell r="AO1413">
            <v>0</v>
          </cell>
          <cell r="AP1413">
            <v>5.28E-2</v>
          </cell>
          <cell r="AQ1413">
            <v>0</v>
          </cell>
          <cell r="AS1413" t="str">
            <v/>
          </cell>
          <cell r="AT1413" t="str">
            <v/>
          </cell>
          <cell r="AV1413" t="b">
            <v>1</v>
          </cell>
          <cell r="AW1413" t="str">
            <v>minute</v>
          </cell>
        </row>
        <row r="1414">
          <cell r="S1414" t="str">
            <v>INT ROM</v>
          </cell>
          <cell r="T1414" t="str">
            <v>INT</v>
          </cell>
          <cell r="U1414" t="str">
            <v>ROM</v>
          </cell>
          <cell r="V1414" t="str">
            <v/>
          </cell>
          <cell r="X1414">
            <v>2.5100000000000001E-2</v>
          </cell>
          <cell r="Y1414">
            <v>0</v>
          </cell>
          <cell r="Z1414">
            <v>2.35E-2</v>
          </cell>
          <cell r="AA1414">
            <v>0</v>
          </cell>
          <cell r="AB1414">
            <v>2.1999999999999999E-2</v>
          </cell>
          <cell r="AC1414">
            <v>0</v>
          </cell>
          <cell r="AD1414">
            <v>2.06E-2</v>
          </cell>
          <cell r="AE1414">
            <v>0</v>
          </cell>
          <cell r="AG1414" t="str">
            <v/>
          </cell>
          <cell r="AH1414" t="str">
            <v/>
          </cell>
          <cell r="AJ1414">
            <v>2.5100000000000001E-2</v>
          </cell>
          <cell r="AK1414">
            <v>0</v>
          </cell>
          <cell r="AL1414">
            <v>2.35E-2</v>
          </cell>
          <cell r="AM1414">
            <v>0</v>
          </cell>
          <cell r="AN1414">
            <v>2.1999999999999999E-2</v>
          </cell>
          <cell r="AO1414">
            <v>0</v>
          </cell>
          <cell r="AP1414">
            <v>2.06E-2</v>
          </cell>
          <cell r="AQ1414">
            <v>0</v>
          </cell>
          <cell r="AS1414" t="str">
            <v/>
          </cell>
          <cell r="AT1414" t="str">
            <v/>
          </cell>
          <cell r="AV1414" t="b">
            <v>1</v>
          </cell>
          <cell r="AW1414" t="str">
            <v>minute</v>
          </cell>
        </row>
        <row r="1415">
          <cell r="S1415" t="str">
            <v>INT RUS RUSMO</v>
          </cell>
          <cell r="T1415" t="str">
            <v>INT</v>
          </cell>
          <cell r="U1415" t="str">
            <v>RUS</v>
          </cell>
          <cell r="V1415" t="str">
            <v>RUSMO</v>
          </cell>
          <cell r="X1415">
            <v>0.2</v>
          </cell>
          <cell r="Y1415">
            <v>0</v>
          </cell>
          <cell r="Z1415">
            <v>0.18</v>
          </cell>
          <cell r="AA1415">
            <v>0</v>
          </cell>
          <cell r="AB1415">
            <v>0.17</v>
          </cell>
          <cell r="AC1415">
            <v>0</v>
          </cell>
          <cell r="AD1415">
            <v>0.16</v>
          </cell>
          <cell r="AE1415">
            <v>0</v>
          </cell>
          <cell r="AG1415" t="str">
            <v/>
          </cell>
          <cell r="AH1415" t="str">
            <v/>
          </cell>
          <cell r="AJ1415">
            <v>0.2</v>
          </cell>
          <cell r="AK1415">
            <v>0</v>
          </cell>
          <cell r="AL1415">
            <v>0.18</v>
          </cell>
          <cell r="AM1415">
            <v>0</v>
          </cell>
          <cell r="AN1415">
            <v>0.17</v>
          </cell>
          <cell r="AO1415">
            <v>0</v>
          </cell>
          <cell r="AP1415">
            <v>0.16</v>
          </cell>
          <cell r="AQ1415">
            <v>0</v>
          </cell>
          <cell r="AS1415" t="str">
            <v/>
          </cell>
          <cell r="AT1415" t="str">
            <v/>
          </cell>
          <cell r="AV1415" t="b">
            <v>1</v>
          </cell>
          <cell r="AW1415" t="str">
            <v>minute</v>
          </cell>
        </row>
        <row r="1416">
          <cell r="S1416" t="str">
            <v>INT RUS</v>
          </cell>
          <cell r="T1416" t="str">
            <v>INT</v>
          </cell>
          <cell r="U1416" t="str">
            <v>RUS</v>
          </cell>
          <cell r="V1416" t="str">
            <v/>
          </cell>
          <cell r="X1416">
            <v>7.6200000000000004E-2</v>
          </cell>
          <cell r="Y1416">
            <v>0</v>
          </cell>
          <cell r="Z1416">
            <v>7.1199999999999999E-2</v>
          </cell>
          <cell r="AA1416">
            <v>0</v>
          </cell>
          <cell r="AB1416">
            <v>6.6799999999999998E-2</v>
          </cell>
          <cell r="AC1416">
            <v>0</v>
          </cell>
          <cell r="AD1416">
            <v>6.2E-2</v>
          </cell>
          <cell r="AE1416">
            <v>0</v>
          </cell>
          <cell r="AG1416" t="str">
            <v/>
          </cell>
          <cell r="AH1416" t="str">
            <v/>
          </cell>
          <cell r="AJ1416">
            <v>7.6200000000000004E-2</v>
          </cell>
          <cell r="AK1416">
            <v>0</v>
          </cell>
          <cell r="AL1416">
            <v>7.1199999999999999E-2</v>
          </cell>
          <cell r="AM1416">
            <v>0</v>
          </cell>
          <cell r="AN1416">
            <v>6.6799999999999998E-2</v>
          </cell>
          <cell r="AO1416">
            <v>0</v>
          </cell>
          <cell r="AP1416">
            <v>6.2E-2</v>
          </cell>
          <cell r="AQ1416">
            <v>0</v>
          </cell>
          <cell r="AS1416" t="str">
            <v/>
          </cell>
          <cell r="AT1416" t="str">
            <v/>
          </cell>
          <cell r="AV1416" t="b">
            <v>1</v>
          </cell>
          <cell r="AW1416" t="str">
            <v>minute</v>
          </cell>
        </row>
        <row r="1417">
          <cell r="S1417" t="str">
            <v>INT RUS RUSKA</v>
          </cell>
          <cell r="T1417" t="str">
            <v>INT</v>
          </cell>
          <cell r="U1417" t="str">
            <v>RUS</v>
          </cell>
          <cell r="V1417" t="str">
            <v>RUSKA</v>
          </cell>
          <cell r="X1417">
            <v>7.6200000000000004E-2</v>
          </cell>
          <cell r="Y1417">
            <v>0</v>
          </cell>
          <cell r="Z1417">
            <v>7.1199999999999999E-2</v>
          </cell>
          <cell r="AA1417">
            <v>0</v>
          </cell>
          <cell r="AB1417">
            <v>6.6799999999999998E-2</v>
          </cell>
          <cell r="AC1417">
            <v>0</v>
          </cell>
          <cell r="AD1417">
            <v>6.2E-2</v>
          </cell>
          <cell r="AE1417">
            <v>0</v>
          </cell>
          <cell r="AG1417" t="str">
            <v/>
          </cell>
          <cell r="AH1417" t="str">
            <v/>
          </cell>
          <cell r="AJ1417">
            <v>7.6200000000000004E-2</v>
          </cell>
          <cell r="AK1417">
            <v>0</v>
          </cell>
          <cell r="AL1417">
            <v>7.1199999999999999E-2</v>
          </cell>
          <cell r="AM1417">
            <v>0</v>
          </cell>
          <cell r="AN1417">
            <v>6.6799999999999998E-2</v>
          </cell>
          <cell r="AO1417">
            <v>0</v>
          </cell>
          <cell r="AP1417">
            <v>6.2E-2</v>
          </cell>
          <cell r="AQ1417">
            <v>0</v>
          </cell>
          <cell r="AS1417" t="str">
            <v/>
          </cell>
          <cell r="AT1417" t="str">
            <v/>
          </cell>
          <cell r="AV1417" t="b">
            <v>1</v>
          </cell>
          <cell r="AW1417" t="str">
            <v>minute</v>
          </cell>
        </row>
        <row r="1418">
          <cell r="S1418" t="str">
            <v>INT RUS MOS</v>
          </cell>
          <cell r="T1418" t="str">
            <v>INT</v>
          </cell>
          <cell r="U1418" t="str">
            <v>RUS</v>
          </cell>
          <cell r="V1418" t="str">
            <v>MOS</v>
          </cell>
          <cell r="X1418">
            <v>4.3499999999999997E-2</v>
          </cell>
          <cell r="Y1418">
            <v>0</v>
          </cell>
          <cell r="Z1418">
            <v>4.07E-2</v>
          </cell>
          <cell r="AA1418">
            <v>0</v>
          </cell>
          <cell r="AB1418">
            <v>3.8199999999999998E-2</v>
          </cell>
          <cell r="AC1418">
            <v>0</v>
          </cell>
          <cell r="AD1418">
            <v>3.5400000000000001E-2</v>
          </cell>
          <cell r="AE1418">
            <v>0</v>
          </cell>
          <cell r="AG1418" t="str">
            <v/>
          </cell>
          <cell r="AH1418" t="str">
            <v/>
          </cell>
          <cell r="AJ1418">
            <v>4.3499999999999997E-2</v>
          </cell>
          <cell r="AK1418">
            <v>0</v>
          </cell>
          <cell r="AL1418">
            <v>4.07E-2</v>
          </cell>
          <cell r="AM1418">
            <v>0</v>
          </cell>
          <cell r="AN1418">
            <v>3.8199999999999998E-2</v>
          </cell>
          <cell r="AO1418">
            <v>0</v>
          </cell>
          <cell r="AP1418">
            <v>3.5400000000000001E-2</v>
          </cell>
          <cell r="AQ1418">
            <v>0</v>
          </cell>
          <cell r="AS1418" t="str">
            <v/>
          </cell>
          <cell r="AT1418" t="str">
            <v/>
          </cell>
          <cell r="AV1418" t="b">
            <v>1</v>
          </cell>
          <cell r="AW1418" t="str">
            <v>minute</v>
          </cell>
        </row>
        <row r="1419">
          <cell r="S1419" t="str">
            <v>INT RUS RUSSP</v>
          </cell>
          <cell r="T1419" t="str">
            <v>INT</v>
          </cell>
          <cell r="U1419" t="str">
            <v>RUS</v>
          </cell>
          <cell r="V1419" t="str">
            <v>RUSSP</v>
          </cell>
          <cell r="X1419">
            <v>6.8900000000000003E-2</v>
          </cell>
          <cell r="Y1419">
            <v>0</v>
          </cell>
          <cell r="Z1419">
            <v>6.4399999999999999E-2</v>
          </cell>
          <cell r="AA1419">
            <v>0</v>
          </cell>
          <cell r="AB1419">
            <v>6.0400000000000002E-2</v>
          </cell>
          <cell r="AC1419">
            <v>0</v>
          </cell>
          <cell r="AD1419">
            <v>5.6099999999999997E-2</v>
          </cell>
          <cell r="AE1419">
            <v>0</v>
          </cell>
          <cell r="AG1419" t="str">
            <v/>
          </cell>
          <cell r="AH1419" t="str">
            <v/>
          </cell>
          <cell r="AJ1419">
            <v>6.8900000000000003E-2</v>
          </cell>
          <cell r="AK1419">
            <v>0</v>
          </cell>
          <cell r="AL1419">
            <v>6.4399999999999999E-2</v>
          </cell>
          <cell r="AM1419">
            <v>0</v>
          </cell>
          <cell r="AN1419">
            <v>6.0400000000000002E-2</v>
          </cell>
          <cell r="AO1419">
            <v>0</v>
          </cell>
          <cell r="AP1419">
            <v>5.6099999999999997E-2</v>
          </cell>
          <cell r="AQ1419">
            <v>0</v>
          </cell>
          <cell r="AS1419" t="str">
            <v/>
          </cell>
          <cell r="AT1419" t="str">
            <v/>
          </cell>
          <cell r="AV1419" t="b">
            <v>1</v>
          </cell>
          <cell r="AW1419" t="str">
            <v>minute</v>
          </cell>
        </row>
        <row r="1420">
          <cell r="S1420" t="str">
            <v>INT RUS RUVAS</v>
          </cell>
          <cell r="T1420" t="str">
            <v>INT</v>
          </cell>
          <cell r="U1420" t="str">
            <v>RUS</v>
          </cell>
          <cell r="V1420" t="str">
            <v>RUVAS</v>
          </cell>
          <cell r="X1420">
            <v>0.1</v>
          </cell>
          <cell r="Y1420">
            <v>0</v>
          </cell>
          <cell r="Z1420">
            <v>0.1</v>
          </cell>
          <cell r="AA1420">
            <v>0</v>
          </cell>
          <cell r="AB1420">
            <v>0.1</v>
          </cell>
          <cell r="AC1420">
            <v>0</v>
          </cell>
          <cell r="AD1420">
            <v>0.1</v>
          </cell>
          <cell r="AE1420">
            <v>0</v>
          </cell>
          <cell r="AG1420" t="str">
            <v/>
          </cell>
          <cell r="AH1420" t="str">
            <v/>
          </cell>
          <cell r="AJ1420">
            <v>0.1</v>
          </cell>
          <cell r="AK1420">
            <v>0</v>
          </cell>
          <cell r="AL1420">
            <v>0.1</v>
          </cell>
          <cell r="AM1420">
            <v>0</v>
          </cell>
          <cell r="AN1420">
            <v>0.1</v>
          </cell>
          <cell r="AO1420">
            <v>0</v>
          </cell>
          <cell r="AP1420">
            <v>0.1</v>
          </cell>
          <cell r="AQ1420">
            <v>0</v>
          </cell>
          <cell r="AS1420" t="str">
            <v/>
          </cell>
          <cell r="AT1420" t="str">
            <v/>
          </cell>
          <cell r="AV1420" t="b">
            <v>0</v>
          </cell>
          <cell r="AW1420" t="str">
            <v>minute</v>
          </cell>
        </row>
        <row r="1421">
          <cell r="S1421" t="str">
            <v>INT RWA</v>
          </cell>
          <cell r="T1421" t="str">
            <v>INT</v>
          </cell>
          <cell r="U1421" t="str">
            <v>RWA</v>
          </cell>
          <cell r="V1421" t="str">
            <v/>
          </cell>
          <cell r="X1421">
            <v>0.45079999999999998</v>
          </cell>
          <cell r="Y1421">
            <v>0</v>
          </cell>
          <cell r="Z1421">
            <v>0.39200000000000002</v>
          </cell>
          <cell r="AA1421">
            <v>0</v>
          </cell>
          <cell r="AB1421">
            <v>0.34089999999999998</v>
          </cell>
          <cell r="AC1421">
            <v>0</v>
          </cell>
          <cell r="AD1421">
            <v>0.2964</v>
          </cell>
          <cell r="AE1421">
            <v>0</v>
          </cell>
          <cell r="AG1421" t="str">
            <v/>
          </cell>
          <cell r="AH1421" t="str">
            <v/>
          </cell>
          <cell r="AJ1421">
            <v>0.45079999999999998</v>
          </cell>
          <cell r="AK1421">
            <v>0</v>
          </cell>
          <cell r="AL1421">
            <v>0.39200000000000002</v>
          </cell>
          <cell r="AM1421">
            <v>0</v>
          </cell>
          <cell r="AN1421">
            <v>0.34089999999999998</v>
          </cell>
          <cell r="AO1421">
            <v>0</v>
          </cell>
          <cell r="AP1421">
            <v>0.2964</v>
          </cell>
          <cell r="AQ1421">
            <v>0</v>
          </cell>
          <cell r="AS1421" t="str">
            <v/>
          </cell>
          <cell r="AT1421" t="str">
            <v/>
          </cell>
          <cell r="AV1421" t="b">
            <v>1</v>
          </cell>
          <cell r="AW1421" t="str">
            <v>minute</v>
          </cell>
        </row>
        <row r="1422">
          <cell r="S1422" t="str">
            <v>INT SXM</v>
          </cell>
          <cell r="T1422" t="str">
            <v>INT</v>
          </cell>
          <cell r="U1422" t="str">
            <v>SXM</v>
          </cell>
          <cell r="V1422" t="str">
            <v/>
          </cell>
          <cell r="X1422">
            <v>0.19070000000000001</v>
          </cell>
          <cell r="Y1422">
            <v>0</v>
          </cell>
          <cell r="Z1422">
            <v>0.1658</v>
          </cell>
          <cell r="AA1422">
            <v>0</v>
          </cell>
          <cell r="AB1422">
            <v>0.14419999999999999</v>
          </cell>
          <cell r="AC1422">
            <v>0</v>
          </cell>
          <cell r="AD1422">
            <v>0.12540000000000001</v>
          </cell>
          <cell r="AE1422">
            <v>0</v>
          </cell>
          <cell r="AG1422" t="str">
            <v/>
          </cell>
          <cell r="AH1422" t="str">
            <v/>
          </cell>
          <cell r="AJ1422">
            <v>0.19070000000000001</v>
          </cell>
          <cell r="AK1422">
            <v>0</v>
          </cell>
          <cell r="AL1422">
            <v>0.1658</v>
          </cell>
          <cell r="AM1422">
            <v>0</v>
          </cell>
          <cell r="AN1422">
            <v>0.14419999999999999</v>
          </cell>
          <cell r="AO1422">
            <v>0</v>
          </cell>
          <cell r="AP1422">
            <v>0.12540000000000001</v>
          </cell>
          <cell r="AQ1422">
            <v>0</v>
          </cell>
          <cell r="AS1422" t="str">
            <v/>
          </cell>
          <cell r="AT1422" t="str">
            <v/>
          </cell>
          <cell r="AV1422" t="b">
            <v>1</v>
          </cell>
          <cell r="AW1422" t="str">
            <v>minute</v>
          </cell>
        </row>
        <row r="1423">
          <cell r="S1423" t="str">
            <v>INT SXM SXMMO</v>
          </cell>
          <cell r="T1423" t="str">
            <v>INT</v>
          </cell>
          <cell r="U1423" t="str">
            <v>SXM</v>
          </cell>
          <cell r="V1423" t="str">
            <v>SXMMO</v>
          </cell>
          <cell r="X1423">
            <v>0.22500000000000001</v>
          </cell>
          <cell r="Y1423">
            <v>0</v>
          </cell>
          <cell r="Z1423">
            <v>0.18</v>
          </cell>
          <cell r="AA1423">
            <v>0</v>
          </cell>
          <cell r="AB1423">
            <v>0.1575</v>
          </cell>
          <cell r="AC1423">
            <v>0</v>
          </cell>
          <cell r="AD1423">
            <v>0.1125</v>
          </cell>
          <cell r="AE1423">
            <v>0</v>
          </cell>
          <cell r="AG1423" t="str">
            <v/>
          </cell>
          <cell r="AH1423" t="str">
            <v/>
          </cell>
          <cell r="AJ1423">
            <v>0.22500000000000001</v>
          </cell>
          <cell r="AK1423">
            <v>0</v>
          </cell>
          <cell r="AL1423">
            <v>0.18</v>
          </cell>
          <cell r="AM1423">
            <v>0</v>
          </cell>
          <cell r="AN1423">
            <v>0.1575</v>
          </cell>
          <cell r="AO1423">
            <v>0</v>
          </cell>
          <cell r="AP1423">
            <v>0.1125</v>
          </cell>
          <cell r="AQ1423">
            <v>0</v>
          </cell>
          <cell r="AS1423" t="str">
            <v/>
          </cell>
          <cell r="AT1423" t="str">
            <v/>
          </cell>
          <cell r="AV1423" t="b">
            <v>1</v>
          </cell>
          <cell r="AW1423" t="str">
            <v>minute</v>
          </cell>
        </row>
        <row r="1424">
          <cell r="S1424" t="str">
            <v>INT WSM WSMMO</v>
          </cell>
          <cell r="T1424" t="str">
            <v>INT</v>
          </cell>
          <cell r="U1424" t="str">
            <v>WSM</v>
          </cell>
          <cell r="V1424" t="str">
            <v>WSMMO</v>
          </cell>
          <cell r="X1424">
            <v>0.74319999999999997</v>
          </cell>
          <cell r="Y1424">
            <v>0</v>
          </cell>
          <cell r="Z1424">
            <v>0.64629999999999999</v>
          </cell>
          <cell r="AA1424">
            <v>0</v>
          </cell>
          <cell r="AB1424">
            <v>0.56200000000000006</v>
          </cell>
          <cell r="AC1424">
            <v>0</v>
          </cell>
          <cell r="AD1424">
            <v>0.48870000000000002</v>
          </cell>
          <cell r="AE1424">
            <v>0</v>
          </cell>
          <cell r="AG1424" t="str">
            <v/>
          </cell>
          <cell r="AH1424" t="str">
            <v/>
          </cell>
          <cell r="AJ1424">
            <v>0.74319999999999997</v>
          </cell>
          <cell r="AK1424">
            <v>0</v>
          </cell>
          <cell r="AL1424">
            <v>0.64629999999999999</v>
          </cell>
          <cell r="AM1424">
            <v>0</v>
          </cell>
          <cell r="AN1424">
            <v>0.56200000000000006</v>
          </cell>
          <cell r="AO1424">
            <v>0</v>
          </cell>
          <cell r="AP1424">
            <v>0.48870000000000002</v>
          </cell>
          <cell r="AQ1424">
            <v>0</v>
          </cell>
          <cell r="AS1424" t="str">
            <v/>
          </cell>
          <cell r="AT1424" t="str">
            <v/>
          </cell>
          <cell r="AV1424" t="b">
            <v>1</v>
          </cell>
          <cell r="AW1424" t="str">
            <v>minute</v>
          </cell>
        </row>
        <row r="1425">
          <cell r="S1425" t="str">
            <v>INT WSM</v>
          </cell>
          <cell r="T1425" t="str">
            <v>INT</v>
          </cell>
          <cell r="U1425" t="str">
            <v>WSM</v>
          </cell>
          <cell r="V1425" t="str">
            <v/>
          </cell>
          <cell r="X1425">
            <v>0.74319999999999997</v>
          </cell>
          <cell r="Y1425">
            <v>0</v>
          </cell>
          <cell r="Z1425">
            <v>0.64629999999999999</v>
          </cell>
          <cell r="AA1425">
            <v>0</v>
          </cell>
          <cell r="AB1425">
            <v>0.56200000000000006</v>
          </cell>
          <cell r="AC1425">
            <v>0</v>
          </cell>
          <cell r="AD1425">
            <v>0.48870000000000002</v>
          </cell>
          <cell r="AE1425">
            <v>0</v>
          </cell>
          <cell r="AG1425" t="str">
            <v/>
          </cell>
          <cell r="AH1425" t="str">
            <v/>
          </cell>
          <cell r="AJ1425">
            <v>0.74319999999999997</v>
          </cell>
          <cell r="AK1425">
            <v>0</v>
          </cell>
          <cell r="AL1425">
            <v>0.64629999999999999</v>
          </cell>
          <cell r="AM1425">
            <v>0</v>
          </cell>
          <cell r="AN1425">
            <v>0.56200000000000006</v>
          </cell>
          <cell r="AO1425">
            <v>0</v>
          </cell>
          <cell r="AP1425">
            <v>0.48870000000000002</v>
          </cell>
          <cell r="AQ1425">
            <v>0</v>
          </cell>
          <cell r="AS1425" t="str">
            <v/>
          </cell>
          <cell r="AT1425" t="str">
            <v/>
          </cell>
          <cell r="AV1425" t="b">
            <v>1</v>
          </cell>
          <cell r="AW1425" t="str">
            <v>minute</v>
          </cell>
        </row>
        <row r="1426">
          <cell r="S1426" t="str">
            <v>INT SMR</v>
          </cell>
          <cell r="T1426" t="str">
            <v>INT</v>
          </cell>
          <cell r="U1426" t="str">
            <v>SMR</v>
          </cell>
          <cell r="V1426" t="str">
            <v/>
          </cell>
          <cell r="X1426">
            <v>0.44600000000000001</v>
          </cell>
          <cell r="Y1426">
            <v>0</v>
          </cell>
          <cell r="Z1426">
            <v>0.38779999999999998</v>
          </cell>
          <cell r="AA1426">
            <v>0</v>
          </cell>
          <cell r="AB1426">
            <v>0.3372</v>
          </cell>
          <cell r="AC1426">
            <v>0</v>
          </cell>
          <cell r="AD1426">
            <v>0.29320000000000002</v>
          </cell>
          <cell r="AE1426">
            <v>0</v>
          </cell>
          <cell r="AG1426" t="str">
            <v/>
          </cell>
          <cell r="AH1426" t="str">
            <v/>
          </cell>
          <cell r="AJ1426">
            <v>0.44600000000000001</v>
          </cell>
          <cell r="AK1426">
            <v>0</v>
          </cell>
          <cell r="AL1426">
            <v>0.38779999999999998</v>
          </cell>
          <cell r="AM1426">
            <v>0</v>
          </cell>
          <cell r="AN1426">
            <v>0.3372</v>
          </cell>
          <cell r="AO1426">
            <v>0</v>
          </cell>
          <cell r="AP1426">
            <v>0.29320000000000002</v>
          </cell>
          <cell r="AQ1426">
            <v>0</v>
          </cell>
          <cell r="AS1426" t="str">
            <v/>
          </cell>
          <cell r="AT1426" t="str">
            <v/>
          </cell>
          <cell r="AV1426" t="b">
            <v>1</v>
          </cell>
          <cell r="AW1426" t="str">
            <v>minute</v>
          </cell>
        </row>
        <row r="1427">
          <cell r="S1427" t="str">
            <v>INT STP</v>
          </cell>
          <cell r="T1427" t="str">
            <v>INT</v>
          </cell>
          <cell r="U1427" t="str">
            <v>STP</v>
          </cell>
          <cell r="V1427" t="str">
            <v/>
          </cell>
          <cell r="X1427">
            <v>1.3099000000000001</v>
          </cell>
          <cell r="Y1427">
            <v>0</v>
          </cell>
          <cell r="Z1427">
            <v>1.139</v>
          </cell>
          <cell r="AA1427">
            <v>0</v>
          </cell>
          <cell r="AB1427">
            <v>0.99039999999999995</v>
          </cell>
          <cell r="AC1427">
            <v>0</v>
          </cell>
          <cell r="AD1427">
            <v>0.86119999999999997</v>
          </cell>
          <cell r="AE1427">
            <v>0</v>
          </cell>
          <cell r="AG1427" t="str">
            <v/>
          </cell>
          <cell r="AH1427" t="str">
            <v/>
          </cell>
          <cell r="AJ1427">
            <v>1.3099000000000001</v>
          </cell>
          <cell r="AK1427">
            <v>0</v>
          </cell>
          <cell r="AL1427">
            <v>1.139</v>
          </cell>
          <cell r="AM1427">
            <v>0</v>
          </cell>
          <cell r="AN1427">
            <v>0.99039999999999995</v>
          </cell>
          <cell r="AO1427">
            <v>0</v>
          </cell>
          <cell r="AP1427">
            <v>0.86119999999999997</v>
          </cell>
          <cell r="AQ1427">
            <v>0</v>
          </cell>
          <cell r="AS1427" t="str">
            <v/>
          </cell>
          <cell r="AT1427" t="str">
            <v/>
          </cell>
          <cell r="AV1427" t="b">
            <v>1</v>
          </cell>
          <cell r="AW1427" t="str">
            <v>minute</v>
          </cell>
        </row>
        <row r="1428">
          <cell r="S1428" t="str">
            <v>INT SAU SAUMO</v>
          </cell>
          <cell r="T1428" t="str">
            <v>INT</v>
          </cell>
          <cell r="U1428" t="str">
            <v>SAU</v>
          </cell>
          <cell r="V1428" t="str">
            <v>SAUMO</v>
          </cell>
          <cell r="X1428">
            <v>0.2087</v>
          </cell>
          <cell r="Y1428">
            <v>0</v>
          </cell>
          <cell r="Z1428">
            <v>0.18149999999999999</v>
          </cell>
          <cell r="AA1428">
            <v>0</v>
          </cell>
          <cell r="AB1428">
            <v>0.1578</v>
          </cell>
          <cell r="AC1428">
            <v>0</v>
          </cell>
          <cell r="AD1428">
            <v>0.13719999999999999</v>
          </cell>
          <cell r="AE1428">
            <v>0</v>
          </cell>
          <cell r="AG1428" t="str">
            <v/>
          </cell>
          <cell r="AH1428" t="str">
            <v/>
          </cell>
          <cell r="AJ1428">
            <v>0.2087</v>
          </cell>
          <cell r="AK1428">
            <v>0</v>
          </cell>
          <cell r="AL1428">
            <v>0.18149999999999999</v>
          </cell>
          <cell r="AM1428">
            <v>0</v>
          </cell>
          <cell r="AN1428">
            <v>0.1578</v>
          </cell>
          <cell r="AO1428">
            <v>0</v>
          </cell>
          <cell r="AP1428">
            <v>0.13719999999999999</v>
          </cell>
          <cell r="AQ1428">
            <v>0</v>
          </cell>
          <cell r="AS1428" t="str">
            <v/>
          </cell>
          <cell r="AT1428" t="str">
            <v/>
          </cell>
          <cell r="AV1428" t="b">
            <v>1</v>
          </cell>
          <cell r="AW1428" t="str">
            <v>minute</v>
          </cell>
        </row>
        <row r="1429">
          <cell r="S1429" t="str">
            <v>INT SAU</v>
          </cell>
          <cell r="T1429" t="str">
            <v>INT</v>
          </cell>
          <cell r="U1429" t="str">
            <v>SAU</v>
          </cell>
          <cell r="V1429" t="str">
            <v/>
          </cell>
          <cell r="X1429">
            <v>0.13159999999999999</v>
          </cell>
          <cell r="Y1429">
            <v>0</v>
          </cell>
          <cell r="Z1429">
            <v>0.1144</v>
          </cell>
          <cell r="AA1429">
            <v>0</v>
          </cell>
          <cell r="AB1429">
            <v>9.9500000000000005E-2</v>
          </cell>
          <cell r="AC1429">
            <v>0</v>
          </cell>
          <cell r="AD1429">
            <v>8.6499999999999994E-2</v>
          </cell>
          <cell r="AE1429">
            <v>0</v>
          </cell>
          <cell r="AG1429" t="str">
            <v/>
          </cell>
          <cell r="AH1429" t="str">
            <v/>
          </cell>
          <cell r="AJ1429">
            <v>0.13159999999999999</v>
          </cell>
          <cell r="AK1429">
            <v>0</v>
          </cell>
          <cell r="AL1429">
            <v>0.1144</v>
          </cell>
          <cell r="AM1429">
            <v>0</v>
          </cell>
          <cell r="AN1429">
            <v>9.9500000000000005E-2</v>
          </cell>
          <cell r="AO1429">
            <v>0</v>
          </cell>
          <cell r="AP1429">
            <v>8.6499999999999994E-2</v>
          </cell>
          <cell r="AQ1429">
            <v>0</v>
          </cell>
          <cell r="AS1429" t="str">
            <v/>
          </cell>
          <cell r="AT1429" t="str">
            <v/>
          </cell>
          <cell r="AV1429" t="b">
            <v>1</v>
          </cell>
          <cell r="AW1429" t="str">
            <v>minute</v>
          </cell>
        </row>
        <row r="1430">
          <cell r="S1430" t="str">
            <v>INT SEN SENMO</v>
          </cell>
          <cell r="T1430" t="str">
            <v>INT</v>
          </cell>
          <cell r="U1430" t="str">
            <v>SEN</v>
          </cell>
          <cell r="V1430" t="str">
            <v>SENMO</v>
          </cell>
          <cell r="X1430">
            <v>0.62490000000000001</v>
          </cell>
          <cell r="Y1430">
            <v>0</v>
          </cell>
          <cell r="Z1430">
            <v>0.54339999999999999</v>
          </cell>
          <cell r="AA1430">
            <v>0</v>
          </cell>
          <cell r="AB1430">
            <v>0.47249999999999998</v>
          </cell>
          <cell r="AC1430">
            <v>0</v>
          </cell>
          <cell r="AD1430">
            <v>0.41089999999999999</v>
          </cell>
          <cell r="AE1430">
            <v>0</v>
          </cell>
          <cell r="AG1430" t="str">
            <v/>
          </cell>
          <cell r="AH1430" t="str">
            <v/>
          </cell>
          <cell r="AJ1430">
            <v>0.62490000000000001</v>
          </cell>
          <cell r="AK1430">
            <v>0</v>
          </cell>
          <cell r="AL1430">
            <v>0.54339999999999999</v>
          </cell>
          <cell r="AM1430">
            <v>0</v>
          </cell>
          <cell r="AN1430">
            <v>0.47249999999999998</v>
          </cell>
          <cell r="AO1430">
            <v>0</v>
          </cell>
          <cell r="AP1430">
            <v>0.41089999999999999</v>
          </cell>
          <cell r="AQ1430">
            <v>0</v>
          </cell>
          <cell r="AS1430" t="str">
            <v/>
          </cell>
          <cell r="AT1430" t="str">
            <v/>
          </cell>
          <cell r="AV1430" t="b">
            <v>1</v>
          </cell>
          <cell r="AW1430" t="str">
            <v>minute</v>
          </cell>
        </row>
        <row r="1431">
          <cell r="S1431" t="str">
            <v>INT SEN</v>
          </cell>
          <cell r="T1431" t="str">
            <v>INT</v>
          </cell>
          <cell r="U1431" t="str">
            <v>SEN</v>
          </cell>
          <cell r="V1431" t="str">
            <v/>
          </cell>
          <cell r="X1431">
            <v>0.52310000000000001</v>
          </cell>
          <cell r="Y1431">
            <v>0</v>
          </cell>
          <cell r="Z1431">
            <v>0.45490000000000003</v>
          </cell>
          <cell r="AA1431">
            <v>0</v>
          </cell>
          <cell r="AB1431">
            <v>0.39560000000000001</v>
          </cell>
          <cell r="AC1431">
            <v>0</v>
          </cell>
          <cell r="AD1431">
            <v>0.34399999999999997</v>
          </cell>
          <cell r="AE1431">
            <v>0</v>
          </cell>
          <cell r="AG1431" t="str">
            <v/>
          </cell>
          <cell r="AH1431" t="str">
            <v/>
          </cell>
          <cell r="AJ1431">
            <v>0.52310000000000001</v>
          </cell>
          <cell r="AK1431">
            <v>0</v>
          </cell>
          <cell r="AL1431">
            <v>0.45490000000000003</v>
          </cell>
          <cell r="AM1431">
            <v>0</v>
          </cell>
          <cell r="AN1431">
            <v>0.39560000000000001</v>
          </cell>
          <cell r="AO1431">
            <v>0</v>
          </cell>
          <cell r="AP1431">
            <v>0.34399999999999997</v>
          </cell>
          <cell r="AQ1431">
            <v>0</v>
          </cell>
          <cell r="AS1431" t="str">
            <v/>
          </cell>
          <cell r="AT1431" t="str">
            <v/>
          </cell>
          <cell r="AV1431" t="b">
            <v>1</v>
          </cell>
          <cell r="AW1431" t="str">
            <v>minute</v>
          </cell>
        </row>
        <row r="1432">
          <cell r="S1432" t="str">
            <v>INT SRB</v>
          </cell>
          <cell r="T1432" t="str">
            <v>INT</v>
          </cell>
          <cell r="U1432" t="str">
            <v>SRB</v>
          </cell>
          <cell r="V1432" t="str">
            <v/>
          </cell>
          <cell r="X1432">
            <v>0.1845</v>
          </cell>
          <cell r="Y1432">
            <v>0</v>
          </cell>
          <cell r="Z1432">
            <v>0.16039999999999999</v>
          </cell>
          <cell r="AA1432">
            <v>0</v>
          </cell>
          <cell r="AB1432">
            <v>0.13950000000000001</v>
          </cell>
          <cell r="AC1432">
            <v>0</v>
          </cell>
          <cell r="AD1432">
            <v>0.12130000000000001</v>
          </cell>
          <cell r="AE1432">
            <v>0</v>
          </cell>
          <cell r="AG1432" t="str">
            <v/>
          </cell>
          <cell r="AH1432" t="str">
            <v/>
          </cell>
          <cell r="AJ1432">
            <v>0.1845</v>
          </cell>
          <cell r="AK1432">
            <v>0</v>
          </cell>
          <cell r="AL1432">
            <v>0.16039999999999999</v>
          </cell>
          <cell r="AM1432">
            <v>0</v>
          </cell>
          <cell r="AN1432">
            <v>0.13950000000000001</v>
          </cell>
          <cell r="AO1432">
            <v>0</v>
          </cell>
          <cell r="AP1432">
            <v>0.12130000000000001</v>
          </cell>
          <cell r="AQ1432">
            <v>0</v>
          </cell>
          <cell r="AS1432" t="str">
            <v/>
          </cell>
          <cell r="AT1432" t="str">
            <v/>
          </cell>
          <cell r="AV1432" t="b">
            <v>1</v>
          </cell>
          <cell r="AW1432" t="str">
            <v>minute</v>
          </cell>
        </row>
        <row r="1433">
          <cell r="S1433" t="str">
            <v>INT SYC</v>
          </cell>
          <cell r="T1433" t="str">
            <v>INT</v>
          </cell>
          <cell r="U1433" t="str">
            <v>SYC</v>
          </cell>
          <cell r="V1433" t="str">
            <v/>
          </cell>
          <cell r="X1433">
            <v>0.38159999999999999</v>
          </cell>
          <cell r="Y1433">
            <v>0</v>
          </cell>
          <cell r="Z1433">
            <v>0.33179999999999998</v>
          </cell>
          <cell r="AA1433">
            <v>0</v>
          </cell>
          <cell r="AB1433">
            <v>0.28849999999999998</v>
          </cell>
          <cell r="AC1433">
            <v>0</v>
          </cell>
          <cell r="AD1433">
            <v>0.25090000000000001</v>
          </cell>
          <cell r="AE1433">
            <v>0</v>
          </cell>
          <cell r="AG1433" t="str">
            <v/>
          </cell>
          <cell r="AH1433" t="str">
            <v/>
          </cell>
          <cell r="AJ1433">
            <v>0.38159999999999999</v>
          </cell>
          <cell r="AK1433">
            <v>0</v>
          </cell>
          <cell r="AL1433">
            <v>0.33179999999999998</v>
          </cell>
          <cell r="AM1433">
            <v>0</v>
          </cell>
          <cell r="AN1433">
            <v>0.28849999999999998</v>
          </cell>
          <cell r="AO1433">
            <v>0</v>
          </cell>
          <cell r="AP1433">
            <v>0.25090000000000001</v>
          </cell>
          <cell r="AQ1433">
            <v>0</v>
          </cell>
          <cell r="AS1433" t="str">
            <v/>
          </cell>
          <cell r="AT1433" t="str">
            <v/>
          </cell>
          <cell r="AV1433" t="b">
            <v>1</v>
          </cell>
          <cell r="AW1433" t="str">
            <v>minute</v>
          </cell>
        </row>
        <row r="1434">
          <cell r="S1434" t="str">
            <v>INT SLE SLEMO</v>
          </cell>
          <cell r="T1434" t="str">
            <v>INT</v>
          </cell>
          <cell r="U1434" t="str">
            <v>SLE</v>
          </cell>
          <cell r="V1434" t="str">
            <v>SLEMO</v>
          </cell>
          <cell r="X1434">
            <v>0.62819999999999998</v>
          </cell>
          <cell r="Y1434">
            <v>0</v>
          </cell>
          <cell r="Z1434">
            <v>0.54630000000000001</v>
          </cell>
          <cell r="AA1434">
            <v>0</v>
          </cell>
          <cell r="AB1434">
            <v>0.47499999999999998</v>
          </cell>
          <cell r="AC1434">
            <v>0</v>
          </cell>
          <cell r="AD1434">
            <v>0.41299999999999998</v>
          </cell>
          <cell r="AE1434">
            <v>0</v>
          </cell>
          <cell r="AG1434" t="str">
            <v/>
          </cell>
          <cell r="AH1434" t="str">
            <v/>
          </cell>
          <cell r="AJ1434">
            <v>0.62819999999999998</v>
          </cell>
          <cell r="AK1434">
            <v>0</v>
          </cell>
          <cell r="AL1434">
            <v>0.54630000000000001</v>
          </cell>
          <cell r="AM1434">
            <v>0</v>
          </cell>
          <cell r="AN1434">
            <v>0.47499999999999998</v>
          </cell>
          <cell r="AO1434">
            <v>0</v>
          </cell>
          <cell r="AP1434">
            <v>0.41299999999999998</v>
          </cell>
          <cell r="AQ1434">
            <v>0</v>
          </cell>
          <cell r="AS1434" t="str">
            <v/>
          </cell>
          <cell r="AT1434" t="str">
            <v/>
          </cell>
          <cell r="AV1434" t="b">
            <v>1</v>
          </cell>
          <cell r="AW1434" t="str">
            <v>minute</v>
          </cell>
        </row>
        <row r="1435">
          <cell r="S1435" t="str">
            <v>INT SLE</v>
          </cell>
          <cell r="T1435" t="str">
            <v>INT</v>
          </cell>
          <cell r="U1435" t="str">
            <v>SLE</v>
          </cell>
          <cell r="V1435" t="str">
            <v/>
          </cell>
          <cell r="X1435">
            <v>0.62819999999999998</v>
          </cell>
          <cell r="Y1435">
            <v>0</v>
          </cell>
          <cell r="Z1435">
            <v>0.54630000000000001</v>
          </cell>
          <cell r="AA1435">
            <v>0</v>
          </cell>
          <cell r="AB1435">
            <v>0.47499999999999998</v>
          </cell>
          <cell r="AC1435">
            <v>0</v>
          </cell>
          <cell r="AD1435">
            <v>0.41299999999999998</v>
          </cell>
          <cell r="AE1435">
            <v>0</v>
          </cell>
          <cell r="AG1435" t="str">
            <v/>
          </cell>
          <cell r="AH1435" t="str">
            <v/>
          </cell>
          <cell r="AJ1435">
            <v>0.62819999999999998</v>
          </cell>
          <cell r="AK1435">
            <v>0</v>
          </cell>
          <cell r="AL1435">
            <v>0.54630000000000001</v>
          </cell>
          <cell r="AM1435">
            <v>0</v>
          </cell>
          <cell r="AN1435">
            <v>0.47499999999999998</v>
          </cell>
          <cell r="AO1435">
            <v>0</v>
          </cell>
          <cell r="AP1435">
            <v>0.41299999999999998</v>
          </cell>
          <cell r="AQ1435">
            <v>0</v>
          </cell>
          <cell r="AS1435" t="str">
            <v/>
          </cell>
          <cell r="AT1435" t="str">
            <v/>
          </cell>
          <cell r="AV1435" t="b">
            <v>1</v>
          </cell>
          <cell r="AW1435" t="str">
            <v>minute</v>
          </cell>
        </row>
        <row r="1436">
          <cell r="S1436" t="str">
            <v>INT SGP SGPMO</v>
          </cell>
          <cell r="T1436" t="str">
            <v>INT</v>
          </cell>
          <cell r="U1436" t="str">
            <v>SGP</v>
          </cell>
          <cell r="V1436" t="str">
            <v>SGPMO</v>
          </cell>
          <cell r="X1436">
            <v>2.47E-2</v>
          </cell>
          <cell r="Y1436">
            <v>0</v>
          </cell>
          <cell r="Z1436">
            <v>2.1499999999999998E-2</v>
          </cell>
          <cell r="AA1436">
            <v>0</v>
          </cell>
          <cell r="AB1436">
            <v>1.8700000000000001E-2</v>
          </cell>
          <cell r="AC1436">
            <v>0</v>
          </cell>
          <cell r="AD1436">
            <v>1.6299999999999999E-2</v>
          </cell>
          <cell r="AE1436">
            <v>0</v>
          </cell>
          <cell r="AG1436" t="str">
            <v/>
          </cell>
          <cell r="AH1436" t="str">
            <v/>
          </cell>
          <cell r="AJ1436">
            <v>2.47E-2</v>
          </cell>
          <cell r="AK1436">
            <v>0</v>
          </cell>
          <cell r="AL1436">
            <v>2.1499999999999998E-2</v>
          </cell>
          <cell r="AM1436">
            <v>0</v>
          </cell>
          <cell r="AN1436">
            <v>1.8700000000000001E-2</v>
          </cell>
          <cell r="AO1436">
            <v>0</v>
          </cell>
          <cell r="AP1436">
            <v>1.6299999999999999E-2</v>
          </cell>
          <cell r="AQ1436">
            <v>0</v>
          </cell>
          <cell r="AS1436" t="str">
            <v/>
          </cell>
          <cell r="AT1436" t="str">
            <v/>
          </cell>
          <cell r="AV1436" t="b">
            <v>1</v>
          </cell>
          <cell r="AW1436" t="str">
            <v>minute</v>
          </cell>
        </row>
        <row r="1437">
          <cell r="S1437" t="str">
            <v>INT SGP</v>
          </cell>
          <cell r="T1437" t="str">
            <v>INT</v>
          </cell>
          <cell r="U1437" t="str">
            <v>SGP</v>
          </cell>
          <cell r="V1437" t="str">
            <v/>
          </cell>
          <cell r="X1437">
            <v>4.02E-2</v>
          </cell>
          <cell r="Y1437">
            <v>0</v>
          </cell>
          <cell r="Z1437">
            <v>3.6200000000000003E-2</v>
          </cell>
          <cell r="AA1437">
            <v>0</v>
          </cell>
          <cell r="AB1437">
            <v>3.4200000000000001E-2</v>
          </cell>
          <cell r="AC1437">
            <v>0</v>
          </cell>
          <cell r="AD1437">
            <v>3.2199999999999999E-2</v>
          </cell>
          <cell r="AE1437">
            <v>0</v>
          </cell>
          <cell r="AG1437" t="str">
            <v/>
          </cell>
          <cell r="AH1437" t="str">
            <v/>
          </cell>
          <cell r="AJ1437">
            <v>4.02E-2</v>
          </cell>
          <cell r="AK1437">
            <v>0</v>
          </cell>
          <cell r="AL1437">
            <v>3.6200000000000003E-2</v>
          </cell>
          <cell r="AM1437">
            <v>0</v>
          </cell>
          <cell r="AN1437">
            <v>3.4200000000000001E-2</v>
          </cell>
          <cell r="AO1437">
            <v>0</v>
          </cell>
          <cell r="AP1437">
            <v>3.2199999999999999E-2</v>
          </cell>
          <cell r="AQ1437">
            <v>0</v>
          </cell>
          <cell r="AS1437" t="str">
            <v/>
          </cell>
          <cell r="AT1437" t="str">
            <v/>
          </cell>
          <cell r="AV1437" t="b">
            <v>1</v>
          </cell>
          <cell r="AW1437" t="str">
            <v>minute</v>
          </cell>
        </row>
        <row r="1438">
          <cell r="S1438" t="str">
            <v>INT SVK SVKMO</v>
          </cell>
          <cell r="T1438" t="str">
            <v>INT</v>
          </cell>
          <cell r="U1438" t="str">
            <v>SVK</v>
          </cell>
          <cell r="V1438" t="str">
            <v>SVKMO</v>
          </cell>
          <cell r="X1438">
            <v>0.14560000000000001</v>
          </cell>
          <cell r="Y1438">
            <v>0</v>
          </cell>
          <cell r="Z1438">
            <v>0.1361</v>
          </cell>
          <cell r="AA1438">
            <v>0</v>
          </cell>
          <cell r="AB1438">
            <v>0.12720000000000001</v>
          </cell>
          <cell r="AC1438">
            <v>0</v>
          </cell>
          <cell r="AD1438">
            <v>0.11890000000000001</v>
          </cell>
          <cell r="AE1438">
            <v>0</v>
          </cell>
          <cell r="AG1438" t="str">
            <v/>
          </cell>
          <cell r="AH1438" t="str">
            <v/>
          </cell>
          <cell r="AJ1438">
            <v>0.14560000000000001</v>
          </cell>
          <cell r="AK1438">
            <v>0</v>
          </cell>
          <cell r="AL1438">
            <v>0.1361</v>
          </cell>
          <cell r="AM1438">
            <v>0</v>
          </cell>
          <cell r="AN1438">
            <v>0.12720000000000001</v>
          </cell>
          <cell r="AO1438">
            <v>0</v>
          </cell>
          <cell r="AP1438">
            <v>0.11890000000000001</v>
          </cell>
          <cell r="AQ1438">
            <v>0</v>
          </cell>
          <cell r="AS1438" t="str">
            <v/>
          </cell>
          <cell r="AT1438" t="str">
            <v/>
          </cell>
          <cell r="AV1438" t="b">
            <v>1</v>
          </cell>
          <cell r="AW1438" t="str">
            <v>minute</v>
          </cell>
        </row>
        <row r="1439">
          <cell r="S1439" t="str">
            <v>INT SVK</v>
          </cell>
          <cell r="T1439" t="str">
            <v>INT</v>
          </cell>
          <cell r="U1439" t="str">
            <v>SVK</v>
          </cell>
          <cell r="V1439" t="str">
            <v/>
          </cell>
          <cell r="X1439">
            <v>3.2099999999999997E-2</v>
          </cell>
          <cell r="Y1439">
            <v>0</v>
          </cell>
          <cell r="Z1439">
            <v>0.03</v>
          </cell>
          <cell r="AA1439">
            <v>0</v>
          </cell>
          <cell r="AB1439">
            <v>2.8000000000000001E-2</v>
          </cell>
          <cell r="AC1439">
            <v>0</v>
          </cell>
          <cell r="AD1439">
            <v>2.6200000000000001E-2</v>
          </cell>
          <cell r="AE1439">
            <v>0</v>
          </cell>
          <cell r="AG1439" t="str">
            <v/>
          </cell>
          <cell r="AH1439" t="str">
            <v/>
          </cell>
          <cell r="AJ1439">
            <v>3.2099999999999997E-2</v>
          </cell>
          <cell r="AK1439">
            <v>0</v>
          </cell>
          <cell r="AL1439">
            <v>0.03</v>
          </cell>
          <cell r="AM1439">
            <v>0</v>
          </cell>
          <cell r="AN1439">
            <v>2.8000000000000001E-2</v>
          </cell>
          <cell r="AO1439">
            <v>0</v>
          </cell>
          <cell r="AP1439">
            <v>2.6200000000000001E-2</v>
          </cell>
          <cell r="AQ1439">
            <v>0</v>
          </cell>
          <cell r="AS1439" t="str">
            <v/>
          </cell>
          <cell r="AT1439" t="str">
            <v/>
          </cell>
          <cell r="AV1439" t="b">
            <v>1</v>
          </cell>
          <cell r="AW1439" t="str">
            <v>minute</v>
          </cell>
        </row>
        <row r="1440">
          <cell r="S1440" t="str">
            <v>INT SVN SVNMO</v>
          </cell>
          <cell r="T1440" t="str">
            <v>INT</v>
          </cell>
          <cell r="U1440" t="str">
            <v>SVN</v>
          </cell>
          <cell r="V1440" t="str">
            <v>SVNMO</v>
          </cell>
          <cell r="X1440">
            <v>0.5756</v>
          </cell>
          <cell r="Y1440">
            <v>0</v>
          </cell>
          <cell r="Z1440">
            <v>0.50019999999999998</v>
          </cell>
          <cell r="AA1440">
            <v>0</v>
          </cell>
          <cell r="AB1440">
            <v>0.43519999999999998</v>
          </cell>
          <cell r="AC1440">
            <v>0</v>
          </cell>
          <cell r="AD1440">
            <v>0.37840000000000001</v>
          </cell>
          <cell r="AE1440">
            <v>0</v>
          </cell>
          <cell r="AG1440" t="str">
            <v/>
          </cell>
          <cell r="AH1440" t="str">
            <v/>
          </cell>
          <cell r="AJ1440">
            <v>0.5756</v>
          </cell>
          <cell r="AK1440">
            <v>0</v>
          </cell>
          <cell r="AL1440">
            <v>0.50019999999999998</v>
          </cell>
          <cell r="AM1440">
            <v>0</v>
          </cell>
          <cell r="AN1440">
            <v>0.43519999999999998</v>
          </cell>
          <cell r="AO1440">
            <v>0</v>
          </cell>
          <cell r="AP1440">
            <v>0.37840000000000001</v>
          </cell>
          <cell r="AQ1440">
            <v>0</v>
          </cell>
          <cell r="AS1440" t="str">
            <v/>
          </cell>
          <cell r="AT1440" t="str">
            <v/>
          </cell>
          <cell r="AV1440" t="b">
            <v>1</v>
          </cell>
          <cell r="AW1440" t="str">
            <v>minute</v>
          </cell>
        </row>
        <row r="1441">
          <cell r="S1441" t="str">
            <v>INT SVN</v>
          </cell>
          <cell r="T1441" t="str">
            <v>INT</v>
          </cell>
          <cell r="U1441" t="str">
            <v>SVN</v>
          </cell>
          <cell r="V1441" t="str">
            <v/>
          </cell>
          <cell r="X1441">
            <v>3.4200000000000001E-2</v>
          </cell>
          <cell r="Y1441">
            <v>0</v>
          </cell>
          <cell r="Z1441">
            <v>2.9700000000000001E-2</v>
          </cell>
          <cell r="AA1441">
            <v>0</v>
          </cell>
          <cell r="AB1441">
            <v>2.58E-2</v>
          </cell>
          <cell r="AC1441">
            <v>0</v>
          </cell>
          <cell r="AD1441">
            <v>2.24E-2</v>
          </cell>
          <cell r="AE1441">
            <v>0</v>
          </cell>
          <cell r="AG1441" t="str">
            <v/>
          </cell>
          <cell r="AH1441" t="str">
            <v/>
          </cell>
          <cell r="AJ1441">
            <v>3.4200000000000001E-2</v>
          </cell>
          <cell r="AK1441">
            <v>0</v>
          </cell>
          <cell r="AL1441">
            <v>2.9700000000000001E-2</v>
          </cell>
          <cell r="AM1441">
            <v>0</v>
          </cell>
          <cell r="AN1441">
            <v>2.58E-2</v>
          </cell>
          <cell r="AO1441">
            <v>0</v>
          </cell>
          <cell r="AP1441">
            <v>2.24E-2</v>
          </cell>
          <cell r="AQ1441">
            <v>0</v>
          </cell>
          <cell r="AS1441" t="str">
            <v/>
          </cell>
          <cell r="AT1441" t="str">
            <v/>
          </cell>
          <cell r="AV1441" t="b">
            <v>1</v>
          </cell>
          <cell r="AW1441" t="str">
            <v>minute</v>
          </cell>
        </row>
        <row r="1442">
          <cell r="S1442" t="str">
            <v>INT SLB</v>
          </cell>
          <cell r="T1442" t="str">
            <v>INT</v>
          </cell>
          <cell r="U1442" t="str">
            <v>SLB</v>
          </cell>
          <cell r="V1442" t="str">
            <v/>
          </cell>
          <cell r="X1442">
            <v>1.413</v>
          </cell>
          <cell r="Y1442">
            <v>0</v>
          </cell>
          <cell r="Z1442">
            <v>1.2283999999999999</v>
          </cell>
          <cell r="AA1442">
            <v>0</v>
          </cell>
          <cell r="AB1442">
            <v>1.0684</v>
          </cell>
          <cell r="AC1442">
            <v>0</v>
          </cell>
          <cell r="AD1442">
            <v>0.92900000000000005</v>
          </cell>
          <cell r="AE1442">
            <v>0</v>
          </cell>
          <cell r="AG1442" t="str">
            <v/>
          </cell>
          <cell r="AH1442" t="str">
            <v/>
          </cell>
          <cell r="AJ1442">
            <v>1.413</v>
          </cell>
          <cell r="AK1442">
            <v>0</v>
          </cell>
          <cell r="AL1442">
            <v>1.2283999999999999</v>
          </cell>
          <cell r="AM1442">
            <v>0</v>
          </cell>
          <cell r="AN1442">
            <v>1.0684</v>
          </cell>
          <cell r="AO1442">
            <v>0</v>
          </cell>
          <cell r="AP1442">
            <v>0.92900000000000005</v>
          </cell>
          <cell r="AQ1442">
            <v>0</v>
          </cell>
          <cell r="AS1442" t="str">
            <v/>
          </cell>
          <cell r="AT1442" t="str">
            <v/>
          </cell>
          <cell r="AV1442" t="b">
            <v>1</v>
          </cell>
          <cell r="AW1442" t="str">
            <v>minute</v>
          </cell>
        </row>
        <row r="1443">
          <cell r="S1443" t="str">
            <v>INT SOM</v>
          </cell>
          <cell r="T1443" t="str">
            <v>INT</v>
          </cell>
          <cell r="U1443" t="str">
            <v>SOM</v>
          </cell>
          <cell r="V1443" t="str">
            <v/>
          </cell>
          <cell r="X1443">
            <v>0.74490000000000001</v>
          </cell>
          <cell r="Y1443">
            <v>0</v>
          </cell>
          <cell r="Z1443">
            <v>0.64770000000000005</v>
          </cell>
          <cell r="AA1443">
            <v>0</v>
          </cell>
          <cell r="AB1443">
            <v>0.56320000000000003</v>
          </cell>
          <cell r="AC1443">
            <v>0</v>
          </cell>
          <cell r="AD1443">
            <v>0.48970000000000002</v>
          </cell>
          <cell r="AE1443">
            <v>0</v>
          </cell>
          <cell r="AG1443" t="str">
            <v/>
          </cell>
          <cell r="AH1443" t="str">
            <v/>
          </cell>
          <cell r="AJ1443">
            <v>0.74490000000000001</v>
          </cell>
          <cell r="AK1443">
            <v>0</v>
          </cell>
          <cell r="AL1443">
            <v>0.64770000000000005</v>
          </cell>
          <cell r="AM1443">
            <v>0</v>
          </cell>
          <cell r="AN1443">
            <v>0.56320000000000003</v>
          </cell>
          <cell r="AO1443">
            <v>0</v>
          </cell>
          <cell r="AP1443">
            <v>0.48970000000000002</v>
          </cell>
          <cell r="AQ1443">
            <v>0</v>
          </cell>
          <cell r="AS1443" t="str">
            <v/>
          </cell>
          <cell r="AT1443" t="str">
            <v/>
          </cell>
          <cell r="AV1443" t="b">
            <v>1</v>
          </cell>
          <cell r="AW1443" t="str">
            <v>minute</v>
          </cell>
        </row>
        <row r="1444">
          <cell r="S1444" t="str">
            <v>INT ZAF ZAFMO</v>
          </cell>
          <cell r="T1444" t="str">
            <v>INT</v>
          </cell>
          <cell r="U1444" t="str">
            <v>ZAF</v>
          </cell>
          <cell r="V1444" t="str">
            <v>ZAFMO</v>
          </cell>
          <cell r="X1444">
            <v>0.1075</v>
          </cell>
          <cell r="Y1444">
            <v>0</v>
          </cell>
          <cell r="Z1444">
            <v>9.3399999999999997E-2</v>
          </cell>
          <cell r="AA1444">
            <v>0</v>
          </cell>
          <cell r="AB1444">
            <v>8.1299999999999997E-2</v>
          </cell>
          <cell r="AC1444">
            <v>0</v>
          </cell>
          <cell r="AD1444">
            <v>7.0699999999999999E-2</v>
          </cell>
          <cell r="AE1444">
            <v>0</v>
          </cell>
          <cell r="AG1444" t="str">
            <v/>
          </cell>
          <cell r="AH1444" t="str">
            <v/>
          </cell>
          <cell r="AJ1444">
            <v>0.1075</v>
          </cell>
          <cell r="AK1444">
            <v>0</v>
          </cell>
          <cell r="AL1444">
            <v>9.3399999999999997E-2</v>
          </cell>
          <cell r="AM1444">
            <v>0</v>
          </cell>
          <cell r="AN1444">
            <v>8.1299999999999997E-2</v>
          </cell>
          <cell r="AO1444">
            <v>0</v>
          </cell>
          <cell r="AP1444">
            <v>7.0699999999999999E-2</v>
          </cell>
          <cell r="AQ1444">
            <v>0</v>
          </cell>
          <cell r="AS1444" t="str">
            <v/>
          </cell>
          <cell r="AT1444" t="str">
            <v/>
          </cell>
          <cell r="AV1444" t="b">
            <v>1</v>
          </cell>
          <cell r="AW1444" t="str">
            <v>minute</v>
          </cell>
        </row>
        <row r="1445">
          <cell r="S1445" t="str">
            <v>INT ZAF</v>
          </cell>
          <cell r="T1445" t="str">
            <v>INT</v>
          </cell>
          <cell r="U1445" t="str">
            <v>ZAF</v>
          </cell>
          <cell r="V1445" t="str">
            <v/>
          </cell>
          <cell r="X1445">
            <v>5.0500000000000003E-2</v>
          </cell>
          <cell r="Y1445">
            <v>0</v>
          </cell>
          <cell r="Z1445">
            <v>4.5499999999999999E-2</v>
          </cell>
          <cell r="AA1445">
            <v>0</v>
          </cell>
          <cell r="AB1445">
            <v>4.2900000000000001E-2</v>
          </cell>
          <cell r="AC1445">
            <v>0</v>
          </cell>
          <cell r="AD1445">
            <v>4.0399999999999998E-2</v>
          </cell>
          <cell r="AE1445">
            <v>0</v>
          </cell>
          <cell r="AG1445" t="str">
            <v/>
          </cell>
          <cell r="AH1445" t="str">
            <v/>
          </cell>
          <cell r="AJ1445">
            <v>5.0500000000000003E-2</v>
          </cell>
          <cell r="AK1445">
            <v>0</v>
          </cell>
          <cell r="AL1445">
            <v>4.5499999999999999E-2</v>
          </cell>
          <cell r="AM1445">
            <v>0</v>
          </cell>
          <cell r="AN1445">
            <v>4.2900000000000001E-2</v>
          </cell>
          <cell r="AO1445">
            <v>0</v>
          </cell>
          <cell r="AP1445">
            <v>4.0399999999999998E-2</v>
          </cell>
          <cell r="AQ1445">
            <v>0</v>
          </cell>
          <cell r="AS1445" t="str">
            <v/>
          </cell>
          <cell r="AT1445" t="str">
            <v/>
          </cell>
          <cell r="AV1445" t="b">
            <v>1</v>
          </cell>
          <cell r="AW1445" t="str">
            <v>minute</v>
          </cell>
        </row>
        <row r="1446">
          <cell r="S1446" t="str">
            <v>INT SSD SSDMO</v>
          </cell>
          <cell r="T1446" t="str">
            <v>INT</v>
          </cell>
          <cell r="U1446" t="str">
            <v>SSD</v>
          </cell>
          <cell r="V1446" t="str">
            <v>SSDMO</v>
          </cell>
          <cell r="X1446">
            <v>0.41460000000000002</v>
          </cell>
          <cell r="Y1446">
            <v>0</v>
          </cell>
          <cell r="Z1446">
            <v>0.36049999999999999</v>
          </cell>
          <cell r="AA1446">
            <v>0</v>
          </cell>
          <cell r="AB1446">
            <v>0.3135</v>
          </cell>
          <cell r="AC1446">
            <v>0</v>
          </cell>
          <cell r="AD1446">
            <v>0.27260000000000001</v>
          </cell>
          <cell r="AE1446">
            <v>0</v>
          </cell>
          <cell r="AG1446" t="str">
            <v/>
          </cell>
          <cell r="AH1446" t="str">
            <v/>
          </cell>
          <cell r="AJ1446">
            <v>0.41460000000000002</v>
          </cell>
          <cell r="AK1446">
            <v>0</v>
          </cell>
          <cell r="AL1446">
            <v>0.36049999999999999</v>
          </cell>
          <cell r="AM1446">
            <v>0</v>
          </cell>
          <cell r="AN1446">
            <v>0.3135</v>
          </cell>
          <cell r="AO1446">
            <v>0</v>
          </cell>
          <cell r="AP1446">
            <v>0.27260000000000001</v>
          </cell>
          <cell r="AQ1446">
            <v>0</v>
          </cell>
          <cell r="AS1446" t="str">
            <v/>
          </cell>
          <cell r="AT1446" t="str">
            <v/>
          </cell>
          <cell r="AV1446" t="b">
            <v>1</v>
          </cell>
          <cell r="AW1446" t="str">
            <v>minute</v>
          </cell>
        </row>
        <row r="1447">
          <cell r="S1447" t="str">
            <v>INT SSD</v>
          </cell>
          <cell r="T1447" t="str">
            <v>INT</v>
          </cell>
          <cell r="U1447" t="str">
            <v>SSD</v>
          </cell>
          <cell r="V1447" t="str">
            <v/>
          </cell>
          <cell r="X1447">
            <v>0.41460000000000002</v>
          </cell>
          <cell r="Y1447">
            <v>0</v>
          </cell>
          <cell r="Z1447">
            <v>0.36049999999999999</v>
          </cell>
          <cell r="AA1447">
            <v>0</v>
          </cell>
          <cell r="AB1447">
            <v>0.3135</v>
          </cell>
          <cell r="AC1447">
            <v>0</v>
          </cell>
          <cell r="AD1447">
            <v>0.27260000000000001</v>
          </cell>
          <cell r="AE1447">
            <v>0</v>
          </cell>
          <cell r="AG1447" t="str">
            <v/>
          </cell>
          <cell r="AH1447" t="str">
            <v/>
          </cell>
          <cell r="AJ1447">
            <v>0.41460000000000002</v>
          </cell>
          <cell r="AK1447">
            <v>0</v>
          </cell>
          <cell r="AL1447">
            <v>0.36049999999999999</v>
          </cell>
          <cell r="AM1447">
            <v>0</v>
          </cell>
          <cell r="AN1447">
            <v>0.3135</v>
          </cell>
          <cell r="AO1447">
            <v>0</v>
          </cell>
          <cell r="AP1447">
            <v>0.27260000000000001</v>
          </cell>
          <cell r="AQ1447">
            <v>0</v>
          </cell>
          <cell r="AS1447" t="str">
            <v/>
          </cell>
          <cell r="AT1447" t="str">
            <v/>
          </cell>
          <cell r="AV1447" t="b">
            <v>1</v>
          </cell>
          <cell r="AW1447" t="str">
            <v>minute</v>
          </cell>
        </row>
        <row r="1448">
          <cell r="S1448" t="str">
            <v>INT ESP ESPMO</v>
          </cell>
          <cell r="T1448" t="str">
            <v>INT</v>
          </cell>
          <cell r="U1448" t="str">
            <v>ESP</v>
          </cell>
          <cell r="V1448" t="str">
            <v>ESPMO</v>
          </cell>
          <cell r="X1448">
            <v>7.6600000000000001E-2</v>
          </cell>
          <cell r="Y1448">
            <v>0</v>
          </cell>
          <cell r="Z1448">
            <v>2.6499999999999999E-2</v>
          </cell>
          <cell r="AA1448">
            <v>0</v>
          </cell>
          <cell r="AB1448">
            <v>2.47E-2</v>
          </cell>
          <cell r="AC1448">
            <v>0</v>
          </cell>
          <cell r="AD1448">
            <v>2.3099999999999999E-2</v>
          </cell>
          <cell r="AE1448">
            <v>0</v>
          </cell>
          <cell r="AG1448" t="str">
            <v/>
          </cell>
          <cell r="AH1448" t="str">
            <v/>
          </cell>
          <cell r="AJ1448">
            <v>7.6600000000000001E-2</v>
          </cell>
          <cell r="AK1448">
            <v>0</v>
          </cell>
          <cell r="AL1448">
            <v>2.6499999999999999E-2</v>
          </cell>
          <cell r="AM1448">
            <v>0</v>
          </cell>
          <cell r="AN1448">
            <v>2.47E-2</v>
          </cell>
          <cell r="AO1448">
            <v>0</v>
          </cell>
          <cell r="AP1448">
            <v>2.3099999999999999E-2</v>
          </cell>
          <cell r="AQ1448">
            <v>0</v>
          </cell>
          <cell r="AS1448" t="str">
            <v/>
          </cell>
          <cell r="AT1448" t="str">
            <v/>
          </cell>
          <cell r="AV1448" t="b">
            <v>1</v>
          </cell>
          <cell r="AW1448" t="str">
            <v>minute</v>
          </cell>
        </row>
        <row r="1449">
          <cell r="S1449" t="str">
            <v>INT ESP</v>
          </cell>
          <cell r="T1449" t="str">
            <v>INT</v>
          </cell>
          <cell r="U1449" t="str">
            <v>ESP</v>
          </cell>
          <cell r="V1449" t="str">
            <v/>
          </cell>
          <cell r="X1449">
            <v>1.7299999999999999E-2</v>
          </cell>
          <cell r="Y1449">
            <v>0</v>
          </cell>
          <cell r="Z1449">
            <v>1.6199999999999999E-2</v>
          </cell>
          <cell r="AA1449">
            <v>0</v>
          </cell>
          <cell r="AB1449">
            <v>1.5100000000000001E-2</v>
          </cell>
          <cell r="AC1449">
            <v>0</v>
          </cell>
          <cell r="AD1449">
            <v>1.41E-2</v>
          </cell>
          <cell r="AE1449">
            <v>0</v>
          </cell>
          <cell r="AG1449" t="str">
            <v/>
          </cell>
          <cell r="AH1449" t="str">
            <v/>
          </cell>
          <cell r="AJ1449">
            <v>1.7299999999999999E-2</v>
          </cell>
          <cell r="AK1449">
            <v>0</v>
          </cell>
          <cell r="AL1449">
            <v>1.6199999999999999E-2</v>
          </cell>
          <cell r="AM1449">
            <v>0</v>
          </cell>
          <cell r="AN1449">
            <v>1.5100000000000001E-2</v>
          </cell>
          <cell r="AO1449">
            <v>0</v>
          </cell>
          <cell r="AP1449">
            <v>1.41E-2</v>
          </cell>
          <cell r="AQ1449">
            <v>0</v>
          </cell>
          <cell r="AS1449" t="str">
            <v/>
          </cell>
          <cell r="AT1449" t="str">
            <v/>
          </cell>
          <cell r="AV1449" t="b">
            <v>1</v>
          </cell>
          <cell r="AW1449" t="str">
            <v>minute</v>
          </cell>
        </row>
        <row r="1450">
          <cell r="S1450" t="str">
            <v>INT ESP SPP08</v>
          </cell>
          <cell r="T1450" t="str">
            <v>INT</v>
          </cell>
          <cell r="U1450" t="str">
            <v>ESP</v>
          </cell>
          <cell r="V1450" t="str">
            <v>SPP08</v>
          </cell>
          <cell r="X1450">
            <v>4.5243000000000002</v>
          </cell>
          <cell r="Y1450">
            <v>0</v>
          </cell>
          <cell r="Z1450">
            <v>4.5243000000000002</v>
          </cell>
          <cell r="AA1450">
            <v>0</v>
          </cell>
          <cell r="AB1450">
            <v>4.5243000000000002</v>
          </cell>
          <cell r="AC1450">
            <v>0</v>
          </cell>
          <cell r="AD1450">
            <v>4.5243000000000002</v>
          </cell>
          <cell r="AE1450">
            <v>0</v>
          </cell>
          <cell r="AG1450" t="str">
            <v/>
          </cell>
          <cell r="AH1450" t="str">
            <v/>
          </cell>
          <cell r="AJ1450">
            <v>4.5243000000000002</v>
          </cell>
          <cell r="AK1450">
            <v>0</v>
          </cell>
          <cell r="AL1450">
            <v>4.5243000000000002</v>
          </cell>
          <cell r="AM1450">
            <v>0</v>
          </cell>
          <cell r="AN1450">
            <v>4.5243000000000002</v>
          </cell>
          <cell r="AO1450">
            <v>0</v>
          </cell>
          <cell r="AP1450">
            <v>4.5243000000000002</v>
          </cell>
          <cell r="AQ1450">
            <v>0</v>
          </cell>
          <cell r="AS1450" t="str">
            <v/>
          </cell>
          <cell r="AT1450" t="str">
            <v/>
          </cell>
          <cell r="AV1450" t="b">
            <v>0</v>
          </cell>
          <cell r="AW1450" t="str">
            <v>minute</v>
          </cell>
        </row>
        <row r="1451">
          <cell r="S1451" t="str">
            <v>INT ESP SPPRS</v>
          </cell>
          <cell r="T1451" t="str">
            <v>INT</v>
          </cell>
          <cell r="U1451" t="str">
            <v>ESP</v>
          </cell>
          <cell r="V1451" t="str">
            <v>SPPRS</v>
          </cell>
          <cell r="X1451">
            <v>0.1658</v>
          </cell>
          <cell r="Y1451">
            <v>0</v>
          </cell>
          <cell r="Z1451">
            <v>0.1658</v>
          </cell>
          <cell r="AA1451">
            <v>0</v>
          </cell>
          <cell r="AB1451">
            <v>0.1658</v>
          </cell>
          <cell r="AC1451">
            <v>0</v>
          </cell>
          <cell r="AD1451">
            <v>0.1658</v>
          </cell>
          <cell r="AE1451">
            <v>0</v>
          </cell>
          <cell r="AG1451" t="str">
            <v/>
          </cell>
          <cell r="AH1451" t="str">
            <v/>
          </cell>
          <cell r="AJ1451">
            <v>0.1658</v>
          </cell>
          <cell r="AK1451">
            <v>0</v>
          </cell>
          <cell r="AL1451">
            <v>0.1658</v>
          </cell>
          <cell r="AM1451">
            <v>0</v>
          </cell>
          <cell r="AN1451">
            <v>0.1658</v>
          </cell>
          <cell r="AO1451">
            <v>0</v>
          </cell>
          <cell r="AP1451">
            <v>0.1658</v>
          </cell>
          <cell r="AQ1451">
            <v>0</v>
          </cell>
          <cell r="AS1451" t="str">
            <v/>
          </cell>
          <cell r="AT1451" t="str">
            <v/>
          </cell>
          <cell r="AV1451" t="b">
            <v>0</v>
          </cell>
          <cell r="AW1451" t="str">
            <v>minute</v>
          </cell>
        </row>
        <row r="1452">
          <cell r="S1452" t="str">
            <v>INT ESP SPFRE</v>
          </cell>
          <cell r="T1452" t="str">
            <v>INT</v>
          </cell>
          <cell r="U1452" t="str">
            <v>ESP</v>
          </cell>
          <cell r="V1452" t="str">
            <v>SPFRE</v>
          </cell>
          <cell r="X1452">
            <v>1.7299999999999999E-2</v>
          </cell>
          <cell r="Y1452">
            <v>0</v>
          </cell>
          <cell r="Z1452">
            <v>1.7299999999999999E-2</v>
          </cell>
          <cell r="AA1452">
            <v>0</v>
          </cell>
          <cell r="AB1452">
            <v>1.7299999999999999E-2</v>
          </cell>
          <cell r="AC1452">
            <v>0</v>
          </cell>
          <cell r="AD1452">
            <v>1.7299999999999999E-2</v>
          </cell>
          <cell r="AE1452">
            <v>0</v>
          </cell>
          <cell r="AG1452" t="str">
            <v/>
          </cell>
          <cell r="AH1452" t="str">
            <v/>
          </cell>
          <cell r="AJ1452">
            <v>1.7299999999999999E-2</v>
          </cell>
          <cell r="AK1452">
            <v>0</v>
          </cell>
          <cell r="AL1452">
            <v>1.7299999999999999E-2</v>
          </cell>
          <cell r="AM1452">
            <v>0</v>
          </cell>
          <cell r="AN1452">
            <v>1.7299999999999999E-2</v>
          </cell>
          <cell r="AO1452">
            <v>0</v>
          </cell>
          <cell r="AP1452">
            <v>1.7299999999999999E-2</v>
          </cell>
          <cell r="AQ1452">
            <v>0</v>
          </cell>
          <cell r="AS1452" t="str">
            <v/>
          </cell>
          <cell r="AT1452" t="str">
            <v/>
          </cell>
          <cell r="AV1452" t="b">
            <v>0</v>
          </cell>
          <cell r="AW1452" t="str">
            <v>minute</v>
          </cell>
        </row>
        <row r="1453">
          <cell r="S1453" t="str">
            <v>INT LKA LKAMO</v>
          </cell>
          <cell r="T1453" t="str">
            <v>INT</v>
          </cell>
          <cell r="U1453" t="str">
            <v>LKA</v>
          </cell>
          <cell r="V1453" t="str">
            <v>LKAMO</v>
          </cell>
          <cell r="X1453">
            <v>0.1938</v>
          </cell>
          <cell r="Y1453">
            <v>0</v>
          </cell>
          <cell r="Z1453">
            <v>0.16850000000000001</v>
          </cell>
          <cell r="AA1453">
            <v>0</v>
          </cell>
          <cell r="AB1453">
            <v>0.14649999999999999</v>
          </cell>
          <cell r="AC1453">
            <v>0</v>
          </cell>
          <cell r="AD1453">
            <v>0.12740000000000001</v>
          </cell>
          <cell r="AE1453">
            <v>0</v>
          </cell>
          <cell r="AG1453" t="str">
            <v/>
          </cell>
          <cell r="AH1453" t="str">
            <v/>
          </cell>
          <cell r="AJ1453">
            <v>0.1938</v>
          </cell>
          <cell r="AK1453">
            <v>0</v>
          </cell>
          <cell r="AL1453">
            <v>0.16850000000000001</v>
          </cell>
          <cell r="AM1453">
            <v>0</v>
          </cell>
          <cell r="AN1453">
            <v>0.14649999999999999</v>
          </cell>
          <cell r="AO1453">
            <v>0</v>
          </cell>
          <cell r="AP1453">
            <v>0.12740000000000001</v>
          </cell>
          <cell r="AQ1453">
            <v>0</v>
          </cell>
          <cell r="AS1453" t="str">
            <v/>
          </cell>
          <cell r="AT1453" t="str">
            <v/>
          </cell>
          <cell r="AV1453" t="b">
            <v>1</v>
          </cell>
          <cell r="AW1453" t="str">
            <v>minute</v>
          </cell>
        </row>
        <row r="1454">
          <cell r="S1454" t="str">
            <v>INT LKA</v>
          </cell>
          <cell r="T1454" t="str">
            <v>INT</v>
          </cell>
          <cell r="U1454" t="str">
            <v>LKA</v>
          </cell>
          <cell r="V1454" t="str">
            <v/>
          </cell>
          <cell r="X1454">
            <v>0.19239999999999999</v>
          </cell>
          <cell r="Y1454">
            <v>0</v>
          </cell>
          <cell r="Z1454">
            <v>0.1673</v>
          </cell>
          <cell r="AA1454">
            <v>0</v>
          </cell>
          <cell r="AB1454">
            <v>0.14549999999999999</v>
          </cell>
          <cell r="AC1454">
            <v>0</v>
          </cell>
          <cell r="AD1454">
            <v>0.1265</v>
          </cell>
          <cell r="AE1454">
            <v>0</v>
          </cell>
          <cell r="AG1454" t="str">
            <v/>
          </cell>
          <cell r="AH1454" t="str">
            <v/>
          </cell>
          <cell r="AJ1454">
            <v>0.19239999999999999</v>
          </cell>
          <cell r="AK1454">
            <v>0</v>
          </cell>
          <cell r="AL1454">
            <v>0.1673</v>
          </cell>
          <cell r="AM1454">
            <v>0</v>
          </cell>
          <cell r="AN1454">
            <v>0.14549999999999999</v>
          </cell>
          <cell r="AO1454">
            <v>0</v>
          </cell>
          <cell r="AP1454">
            <v>0.1265</v>
          </cell>
          <cell r="AQ1454">
            <v>0</v>
          </cell>
          <cell r="AS1454" t="str">
            <v/>
          </cell>
          <cell r="AT1454" t="str">
            <v/>
          </cell>
          <cell r="AV1454" t="b">
            <v>1</v>
          </cell>
          <cell r="AW1454" t="str">
            <v>minute</v>
          </cell>
        </row>
        <row r="1455">
          <cell r="S1455" t="str">
            <v>INT SHN</v>
          </cell>
          <cell r="T1455" t="str">
            <v>INT</v>
          </cell>
          <cell r="U1455" t="str">
            <v>SHN</v>
          </cell>
          <cell r="V1455" t="str">
            <v/>
          </cell>
          <cell r="X1455">
            <v>1.5537000000000001</v>
          </cell>
          <cell r="Y1455">
            <v>0</v>
          </cell>
          <cell r="Z1455">
            <v>1.351</v>
          </cell>
          <cell r="AA1455">
            <v>0</v>
          </cell>
          <cell r="AB1455">
            <v>1.1748000000000001</v>
          </cell>
          <cell r="AC1455">
            <v>0</v>
          </cell>
          <cell r="AD1455">
            <v>1.0216000000000001</v>
          </cell>
          <cell r="AE1455">
            <v>0</v>
          </cell>
          <cell r="AG1455" t="str">
            <v/>
          </cell>
          <cell r="AH1455" t="str">
            <v/>
          </cell>
          <cell r="AJ1455">
            <v>1.5537000000000001</v>
          </cell>
          <cell r="AK1455">
            <v>0</v>
          </cell>
          <cell r="AL1455">
            <v>1.351</v>
          </cell>
          <cell r="AM1455">
            <v>0</v>
          </cell>
          <cell r="AN1455">
            <v>1.1748000000000001</v>
          </cell>
          <cell r="AO1455">
            <v>0</v>
          </cell>
          <cell r="AP1455">
            <v>1.0216000000000001</v>
          </cell>
          <cell r="AQ1455">
            <v>0</v>
          </cell>
          <cell r="AS1455" t="str">
            <v/>
          </cell>
          <cell r="AT1455" t="str">
            <v/>
          </cell>
          <cell r="AV1455" t="b">
            <v>1</v>
          </cell>
          <cell r="AW1455" t="str">
            <v>minute</v>
          </cell>
        </row>
        <row r="1456">
          <cell r="S1456" t="str">
            <v>INT KNA</v>
          </cell>
          <cell r="T1456" t="str">
            <v>INT</v>
          </cell>
          <cell r="U1456" t="str">
            <v>KNA</v>
          </cell>
          <cell r="V1456" t="str">
            <v/>
          </cell>
          <cell r="X1456">
            <v>0.36709999999999998</v>
          </cell>
          <cell r="Y1456">
            <v>0</v>
          </cell>
          <cell r="Z1456">
            <v>0.31919999999999998</v>
          </cell>
          <cell r="AA1456">
            <v>0</v>
          </cell>
          <cell r="AB1456">
            <v>0.27760000000000001</v>
          </cell>
          <cell r="AC1456">
            <v>0</v>
          </cell>
          <cell r="AD1456">
            <v>0.2414</v>
          </cell>
          <cell r="AE1456">
            <v>0</v>
          </cell>
          <cell r="AG1456" t="str">
            <v/>
          </cell>
          <cell r="AH1456" t="str">
            <v/>
          </cell>
          <cell r="AJ1456">
            <v>0.36709999999999998</v>
          </cell>
          <cell r="AK1456">
            <v>0</v>
          </cell>
          <cell r="AL1456">
            <v>0.31919999999999998</v>
          </cell>
          <cell r="AM1456">
            <v>0</v>
          </cell>
          <cell r="AN1456">
            <v>0.27760000000000001</v>
          </cell>
          <cell r="AO1456">
            <v>0</v>
          </cell>
          <cell r="AP1456">
            <v>0.2414</v>
          </cell>
          <cell r="AQ1456">
            <v>0</v>
          </cell>
          <cell r="AS1456" t="str">
            <v/>
          </cell>
          <cell r="AT1456" t="str">
            <v/>
          </cell>
          <cell r="AV1456" t="b">
            <v>1</v>
          </cell>
          <cell r="AW1456" t="str">
            <v>minute</v>
          </cell>
        </row>
        <row r="1457">
          <cell r="S1457" t="str">
            <v>INT LCA</v>
          </cell>
          <cell r="T1457" t="str">
            <v>INT</v>
          </cell>
          <cell r="U1457" t="str">
            <v>LCA</v>
          </cell>
          <cell r="V1457" t="str">
            <v/>
          </cell>
          <cell r="X1457">
            <v>0.34139999999999998</v>
          </cell>
          <cell r="Y1457">
            <v>0</v>
          </cell>
          <cell r="Z1457">
            <v>0.2969</v>
          </cell>
          <cell r="AA1457">
            <v>0</v>
          </cell>
          <cell r="AB1457">
            <v>0.2581</v>
          </cell>
          <cell r="AC1457">
            <v>0</v>
          </cell>
          <cell r="AD1457">
            <v>0.22450000000000001</v>
          </cell>
          <cell r="AE1457">
            <v>0</v>
          </cell>
          <cell r="AG1457" t="str">
            <v/>
          </cell>
          <cell r="AH1457" t="str">
            <v/>
          </cell>
          <cell r="AJ1457">
            <v>0.34139999999999998</v>
          </cell>
          <cell r="AK1457">
            <v>0</v>
          </cell>
          <cell r="AL1457">
            <v>0.2969</v>
          </cell>
          <cell r="AM1457">
            <v>0</v>
          </cell>
          <cell r="AN1457">
            <v>0.2581</v>
          </cell>
          <cell r="AO1457">
            <v>0</v>
          </cell>
          <cell r="AP1457">
            <v>0.22450000000000001</v>
          </cell>
          <cell r="AQ1457">
            <v>0</v>
          </cell>
          <cell r="AS1457" t="str">
            <v/>
          </cell>
          <cell r="AT1457" t="str">
            <v/>
          </cell>
          <cell r="AV1457" t="b">
            <v>1</v>
          </cell>
          <cell r="AW1457" t="str">
            <v>minute</v>
          </cell>
        </row>
        <row r="1458">
          <cell r="S1458" t="str">
            <v>INT SPM SPMMO</v>
          </cell>
          <cell r="T1458" t="str">
            <v>INT</v>
          </cell>
          <cell r="U1458" t="str">
            <v>SPM</v>
          </cell>
          <cell r="V1458" t="str">
            <v>SPMMO</v>
          </cell>
          <cell r="X1458">
            <v>0.53420000000000001</v>
          </cell>
          <cell r="Y1458">
            <v>0</v>
          </cell>
          <cell r="Z1458">
            <v>0.46450000000000002</v>
          </cell>
          <cell r="AA1458">
            <v>0</v>
          </cell>
          <cell r="AB1458">
            <v>0.40389999999999998</v>
          </cell>
          <cell r="AC1458">
            <v>0</v>
          </cell>
          <cell r="AD1458">
            <v>0.35120000000000001</v>
          </cell>
          <cell r="AE1458">
            <v>0</v>
          </cell>
          <cell r="AG1458" t="str">
            <v/>
          </cell>
          <cell r="AH1458" t="str">
            <v/>
          </cell>
          <cell r="AJ1458">
            <v>0.53420000000000001</v>
          </cell>
          <cell r="AK1458">
            <v>0</v>
          </cell>
          <cell r="AL1458">
            <v>0.46450000000000002</v>
          </cell>
          <cell r="AM1458">
            <v>0</v>
          </cell>
          <cell r="AN1458">
            <v>0.40389999999999998</v>
          </cell>
          <cell r="AO1458">
            <v>0</v>
          </cell>
          <cell r="AP1458">
            <v>0.35120000000000001</v>
          </cell>
          <cell r="AQ1458">
            <v>0</v>
          </cell>
          <cell r="AS1458" t="str">
            <v/>
          </cell>
          <cell r="AT1458" t="str">
            <v/>
          </cell>
          <cell r="AV1458" t="b">
            <v>1</v>
          </cell>
          <cell r="AW1458" t="str">
            <v>minute</v>
          </cell>
        </row>
        <row r="1459">
          <cell r="S1459" t="str">
            <v>INT SPM</v>
          </cell>
          <cell r="T1459" t="str">
            <v>INT</v>
          </cell>
          <cell r="U1459" t="str">
            <v>SPM</v>
          </cell>
          <cell r="V1459" t="str">
            <v/>
          </cell>
          <cell r="X1459">
            <v>0.25259999999999999</v>
          </cell>
          <cell r="Y1459">
            <v>0</v>
          </cell>
          <cell r="Z1459">
            <v>0.21970000000000001</v>
          </cell>
          <cell r="AA1459">
            <v>0</v>
          </cell>
          <cell r="AB1459">
            <v>0.191</v>
          </cell>
          <cell r="AC1459">
            <v>0</v>
          </cell>
          <cell r="AD1459">
            <v>0.1661</v>
          </cell>
          <cell r="AE1459">
            <v>0</v>
          </cell>
          <cell r="AG1459" t="str">
            <v/>
          </cell>
          <cell r="AH1459" t="str">
            <v/>
          </cell>
          <cell r="AJ1459">
            <v>0.25259999999999999</v>
          </cell>
          <cell r="AK1459">
            <v>0</v>
          </cell>
          <cell r="AL1459">
            <v>0.21970000000000001</v>
          </cell>
          <cell r="AM1459">
            <v>0</v>
          </cell>
          <cell r="AN1459">
            <v>0.191</v>
          </cell>
          <cell r="AO1459">
            <v>0</v>
          </cell>
          <cell r="AP1459">
            <v>0.1661</v>
          </cell>
          <cell r="AQ1459">
            <v>0</v>
          </cell>
          <cell r="AS1459" t="str">
            <v/>
          </cell>
          <cell r="AT1459" t="str">
            <v/>
          </cell>
          <cell r="AV1459" t="b">
            <v>1</v>
          </cell>
          <cell r="AW1459" t="str">
            <v>minute</v>
          </cell>
        </row>
        <row r="1460">
          <cell r="S1460" t="str">
            <v>INT VCT</v>
          </cell>
          <cell r="T1460" t="str">
            <v>INT</v>
          </cell>
          <cell r="U1460" t="str">
            <v>VCT</v>
          </cell>
          <cell r="V1460" t="str">
            <v/>
          </cell>
          <cell r="X1460">
            <v>0.19339999999999999</v>
          </cell>
          <cell r="Y1460">
            <v>0</v>
          </cell>
          <cell r="Z1460">
            <v>0.16819999999999999</v>
          </cell>
          <cell r="AA1460">
            <v>0</v>
          </cell>
          <cell r="AB1460">
            <v>0.14630000000000001</v>
          </cell>
          <cell r="AC1460">
            <v>0</v>
          </cell>
          <cell r="AD1460">
            <v>0.12720000000000001</v>
          </cell>
          <cell r="AE1460">
            <v>0</v>
          </cell>
          <cell r="AG1460" t="str">
            <v/>
          </cell>
          <cell r="AH1460" t="str">
            <v/>
          </cell>
          <cell r="AJ1460">
            <v>0.19339999999999999</v>
          </cell>
          <cell r="AK1460">
            <v>0</v>
          </cell>
          <cell r="AL1460">
            <v>0.16819999999999999</v>
          </cell>
          <cell r="AM1460">
            <v>0</v>
          </cell>
          <cell r="AN1460">
            <v>0.14630000000000001</v>
          </cell>
          <cell r="AO1460">
            <v>0</v>
          </cell>
          <cell r="AP1460">
            <v>0.12720000000000001</v>
          </cell>
          <cell r="AQ1460">
            <v>0</v>
          </cell>
          <cell r="AS1460" t="str">
            <v/>
          </cell>
          <cell r="AT1460" t="str">
            <v/>
          </cell>
          <cell r="AV1460" t="b">
            <v>1</v>
          </cell>
          <cell r="AW1460" t="str">
            <v>minute</v>
          </cell>
        </row>
        <row r="1461">
          <cell r="S1461" t="str">
            <v>INT SDN</v>
          </cell>
          <cell r="T1461" t="str">
            <v>INT</v>
          </cell>
          <cell r="U1461" t="str">
            <v>SDN</v>
          </cell>
          <cell r="V1461" t="str">
            <v/>
          </cell>
          <cell r="X1461">
            <v>0.28870000000000001</v>
          </cell>
          <cell r="Y1461">
            <v>0</v>
          </cell>
          <cell r="Z1461">
            <v>0.251</v>
          </cell>
          <cell r="AA1461">
            <v>0</v>
          </cell>
          <cell r="AB1461">
            <v>0.21829999999999999</v>
          </cell>
          <cell r="AC1461">
            <v>0</v>
          </cell>
          <cell r="AD1461">
            <v>0.1898</v>
          </cell>
          <cell r="AE1461">
            <v>0</v>
          </cell>
          <cell r="AG1461" t="str">
            <v/>
          </cell>
          <cell r="AH1461" t="str">
            <v/>
          </cell>
          <cell r="AJ1461">
            <v>0.28870000000000001</v>
          </cell>
          <cell r="AK1461">
            <v>0</v>
          </cell>
          <cell r="AL1461">
            <v>0.251</v>
          </cell>
          <cell r="AM1461">
            <v>0</v>
          </cell>
          <cell r="AN1461">
            <v>0.21829999999999999</v>
          </cell>
          <cell r="AO1461">
            <v>0</v>
          </cell>
          <cell r="AP1461">
            <v>0.1898</v>
          </cell>
          <cell r="AQ1461">
            <v>0</v>
          </cell>
          <cell r="AS1461" t="str">
            <v/>
          </cell>
          <cell r="AT1461" t="str">
            <v/>
          </cell>
          <cell r="AV1461" t="b">
            <v>1</v>
          </cell>
          <cell r="AW1461" t="str">
            <v>minute</v>
          </cell>
        </row>
        <row r="1462">
          <cell r="S1462" t="str">
            <v>INT SUR SURMO</v>
          </cell>
          <cell r="T1462" t="str">
            <v>INT</v>
          </cell>
          <cell r="U1462" t="str">
            <v>SUR</v>
          </cell>
          <cell r="V1462" t="str">
            <v>SURMO</v>
          </cell>
          <cell r="X1462">
            <v>0.32979999999999998</v>
          </cell>
          <cell r="Y1462">
            <v>0</v>
          </cell>
          <cell r="Z1462">
            <v>0.2868</v>
          </cell>
          <cell r="AA1462">
            <v>0</v>
          </cell>
          <cell r="AB1462">
            <v>0.24940000000000001</v>
          </cell>
          <cell r="AC1462">
            <v>0</v>
          </cell>
          <cell r="AD1462">
            <v>0.21690000000000001</v>
          </cell>
          <cell r="AE1462">
            <v>0</v>
          </cell>
          <cell r="AG1462" t="str">
            <v/>
          </cell>
          <cell r="AH1462" t="str">
            <v/>
          </cell>
          <cell r="AJ1462">
            <v>0.32979999999999998</v>
          </cell>
          <cell r="AK1462">
            <v>0</v>
          </cell>
          <cell r="AL1462">
            <v>0.2868</v>
          </cell>
          <cell r="AM1462">
            <v>0</v>
          </cell>
          <cell r="AN1462">
            <v>0.24940000000000001</v>
          </cell>
          <cell r="AO1462">
            <v>0</v>
          </cell>
          <cell r="AP1462">
            <v>0.21690000000000001</v>
          </cell>
          <cell r="AQ1462">
            <v>0</v>
          </cell>
          <cell r="AS1462" t="str">
            <v/>
          </cell>
          <cell r="AT1462" t="str">
            <v/>
          </cell>
          <cell r="AV1462" t="b">
            <v>1</v>
          </cell>
          <cell r="AW1462" t="str">
            <v>minute</v>
          </cell>
        </row>
        <row r="1463">
          <cell r="S1463" t="str">
            <v>INT SUR</v>
          </cell>
          <cell r="T1463" t="str">
            <v>INT</v>
          </cell>
          <cell r="U1463" t="str">
            <v>SUR</v>
          </cell>
          <cell r="V1463" t="str">
            <v/>
          </cell>
          <cell r="X1463">
            <v>0.32979999999999998</v>
          </cell>
          <cell r="Y1463">
            <v>0</v>
          </cell>
          <cell r="Z1463">
            <v>0.2868</v>
          </cell>
          <cell r="AA1463">
            <v>0</v>
          </cell>
          <cell r="AB1463">
            <v>0.24940000000000001</v>
          </cell>
          <cell r="AC1463">
            <v>0</v>
          </cell>
          <cell r="AD1463">
            <v>0.21690000000000001</v>
          </cell>
          <cell r="AE1463">
            <v>0</v>
          </cell>
          <cell r="AG1463" t="str">
            <v/>
          </cell>
          <cell r="AH1463" t="str">
            <v/>
          </cell>
          <cell r="AJ1463">
            <v>0.32979999999999998</v>
          </cell>
          <cell r="AK1463">
            <v>0</v>
          </cell>
          <cell r="AL1463">
            <v>0.2868</v>
          </cell>
          <cell r="AM1463">
            <v>0</v>
          </cell>
          <cell r="AN1463">
            <v>0.24940000000000001</v>
          </cell>
          <cell r="AO1463">
            <v>0</v>
          </cell>
          <cell r="AP1463">
            <v>0.21690000000000001</v>
          </cell>
          <cell r="AQ1463">
            <v>0</v>
          </cell>
          <cell r="AS1463" t="str">
            <v/>
          </cell>
          <cell r="AT1463" t="str">
            <v/>
          </cell>
          <cell r="AV1463" t="b">
            <v>1</v>
          </cell>
          <cell r="AW1463" t="str">
            <v>minute</v>
          </cell>
        </row>
        <row r="1464">
          <cell r="S1464" t="str">
            <v>INT SWZ SWZMO</v>
          </cell>
          <cell r="T1464" t="str">
            <v>INT</v>
          </cell>
          <cell r="U1464" t="str">
            <v>SWZ</v>
          </cell>
          <cell r="V1464" t="str">
            <v>SWZMO</v>
          </cell>
          <cell r="X1464">
            <v>0.24979999999999999</v>
          </cell>
          <cell r="Y1464">
            <v>0</v>
          </cell>
          <cell r="Z1464">
            <v>0.2172</v>
          </cell>
          <cell r="AA1464">
            <v>0</v>
          </cell>
          <cell r="AB1464">
            <v>0.18890000000000001</v>
          </cell>
          <cell r="AC1464">
            <v>0</v>
          </cell>
          <cell r="AD1464">
            <v>0.1643</v>
          </cell>
          <cell r="AE1464">
            <v>0</v>
          </cell>
          <cell r="AG1464" t="str">
            <v/>
          </cell>
          <cell r="AH1464" t="str">
            <v/>
          </cell>
          <cell r="AJ1464">
            <v>0.24979999999999999</v>
          </cell>
          <cell r="AK1464">
            <v>0</v>
          </cell>
          <cell r="AL1464">
            <v>0.2172</v>
          </cell>
          <cell r="AM1464">
            <v>0</v>
          </cell>
          <cell r="AN1464">
            <v>0.18890000000000001</v>
          </cell>
          <cell r="AO1464">
            <v>0</v>
          </cell>
          <cell r="AP1464">
            <v>0.1643</v>
          </cell>
          <cell r="AQ1464">
            <v>0</v>
          </cell>
          <cell r="AS1464" t="str">
            <v/>
          </cell>
          <cell r="AT1464" t="str">
            <v/>
          </cell>
          <cell r="AV1464" t="b">
            <v>1</v>
          </cell>
          <cell r="AW1464" t="str">
            <v>minute</v>
          </cell>
        </row>
        <row r="1465">
          <cell r="S1465" t="str">
            <v>INT SWZ</v>
          </cell>
          <cell r="T1465" t="str">
            <v>INT</v>
          </cell>
          <cell r="U1465" t="str">
            <v>SWZ</v>
          </cell>
          <cell r="V1465" t="str">
            <v/>
          </cell>
          <cell r="X1465">
            <v>0.18690000000000001</v>
          </cell>
          <cell r="Y1465">
            <v>0</v>
          </cell>
          <cell r="Z1465">
            <v>0.16250000000000001</v>
          </cell>
          <cell r="AA1465">
            <v>0</v>
          </cell>
          <cell r="AB1465">
            <v>0.14130000000000001</v>
          </cell>
          <cell r="AC1465">
            <v>0</v>
          </cell>
          <cell r="AD1465">
            <v>0.1229</v>
          </cell>
          <cell r="AE1465">
            <v>0</v>
          </cell>
          <cell r="AG1465" t="str">
            <v/>
          </cell>
          <cell r="AH1465" t="str">
            <v/>
          </cell>
          <cell r="AJ1465">
            <v>0.18690000000000001</v>
          </cell>
          <cell r="AK1465">
            <v>0</v>
          </cell>
          <cell r="AL1465">
            <v>0.16250000000000001</v>
          </cell>
          <cell r="AM1465">
            <v>0</v>
          </cell>
          <cell r="AN1465">
            <v>0.14130000000000001</v>
          </cell>
          <cell r="AO1465">
            <v>0</v>
          </cell>
          <cell r="AP1465">
            <v>0.1229</v>
          </cell>
          <cell r="AQ1465">
            <v>0</v>
          </cell>
          <cell r="AS1465" t="str">
            <v/>
          </cell>
          <cell r="AT1465" t="str">
            <v/>
          </cell>
          <cell r="AV1465" t="b">
            <v>1</v>
          </cell>
          <cell r="AW1465" t="str">
            <v>minute</v>
          </cell>
        </row>
        <row r="1466">
          <cell r="S1466" t="str">
            <v>INT SWE SWEMO</v>
          </cell>
          <cell r="T1466" t="str">
            <v>INT</v>
          </cell>
          <cell r="U1466" t="str">
            <v>SWE</v>
          </cell>
          <cell r="V1466" t="str">
            <v>SWEMO</v>
          </cell>
          <cell r="X1466">
            <v>2.5499999999999998E-2</v>
          </cell>
          <cell r="Y1466">
            <v>0</v>
          </cell>
          <cell r="Z1466">
            <v>2.3E-2</v>
          </cell>
          <cell r="AA1466">
            <v>0</v>
          </cell>
          <cell r="AB1466">
            <v>2.1700000000000001E-2</v>
          </cell>
          <cell r="AC1466">
            <v>0</v>
          </cell>
          <cell r="AD1466">
            <v>2.0400000000000001E-2</v>
          </cell>
          <cell r="AE1466">
            <v>0</v>
          </cell>
          <cell r="AG1466" t="str">
            <v/>
          </cell>
          <cell r="AH1466" t="str">
            <v/>
          </cell>
          <cell r="AJ1466">
            <v>2.5499999999999998E-2</v>
          </cell>
          <cell r="AK1466">
            <v>0</v>
          </cell>
          <cell r="AL1466">
            <v>2.3E-2</v>
          </cell>
          <cell r="AM1466">
            <v>0</v>
          </cell>
          <cell r="AN1466">
            <v>2.1700000000000001E-2</v>
          </cell>
          <cell r="AO1466">
            <v>0</v>
          </cell>
          <cell r="AP1466">
            <v>2.0400000000000001E-2</v>
          </cell>
          <cell r="AQ1466">
            <v>0</v>
          </cell>
          <cell r="AS1466" t="str">
            <v/>
          </cell>
          <cell r="AT1466" t="str">
            <v/>
          </cell>
          <cell r="AV1466" t="b">
            <v>1</v>
          </cell>
          <cell r="AW1466" t="str">
            <v>minute</v>
          </cell>
        </row>
        <row r="1467">
          <cell r="S1467" t="str">
            <v>INT SWE SWEEU</v>
          </cell>
          <cell r="T1467" t="str">
            <v>INT</v>
          </cell>
          <cell r="U1467" t="str">
            <v>SWE</v>
          </cell>
          <cell r="V1467" t="str">
            <v>SWEEU</v>
          </cell>
          <cell r="X1467">
            <v>2.5499999999999998E-2</v>
          </cell>
          <cell r="Y1467">
            <v>0</v>
          </cell>
          <cell r="Z1467">
            <v>2.3E-2</v>
          </cell>
          <cell r="AA1467">
            <v>0</v>
          </cell>
          <cell r="AB1467">
            <v>2.1700000000000001E-2</v>
          </cell>
          <cell r="AC1467">
            <v>0</v>
          </cell>
          <cell r="AD1467">
            <v>2.0400000000000001E-2</v>
          </cell>
          <cell r="AE1467">
            <v>0</v>
          </cell>
          <cell r="AG1467" t="str">
            <v/>
          </cell>
          <cell r="AH1467" t="str">
            <v/>
          </cell>
          <cell r="AJ1467">
            <v>2.5499999999999998E-2</v>
          </cell>
          <cell r="AK1467">
            <v>0</v>
          </cell>
          <cell r="AL1467">
            <v>2.3E-2</v>
          </cell>
          <cell r="AM1467">
            <v>0</v>
          </cell>
          <cell r="AN1467">
            <v>2.1700000000000001E-2</v>
          </cell>
          <cell r="AO1467">
            <v>0</v>
          </cell>
          <cell r="AP1467">
            <v>2.0400000000000001E-2</v>
          </cell>
          <cell r="AQ1467">
            <v>0</v>
          </cell>
          <cell r="AS1467" t="str">
            <v/>
          </cell>
          <cell r="AT1467" t="str">
            <v/>
          </cell>
          <cell r="AV1467" t="b">
            <v>1</v>
          </cell>
          <cell r="AW1467" t="str">
            <v>minute</v>
          </cell>
        </row>
        <row r="1468">
          <cell r="S1468" t="str">
            <v>INT SWE</v>
          </cell>
          <cell r="T1468" t="str">
            <v>INT</v>
          </cell>
          <cell r="U1468" t="str">
            <v>SWE</v>
          </cell>
          <cell r="V1468" t="str">
            <v/>
          </cell>
          <cell r="X1468">
            <v>1.3100000000000001E-2</v>
          </cell>
          <cell r="Y1468">
            <v>0</v>
          </cell>
          <cell r="Z1468">
            <v>1.2200000000000001E-2</v>
          </cell>
          <cell r="AA1468">
            <v>0</v>
          </cell>
          <cell r="AB1468">
            <v>1.14E-2</v>
          </cell>
          <cell r="AC1468">
            <v>0</v>
          </cell>
          <cell r="AD1468">
            <v>1.0699999999999999E-2</v>
          </cell>
          <cell r="AE1468">
            <v>0</v>
          </cell>
          <cell r="AG1468" t="str">
            <v/>
          </cell>
          <cell r="AH1468" t="str">
            <v/>
          </cell>
          <cell r="AJ1468">
            <v>1.3100000000000001E-2</v>
          </cell>
          <cell r="AK1468">
            <v>0</v>
          </cell>
          <cell r="AL1468">
            <v>1.2200000000000001E-2</v>
          </cell>
          <cell r="AM1468">
            <v>0</v>
          </cell>
          <cell r="AN1468">
            <v>1.14E-2</v>
          </cell>
          <cell r="AO1468">
            <v>0</v>
          </cell>
          <cell r="AP1468">
            <v>1.0699999999999999E-2</v>
          </cell>
          <cell r="AQ1468">
            <v>0</v>
          </cell>
          <cell r="AS1468" t="str">
            <v/>
          </cell>
          <cell r="AT1468" t="str">
            <v/>
          </cell>
          <cell r="AV1468" t="b">
            <v>1</v>
          </cell>
          <cell r="AW1468" t="str">
            <v>minute</v>
          </cell>
        </row>
        <row r="1469">
          <cell r="S1469" t="str">
            <v>INT SWE SWPRM</v>
          </cell>
          <cell r="T1469" t="str">
            <v>INT</v>
          </cell>
          <cell r="U1469" t="str">
            <v>SWE</v>
          </cell>
          <cell r="V1469" t="str">
            <v>SWPRM</v>
          </cell>
          <cell r="X1469">
            <v>38.716200000000001</v>
          </cell>
          <cell r="Y1469">
            <v>0</v>
          </cell>
          <cell r="Z1469">
            <v>38.716200000000001</v>
          </cell>
          <cell r="AA1469">
            <v>0</v>
          </cell>
          <cell r="AB1469">
            <v>38.716200000000001</v>
          </cell>
          <cell r="AC1469">
            <v>0</v>
          </cell>
          <cell r="AD1469">
            <v>38.716200000000001</v>
          </cell>
          <cell r="AE1469">
            <v>0</v>
          </cell>
          <cell r="AG1469" t="str">
            <v/>
          </cell>
          <cell r="AH1469" t="str">
            <v/>
          </cell>
          <cell r="AJ1469">
            <v>38.716200000000001</v>
          </cell>
          <cell r="AK1469">
            <v>0</v>
          </cell>
          <cell r="AL1469">
            <v>38.716200000000001</v>
          </cell>
          <cell r="AM1469">
            <v>0</v>
          </cell>
          <cell r="AN1469">
            <v>38.716200000000001</v>
          </cell>
          <cell r="AO1469">
            <v>0</v>
          </cell>
          <cell r="AP1469">
            <v>38.716200000000001</v>
          </cell>
          <cell r="AQ1469">
            <v>0</v>
          </cell>
          <cell r="AS1469" t="str">
            <v/>
          </cell>
          <cell r="AT1469" t="str">
            <v/>
          </cell>
          <cell r="AV1469" t="b">
            <v>0</v>
          </cell>
          <cell r="AW1469" t="str">
            <v>minute</v>
          </cell>
        </row>
        <row r="1470">
          <cell r="S1470" t="str">
            <v>INT SWE SCN</v>
          </cell>
          <cell r="T1470" t="str">
            <v>INT</v>
          </cell>
          <cell r="U1470" t="str">
            <v>SWE</v>
          </cell>
          <cell r="V1470" t="str">
            <v>SCN</v>
          </cell>
          <cell r="X1470">
            <v>4.4200000000000003E-2</v>
          </cell>
          <cell r="Y1470">
            <v>0</v>
          </cell>
          <cell r="Z1470">
            <v>4.4200000000000003E-2</v>
          </cell>
          <cell r="AA1470">
            <v>0</v>
          </cell>
          <cell r="AB1470">
            <v>4.4200000000000003E-2</v>
          </cell>
          <cell r="AC1470">
            <v>0</v>
          </cell>
          <cell r="AD1470">
            <v>4.4200000000000003E-2</v>
          </cell>
          <cell r="AE1470">
            <v>0</v>
          </cell>
          <cell r="AG1470" t="str">
            <v/>
          </cell>
          <cell r="AH1470" t="str">
            <v/>
          </cell>
          <cell r="AJ1470">
            <v>4.4200000000000003E-2</v>
          </cell>
          <cell r="AK1470">
            <v>0</v>
          </cell>
          <cell r="AL1470">
            <v>4.4200000000000003E-2</v>
          </cell>
          <cell r="AM1470">
            <v>0</v>
          </cell>
          <cell r="AN1470">
            <v>4.4200000000000003E-2</v>
          </cell>
          <cell r="AO1470">
            <v>0</v>
          </cell>
          <cell r="AP1470">
            <v>4.4200000000000003E-2</v>
          </cell>
          <cell r="AQ1470">
            <v>0</v>
          </cell>
          <cell r="AS1470" t="str">
            <v/>
          </cell>
          <cell r="AT1470" t="str">
            <v/>
          </cell>
          <cell r="AV1470" t="b">
            <v>0</v>
          </cell>
          <cell r="AW1470" t="str">
            <v>minute</v>
          </cell>
        </row>
        <row r="1471">
          <cell r="S1471" t="str">
            <v>INT SWE SFREE</v>
          </cell>
          <cell r="T1471" t="str">
            <v>INT</v>
          </cell>
          <cell r="U1471" t="str">
            <v>SWE</v>
          </cell>
          <cell r="V1471" t="str">
            <v>SFREE</v>
          </cell>
          <cell r="X1471">
            <v>1.3100000000000001E-2</v>
          </cell>
          <cell r="Y1471">
            <v>0</v>
          </cell>
          <cell r="Z1471">
            <v>1.3100000000000001E-2</v>
          </cell>
          <cell r="AA1471">
            <v>0</v>
          </cell>
          <cell r="AB1471">
            <v>1.3100000000000001E-2</v>
          </cell>
          <cell r="AC1471">
            <v>0</v>
          </cell>
          <cell r="AD1471">
            <v>1.3100000000000001E-2</v>
          </cell>
          <cell r="AE1471">
            <v>0</v>
          </cell>
          <cell r="AG1471" t="str">
            <v/>
          </cell>
          <cell r="AH1471" t="str">
            <v/>
          </cell>
          <cell r="AJ1471">
            <v>1.3100000000000001E-2</v>
          </cell>
          <cell r="AK1471">
            <v>0</v>
          </cell>
          <cell r="AL1471">
            <v>1.3100000000000001E-2</v>
          </cell>
          <cell r="AM1471">
            <v>0</v>
          </cell>
          <cell r="AN1471">
            <v>1.3100000000000001E-2</v>
          </cell>
          <cell r="AO1471">
            <v>0</v>
          </cell>
          <cell r="AP1471">
            <v>1.3100000000000001E-2</v>
          </cell>
          <cell r="AQ1471">
            <v>0</v>
          </cell>
          <cell r="AS1471" t="str">
            <v/>
          </cell>
          <cell r="AT1471" t="str">
            <v/>
          </cell>
          <cell r="AV1471" t="b">
            <v>0</v>
          </cell>
          <cell r="AW1471" t="str">
            <v>minute</v>
          </cell>
        </row>
        <row r="1472">
          <cell r="S1472" t="str">
            <v>INT CHE CHEMO</v>
          </cell>
          <cell r="T1472" t="str">
            <v>INT</v>
          </cell>
          <cell r="U1472" t="str">
            <v>CHE</v>
          </cell>
          <cell r="V1472" t="str">
            <v>CHEMO</v>
          </cell>
          <cell r="X1472">
            <v>0.12970000000000001</v>
          </cell>
          <cell r="Y1472">
            <v>0</v>
          </cell>
          <cell r="Z1472">
            <v>0.1265</v>
          </cell>
          <cell r="AA1472">
            <v>0</v>
          </cell>
          <cell r="AB1472">
            <v>0.1234</v>
          </cell>
          <cell r="AC1472">
            <v>0</v>
          </cell>
          <cell r="AD1472">
            <v>0.12039999999999999</v>
          </cell>
          <cell r="AE1472">
            <v>0</v>
          </cell>
          <cell r="AG1472" t="str">
            <v/>
          </cell>
          <cell r="AH1472" t="str">
            <v/>
          </cell>
          <cell r="AJ1472">
            <v>0.12970000000000001</v>
          </cell>
          <cell r="AK1472">
            <v>0</v>
          </cell>
          <cell r="AL1472">
            <v>0.1265</v>
          </cell>
          <cell r="AM1472">
            <v>0</v>
          </cell>
          <cell r="AN1472">
            <v>0.1234</v>
          </cell>
          <cell r="AO1472">
            <v>0</v>
          </cell>
          <cell r="AP1472">
            <v>0.12039999999999999</v>
          </cell>
          <cell r="AQ1472">
            <v>0</v>
          </cell>
          <cell r="AS1472" t="str">
            <v/>
          </cell>
          <cell r="AT1472" t="str">
            <v/>
          </cell>
          <cell r="AV1472" t="b">
            <v>1</v>
          </cell>
          <cell r="AW1472" t="str">
            <v>minute</v>
          </cell>
        </row>
        <row r="1473">
          <cell r="S1473" t="str">
            <v>INT CHE CHESW</v>
          </cell>
          <cell r="T1473" t="str">
            <v>INT</v>
          </cell>
          <cell r="U1473" t="str">
            <v>CHE</v>
          </cell>
          <cell r="V1473" t="str">
            <v>CHESW</v>
          </cell>
          <cell r="X1473">
            <v>0.1196</v>
          </cell>
          <cell r="Y1473">
            <v>0</v>
          </cell>
          <cell r="Z1473">
            <v>0.1076</v>
          </cell>
          <cell r="AA1473">
            <v>0</v>
          </cell>
          <cell r="AB1473">
            <v>0.1017</v>
          </cell>
          <cell r="AC1473">
            <v>0</v>
          </cell>
          <cell r="AD1473">
            <v>9.5699999999999993E-2</v>
          </cell>
          <cell r="AE1473">
            <v>0</v>
          </cell>
          <cell r="AG1473" t="str">
            <v/>
          </cell>
          <cell r="AH1473" t="str">
            <v/>
          </cell>
          <cell r="AJ1473">
            <v>0.1196</v>
          </cell>
          <cell r="AK1473">
            <v>0</v>
          </cell>
          <cell r="AL1473">
            <v>0.1076</v>
          </cell>
          <cell r="AM1473">
            <v>0</v>
          </cell>
          <cell r="AN1473">
            <v>0.1017</v>
          </cell>
          <cell r="AO1473">
            <v>0</v>
          </cell>
          <cell r="AP1473">
            <v>9.5699999999999993E-2</v>
          </cell>
          <cell r="AQ1473">
            <v>0</v>
          </cell>
          <cell r="AS1473" t="str">
            <v/>
          </cell>
          <cell r="AT1473" t="str">
            <v/>
          </cell>
          <cell r="AV1473" t="b">
            <v>1</v>
          </cell>
          <cell r="AW1473" t="str">
            <v>minute</v>
          </cell>
        </row>
        <row r="1474">
          <cell r="S1474" t="str">
            <v>INT CHE ZCHCA</v>
          </cell>
          <cell r="T1474" t="str">
            <v>INT</v>
          </cell>
          <cell r="U1474" t="str">
            <v>CHE</v>
          </cell>
          <cell r="V1474" t="str">
            <v>ZCHCA</v>
          </cell>
          <cell r="X1474">
            <v>0.18329999999999999</v>
          </cell>
          <cell r="Y1474">
            <v>0</v>
          </cell>
          <cell r="Z1474">
            <v>0.18329999999999999</v>
          </cell>
          <cell r="AA1474">
            <v>0</v>
          </cell>
          <cell r="AB1474">
            <v>0.18329999999999999</v>
          </cell>
          <cell r="AC1474">
            <v>0</v>
          </cell>
          <cell r="AD1474">
            <v>0.18329999999999999</v>
          </cell>
          <cell r="AE1474">
            <v>0</v>
          </cell>
          <cell r="AG1474" t="str">
            <v/>
          </cell>
          <cell r="AH1474" t="str">
            <v/>
          </cell>
          <cell r="AJ1474">
            <v>0.18329999999999999</v>
          </cell>
          <cell r="AK1474">
            <v>0</v>
          </cell>
          <cell r="AL1474">
            <v>0.18329999999999999</v>
          </cell>
          <cell r="AM1474">
            <v>0</v>
          </cell>
          <cell r="AN1474">
            <v>0.18329999999999999</v>
          </cell>
          <cell r="AO1474">
            <v>0</v>
          </cell>
          <cell r="AP1474">
            <v>0.18329999999999999</v>
          </cell>
          <cell r="AQ1474">
            <v>0</v>
          </cell>
          <cell r="AS1474" t="str">
            <v/>
          </cell>
          <cell r="AT1474" t="str">
            <v/>
          </cell>
          <cell r="AV1474" t="b">
            <v>1</v>
          </cell>
          <cell r="AW1474" t="str">
            <v>minute</v>
          </cell>
        </row>
        <row r="1475">
          <cell r="S1475" t="str">
            <v>INT CHE ZCHSC</v>
          </cell>
          <cell r="T1475" t="str">
            <v>INT</v>
          </cell>
          <cell r="U1475" t="str">
            <v>CHE</v>
          </cell>
          <cell r="V1475" t="str">
            <v>ZCHSC</v>
          </cell>
          <cell r="X1475">
            <v>0.49330000000000002</v>
          </cell>
          <cell r="Y1475">
            <v>0</v>
          </cell>
          <cell r="Z1475">
            <v>0.49330000000000002</v>
          </cell>
          <cell r="AA1475">
            <v>0</v>
          </cell>
          <cell r="AB1475">
            <v>0.49330000000000002</v>
          </cell>
          <cell r="AC1475">
            <v>0</v>
          </cell>
          <cell r="AD1475">
            <v>0.49330000000000002</v>
          </cell>
          <cell r="AE1475">
            <v>0</v>
          </cell>
          <cell r="AG1475" t="str">
            <v/>
          </cell>
          <cell r="AH1475" t="str">
            <v/>
          </cell>
          <cell r="AJ1475">
            <v>0.49330000000000002</v>
          </cell>
          <cell r="AK1475">
            <v>0</v>
          </cell>
          <cell r="AL1475">
            <v>0.49330000000000002</v>
          </cell>
          <cell r="AM1475">
            <v>0</v>
          </cell>
          <cell r="AN1475">
            <v>0.49330000000000002</v>
          </cell>
          <cell r="AO1475">
            <v>0</v>
          </cell>
          <cell r="AP1475">
            <v>0.49330000000000002</v>
          </cell>
          <cell r="AQ1475">
            <v>0</v>
          </cell>
          <cell r="AS1475" t="str">
            <v/>
          </cell>
          <cell r="AT1475" t="str">
            <v/>
          </cell>
          <cell r="AV1475" t="b">
            <v>1</v>
          </cell>
          <cell r="AW1475" t="str">
            <v>minute</v>
          </cell>
        </row>
        <row r="1476">
          <cell r="S1476" t="str">
            <v>INT CHE</v>
          </cell>
          <cell r="T1476" t="str">
            <v>INT</v>
          </cell>
          <cell r="U1476" t="str">
            <v>CHE</v>
          </cell>
          <cell r="V1476" t="str">
            <v/>
          </cell>
          <cell r="X1476">
            <v>2.4500000000000001E-2</v>
          </cell>
          <cell r="Y1476">
            <v>0</v>
          </cell>
          <cell r="Z1476">
            <v>2.2100000000000002E-2</v>
          </cell>
          <cell r="AA1476">
            <v>0</v>
          </cell>
          <cell r="AB1476">
            <v>2.0799999999999999E-2</v>
          </cell>
          <cell r="AC1476">
            <v>0</v>
          </cell>
          <cell r="AD1476">
            <v>1.9599999999999999E-2</v>
          </cell>
          <cell r="AE1476">
            <v>0</v>
          </cell>
          <cell r="AG1476" t="str">
            <v/>
          </cell>
          <cell r="AH1476" t="str">
            <v/>
          </cell>
          <cell r="AJ1476">
            <v>2.4500000000000001E-2</v>
          </cell>
          <cell r="AK1476">
            <v>0</v>
          </cell>
          <cell r="AL1476">
            <v>2.2100000000000002E-2</v>
          </cell>
          <cell r="AM1476">
            <v>0</v>
          </cell>
          <cell r="AN1476">
            <v>2.0799999999999999E-2</v>
          </cell>
          <cell r="AO1476">
            <v>0</v>
          </cell>
          <cell r="AP1476">
            <v>1.9599999999999999E-2</v>
          </cell>
          <cell r="AQ1476">
            <v>0</v>
          </cell>
          <cell r="AS1476" t="str">
            <v/>
          </cell>
          <cell r="AT1476" t="str">
            <v/>
          </cell>
          <cell r="AV1476" t="b">
            <v>1</v>
          </cell>
          <cell r="AW1476" t="str">
            <v>minute</v>
          </cell>
        </row>
        <row r="1477">
          <cell r="S1477" t="str">
            <v>INT CHE CHEIN</v>
          </cell>
          <cell r="T1477" t="str">
            <v>INT</v>
          </cell>
          <cell r="U1477" t="str">
            <v>CHE</v>
          </cell>
          <cell r="V1477" t="str">
            <v>CHEIN</v>
          </cell>
          <cell r="X1477">
            <v>4.7100000000000003E-2</v>
          </cell>
          <cell r="Y1477">
            <v>0</v>
          </cell>
          <cell r="Z1477">
            <v>4.7100000000000003E-2</v>
          </cell>
          <cell r="AA1477">
            <v>0</v>
          </cell>
          <cell r="AB1477">
            <v>4.7100000000000003E-2</v>
          </cell>
          <cell r="AC1477">
            <v>0</v>
          </cell>
          <cell r="AD1477">
            <v>4.7100000000000003E-2</v>
          </cell>
          <cell r="AE1477">
            <v>0</v>
          </cell>
          <cell r="AG1477" t="str">
            <v/>
          </cell>
          <cell r="AH1477" t="str">
            <v/>
          </cell>
          <cell r="AJ1477">
            <v>4.7100000000000003E-2</v>
          </cell>
          <cell r="AK1477">
            <v>0</v>
          </cell>
          <cell r="AL1477">
            <v>4.7100000000000003E-2</v>
          </cell>
          <cell r="AM1477">
            <v>0</v>
          </cell>
          <cell r="AN1477">
            <v>4.7100000000000003E-2</v>
          </cell>
          <cell r="AO1477">
            <v>0</v>
          </cell>
          <cell r="AP1477">
            <v>4.7100000000000003E-2</v>
          </cell>
          <cell r="AQ1477">
            <v>0</v>
          </cell>
          <cell r="AS1477" t="str">
            <v/>
          </cell>
          <cell r="AT1477" t="str">
            <v/>
          </cell>
          <cell r="AV1477" t="b">
            <v>1</v>
          </cell>
          <cell r="AW1477" t="str">
            <v>minute</v>
          </cell>
        </row>
        <row r="1478">
          <cell r="S1478" t="str">
            <v>INT CHE ZCH28</v>
          </cell>
          <cell r="T1478" t="str">
            <v>INT</v>
          </cell>
          <cell r="U1478" t="str">
            <v>CHE</v>
          </cell>
          <cell r="V1478" t="str">
            <v>ZCH28</v>
          </cell>
          <cell r="X1478">
            <v>6.3148</v>
          </cell>
          <cell r="Y1478">
            <v>0</v>
          </cell>
          <cell r="Z1478">
            <v>6.3148</v>
          </cell>
          <cell r="AA1478">
            <v>0</v>
          </cell>
          <cell r="AB1478">
            <v>6.3148</v>
          </cell>
          <cell r="AC1478">
            <v>0</v>
          </cell>
          <cell r="AD1478">
            <v>6.3148</v>
          </cell>
          <cell r="AE1478">
            <v>0</v>
          </cell>
          <cell r="AG1478" t="str">
            <v/>
          </cell>
          <cell r="AH1478" t="str">
            <v/>
          </cell>
          <cell r="AJ1478">
            <v>6.3148</v>
          </cell>
          <cell r="AK1478">
            <v>0</v>
          </cell>
          <cell r="AL1478">
            <v>6.3148</v>
          </cell>
          <cell r="AM1478">
            <v>0</v>
          </cell>
          <cell r="AN1478">
            <v>6.3148</v>
          </cell>
          <cell r="AO1478">
            <v>0</v>
          </cell>
          <cell r="AP1478">
            <v>6.3148</v>
          </cell>
          <cell r="AQ1478">
            <v>0</v>
          </cell>
          <cell r="AS1478" t="str">
            <v/>
          </cell>
          <cell r="AT1478" t="str">
            <v/>
          </cell>
          <cell r="AV1478" t="b">
            <v>0</v>
          </cell>
          <cell r="AW1478" t="str">
            <v>minute</v>
          </cell>
        </row>
        <row r="1479">
          <cell r="S1479" t="str">
            <v>INT CHE ZCH25</v>
          </cell>
          <cell r="T1479" t="str">
            <v>INT</v>
          </cell>
          <cell r="U1479" t="str">
            <v>CHE</v>
          </cell>
          <cell r="V1479" t="str">
            <v>ZCH25</v>
          </cell>
          <cell r="X1479">
            <v>0.18329999999999999</v>
          </cell>
          <cell r="Y1479">
            <v>0</v>
          </cell>
          <cell r="Z1479">
            <v>0.18329999999999999</v>
          </cell>
          <cell r="AA1479">
            <v>0</v>
          </cell>
          <cell r="AB1479">
            <v>0.18329999999999999</v>
          </cell>
          <cell r="AC1479">
            <v>0</v>
          </cell>
          <cell r="AD1479">
            <v>0.18329999999999999</v>
          </cell>
          <cell r="AE1479">
            <v>0</v>
          </cell>
          <cell r="AG1479" t="str">
            <v/>
          </cell>
          <cell r="AH1479" t="str">
            <v/>
          </cell>
          <cell r="AJ1479">
            <v>0.18329999999999999</v>
          </cell>
          <cell r="AK1479">
            <v>0</v>
          </cell>
          <cell r="AL1479">
            <v>0.18329999999999999</v>
          </cell>
          <cell r="AM1479">
            <v>0</v>
          </cell>
          <cell r="AN1479">
            <v>0.18329999999999999</v>
          </cell>
          <cell r="AO1479">
            <v>0</v>
          </cell>
          <cell r="AP1479">
            <v>0.18329999999999999</v>
          </cell>
          <cell r="AQ1479">
            <v>0</v>
          </cell>
          <cell r="AS1479" t="str">
            <v/>
          </cell>
          <cell r="AT1479" t="str">
            <v/>
          </cell>
          <cell r="AV1479" t="b">
            <v>0</v>
          </cell>
          <cell r="AW1479" t="str">
            <v>minute</v>
          </cell>
        </row>
        <row r="1480">
          <cell r="S1480" t="str">
            <v>INT CHE ZCH26</v>
          </cell>
          <cell r="T1480" t="str">
            <v>INT</v>
          </cell>
          <cell r="U1480" t="str">
            <v>CHE</v>
          </cell>
          <cell r="V1480" t="str">
            <v>ZCH26</v>
          </cell>
          <cell r="X1480">
            <v>0.18329999999999999</v>
          </cell>
          <cell r="Y1480">
            <v>0</v>
          </cell>
          <cell r="Z1480">
            <v>0.18329999999999999</v>
          </cell>
          <cell r="AA1480">
            <v>0</v>
          </cell>
          <cell r="AB1480">
            <v>0.18329999999999999</v>
          </cell>
          <cell r="AC1480">
            <v>0</v>
          </cell>
          <cell r="AD1480">
            <v>0.18329999999999999</v>
          </cell>
          <cell r="AE1480">
            <v>0</v>
          </cell>
          <cell r="AG1480" t="str">
            <v/>
          </cell>
          <cell r="AH1480" t="str">
            <v/>
          </cell>
          <cell r="AJ1480">
            <v>0.18329999999999999</v>
          </cell>
          <cell r="AK1480">
            <v>0</v>
          </cell>
          <cell r="AL1480">
            <v>0.18329999999999999</v>
          </cell>
          <cell r="AM1480">
            <v>0</v>
          </cell>
          <cell r="AN1480">
            <v>0.18329999999999999</v>
          </cell>
          <cell r="AO1480">
            <v>0</v>
          </cell>
          <cell r="AP1480">
            <v>0.18329999999999999</v>
          </cell>
          <cell r="AQ1480">
            <v>0</v>
          </cell>
          <cell r="AS1480" t="str">
            <v/>
          </cell>
          <cell r="AT1480" t="str">
            <v/>
          </cell>
          <cell r="AV1480" t="b">
            <v>0</v>
          </cell>
          <cell r="AW1480" t="str">
            <v>minute</v>
          </cell>
        </row>
        <row r="1481">
          <cell r="S1481" t="str">
            <v>INT SYR</v>
          </cell>
          <cell r="T1481" t="str">
            <v>INT</v>
          </cell>
          <cell r="U1481" t="str">
            <v>SYR</v>
          </cell>
          <cell r="V1481" t="str">
            <v/>
          </cell>
          <cell r="X1481">
            <v>0.24829999999999999</v>
          </cell>
          <cell r="Y1481">
            <v>0</v>
          </cell>
          <cell r="Z1481">
            <v>0.21590000000000001</v>
          </cell>
          <cell r="AA1481">
            <v>0</v>
          </cell>
          <cell r="AB1481">
            <v>0.18770000000000001</v>
          </cell>
          <cell r="AC1481">
            <v>0</v>
          </cell>
          <cell r="AD1481">
            <v>0.16320000000000001</v>
          </cell>
          <cell r="AE1481">
            <v>0</v>
          </cell>
          <cell r="AG1481" t="str">
            <v/>
          </cell>
          <cell r="AH1481" t="str">
            <v/>
          </cell>
          <cell r="AJ1481">
            <v>0.24829999999999999</v>
          </cell>
          <cell r="AK1481">
            <v>0</v>
          </cell>
          <cell r="AL1481">
            <v>0.21590000000000001</v>
          </cell>
          <cell r="AM1481">
            <v>0</v>
          </cell>
          <cell r="AN1481">
            <v>0.18770000000000001</v>
          </cell>
          <cell r="AO1481">
            <v>0</v>
          </cell>
          <cell r="AP1481">
            <v>0.16320000000000001</v>
          </cell>
          <cell r="AQ1481">
            <v>0</v>
          </cell>
          <cell r="AS1481" t="str">
            <v/>
          </cell>
          <cell r="AT1481" t="str">
            <v/>
          </cell>
          <cell r="AV1481" t="b">
            <v>1</v>
          </cell>
          <cell r="AW1481" t="str">
            <v>minute</v>
          </cell>
        </row>
        <row r="1482">
          <cell r="S1482" t="str">
            <v>INT TWN TWNMO</v>
          </cell>
          <cell r="T1482" t="str">
            <v>INT</v>
          </cell>
          <cell r="U1482" t="str">
            <v>TWN</v>
          </cell>
          <cell r="V1482" t="str">
            <v>TWNMO</v>
          </cell>
          <cell r="X1482">
            <v>0.1593</v>
          </cell>
          <cell r="Y1482">
            <v>0</v>
          </cell>
          <cell r="Z1482">
            <v>0.13850000000000001</v>
          </cell>
          <cell r="AA1482">
            <v>0</v>
          </cell>
          <cell r="AB1482">
            <v>0.12039999999999999</v>
          </cell>
          <cell r="AC1482">
            <v>0</v>
          </cell>
          <cell r="AD1482">
            <v>0.1047</v>
          </cell>
          <cell r="AE1482">
            <v>0</v>
          </cell>
          <cell r="AG1482" t="str">
            <v/>
          </cell>
          <cell r="AH1482" t="str">
            <v/>
          </cell>
          <cell r="AJ1482">
            <v>0.1593</v>
          </cell>
          <cell r="AK1482">
            <v>0</v>
          </cell>
          <cell r="AL1482">
            <v>0.13850000000000001</v>
          </cell>
          <cell r="AM1482">
            <v>0</v>
          </cell>
          <cell r="AN1482">
            <v>0.12039999999999999</v>
          </cell>
          <cell r="AO1482">
            <v>0</v>
          </cell>
          <cell r="AP1482">
            <v>0.1047</v>
          </cell>
          <cell r="AQ1482">
            <v>0</v>
          </cell>
          <cell r="AS1482" t="str">
            <v/>
          </cell>
          <cell r="AT1482" t="str">
            <v/>
          </cell>
          <cell r="AV1482" t="b">
            <v>1</v>
          </cell>
          <cell r="AW1482" t="str">
            <v>minute</v>
          </cell>
        </row>
        <row r="1483">
          <cell r="S1483" t="str">
            <v>INT TWN</v>
          </cell>
          <cell r="T1483" t="str">
            <v>INT</v>
          </cell>
          <cell r="U1483" t="str">
            <v>TWN</v>
          </cell>
          <cell r="V1483" t="str">
            <v/>
          </cell>
          <cell r="X1483">
            <v>3.3700000000000001E-2</v>
          </cell>
          <cell r="Y1483">
            <v>0</v>
          </cell>
          <cell r="Z1483">
            <v>2.93E-2</v>
          </cell>
          <cell r="AA1483">
            <v>0</v>
          </cell>
          <cell r="AB1483">
            <v>2.5499999999999998E-2</v>
          </cell>
          <cell r="AC1483">
            <v>0</v>
          </cell>
          <cell r="AD1483">
            <v>2.2200000000000001E-2</v>
          </cell>
          <cell r="AE1483">
            <v>0</v>
          </cell>
          <cell r="AG1483" t="str">
            <v/>
          </cell>
          <cell r="AH1483" t="str">
            <v/>
          </cell>
          <cell r="AJ1483">
            <v>3.3700000000000001E-2</v>
          </cell>
          <cell r="AK1483">
            <v>0</v>
          </cell>
          <cell r="AL1483">
            <v>2.93E-2</v>
          </cell>
          <cell r="AM1483">
            <v>0</v>
          </cell>
          <cell r="AN1483">
            <v>2.5499999999999998E-2</v>
          </cell>
          <cell r="AO1483">
            <v>0</v>
          </cell>
          <cell r="AP1483">
            <v>2.2200000000000001E-2</v>
          </cell>
          <cell r="AQ1483">
            <v>0</v>
          </cell>
          <cell r="AS1483" t="str">
            <v/>
          </cell>
          <cell r="AT1483" t="str">
            <v/>
          </cell>
          <cell r="AV1483" t="b">
            <v>1</v>
          </cell>
          <cell r="AW1483" t="str">
            <v>minute</v>
          </cell>
        </row>
        <row r="1484">
          <cell r="S1484" t="str">
            <v>INT TJK</v>
          </cell>
          <cell r="T1484" t="str">
            <v>INT</v>
          </cell>
          <cell r="U1484" t="str">
            <v>TJK</v>
          </cell>
          <cell r="V1484" t="str">
            <v/>
          </cell>
          <cell r="X1484">
            <v>0.23080000000000001</v>
          </cell>
          <cell r="Y1484">
            <v>0</v>
          </cell>
          <cell r="Z1484">
            <v>0.20069999999999999</v>
          </cell>
          <cell r="AA1484">
            <v>0</v>
          </cell>
          <cell r="AB1484">
            <v>0.17449999999999999</v>
          </cell>
          <cell r="AC1484">
            <v>0</v>
          </cell>
          <cell r="AD1484">
            <v>0.1517</v>
          </cell>
          <cell r="AE1484">
            <v>0</v>
          </cell>
          <cell r="AG1484" t="str">
            <v/>
          </cell>
          <cell r="AH1484" t="str">
            <v/>
          </cell>
          <cell r="AJ1484">
            <v>0.23080000000000001</v>
          </cell>
          <cell r="AK1484">
            <v>0</v>
          </cell>
          <cell r="AL1484">
            <v>0.20069999999999999</v>
          </cell>
          <cell r="AM1484">
            <v>0</v>
          </cell>
          <cell r="AN1484">
            <v>0.17449999999999999</v>
          </cell>
          <cell r="AO1484">
            <v>0</v>
          </cell>
          <cell r="AP1484">
            <v>0.1517</v>
          </cell>
          <cell r="AQ1484">
            <v>0</v>
          </cell>
          <cell r="AS1484" t="str">
            <v/>
          </cell>
          <cell r="AT1484" t="str">
            <v/>
          </cell>
          <cell r="AV1484" t="b">
            <v>1</v>
          </cell>
          <cell r="AW1484" t="str">
            <v>minute</v>
          </cell>
        </row>
        <row r="1485">
          <cell r="S1485" t="str">
            <v>INT TZA TZAMO</v>
          </cell>
          <cell r="T1485" t="str">
            <v>INT</v>
          </cell>
          <cell r="U1485" t="str">
            <v>TZA</v>
          </cell>
          <cell r="V1485" t="str">
            <v>TZAMO</v>
          </cell>
          <cell r="X1485">
            <v>0.48880000000000001</v>
          </cell>
          <cell r="Y1485">
            <v>0</v>
          </cell>
          <cell r="Z1485">
            <v>0.43990000000000001</v>
          </cell>
          <cell r="AA1485">
            <v>0</v>
          </cell>
          <cell r="AB1485">
            <v>0.41549999999999998</v>
          </cell>
          <cell r="AC1485">
            <v>0</v>
          </cell>
          <cell r="AD1485">
            <v>0.39100000000000001</v>
          </cell>
          <cell r="AE1485">
            <v>0</v>
          </cell>
          <cell r="AG1485" t="str">
            <v/>
          </cell>
          <cell r="AH1485" t="str">
            <v/>
          </cell>
          <cell r="AJ1485">
            <v>0.48880000000000001</v>
          </cell>
          <cell r="AK1485">
            <v>0</v>
          </cell>
          <cell r="AL1485">
            <v>0.43990000000000001</v>
          </cell>
          <cell r="AM1485">
            <v>0</v>
          </cell>
          <cell r="AN1485">
            <v>0.41549999999999998</v>
          </cell>
          <cell r="AO1485">
            <v>0</v>
          </cell>
          <cell r="AP1485">
            <v>0.39100000000000001</v>
          </cell>
          <cell r="AQ1485">
            <v>0</v>
          </cell>
          <cell r="AS1485" t="str">
            <v/>
          </cell>
          <cell r="AT1485" t="str">
            <v/>
          </cell>
          <cell r="AV1485" t="b">
            <v>1</v>
          </cell>
          <cell r="AW1485" t="str">
            <v>minute</v>
          </cell>
        </row>
        <row r="1486">
          <cell r="S1486" t="str">
            <v>INT TZA</v>
          </cell>
          <cell r="T1486" t="str">
            <v>INT</v>
          </cell>
          <cell r="U1486" t="str">
            <v>TZA</v>
          </cell>
          <cell r="V1486" t="str">
            <v/>
          </cell>
          <cell r="X1486">
            <v>0.24679999999999999</v>
          </cell>
          <cell r="Y1486">
            <v>0</v>
          </cell>
          <cell r="Z1486">
            <v>0.21460000000000001</v>
          </cell>
          <cell r="AA1486">
            <v>0</v>
          </cell>
          <cell r="AB1486">
            <v>0.18659999999999999</v>
          </cell>
          <cell r="AC1486">
            <v>0</v>
          </cell>
          <cell r="AD1486">
            <v>0.1623</v>
          </cell>
          <cell r="AE1486">
            <v>0</v>
          </cell>
          <cell r="AG1486" t="str">
            <v/>
          </cell>
          <cell r="AH1486" t="str">
            <v/>
          </cell>
          <cell r="AJ1486">
            <v>0.24679999999999999</v>
          </cell>
          <cell r="AK1486">
            <v>0</v>
          </cell>
          <cell r="AL1486">
            <v>0.21460000000000001</v>
          </cell>
          <cell r="AM1486">
            <v>0</v>
          </cell>
          <cell r="AN1486">
            <v>0.18659999999999999</v>
          </cell>
          <cell r="AO1486">
            <v>0</v>
          </cell>
          <cell r="AP1486">
            <v>0.1623</v>
          </cell>
          <cell r="AQ1486">
            <v>0</v>
          </cell>
          <cell r="AS1486" t="str">
            <v/>
          </cell>
          <cell r="AT1486" t="str">
            <v/>
          </cell>
          <cell r="AV1486" t="b">
            <v>1</v>
          </cell>
          <cell r="AW1486" t="str">
            <v>minute</v>
          </cell>
        </row>
        <row r="1487">
          <cell r="S1487" t="str">
            <v>INT EMS TELE</v>
          </cell>
          <cell r="T1487" t="str">
            <v>INT</v>
          </cell>
          <cell r="U1487" t="str">
            <v>EMS</v>
          </cell>
          <cell r="V1487" t="str">
            <v>TELE</v>
          </cell>
          <cell r="X1487">
            <v>3.9796</v>
          </cell>
          <cell r="Y1487">
            <v>0</v>
          </cell>
          <cell r="Z1487">
            <v>3.3828</v>
          </cell>
          <cell r="AA1487">
            <v>0</v>
          </cell>
          <cell r="AB1487">
            <v>2.9847000000000001</v>
          </cell>
          <cell r="AC1487">
            <v>0</v>
          </cell>
          <cell r="AD1487">
            <v>2.6280000000000001</v>
          </cell>
          <cell r="AE1487">
            <v>0</v>
          </cell>
          <cell r="AG1487" t="str">
            <v/>
          </cell>
          <cell r="AH1487" t="str">
            <v/>
          </cell>
          <cell r="AJ1487">
            <v>3.9796</v>
          </cell>
          <cell r="AK1487">
            <v>0</v>
          </cell>
          <cell r="AL1487">
            <v>3.3828</v>
          </cell>
          <cell r="AM1487">
            <v>0</v>
          </cell>
          <cell r="AN1487">
            <v>2.9847000000000001</v>
          </cell>
          <cell r="AO1487">
            <v>0</v>
          </cell>
          <cell r="AP1487">
            <v>2.6280000000000001</v>
          </cell>
          <cell r="AQ1487">
            <v>0</v>
          </cell>
          <cell r="AS1487" t="str">
            <v/>
          </cell>
          <cell r="AT1487" t="str">
            <v/>
          </cell>
          <cell r="AV1487" t="b">
            <v>1</v>
          </cell>
          <cell r="AW1487" t="str">
            <v>minute</v>
          </cell>
        </row>
        <row r="1488">
          <cell r="S1488" t="str">
            <v>INT THA THAMO</v>
          </cell>
          <cell r="T1488" t="str">
            <v>INT</v>
          </cell>
          <cell r="U1488" t="str">
            <v>THA</v>
          </cell>
          <cell r="V1488" t="str">
            <v>THAMO</v>
          </cell>
          <cell r="X1488">
            <v>4.6800000000000001E-2</v>
          </cell>
          <cell r="Y1488">
            <v>0</v>
          </cell>
          <cell r="Z1488">
            <v>4.07E-2</v>
          </cell>
          <cell r="AA1488">
            <v>0</v>
          </cell>
          <cell r="AB1488">
            <v>3.5400000000000001E-2</v>
          </cell>
          <cell r="AC1488">
            <v>0</v>
          </cell>
          <cell r="AD1488">
            <v>3.0800000000000001E-2</v>
          </cell>
          <cell r="AE1488">
            <v>0</v>
          </cell>
          <cell r="AG1488" t="str">
            <v/>
          </cell>
          <cell r="AH1488" t="str">
            <v/>
          </cell>
          <cell r="AJ1488">
            <v>4.6800000000000001E-2</v>
          </cell>
          <cell r="AK1488">
            <v>0</v>
          </cell>
          <cell r="AL1488">
            <v>4.07E-2</v>
          </cell>
          <cell r="AM1488">
            <v>0</v>
          </cell>
          <cell r="AN1488">
            <v>3.5400000000000001E-2</v>
          </cell>
          <cell r="AO1488">
            <v>0</v>
          </cell>
          <cell r="AP1488">
            <v>3.0800000000000001E-2</v>
          </cell>
          <cell r="AQ1488">
            <v>0</v>
          </cell>
          <cell r="AS1488" t="str">
            <v/>
          </cell>
          <cell r="AT1488" t="str">
            <v/>
          </cell>
          <cell r="AV1488" t="b">
            <v>1</v>
          </cell>
          <cell r="AW1488" t="str">
            <v>minute</v>
          </cell>
        </row>
        <row r="1489">
          <cell r="S1489" t="str">
            <v>INT THA</v>
          </cell>
          <cell r="T1489" t="str">
            <v>INT</v>
          </cell>
          <cell r="U1489" t="str">
            <v>THA</v>
          </cell>
          <cell r="V1489" t="str">
            <v/>
          </cell>
          <cell r="X1489">
            <v>3.8399999999999997E-2</v>
          </cell>
          <cell r="Y1489">
            <v>0</v>
          </cell>
          <cell r="Z1489">
            <v>3.3399999999999999E-2</v>
          </cell>
          <cell r="AA1489">
            <v>0</v>
          </cell>
          <cell r="AB1489">
            <v>2.9000000000000001E-2</v>
          </cell>
          <cell r="AC1489">
            <v>0</v>
          </cell>
          <cell r="AD1489">
            <v>2.52E-2</v>
          </cell>
          <cell r="AE1489">
            <v>0</v>
          </cell>
          <cell r="AG1489" t="str">
            <v/>
          </cell>
          <cell r="AH1489" t="str">
            <v/>
          </cell>
          <cell r="AJ1489">
            <v>3.8399999999999997E-2</v>
          </cell>
          <cell r="AK1489">
            <v>0</v>
          </cell>
          <cell r="AL1489">
            <v>3.3399999999999999E-2</v>
          </cell>
          <cell r="AM1489">
            <v>0</v>
          </cell>
          <cell r="AN1489">
            <v>2.9000000000000001E-2</v>
          </cell>
          <cell r="AO1489">
            <v>0</v>
          </cell>
          <cell r="AP1489">
            <v>2.52E-2</v>
          </cell>
          <cell r="AQ1489">
            <v>0</v>
          </cell>
          <cell r="AS1489" t="str">
            <v/>
          </cell>
          <cell r="AT1489" t="str">
            <v/>
          </cell>
          <cell r="AV1489" t="b">
            <v>1</v>
          </cell>
          <cell r="AW1489" t="str">
            <v>minute</v>
          </cell>
        </row>
        <row r="1490">
          <cell r="S1490" t="str">
            <v>INT EMS THUR</v>
          </cell>
          <cell r="T1490" t="str">
            <v>INT</v>
          </cell>
          <cell r="U1490" t="str">
            <v>EMS</v>
          </cell>
          <cell r="V1490" t="str">
            <v>THUR</v>
          </cell>
          <cell r="X1490">
            <v>1.4434</v>
          </cell>
          <cell r="Y1490">
            <v>0</v>
          </cell>
          <cell r="Z1490">
            <v>1.2269000000000001</v>
          </cell>
          <cell r="AA1490">
            <v>0</v>
          </cell>
          <cell r="AB1490">
            <v>1.1323000000000001</v>
          </cell>
          <cell r="AC1490">
            <v>0</v>
          </cell>
          <cell r="AD1490">
            <v>1.1323000000000001</v>
          </cell>
          <cell r="AE1490">
            <v>0</v>
          </cell>
          <cell r="AG1490" t="str">
            <v/>
          </cell>
          <cell r="AH1490" t="str">
            <v/>
          </cell>
          <cell r="AJ1490">
            <v>1.4434</v>
          </cell>
          <cell r="AK1490">
            <v>0</v>
          </cell>
          <cell r="AL1490">
            <v>1.2269000000000001</v>
          </cell>
          <cell r="AM1490">
            <v>0</v>
          </cell>
          <cell r="AN1490">
            <v>1.1323000000000001</v>
          </cell>
          <cell r="AO1490">
            <v>0</v>
          </cell>
          <cell r="AP1490">
            <v>1.1323000000000001</v>
          </cell>
          <cell r="AQ1490">
            <v>0</v>
          </cell>
          <cell r="AS1490" t="str">
            <v/>
          </cell>
          <cell r="AT1490" t="str">
            <v/>
          </cell>
          <cell r="AV1490" t="b">
            <v>1</v>
          </cell>
          <cell r="AW1490" t="str">
            <v>minute</v>
          </cell>
        </row>
        <row r="1491">
          <cell r="S1491" t="str">
            <v>INT TGO</v>
          </cell>
          <cell r="T1491" t="str">
            <v>INT</v>
          </cell>
          <cell r="U1491" t="str">
            <v>TGO</v>
          </cell>
          <cell r="V1491" t="str">
            <v/>
          </cell>
          <cell r="X1491">
            <v>0.55179999999999996</v>
          </cell>
          <cell r="Y1491">
            <v>0</v>
          </cell>
          <cell r="Z1491">
            <v>0.4798</v>
          </cell>
          <cell r="AA1491">
            <v>0</v>
          </cell>
          <cell r="AB1491">
            <v>0.41720000000000002</v>
          </cell>
          <cell r="AC1491">
            <v>0</v>
          </cell>
          <cell r="AD1491">
            <v>0.36280000000000001</v>
          </cell>
          <cell r="AE1491">
            <v>0</v>
          </cell>
          <cell r="AG1491" t="str">
            <v/>
          </cell>
          <cell r="AH1491" t="str">
            <v/>
          </cell>
          <cell r="AJ1491">
            <v>0.55179999999999996</v>
          </cell>
          <cell r="AK1491">
            <v>0</v>
          </cell>
          <cell r="AL1491">
            <v>0.4798</v>
          </cell>
          <cell r="AM1491">
            <v>0</v>
          </cell>
          <cell r="AN1491">
            <v>0.41720000000000002</v>
          </cell>
          <cell r="AO1491">
            <v>0</v>
          </cell>
          <cell r="AP1491">
            <v>0.36280000000000001</v>
          </cell>
          <cell r="AQ1491">
            <v>0</v>
          </cell>
          <cell r="AS1491" t="str">
            <v/>
          </cell>
          <cell r="AT1491" t="str">
            <v/>
          </cell>
          <cell r="AV1491" t="b">
            <v>1</v>
          </cell>
          <cell r="AW1491" t="str">
            <v>minute</v>
          </cell>
        </row>
        <row r="1492">
          <cell r="S1492" t="str">
            <v>INT TKL</v>
          </cell>
          <cell r="T1492" t="str">
            <v>INT</v>
          </cell>
          <cell r="U1492" t="str">
            <v>TKL</v>
          </cell>
          <cell r="V1492" t="str">
            <v/>
          </cell>
          <cell r="X1492">
            <v>1.8290999999999999</v>
          </cell>
          <cell r="Y1492">
            <v>0</v>
          </cell>
          <cell r="Z1492">
            <v>1.5906</v>
          </cell>
          <cell r="AA1492">
            <v>0</v>
          </cell>
          <cell r="AB1492">
            <v>1.3831</v>
          </cell>
          <cell r="AC1492">
            <v>0</v>
          </cell>
          <cell r="AD1492">
            <v>1.2027000000000001</v>
          </cell>
          <cell r="AE1492">
            <v>0</v>
          </cell>
          <cell r="AG1492" t="str">
            <v/>
          </cell>
          <cell r="AH1492" t="str">
            <v/>
          </cell>
          <cell r="AJ1492">
            <v>1.8290999999999999</v>
          </cell>
          <cell r="AK1492">
            <v>0</v>
          </cell>
          <cell r="AL1492">
            <v>1.5906</v>
          </cell>
          <cell r="AM1492">
            <v>0</v>
          </cell>
          <cell r="AN1492">
            <v>1.3831</v>
          </cell>
          <cell r="AO1492">
            <v>0</v>
          </cell>
          <cell r="AP1492">
            <v>1.2027000000000001</v>
          </cell>
          <cell r="AQ1492">
            <v>0</v>
          </cell>
          <cell r="AS1492" t="str">
            <v/>
          </cell>
          <cell r="AT1492" t="str">
            <v/>
          </cell>
          <cell r="AV1492" t="b">
            <v>1</v>
          </cell>
          <cell r="AW1492" t="str">
            <v>minute</v>
          </cell>
        </row>
        <row r="1493">
          <cell r="S1493" t="str">
            <v>INT TON TONMO</v>
          </cell>
          <cell r="T1493" t="str">
            <v>INT</v>
          </cell>
          <cell r="U1493" t="str">
            <v>TON</v>
          </cell>
          <cell r="V1493" t="str">
            <v>TONMO</v>
          </cell>
          <cell r="X1493">
            <v>0.57750000000000001</v>
          </cell>
          <cell r="Y1493">
            <v>0</v>
          </cell>
          <cell r="Z1493">
            <v>0.50219999999999998</v>
          </cell>
          <cell r="AA1493">
            <v>0</v>
          </cell>
          <cell r="AB1493">
            <v>0.43669999999999998</v>
          </cell>
          <cell r="AC1493">
            <v>0</v>
          </cell>
          <cell r="AD1493">
            <v>0.37969999999999998</v>
          </cell>
          <cell r="AE1493">
            <v>0</v>
          </cell>
          <cell r="AG1493" t="str">
            <v/>
          </cell>
          <cell r="AH1493" t="str">
            <v/>
          </cell>
          <cell r="AJ1493">
            <v>0.57750000000000001</v>
          </cell>
          <cell r="AK1493">
            <v>0</v>
          </cell>
          <cell r="AL1493">
            <v>0.50219999999999998</v>
          </cell>
          <cell r="AM1493">
            <v>0</v>
          </cell>
          <cell r="AN1493">
            <v>0.43669999999999998</v>
          </cell>
          <cell r="AO1493">
            <v>0</v>
          </cell>
          <cell r="AP1493">
            <v>0.37969999999999998</v>
          </cell>
          <cell r="AQ1493">
            <v>0</v>
          </cell>
          <cell r="AS1493" t="str">
            <v/>
          </cell>
          <cell r="AT1493" t="str">
            <v/>
          </cell>
          <cell r="AV1493" t="b">
            <v>1</v>
          </cell>
          <cell r="AW1493" t="str">
            <v>minute</v>
          </cell>
        </row>
        <row r="1494">
          <cell r="S1494" t="str">
            <v>INT TON</v>
          </cell>
          <cell r="T1494" t="str">
            <v>INT</v>
          </cell>
          <cell r="U1494" t="str">
            <v>TON</v>
          </cell>
          <cell r="V1494" t="str">
            <v/>
          </cell>
          <cell r="X1494">
            <v>0.57750000000000001</v>
          </cell>
          <cell r="Y1494">
            <v>0</v>
          </cell>
          <cell r="Z1494">
            <v>0.50219999999999998</v>
          </cell>
          <cell r="AA1494">
            <v>0</v>
          </cell>
          <cell r="AB1494">
            <v>0.43669999999999998</v>
          </cell>
          <cell r="AC1494">
            <v>0</v>
          </cell>
          <cell r="AD1494">
            <v>0.37969999999999998</v>
          </cell>
          <cell r="AE1494">
            <v>0</v>
          </cell>
          <cell r="AG1494" t="str">
            <v/>
          </cell>
          <cell r="AH1494" t="str">
            <v/>
          </cell>
          <cell r="AJ1494">
            <v>0.57750000000000001</v>
          </cell>
          <cell r="AK1494">
            <v>0</v>
          </cell>
          <cell r="AL1494">
            <v>0.50219999999999998</v>
          </cell>
          <cell r="AM1494">
            <v>0</v>
          </cell>
          <cell r="AN1494">
            <v>0.43669999999999998</v>
          </cell>
          <cell r="AO1494">
            <v>0</v>
          </cell>
          <cell r="AP1494">
            <v>0.37969999999999998</v>
          </cell>
          <cell r="AQ1494">
            <v>0</v>
          </cell>
          <cell r="AS1494" t="str">
            <v/>
          </cell>
          <cell r="AT1494" t="str">
            <v/>
          </cell>
          <cell r="AV1494" t="b">
            <v>1</v>
          </cell>
          <cell r="AW1494" t="str">
            <v>minute</v>
          </cell>
        </row>
        <row r="1495">
          <cell r="S1495" t="str">
            <v>INT TTO MOB</v>
          </cell>
          <cell r="T1495" t="str">
            <v>INT</v>
          </cell>
          <cell r="U1495" t="str">
            <v>TTO</v>
          </cell>
          <cell r="V1495" t="str">
            <v>MOB</v>
          </cell>
          <cell r="X1495">
            <v>0.311</v>
          </cell>
          <cell r="Y1495">
            <v>0</v>
          </cell>
          <cell r="Z1495">
            <v>0.27039999999999997</v>
          </cell>
          <cell r="AA1495">
            <v>0</v>
          </cell>
          <cell r="AB1495">
            <v>0.2351</v>
          </cell>
          <cell r="AC1495">
            <v>0</v>
          </cell>
          <cell r="AD1495">
            <v>0.2044</v>
          </cell>
          <cell r="AE1495">
            <v>0</v>
          </cell>
          <cell r="AG1495" t="str">
            <v/>
          </cell>
          <cell r="AH1495" t="str">
            <v/>
          </cell>
          <cell r="AJ1495">
            <v>0.311</v>
          </cell>
          <cell r="AK1495">
            <v>0</v>
          </cell>
          <cell r="AL1495">
            <v>0.27039999999999997</v>
          </cell>
          <cell r="AM1495">
            <v>0</v>
          </cell>
          <cell r="AN1495">
            <v>0.2351</v>
          </cell>
          <cell r="AO1495">
            <v>0</v>
          </cell>
          <cell r="AP1495">
            <v>0.2044</v>
          </cell>
          <cell r="AQ1495">
            <v>0</v>
          </cell>
          <cell r="AS1495" t="str">
            <v/>
          </cell>
          <cell r="AT1495" t="str">
            <v/>
          </cell>
          <cell r="AV1495" t="b">
            <v>1</v>
          </cell>
          <cell r="AW1495" t="str">
            <v>minute</v>
          </cell>
        </row>
        <row r="1496">
          <cell r="S1496" t="str">
            <v>INT TTO</v>
          </cell>
          <cell r="T1496" t="str">
            <v>INT</v>
          </cell>
          <cell r="U1496" t="str">
            <v>TTO</v>
          </cell>
          <cell r="V1496" t="str">
            <v/>
          </cell>
          <cell r="X1496">
            <v>0.311</v>
          </cell>
          <cell r="Y1496">
            <v>0</v>
          </cell>
          <cell r="Z1496">
            <v>0.27039999999999997</v>
          </cell>
          <cell r="AA1496">
            <v>0</v>
          </cell>
          <cell r="AB1496">
            <v>0.2351</v>
          </cell>
          <cell r="AC1496">
            <v>0</v>
          </cell>
          <cell r="AD1496">
            <v>0.2044</v>
          </cell>
          <cell r="AE1496">
            <v>0</v>
          </cell>
          <cell r="AG1496" t="str">
            <v/>
          </cell>
          <cell r="AH1496" t="str">
            <v/>
          </cell>
          <cell r="AJ1496">
            <v>0.311</v>
          </cell>
          <cell r="AK1496">
            <v>0</v>
          </cell>
          <cell r="AL1496">
            <v>0.27039999999999997</v>
          </cell>
          <cell r="AM1496">
            <v>0</v>
          </cell>
          <cell r="AN1496">
            <v>0.2351</v>
          </cell>
          <cell r="AO1496">
            <v>0</v>
          </cell>
          <cell r="AP1496">
            <v>0.2044</v>
          </cell>
          <cell r="AQ1496">
            <v>0</v>
          </cell>
          <cell r="AS1496" t="str">
            <v/>
          </cell>
          <cell r="AT1496" t="str">
            <v/>
          </cell>
          <cell r="AV1496" t="b">
            <v>1</v>
          </cell>
          <cell r="AW1496" t="str">
            <v>minute</v>
          </cell>
        </row>
        <row r="1497">
          <cell r="S1497" t="str">
            <v>INT TUN TUNMO</v>
          </cell>
          <cell r="T1497" t="str">
            <v>INT</v>
          </cell>
          <cell r="U1497" t="str">
            <v>TUN</v>
          </cell>
          <cell r="V1497" t="str">
            <v>TUNMO</v>
          </cell>
          <cell r="X1497">
            <v>0.60609999999999997</v>
          </cell>
          <cell r="Y1497">
            <v>0</v>
          </cell>
          <cell r="Z1497">
            <v>0.52700000000000002</v>
          </cell>
          <cell r="AA1497">
            <v>0</v>
          </cell>
          <cell r="AB1497">
            <v>0.45829999999999999</v>
          </cell>
          <cell r="AC1497">
            <v>0</v>
          </cell>
          <cell r="AD1497">
            <v>0.39850000000000002</v>
          </cell>
          <cell r="AE1497">
            <v>0</v>
          </cell>
          <cell r="AG1497" t="str">
            <v/>
          </cell>
          <cell r="AH1497" t="str">
            <v/>
          </cell>
          <cell r="AJ1497">
            <v>0.60609999999999997</v>
          </cell>
          <cell r="AK1497">
            <v>0</v>
          </cell>
          <cell r="AL1497">
            <v>0.52700000000000002</v>
          </cell>
          <cell r="AM1497">
            <v>0</v>
          </cell>
          <cell r="AN1497">
            <v>0.45829999999999999</v>
          </cell>
          <cell r="AO1497">
            <v>0</v>
          </cell>
          <cell r="AP1497">
            <v>0.39850000000000002</v>
          </cell>
          <cell r="AQ1497">
            <v>0</v>
          </cell>
          <cell r="AS1497" t="str">
            <v/>
          </cell>
          <cell r="AT1497" t="str">
            <v/>
          </cell>
          <cell r="AV1497" t="b">
            <v>1</v>
          </cell>
          <cell r="AW1497" t="str">
            <v>minute</v>
          </cell>
        </row>
        <row r="1498">
          <cell r="S1498" t="str">
            <v>INT TUN</v>
          </cell>
          <cell r="T1498" t="str">
            <v>INT</v>
          </cell>
          <cell r="U1498" t="str">
            <v>TUN</v>
          </cell>
          <cell r="V1498" t="str">
            <v/>
          </cell>
          <cell r="X1498">
            <v>0.60609999999999997</v>
          </cell>
          <cell r="Y1498">
            <v>0</v>
          </cell>
          <cell r="Z1498">
            <v>0.52700000000000002</v>
          </cell>
          <cell r="AA1498">
            <v>0</v>
          </cell>
          <cell r="AB1498">
            <v>0.45829999999999999</v>
          </cell>
          <cell r="AC1498">
            <v>0</v>
          </cell>
          <cell r="AD1498">
            <v>0.39850000000000002</v>
          </cell>
          <cell r="AE1498">
            <v>0</v>
          </cell>
          <cell r="AG1498" t="str">
            <v/>
          </cell>
          <cell r="AH1498" t="str">
            <v/>
          </cell>
          <cell r="AJ1498">
            <v>0.60609999999999997</v>
          </cell>
          <cell r="AK1498">
            <v>0</v>
          </cell>
          <cell r="AL1498">
            <v>0.52700000000000002</v>
          </cell>
          <cell r="AM1498">
            <v>0</v>
          </cell>
          <cell r="AN1498">
            <v>0.45829999999999999</v>
          </cell>
          <cell r="AO1498">
            <v>0</v>
          </cell>
          <cell r="AP1498">
            <v>0.39850000000000002</v>
          </cell>
          <cell r="AQ1498">
            <v>0</v>
          </cell>
          <cell r="AS1498" t="str">
            <v/>
          </cell>
          <cell r="AT1498" t="str">
            <v/>
          </cell>
          <cell r="AV1498" t="b">
            <v>1</v>
          </cell>
          <cell r="AW1498" t="str">
            <v>minute</v>
          </cell>
        </row>
        <row r="1499">
          <cell r="S1499" t="str">
            <v>INT TKM</v>
          </cell>
          <cell r="T1499" t="str">
            <v>INT</v>
          </cell>
          <cell r="U1499" t="str">
            <v>TKM</v>
          </cell>
          <cell r="V1499" t="str">
            <v/>
          </cell>
          <cell r="X1499">
            <v>0.1749</v>
          </cell>
          <cell r="Y1499">
            <v>0</v>
          </cell>
          <cell r="Z1499">
            <v>0.15210000000000001</v>
          </cell>
          <cell r="AA1499">
            <v>0</v>
          </cell>
          <cell r="AB1499">
            <v>0.1323</v>
          </cell>
          <cell r="AC1499">
            <v>0</v>
          </cell>
          <cell r="AD1499">
            <v>0.115</v>
          </cell>
          <cell r="AE1499">
            <v>0</v>
          </cell>
          <cell r="AG1499" t="str">
            <v/>
          </cell>
          <cell r="AH1499" t="str">
            <v/>
          </cell>
          <cell r="AJ1499">
            <v>0.1749</v>
          </cell>
          <cell r="AK1499">
            <v>0</v>
          </cell>
          <cell r="AL1499">
            <v>0.15210000000000001</v>
          </cell>
          <cell r="AM1499">
            <v>0</v>
          </cell>
          <cell r="AN1499">
            <v>0.1323</v>
          </cell>
          <cell r="AO1499">
            <v>0</v>
          </cell>
          <cell r="AP1499">
            <v>0.115</v>
          </cell>
          <cell r="AQ1499">
            <v>0</v>
          </cell>
          <cell r="AS1499" t="str">
            <v/>
          </cell>
          <cell r="AT1499" t="str">
            <v/>
          </cell>
          <cell r="AV1499" t="b">
            <v>1</v>
          </cell>
          <cell r="AW1499" t="str">
            <v>minute</v>
          </cell>
        </row>
        <row r="1500">
          <cell r="S1500" t="str">
            <v>INT TCA</v>
          </cell>
          <cell r="T1500" t="str">
            <v>INT</v>
          </cell>
          <cell r="U1500" t="str">
            <v>TCA</v>
          </cell>
          <cell r="V1500" t="str">
            <v/>
          </cell>
          <cell r="X1500">
            <v>0.34449999999999997</v>
          </cell>
          <cell r="Y1500">
            <v>0</v>
          </cell>
          <cell r="Z1500">
            <v>0.29959999999999998</v>
          </cell>
          <cell r="AA1500">
            <v>0</v>
          </cell>
          <cell r="AB1500">
            <v>0.26050000000000001</v>
          </cell>
          <cell r="AC1500">
            <v>0</v>
          </cell>
          <cell r="AD1500">
            <v>0.22650000000000001</v>
          </cell>
          <cell r="AE1500">
            <v>0</v>
          </cell>
          <cell r="AG1500" t="str">
            <v/>
          </cell>
          <cell r="AH1500" t="str">
            <v/>
          </cell>
          <cell r="AJ1500">
            <v>0.34449999999999997</v>
          </cell>
          <cell r="AK1500">
            <v>0</v>
          </cell>
          <cell r="AL1500">
            <v>0.29959999999999998</v>
          </cell>
          <cell r="AM1500">
            <v>0</v>
          </cell>
          <cell r="AN1500">
            <v>0.26050000000000001</v>
          </cell>
          <cell r="AO1500">
            <v>0</v>
          </cell>
          <cell r="AP1500">
            <v>0.22650000000000001</v>
          </cell>
          <cell r="AQ1500">
            <v>0</v>
          </cell>
          <cell r="AS1500" t="str">
            <v/>
          </cell>
          <cell r="AT1500" t="str">
            <v/>
          </cell>
          <cell r="AV1500" t="b">
            <v>1</v>
          </cell>
          <cell r="AW1500" t="str">
            <v>minute</v>
          </cell>
        </row>
        <row r="1501">
          <cell r="S1501" t="str">
            <v>INT TUV TUVMO</v>
          </cell>
          <cell r="T1501" t="str">
            <v>INT</v>
          </cell>
          <cell r="U1501" t="str">
            <v>TUV</v>
          </cell>
          <cell r="V1501" t="str">
            <v>TUVMO</v>
          </cell>
          <cell r="X1501">
            <v>0.83689999999999998</v>
          </cell>
          <cell r="Y1501">
            <v>0</v>
          </cell>
          <cell r="Z1501">
            <v>0.72770000000000001</v>
          </cell>
          <cell r="AA1501">
            <v>0</v>
          </cell>
          <cell r="AB1501">
            <v>0.63280000000000003</v>
          </cell>
          <cell r="AC1501">
            <v>0</v>
          </cell>
          <cell r="AD1501">
            <v>0.55030000000000001</v>
          </cell>
          <cell r="AE1501">
            <v>0</v>
          </cell>
          <cell r="AG1501" t="str">
            <v/>
          </cell>
          <cell r="AH1501" t="str">
            <v/>
          </cell>
          <cell r="AJ1501">
            <v>0.83689999999999998</v>
          </cell>
          <cell r="AK1501">
            <v>0</v>
          </cell>
          <cell r="AL1501">
            <v>0.72770000000000001</v>
          </cell>
          <cell r="AM1501">
            <v>0</v>
          </cell>
          <cell r="AN1501">
            <v>0.63280000000000003</v>
          </cell>
          <cell r="AO1501">
            <v>0</v>
          </cell>
          <cell r="AP1501">
            <v>0.55030000000000001</v>
          </cell>
          <cell r="AQ1501">
            <v>0</v>
          </cell>
          <cell r="AS1501" t="str">
            <v/>
          </cell>
          <cell r="AT1501" t="str">
            <v/>
          </cell>
          <cell r="AV1501" t="b">
            <v>1</v>
          </cell>
          <cell r="AW1501" t="str">
            <v>minute</v>
          </cell>
        </row>
        <row r="1502">
          <cell r="S1502" t="str">
            <v>INT TUV</v>
          </cell>
          <cell r="T1502" t="str">
            <v>INT</v>
          </cell>
          <cell r="U1502" t="str">
            <v>TUV</v>
          </cell>
          <cell r="V1502" t="str">
            <v/>
          </cell>
          <cell r="X1502">
            <v>0.83689999999999998</v>
          </cell>
          <cell r="Y1502">
            <v>0</v>
          </cell>
          <cell r="Z1502">
            <v>0.72770000000000001</v>
          </cell>
          <cell r="AA1502">
            <v>0</v>
          </cell>
          <cell r="AB1502">
            <v>0.63280000000000003</v>
          </cell>
          <cell r="AC1502">
            <v>0</v>
          </cell>
          <cell r="AD1502">
            <v>0.55030000000000001</v>
          </cell>
          <cell r="AE1502">
            <v>0</v>
          </cell>
          <cell r="AG1502" t="str">
            <v/>
          </cell>
          <cell r="AH1502" t="str">
            <v/>
          </cell>
          <cell r="AJ1502">
            <v>0.83689999999999998</v>
          </cell>
          <cell r="AK1502">
            <v>0</v>
          </cell>
          <cell r="AL1502">
            <v>0.72770000000000001</v>
          </cell>
          <cell r="AM1502">
            <v>0</v>
          </cell>
          <cell r="AN1502">
            <v>0.63280000000000003</v>
          </cell>
          <cell r="AO1502">
            <v>0</v>
          </cell>
          <cell r="AP1502">
            <v>0.55030000000000001</v>
          </cell>
          <cell r="AQ1502">
            <v>0</v>
          </cell>
          <cell r="AS1502" t="str">
            <v/>
          </cell>
          <cell r="AT1502" t="str">
            <v/>
          </cell>
          <cell r="AV1502" t="b">
            <v>1</v>
          </cell>
          <cell r="AW1502" t="str">
            <v>minute</v>
          </cell>
        </row>
        <row r="1503">
          <cell r="S1503" t="str">
            <v>INT UGA UGAMO</v>
          </cell>
          <cell r="T1503" t="str">
            <v>INT</v>
          </cell>
          <cell r="U1503" t="str">
            <v>UGA</v>
          </cell>
          <cell r="V1503" t="str">
            <v>UGAMO</v>
          </cell>
          <cell r="X1503">
            <v>0.29189999999999999</v>
          </cell>
          <cell r="Y1503">
            <v>0</v>
          </cell>
          <cell r="Z1503">
            <v>0.25380000000000003</v>
          </cell>
          <cell r="AA1503">
            <v>0</v>
          </cell>
          <cell r="AB1503">
            <v>0.22070000000000001</v>
          </cell>
          <cell r="AC1503">
            <v>0</v>
          </cell>
          <cell r="AD1503">
            <v>0.19189999999999999</v>
          </cell>
          <cell r="AE1503">
            <v>0</v>
          </cell>
          <cell r="AG1503" t="str">
            <v/>
          </cell>
          <cell r="AH1503" t="str">
            <v/>
          </cell>
          <cell r="AJ1503">
            <v>0.29189999999999999</v>
          </cell>
          <cell r="AK1503">
            <v>0</v>
          </cell>
          <cell r="AL1503">
            <v>0.25380000000000003</v>
          </cell>
          <cell r="AM1503">
            <v>0</v>
          </cell>
          <cell r="AN1503">
            <v>0.22070000000000001</v>
          </cell>
          <cell r="AO1503">
            <v>0</v>
          </cell>
          <cell r="AP1503">
            <v>0.19189999999999999</v>
          </cell>
          <cell r="AQ1503">
            <v>0</v>
          </cell>
          <cell r="AS1503" t="str">
            <v/>
          </cell>
          <cell r="AT1503" t="str">
            <v/>
          </cell>
          <cell r="AV1503" t="b">
            <v>1</v>
          </cell>
          <cell r="AW1503" t="str">
            <v>minute</v>
          </cell>
        </row>
        <row r="1504">
          <cell r="S1504" t="str">
            <v>INT UGA</v>
          </cell>
          <cell r="T1504" t="str">
            <v>INT</v>
          </cell>
          <cell r="U1504" t="str">
            <v>UGA</v>
          </cell>
          <cell r="V1504" t="str">
            <v/>
          </cell>
          <cell r="X1504">
            <v>0.14510000000000001</v>
          </cell>
          <cell r="Y1504">
            <v>0</v>
          </cell>
          <cell r="Z1504">
            <v>0.12620000000000001</v>
          </cell>
          <cell r="AA1504">
            <v>0</v>
          </cell>
          <cell r="AB1504">
            <v>0.10970000000000001</v>
          </cell>
          <cell r="AC1504">
            <v>0</v>
          </cell>
          <cell r="AD1504">
            <v>9.5399999999999999E-2</v>
          </cell>
          <cell r="AE1504">
            <v>0</v>
          </cell>
          <cell r="AG1504" t="str">
            <v/>
          </cell>
          <cell r="AH1504" t="str">
            <v/>
          </cell>
          <cell r="AJ1504">
            <v>0.14510000000000001</v>
          </cell>
          <cell r="AK1504">
            <v>0</v>
          </cell>
          <cell r="AL1504">
            <v>0.12620000000000001</v>
          </cell>
          <cell r="AM1504">
            <v>0</v>
          </cell>
          <cell r="AN1504">
            <v>0.10970000000000001</v>
          </cell>
          <cell r="AO1504">
            <v>0</v>
          </cell>
          <cell r="AP1504">
            <v>9.5399999999999999E-2</v>
          </cell>
          <cell r="AQ1504">
            <v>0</v>
          </cell>
          <cell r="AS1504" t="str">
            <v/>
          </cell>
          <cell r="AT1504" t="str">
            <v/>
          </cell>
          <cell r="AV1504" t="b">
            <v>1</v>
          </cell>
          <cell r="AW1504" t="str">
            <v>minute</v>
          </cell>
        </row>
        <row r="1505">
          <cell r="S1505" t="str">
            <v>INT UKR UKRMO</v>
          </cell>
          <cell r="T1505" t="str">
            <v>INT</v>
          </cell>
          <cell r="U1505" t="str">
            <v>UKR</v>
          </cell>
          <cell r="V1505" t="str">
            <v>UKRMO</v>
          </cell>
          <cell r="X1505">
            <v>0.33339999999999997</v>
          </cell>
          <cell r="Y1505">
            <v>0</v>
          </cell>
          <cell r="Z1505">
            <v>0.30009999999999998</v>
          </cell>
          <cell r="AA1505">
            <v>0</v>
          </cell>
          <cell r="AB1505">
            <v>0.28339999999999999</v>
          </cell>
          <cell r="AC1505">
            <v>0</v>
          </cell>
          <cell r="AD1505">
            <v>0.26669999999999999</v>
          </cell>
          <cell r="AE1505">
            <v>0</v>
          </cell>
          <cell r="AG1505" t="str">
            <v/>
          </cell>
          <cell r="AH1505" t="str">
            <v/>
          </cell>
          <cell r="AJ1505">
            <v>0.33339999999999997</v>
          </cell>
          <cell r="AK1505">
            <v>0</v>
          </cell>
          <cell r="AL1505">
            <v>0.30009999999999998</v>
          </cell>
          <cell r="AM1505">
            <v>0</v>
          </cell>
          <cell r="AN1505">
            <v>0.28339999999999999</v>
          </cell>
          <cell r="AO1505">
            <v>0</v>
          </cell>
          <cell r="AP1505">
            <v>0.26669999999999999</v>
          </cell>
          <cell r="AQ1505">
            <v>0</v>
          </cell>
          <cell r="AS1505" t="str">
            <v/>
          </cell>
          <cell r="AT1505" t="str">
            <v/>
          </cell>
          <cell r="AV1505" t="b">
            <v>1</v>
          </cell>
          <cell r="AW1505" t="str">
            <v>minute</v>
          </cell>
        </row>
        <row r="1506">
          <cell r="S1506" t="str">
            <v>INT UKR</v>
          </cell>
          <cell r="T1506" t="str">
            <v>INT</v>
          </cell>
          <cell r="U1506" t="str">
            <v>UKR</v>
          </cell>
          <cell r="V1506" t="str">
            <v/>
          </cell>
          <cell r="X1506">
            <v>0.15840000000000001</v>
          </cell>
          <cell r="Y1506">
            <v>0</v>
          </cell>
          <cell r="Z1506">
            <v>0.1426</v>
          </cell>
          <cell r="AA1506">
            <v>0</v>
          </cell>
          <cell r="AB1506">
            <v>0.1346</v>
          </cell>
          <cell r="AC1506">
            <v>0</v>
          </cell>
          <cell r="AD1506">
            <v>0.12670000000000001</v>
          </cell>
          <cell r="AE1506">
            <v>0</v>
          </cell>
          <cell r="AG1506" t="str">
            <v/>
          </cell>
          <cell r="AH1506" t="str">
            <v/>
          </cell>
          <cell r="AJ1506">
            <v>0.15840000000000001</v>
          </cell>
          <cell r="AK1506">
            <v>0</v>
          </cell>
          <cell r="AL1506">
            <v>0.1426</v>
          </cell>
          <cell r="AM1506">
            <v>0</v>
          </cell>
          <cell r="AN1506">
            <v>0.1346</v>
          </cell>
          <cell r="AO1506">
            <v>0</v>
          </cell>
          <cell r="AP1506">
            <v>0.12670000000000001</v>
          </cell>
          <cell r="AQ1506">
            <v>0</v>
          </cell>
          <cell r="AS1506" t="str">
            <v/>
          </cell>
          <cell r="AT1506" t="str">
            <v/>
          </cell>
          <cell r="AV1506" t="b">
            <v>1</v>
          </cell>
          <cell r="AW1506" t="str">
            <v>minute</v>
          </cell>
        </row>
        <row r="1507">
          <cell r="S1507" t="str">
            <v>INT ARE AREMO</v>
          </cell>
          <cell r="T1507" t="str">
            <v>INT</v>
          </cell>
          <cell r="U1507" t="str">
            <v>ARE</v>
          </cell>
          <cell r="V1507" t="str">
            <v>AREMO</v>
          </cell>
          <cell r="X1507">
            <v>0.20300000000000001</v>
          </cell>
          <cell r="Y1507">
            <v>0</v>
          </cell>
          <cell r="Z1507">
            <v>0.1827</v>
          </cell>
          <cell r="AA1507">
            <v>0</v>
          </cell>
          <cell r="AB1507">
            <v>0.1726</v>
          </cell>
          <cell r="AC1507">
            <v>0</v>
          </cell>
          <cell r="AD1507">
            <v>0.16239999999999999</v>
          </cell>
          <cell r="AE1507">
            <v>0</v>
          </cell>
          <cell r="AG1507" t="str">
            <v/>
          </cell>
          <cell r="AH1507" t="str">
            <v/>
          </cell>
          <cell r="AJ1507">
            <v>0.20300000000000001</v>
          </cell>
          <cell r="AK1507">
            <v>0</v>
          </cell>
          <cell r="AL1507">
            <v>0.1827</v>
          </cell>
          <cell r="AM1507">
            <v>0</v>
          </cell>
          <cell r="AN1507">
            <v>0.1726</v>
          </cell>
          <cell r="AO1507">
            <v>0</v>
          </cell>
          <cell r="AP1507">
            <v>0.16239999999999999</v>
          </cell>
          <cell r="AQ1507">
            <v>0</v>
          </cell>
          <cell r="AS1507" t="str">
            <v/>
          </cell>
          <cell r="AT1507" t="str">
            <v/>
          </cell>
          <cell r="AV1507" t="b">
            <v>1</v>
          </cell>
          <cell r="AW1507" t="str">
            <v>minute</v>
          </cell>
        </row>
        <row r="1508">
          <cell r="S1508" t="str">
            <v>INT ARE</v>
          </cell>
          <cell r="T1508" t="str">
            <v>INT</v>
          </cell>
          <cell r="U1508" t="str">
            <v>ARE</v>
          </cell>
          <cell r="V1508" t="str">
            <v/>
          </cell>
          <cell r="X1508">
            <v>0.20300000000000001</v>
          </cell>
          <cell r="Y1508">
            <v>0</v>
          </cell>
          <cell r="Z1508">
            <v>0.1827</v>
          </cell>
          <cell r="AA1508">
            <v>0</v>
          </cell>
          <cell r="AB1508">
            <v>0.1726</v>
          </cell>
          <cell r="AC1508">
            <v>0</v>
          </cell>
          <cell r="AD1508">
            <v>0.16239999999999999</v>
          </cell>
          <cell r="AE1508">
            <v>0</v>
          </cell>
          <cell r="AG1508" t="str">
            <v/>
          </cell>
          <cell r="AH1508" t="str">
            <v/>
          </cell>
          <cell r="AJ1508">
            <v>0.20300000000000001</v>
          </cell>
          <cell r="AK1508">
            <v>0</v>
          </cell>
          <cell r="AL1508">
            <v>0.1827</v>
          </cell>
          <cell r="AM1508">
            <v>0</v>
          </cell>
          <cell r="AN1508">
            <v>0.1726</v>
          </cell>
          <cell r="AO1508">
            <v>0</v>
          </cell>
          <cell r="AP1508">
            <v>0.16239999999999999</v>
          </cell>
          <cell r="AQ1508">
            <v>0</v>
          </cell>
          <cell r="AS1508" t="str">
            <v/>
          </cell>
          <cell r="AT1508" t="str">
            <v/>
          </cell>
          <cell r="AV1508" t="b">
            <v>1</v>
          </cell>
          <cell r="AW1508" t="str">
            <v>minute</v>
          </cell>
        </row>
        <row r="1509">
          <cell r="S1509" t="str">
            <v>INT GBR GBRMO</v>
          </cell>
          <cell r="T1509" t="str">
            <v>INT</v>
          </cell>
          <cell r="U1509" t="str">
            <v>GBR</v>
          </cell>
          <cell r="V1509" t="str">
            <v>GBRMO</v>
          </cell>
          <cell r="X1509">
            <v>2.9000000000000001E-2</v>
          </cell>
          <cell r="Y1509">
            <v>0</v>
          </cell>
          <cell r="Z1509">
            <v>2.6100000000000002E-2</v>
          </cell>
          <cell r="AA1509">
            <v>0</v>
          </cell>
          <cell r="AB1509">
            <v>2.47E-2</v>
          </cell>
          <cell r="AC1509">
            <v>0</v>
          </cell>
          <cell r="AD1509">
            <v>2.3199999999999998E-2</v>
          </cell>
          <cell r="AE1509">
            <v>0</v>
          </cell>
          <cell r="AG1509" t="str">
            <v/>
          </cell>
          <cell r="AH1509" t="str">
            <v/>
          </cell>
          <cell r="AJ1509">
            <v>2.9000000000000001E-2</v>
          </cell>
          <cell r="AK1509">
            <v>0</v>
          </cell>
          <cell r="AL1509">
            <v>2.6100000000000002E-2</v>
          </cell>
          <cell r="AM1509">
            <v>0</v>
          </cell>
          <cell r="AN1509">
            <v>2.47E-2</v>
          </cell>
          <cell r="AO1509">
            <v>0</v>
          </cell>
          <cell r="AP1509">
            <v>2.3199999999999998E-2</v>
          </cell>
          <cell r="AQ1509">
            <v>0</v>
          </cell>
          <cell r="AS1509" t="str">
            <v/>
          </cell>
          <cell r="AT1509" t="str">
            <v/>
          </cell>
          <cell r="AV1509" t="b">
            <v>1</v>
          </cell>
          <cell r="AW1509" t="str">
            <v>minute</v>
          </cell>
        </row>
        <row r="1510">
          <cell r="S1510" t="str">
            <v>INT GBR</v>
          </cell>
          <cell r="T1510" t="str">
            <v>INT</v>
          </cell>
          <cell r="U1510" t="str">
            <v>GBR</v>
          </cell>
          <cell r="V1510" t="str">
            <v/>
          </cell>
          <cell r="X1510">
            <v>1.4E-2</v>
          </cell>
          <cell r="Y1510">
            <v>0</v>
          </cell>
          <cell r="Z1510">
            <v>1.3100000000000001E-2</v>
          </cell>
          <cell r="AA1510">
            <v>0</v>
          </cell>
          <cell r="AB1510">
            <v>1.2200000000000001E-2</v>
          </cell>
          <cell r="AC1510">
            <v>0</v>
          </cell>
          <cell r="AD1510">
            <v>1.14E-2</v>
          </cell>
          <cell r="AE1510">
            <v>0</v>
          </cell>
          <cell r="AG1510" t="str">
            <v/>
          </cell>
          <cell r="AH1510" t="str">
            <v/>
          </cell>
          <cell r="AJ1510">
            <v>1.4E-2</v>
          </cell>
          <cell r="AK1510">
            <v>0</v>
          </cell>
          <cell r="AL1510">
            <v>1.3100000000000001E-2</v>
          </cell>
          <cell r="AM1510">
            <v>0</v>
          </cell>
          <cell r="AN1510">
            <v>1.2200000000000001E-2</v>
          </cell>
          <cell r="AO1510">
            <v>0</v>
          </cell>
          <cell r="AP1510">
            <v>1.14E-2</v>
          </cell>
          <cell r="AQ1510">
            <v>0</v>
          </cell>
          <cell r="AS1510" t="str">
            <v/>
          </cell>
          <cell r="AT1510" t="str">
            <v/>
          </cell>
          <cell r="AV1510" t="b">
            <v>1</v>
          </cell>
          <cell r="AW1510" t="str">
            <v>minute</v>
          </cell>
        </row>
        <row r="1511">
          <cell r="S1511" t="str">
            <v>INT URY URYMO</v>
          </cell>
          <cell r="T1511" t="str">
            <v>INT</v>
          </cell>
          <cell r="U1511" t="str">
            <v>URY</v>
          </cell>
          <cell r="V1511" t="str">
            <v>URYMO</v>
          </cell>
          <cell r="X1511">
            <v>0.28449999999999998</v>
          </cell>
          <cell r="Y1511">
            <v>0</v>
          </cell>
          <cell r="Z1511">
            <v>0.24740000000000001</v>
          </cell>
          <cell r="AA1511">
            <v>0</v>
          </cell>
          <cell r="AB1511">
            <v>0.21510000000000001</v>
          </cell>
          <cell r="AC1511">
            <v>0</v>
          </cell>
          <cell r="AD1511">
            <v>0.187</v>
          </cell>
          <cell r="AE1511">
            <v>0</v>
          </cell>
          <cell r="AG1511" t="str">
            <v/>
          </cell>
          <cell r="AH1511" t="str">
            <v/>
          </cell>
          <cell r="AJ1511">
            <v>0.28449999999999998</v>
          </cell>
          <cell r="AK1511">
            <v>0</v>
          </cell>
          <cell r="AL1511">
            <v>0.24740000000000001</v>
          </cell>
          <cell r="AM1511">
            <v>0</v>
          </cell>
          <cell r="AN1511">
            <v>0.21510000000000001</v>
          </cell>
          <cell r="AO1511">
            <v>0</v>
          </cell>
          <cell r="AP1511">
            <v>0.187</v>
          </cell>
          <cell r="AQ1511">
            <v>0</v>
          </cell>
          <cell r="AS1511" t="str">
            <v/>
          </cell>
          <cell r="AT1511" t="str">
            <v/>
          </cell>
          <cell r="AV1511" t="b">
            <v>1</v>
          </cell>
          <cell r="AW1511" t="str">
            <v>minute</v>
          </cell>
        </row>
        <row r="1512">
          <cell r="S1512" t="str">
            <v>INT URY</v>
          </cell>
          <cell r="T1512" t="str">
            <v>INT</v>
          </cell>
          <cell r="U1512" t="str">
            <v>URY</v>
          </cell>
          <cell r="V1512" t="str">
            <v/>
          </cell>
          <cell r="X1512">
            <v>8.5999999999999993E-2</v>
          </cell>
          <cell r="Y1512">
            <v>0</v>
          </cell>
          <cell r="Z1512">
            <v>7.4800000000000005E-2</v>
          </cell>
          <cell r="AA1512">
            <v>0</v>
          </cell>
          <cell r="AB1512">
            <v>6.5000000000000002E-2</v>
          </cell>
          <cell r="AC1512">
            <v>0</v>
          </cell>
          <cell r="AD1512">
            <v>5.6500000000000002E-2</v>
          </cell>
          <cell r="AE1512">
            <v>0</v>
          </cell>
          <cell r="AG1512" t="str">
            <v/>
          </cell>
          <cell r="AH1512" t="str">
            <v/>
          </cell>
          <cell r="AJ1512">
            <v>8.5999999999999993E-2</v>
          </cell>
          <cell r="AK1512">
            <v>0</v>
          </cell>
          <cell r="AL1512">
            <v>7.4800000000000005E-2</v>
          </cell>
          <cell r="AM1512">
            <v>0</v>
          </cell>
          <cell r="AN1512">
            <v>6.5000000000000002E-2</v>
          </cell>
          <cell r="AO1512">
            <v>0</v>
          </cell>
          <cell r="AP1512">
            <v>5.6500000000000002E-2</v>
          </cell>
          <cell r="AQ1512">
            <v>0</v>
          </cell>
          <cell r="AS1512" t="str">
            <v/>
          </cell>
          <cell r="AT1512" t="str">
            <v/>
          </cell>
          <cell r="AV1512" t="b">
            <v>1</v>
          </cell>
          <cell r="AW1512" t="str">
            <v>minute</v>
          </cell>
        </row>
        <row r="1513">
          <cell r="S1513" t="str">
            <v>INT USA</v>
          </cell>
          <cell r="T1513" t="str">
            <v>INT</v>
          </cell>
          <cell r="U1513" t="str">
            <v>USA</v>
          </cell>
          <cell r="V1513" t="str">
            <v/>
          </cell>
          <cell r="X1513">
            <v>1.9900000000000001E-2</v>
          </cell>
          <cell r="Y1513">
            <v>0</v>
          </cell>
          <cell r="Z1513">
            <v>1.7899999999999999E-2</v>
          </cell>
          <cell r="AA1513">
            <v>0</v>
          </cell>
          <cell r="AB1513">
            <v>1.6899999999999998E-2</v>
          </cell>
          <cell r="AC1513">
            <v>0</v>
          </cell>
          <cell r="AD1513">
            <v>1.5900000000000001E-2</v>
          </cell>
          <cell r="AE1513">
            <v>0</v>
          </cell>
          <cell r="AG1513" t="str">
            <v/>
          </cell>
          <cell r="AH1513" t="str">
            <v/>
          </cell>
          <cell r="AJ1513">
            <v>1.9900000000000001E-2</v>
          </cell>
          <cell r="AK1513">
            <v>0</v>
          </cell>
          <cell r="AL1513">
            <v>1.7899999999999999E-2</v>
          </cell>
          <cell r="AM1513">
            <v>0</v>
          </cell>
          <cell r="AN1513">
            <v>1.6899999999999998E-2</v>
          </cell>
          <cell r="AO1513">
            <v>0</v>
          </cell>
          <cell r="AP1513">
            <v>1.5900000000000001E-2</v>
          </cell>
          <cell r="AQ1513">
            <v>0</v>
          </cell>
          <cell r="AS1513" t="str">
            <v/>
          </cell>
          <cell r="AT1513" t="str">
            <v/>
          </cell>
          <cell r="AV1513" t="b">
            <v>1</v>
          </cell>
          <cell r="AW1513" t="str">
            <v>minute</v>
          </cell>
        </row>
        <row r="1514">
          <cell r="S1514" t="str">
            <v>INT USA USAFR</v>
          </cell>
          <cell r="T1514" t="str">
            <v>INT</v>
          </cell>
          <cell r="U1514" t="str">
            <v>USA</v>
          </cell>
          <cell r="V1514" t="str">
            <v>USAFR</v>
          </cell>
          <cell r="X1514">
            <v>2.2599999999999999E-2</v>
          </cell>
          <cell r="Y1514">
            <v>0</v>
          </cell>
          <cell r="Z1514">
            <v>2.0299999999999999E-2</v>
          </cell>
          <cell r="AA1514">
            <v>0</v>
          </cell>
          <cell r="AB1514">
            <v>1.8100000000000002E-2</v>
          </cell>
          <cell r="AC1514">
            <v>0</v>
          </cell>
          <cell r="AD1514">
            <v>1.5800000000000002E-2</v>
          </cell>
          <cell r="AE1514">
            <v>0</v>
          </cell>
          <cell r="AG1514" t="str">
            <v/>
          </cell>
          <cell r="AH1514" t="str">
            <v/>
          </cell>
          <cell r="AJ1514">
            <v>2.2599999999999999E-2</v>
          </cell>
          <cell r="AK1514">
            <v>0</v>
          </cell>
          <cell r="AL1514">
            <v>2.0299999999999999E-2</v>
          </cell>
          <cell r="AM1514">
            <v>0</v>
          </cell>
          <cell r="AN1514">
            <v>1.8100000000000002E-2</v>
          </cell>
          <cell r="AO1514">
            <v>0</v>
          </cell>
          <cell r="AP1514">
            <v>1.5800000000000002E-2</v>
          </cell>
          <cell r="AQ1514">
            <v>0</v>
          </cell>
          <cell r="AS1514" t="str">
            <v/>
          </cell>
          <cell r="AT1514" t="str">
            <v/>
          </cell>
          <cell r="AV1514" t="b">
            <v>1</v>
          </cell>
          <cell r="AW1514" t="str">
            <v>minute</v>
          </cell>
        </row>
        <row r="1515">
          <cell r="S1515" t="str">
            <v>INT UZB UZBMO</v>
          </cell>
          <cell r="T1515" t="str">
            <v>INT</v>
          </cell>
          <cell r="U1515" t="str">
            <v>UZB</v>
          </cell>
          <cell r="V1515" t="str">
            <v>UZBMO</v>
          </cell>
          <cell r="X1515">
            <v>0.11799999999999999</v>
          </cell>
          <cell r="Y1515">
            <v>0</v>
          </cell>
          <cell r="Z1515">
            <v>0.1026</v>
          </cell>
          <cell r="AA1515">
            <v>0</v>
          </cell>
          <cell r="AB1515">
            <v>8.9200000000000002E-2</v>
          </cell>
          <cell r="AC1515">
            <v>0</v>
          </cell>
          <cell r="AD1515">
            <v>7.7600000000000002E-2</v>
          </cell>
          <cell r="AE1515">
            <v>0</v>
          </cell>
          <cell r="AG1515" t="str">
            <v/>
          </cell>
          <cell r="AH1515" t="str">
            <v/>
          </cell>
          <cell r="AJ1515">
            <v>0.11799999999999999</v>
          </cell>
          <cell r="AK1515">
            <v>0</v>
          </cell>
          <cell r="AL1515">
            <v>0.1026</v>
          </cell>
          <cell r="AM1515">
            <v>0</v>
          </cell>
          <cell r="AN1515">
            <v>8.9200000000000002E-2</v>
          </cell>
          <cell r="AO1515">
            <v>0</v>
          </cell>
          <cell r="AP1515">
            <v>7.7600000000000002E-2</v>
          </cell>
          <cell r="AQ1515">
            <v>0</v>
          </cell>
          <cell r="AS1515" t="str">
            <v/>
          </cell>
          <cell r="AT1515" t="str">
            <v/>
          </cell>
          <cell r="AV1515" t="b">
            <v>1</v>
          </cell>
          <cell r="AW1515" t="str">
            <v>minute</v>
          </cell>
        </row>
        <row r="1516">
          <cell r="S1516" t="str">
            <v>INT UZB</v>
          </cell>
          <cell r="T1516" t="str">
            <v>INT</v>
          </cell>
          <cell r="U1516" t="str">
            <v>UZB</v>
          </cell>
          <cell r="V1516" t="str">
            <v/>
          </cell>
          <cell r="X1516">
            <v>0.1179</v>
          </cell>
          <cell r="Y1516">
            <v>0</v>
          </cell>
          <cell r="Z1516">
            <v>0.10249999999999999</v>
          </cell>
          <cell r="AA1516">
            <v>0</v>
          </cell>
          <cell r="AB1516">
            <v>8.9099999999999999E-2</v>
          </cell>
          <cell r="AC1516">
            <v>0</v>
          </cell>
          <cell r="AD1516">
            <v>7.7499999999999999E-2</v>
          </cell>
          <cell r="AE1516">
            <v>0</v>
          </cell>
          <cell r="AG1516" t="str">
            <v/>
          </cell>
          <cell r="AH1516" t="str">
            <v/>
          </cell>
          <cell r="AJ1516">
            <v>0.1179</v>
          </cell>
          <cell r="AK1516">
            <v>0</v>
          </cell>
          <cell r="AL1516">
            <v>0.10249999999999999</v>
          </cell>
          <cell r="AM1516">
            <v>0</v>
          </cell>
          <cell r="AN1516">
            <v>8.9099999999999999E-2</v>
          </cell>
          <cell r="AO1516">
            <v>0</v>
          </cell>
          <cell r="AP1516">
            <v>7.7499999999999999E-2</v>
          </cell>
          <cell r="AQ1516">
            <v>0</v>
          </cell>
          <cell r="AS1516" t="str">
            <v/>
          </cell>
          <cell r="AT1516" t="str">
            <v/>
          </cell>
          <cell r="AV1516" t="b">
            <v>1</v>
          </cell>
          <cell r="AW1516" t="str">
            <v>minute</v>
          </cell>
        </row>
        <row r="1517">
          <cell r="S1517" t="str">
            <v>INT VUT VUTMO</v>
          </cell>
          <cell r="T1517" t="str">
            <v>INT</v>
          </cell>
          <cell r="U1517" t="str">
            <v>VUT</v>
          </cell>
          <cell r="V1517" t="str">
            <v>VUTMO</v>
          </cell>
          <cell r="X1517">
            <v>0.63460000000000005</v>
          </cell>
          <cell r="Y1517">
            <v>0</v>
          </cell>
          <cell r="Z1517">
            <v>0.55179999999999996</v>
          </cell>
          <cell r="AA1517">
            <v>0</v>
          </cell>
          <cell r="AB1517">
            <v>0.4798</v>
          </cell>
          <cell r="AC1517">
            <v>0</v>
          </cell>
          <cell r="AD1517">
            <v>0.41720000000000002</v>
          </cell>
          <cell r="AE1517">
            <v>0</v>
          </cell>
          <cell r="AG1517" t="str">
            <v/>
          </cell>
          <cell r="AH1517" t="str">
            <v/>
          </cell>
          <cell r="AJ1517">
            <v>0.63460000000000005</v>
          </cell>
          <cell r="AK1517">
            <v>0</v>
          </cell>
          <cell r="AL1517">
            <v>0.55179999999999996</v>
          </cell>
          <cell r="AM1517">
            <v>0</v>
          </cell>
          <cell r="AN1517">
            <v>0.4798</v>
          </cell>
          <cell r="AO1517">
            <v>0</v>
          </cell>
          <cell r="AP1517">
            <v>0.41720000000000002</v>
          </cell>
          <cell r="AQ1517">
            <v>0</v>
          </cell>
          <cell r="AS1517" t="str">
            <v/>
          </cell>
          <cell r="AT1517" t="str">
            <v/>
          </cell>
          <cell r="AV1517" t="b">
            <v>1</v>
          </cell>
          <cell r="AW1517" t="str">
            <v>minute</v>
          </cell>
        </row>
        <row r="1518">
          <cell r="S1518" t="str">
            <v>INT VUT</v>
          </cell>
          <cell r="T1518" t="str">
            <v>INT</v>
          </cell>
          <cell r="U1518" t="str">
            <v>VUT</v>
          </cell>
          <cell r="V1518" t="str">
            <v/>
          </cell>
          <cell r="X1518">
            <v>0.63460000000000005</v>
          </cell>
          <cell r="Y1518">
            <v>0</v>
          </cell>
          <cell r="Z1518">
            <v>0.55179999999999996</v>
          </cell>
          <cell r="AA1518">
            <v>0</v>
          </cell>
          <cell r="AB1518">
            <v>0.4798</v>
          </cell>
          <cell r="AC1518">
            <v>0</v>
          </cell>
          <cell r="AD1518">
            <v>0.41720000000000002</v>
          </cell>
          <cell r="AE1518">
            <v>0</v>
          </cell>
          <cell r="AG1518" t="str">
            <v/>
          </cell>
          <cell r="AH1518" t="str">
            <v/>
          </cell>
          <cell r="AJ1518">
            <v>0.63460000000000005</v>
          </cell>
          <cell r="AK1518">
            <v>0</v>
          </cell>
          <cell r="AL1518">
            <v>0.55179999999999996</v>
          </cell>
          <cell r="AM1518">
            <v>0</v>
          </cell>
          <cell r="AN1518">
            <v>0.4798</v>
          </cell>
          <cell r="AO1518">
            <v>0</v>
          </cell>
          <cell r="AP1518">
            <v>0.41720000000000002</v>
          </cell>
          <cell r="AQ1518">
            <v>0</v>
          </cell>
          <cell r="AS1518" t="str">
            <v/>
          </cell>
          <cell r="AT1518" t="str">
            <v/>
          </cell>
          <cell r="AV1518" t="b">
            <v>1</v>
          </cell>
          <cell r="AW1518" t="str">
            <v>minute</v>
          </cell>
        </row>
        <row r="1519">
          <cell r="S1519" t="str">
            <v>INT VAT</v>
          </cell>
          <cell r="T1519" t="str">
            <v>INT</v>
          </cell>
          <cell r="U1519" t="str">
            <v>VAT</v>
          </cell>
          <cell r="V1519" t="str">
            <v/>
          </cell>
          <cell r="X1519">
            <v>2.4E-2</v>
          </cell>
          <cell r="Y1519">
            <v>0</v>
          </cell>
          <cell r="Z1519">
            <v>2.0899999999999998E-2</v>
          </cell>
          <cell r="AA1519">
            <v>0</v>
          </cell>
          <cell r="AB1519">
            <v>1.8200000000000001E-2</v>
          </cell>
          <cell r="AC1519">
            <v>0</v>
          </cell>
          <cell r="AD1519">
            <v>1.5800000000000002E-2</v>
          </cell>
          <cell r="AE1519">
            <v>0</v>
          </cell>
          <cell r="AG1519" t="str">
            <v/>
          </cell>
          <cell r="AH1519" t="str">
            <v/>
          </cell>
          <cell r="AJ1519">
            <v>2.4E-2</v>
          </cell>
          <cell r="AK1519">
            <v>0</v>
          </cell>
          <cell r="AL1519">
            <v>2.0899999999999998E-2</v>
          </cell>
          <cell r="AM1519">
            <v>0</v>
          </cell>
          <cell r="AN1519">
            <v>1.8200000000000001E-2</v>
          </cell>
          <cell r="AO1519">
            <v>0</v>
          </cell>
          <cell r="AP1519">
            <v>1.5800000000000002E-2</v>
          </cell>
          <cell r="AQ1519">
            <v>0</v>
          </cell>
          <cell r="AS1519" t="str">
            <v/>
          </cell>
          <cell r="AT1519" t="str">
            <v/>
          </cell>
          <cell r="AV1519" t="b">
            <v>1</v>
          </cell>
          <cell r="AW1519" t="str">
            <v>minute</v>
          </cell>
        </row>
        <row r="1520">
          <cell r="S1520" t="str">
            <v>INT VEN VENMO</v>
          </cell>
          <cell r="T1520" t="str">
            <v>INT</v>
          </cell>
          <cell r="U1520" t="str">
            <v>VEN</v>
          </cell>
          <cell r="V1520" t="str">
            <v>VENMO</v>
          </cell>
          <cell r="X1520">
            <v>0.19389999999999999</v>
          </cell>
          <cell r="Y1520">
            <v>0</v>
          </cell>
          <cell r="Z1520">
            <v>0.1686</v>
          </cell>
          <cell r="AA1520">
            <v>0</v>
          </cell>
          <cell r="AB1520">
            <v>0.14660000000000001</v>
          </cell>
          <cell r="AC1520">
            <v>0</v>
          </cell>
          <cell r="AD1520">
            <v>0.1275</v>
          </cell>
          <cell r="AE1520">
            <v>0</v>
          </cell>
          <cell r="AG1520" t="str">
            <v/>
          </cell>
          <cell r="AH1520" t="str">
            <v/>
          </cell>
          <cell r="AJ1520">
            <v>0.19389999999999999</v>
          </cell>
          <cell r="AK1520">
            <v>0</v>
          </cell>
          <cell r="AL1520">
            <v>0.1686</v>
          </cell>
          <cell r="AM1520">
            <v>0</v>
          </cell>
          <cell r="AN1520">
            <v>0.14660000000000001</v>
          </cell>
          <cell r="AO1520">
            <v>0</v>
          </cell>
          <cell r="AP1520">
            <v>0.1275</v>
          </cell>
          <cell r="AQ1520">
            <v>0</v>
          </cell>
          <cell r="AS1520" t="str">
            <v/>
          </cell>
          <cell r="AT1520" t="str">
            <v/>
          </cell>
          <cell r="AV1520" t="b">
            <v>1</v>
          </cell>
          <cell r="AW1520" t="str">
            <v>minute</v>
          </cell>
        </row>
        <row r="1521">
          <cell r="S1521" t="str">
            <v>INT VEN</v>
          </cell>
          <cell r="T1521" t="str">
            <v>INT</v>
          </cell>
          <cell r="U1521" t="str">
            <v>VEN</v>
          </cell>
          <cell r="V1521" t="str">
            <v/>
          </cell>
          <cell r="X1521">
            <v>7.2800000000000004E-2</v>
          </cell>
          <cell r="Y1521">
            <v>0</v>
          </cell>
          <cell r="Z1521">
            <v>6.5500000000000003E-2</v>
          </cell>
          <cell r="AA1521">
            <v>0</v>
          </cell>
          <cell r="AB1521">
            <v>6.1899999999999997E-2</v>
          </cell>
          <cell r="AC1521">
            <v>0</v>
          </cell>
          <cell r="AD1521">
            <v>5.8200000000000002E-2</v>
          </cell>
          <cell r="AE1521">
            <v>0</v>
          </cell>
          <cell r="AG1521" t="str">
            <v/>
          </cell>
          <cell r="AH1521" t="str">
            <v/>
          </cell>
          <cell r="AJ1521">
            <v>7.2800000000000004E-2</v>
          </cell>
          <cell r="AK1521">
            <v>0</v>
          </cell>
          <cell r="AL1521">
            <v>6.5500000000000003E-2</v>
          </cell>
          <cell r="AM1521">
            <v>0</v>
          </cell>
          <cell r="AN1521">
            <v>6.1899999999999997E-2</v>
          </cell>
          <cell r="AO1521">
            <v>0</v>
          </cell>
          <cell r="AP1521">
            <v>5.8200000000000002E-2</v>
          </cell>
          <cell r="AQ1521">
            <v>0</v>
          </cell>
          <cell r="AS1521" t="str">
            <v/>
          </cell>
          <cell r="AT1521" t="str">
            <v/>
          </cell>
          <cell r="AV1521" t="b">
            <v>1</v>
          </cell>
          <cell r="AW1521" t="str">
            <v>minute</v>
          </cell>
        </row>
        <row r="1522">
          <cell r="S1522" t="str">
            <v>INT VNM VNMMO</v>
          </cell>
          <cell r="T1522" t="str">
            <v>INT</v>
          </cell>
          <cell r="U1522" t="str">
            <v>VNM</v>
          </cell>
          <cell r="V1522" t="str">
            <v>VNMMO</v>
          </cell>
          <cell r="X1522">
            <v>9.2200000000000004E-2</v>
          </cell>
          <cell r="Y1522">
            <v>0</v>
          </cell>
          <cell r="Z1522">
            <v>8.0199999999999994E-2</v>
          </cell>
          <cell r="AA1522">
            <v>0</v>
          </cell>
          <cell r="AB1522">
            <v>6.9699999999999998E-2</v>
          </cell>
          <cell r="AC1522">
            <v>0</v>
          </cell>
          <cell r="AD1522">
            <v>6.0600000000000001E-2</v>
          </cell>
          <cell r="AE1522">
            <v>0</v>
          </cell>
          <cell r="AG1522" t="str">
            <v/>
          </cell>
          <cell r="AH1522" t="str">
            <v/>
          </cell>
          <cell r="AJ1522">
            <v>9.2200000000000004E-2</v>
          </cell>
          <cell r="AK1522">
            <v>0</v>
          </cell>
          <cell r="AL1522">
            <v>8.0199999999999994E-2</v>
          </cell>
          <cell r="AM1522">
            <v>0</v>
          </cell>
          <cell r="AN1522">
            <v>6.9699999999999998E-2</v>
          </cell>
          <cell r="AO1522">
            <v>0</v>
          </cell>
          <cell r="AP1522">
            <v>6.0600000000000001E-2</v>
          </cell>
          <cell r="AQ1522">
            <v>0</v>
          </cell>
          <cell r="AS1522" t="str">
            <v/>
          </cell>
          <cell r="AT1522" t="str">
            <v/>
          </cell>
          <cell r="AV1522" t="b">
            <v>1</v>
          </cell>
          <cell r="AW1522" t="str">
            <v>minute</v>
          </cell>
        </row>
        <row r="1523">
          <cell r="S1523" t="str">
            <v>INT VNM</v>
          </cell>
          <cell r="T1523" t="str">
            <v>INT</v>
          </cell>
          <cell r="U1523" t="str">
            <v>VNM</v>
          </cell>
          <cell r="V1523" t="str">
            <v/>
          </cell>
          <cell r="X1523">
            <v>8.9800000000000005E-2</v>
          </cell>
          <cell r="Y1523">
            <v>0</v>
          </cell>
          <cell r="Z1523">
            <v>7.8100000000000003E-2</v>
          </cell>
          <cell r="AA1523">
            <v>0</v>
          </cell>
          <cell r="AB1523">
            <v>6.7900000000000002E-2</v>
          </cell>
          <cell r="AC1523">
            <v>0</v>
          </cell>
          <cell r="AD1523">
            <v>5.8999999999999997E-2</v>
          </cell>
          <cell r="AE1523">
            <v>0</v>
          </cell>
          <cell r="AG1523" t="str">
            <v/>
          </cell>
          <cell r="AH1523" t="str">
            <v/>
          </cell>
          <cell r="AJ1523">
            <v>8.9800000000000005E-2</v>
          </cell>
          <cell r="AK1523">
            <v>0</v>
          </cell>
          <cell r="AL1523">
            <v>7.8100000000000003E-2</v>
          </cell>
          <cell r="AM1523">
            <v>0</v>
          </cell>
          <cell r="AN1523">
            <v>6.7900000000000002E-2</v>
          </cell>
          <cell r="AO1523">
            <v>0</v>
          </cell>
          <cell r="AP1523">
            <v>5.8999999999999997E-2</v>
          </cell>
          <cell r="AQ1523">
            <v>0</v>
          </cell>
          <cell r="AS1523" t="str">
            <v/>
          </cell>
          <cell r="AT1523" t="str">
            <v/>
          </cell>
          <cell r="AV1523" t="b">
            <v>1</v>
          </cell>
          <cell r="AW1523" t="str">
            <v>minute</v>
          </cell>
        </row>
        <row r="1524">
          <cell r="S1524" t="str">
            <v>INT VGB</v>
          </cell>
          <cell r="T1524" t="str">
            <v>INT</v>
          </cell>
          <cell r="U1524" t="str">
            <v>VGB</v>
          </cell>
          <cell r="V1524" t="str">
            <v/>
          </cell>
          <cell r="X1524">
            <v>0.3352</v>
          </cell>
          <cell r="Y1524">
            <v>0</v>
          </cell>
          <cell r="Z1524">
            <v>0.29149999999999998</v>
          </cell>
          <cell r="AA1524">
            <v>0</v>
          </cell>
          <cell r="AB1524">
            <v>0.2535</v>
          </cell>
          <cell r="AC1524">
            <v>0</v>
          </cell>
          <cell r="AD1524">
            <v>0.22040000000000001</v>
          </cell>
          <cell r="AE1524">
            <v>0</v>
          </cell>
          <cell r="AG1524" t="str">
            <v/>
          </cell>
          <cell r="AH1524" t="str">
            <v/>
          </cell>
          <cell r="AJ1524">
            <v>0.3352</v>
          </cell>
          <cell r="AK1524">
            <v>0</v>
          </cell>
          <cell r="AL1524">
            <v>0.29149999999999998</v>
          </cell>
          <cell r="AM1524">
            <v>0</v>
          </cell>
          <cell r="AN1524">
            <v>0.2535</v>
          </cell>
          <cell r="AO1524">
            <v>0</v>
          </cell>
          <cell r="AP1524">
            <v>0.22040000000000001</v>
          </cell>
          <cell r="AQ1524">
            <v>0</v>
          </cell>
          <cell r="AS1524" t="str">
            <v/>
          </cell>
          <cell r="AT1524" t="str">
            <v/>
          </cell>
          <cell r="AV1524" t="b">
            <v>1</v>
          </cell>
          <cell r="AW1524" t="str">
            <v>minute</v>
          </cell>
        </row>
        <row r="1525">
          <cell r="S1525" t="str">
            <v>INT VIR</v>
          </cell>
          <cell r="T1525" t="str">
            <v>INT</v>
          </cell>
          <cell r="U1525" t="str">
            <v>VIR</v>
          </cell>
          <cell r="V1525" t="str">
            <v/>
          </cell>
          <cell r="X1525">
            <v>0.22059999999999999</v>
          </cell>
          <cell r="Y1525">
            <v>0</v>
          </cell>
          <cell r="Z1525">
            <v>0.1918</v>
          </cell>
          <cell r="AA1525">
            <v>0</v>
          </cell>
          <cell r="AB1525">
            <v>0.1668</v>
          </cell>
          <cell r="AC1525">
            <v>0</v>
          </cell>
          <cell r="AD1525">
            <v>0.14499999999999999</v>
          </cell>
          <cell r="AE1525">
            <v>0</v>
          </cell>
          <cell r="AG1525" t="str">
            <v/>
          </cell>
          <cell r="AH1525" t="str">
            <v/>
          </cell>
          <cell r="AJ1525">
            <v>0.22059999999999999</v>
          </cell>
          <cell r="AK1525">
            <v>0</v>
          </cell>
          <cell r="AL1525">
            <v>0.1918</v>
          </cell>
          <cell r="AM1525">
            <v>0</v>
          </cell>
          <cell r="AN1525">
            <v>0.1668</v>
          </cell>
          <cell r="AO1525">
            <v>0</v>
          </cell>
          <cell r="AP1525">
            <v>0.14499999999999999</v>
          </cell>
          <cell r="AQ1525">
            <v>0</v>
          </cell>
          <cell r="AS1525" t="str">
            <v/>
          </cell>
          <cell r="AT1525" t="str">
            <v/>
          </cell>
          <cell r="AV1525" t="b">
            <v>1</v>
          </cell>
          <cell r="AW1525" t="str">
            <v>minute</v>
          </cell>
        </row>
        <row r="1526">
          <cell r="S1526" t="str">
            <v>INT WLF</v>
          </cell>
          <cell r="T1526" t="str">
            <v>INT</v>
          </cell>
          <cell r="U1526" t="str">
            <v>WLF</v>
          </cell>
          <cell r="V1526" t="str">
            <v/>
          </cell>
          <cell r="X1526">
            <v>0.59789999999999999</v>
          </cell>
          <cell r="Y1526">
            <v>0</v>
          </cell>
          <cell r="Z1526">
            <v>0.51990000000000003</v>
          </cell>
          <cell r="AA1526">
            <v>0</v>
          </cell>
          <cell r="AB1526">
            <v>0.4521</v>
          </cell>
          <cell r="AC1526">
            <v>0</v>
          </cell>
          <cell r="AD1526">
            <v>0.3931</v>
          </cell>
          <cell r="AE1526">
            <v>0</v>
          </cell>
          <cell r="AG1526" t="str">
            <v/>
          </cell>
          <cell r="AH1526" t="str">
            <v/>
          </cell>
          <cell r="AJ1526">
            <v>0.59789999999999999</v>
          </cell>
          <cell r="AK1526">
            <v>0</v>
          </cell>
          <cell r="AL1526">
            <v>0.51990000000000003</v>
          </cell>
          <cell r="AM1526">
            <v>0</v>
          </cell>
          <cell r="AN1526">
            <v>0.4521</v>
          </cell>
          <cell r="AO1526">
            <v>0</v>
          </cell>
          <cell r="AP1526">
            <v>0.3931</v>
          </cell>
          <cell r="AQ1526">
            <v>0</v>
          </cell>
          <cell r="AS1526" t="str">
            <v/>
          </cell>
          <cell r="AT1526" t="str">
            <v/>
          </cell>
          <cell r="AV1526" t="b">
            <v>1</v>
          </cell>
          <cell r="AW1526" t="str">
            <v>minute</v>
          </cell>
        </row>
        <row r="1527">
          <cell r="S1527" t="str">
            <v>INT YEM</v>
          </cell>
          <cell r="T1527" t="str">
            <v>INT</v>
          </cell>
          <cell r="U1527" t="str">
            <v>YEM</v>
          </cell>
          <cell r="V1527" t="str">
            <v/>
          </cell>
          <cell r="X1527">
            <v>0.22059999999999999</v>
          </cell>
          <cell r="Y1527">
            <v>0</v>
          </cell>
          <cell r="Z1527">
            <v>0.1918</v>
          </cell>
          <cell r="AA1527">
            <v>0</v>
          </cell>
          <cell r="AB1527">
            <v>0.1668</v>
          </cell>
          <cell r="AC1527">
            <v>0</v>
          </cell>
          <cell r="AD1527">
            <v>0.14499999999999999</v>
          </cell>
          <cell r="AE1527">
            <v>0</v>
          </cell>
          <cell r="AG1527" t="str">
            <v/>
          </cell>
          <cell r="AH1527" t="str">
            <v/>
          </cell>
          <cell r="AJ1527">
            <v>0.22059999999999999</v>
          </cell>
          <cell r="AK1527">
            <v>0</v>
          </cell>
          <cell r="AL1527">
            <v>0.1918</v>
          </cell>
          <cell r="AM1527">
            <v>0</v>
          </cell>
          <cell r="AN1527">
            <v>0.1668</v>
          </cell>
          <cell r="AO1527">
            <v>0</v>
          </cell>
          <cell r="AP1527">
            <v>0.14499999999999999</v>
          </cell>
          <cell r="AQ1527">
            <v>0</v>
          </cell>
          <cell r="AS1527" t="str">
            <v/>
          </cell>
          <cell r="AT1527" t="str">
            <v/>
          </cell>
          <cell r="AV1527" t="b">
            <v>1</v>
          </cell>
          <cell r="AW1527" t="str">
            <v>minute</v>
          </cell>
        </row>
        <row r="1528">
          <cell r="S1528" t="str">
            <v>INT ZMB ZMBMO</v>
          </cell>
          <cell r="T1528" t="str">
            <v>INT</v>
          </cell>
          <cell r="U1528" t="str">
            <v>ZMB</v>
          </cell>
          <cell r="V1528" t="str">
            <v>ZMBMO</v>
          </cell>
          <cell r="X1528">
            <v>0.36380000000000001</v>
          </cell>
          <cell r="Y1528">
            <v>0</v>
          </cell>
          <cell r="Z1528">
            <v>0.32740000000000002</v>
          </cell>
          <cell r="AA1528">
            <v>0</v>
          </cell>
          <cell r="AB1528">
            <v>0.30919999999999997</v>
          </cell>
          <cell r="AC1528">
            <v>0</v>
          </cell>
          <cell r="AD1528">
            <v>0.29099999999999998</v>
          </cell>
          <cell r="AE1528">
            <v>0</v>
          </cell>
          <cell r="AG1528" t="str">
            <v/>
          </cell>
          <cell r="AH1528" t="str">
            <v/>
          </cell>
          <cell r="AJ1528">
            <v>0.36380000000000001</v>
          </cell>
          <cell r="AK1528">
            <v>0</v>
          </cell>
          <cell r="AL1528">
            <v>0.32740000000000002</v>
          </cell>
          <cell r="AM1528">
            <v>0</v>
          </cell>
          <cell r="AN1528">
            <v>0.30919999999999997</v>
          </cell>
          <cell r="AO1528">
            <v>0</v>
          </cell>
          <cell r="AP1528">
            <v>0.29099999999999998</v>
          </cell>
          <cell r="AQ1528">
            <v>0</v>
          </cell>
          <cell r="AS1528" t="str">
            <v/>
          </cell>
          <cell r="AT1528" t="str">
            <v/>
          </cell>
          <cell r="AV1528" t="b">
            <v>1</v>
          </cell>
          <cell r="AW1528" t="str">
            <v>minute</v>
          </cell>
        </row>
        <row r="1529">
          <cell r="S1529" t="str">
            <v>INT ZMB</v>
          </cell>
          <cell r="T1529" t="str">
            <v>INT</v>
          </cell>
          <cell r="U1529" t="str">
            <v>ZMB</v>
          </cell>
          <cell r="V1529" t="str">
            <v/>
          </cell>
          <cell r="X1529">
            <v>0.11409999999999999</v>
          </cell>
          <cell r="Y1529">
            <v>0</v>
          </cell>
          <cell r="Z1529">
            <v>9.9199999999999997E-2</v>
          </cell>
          <cell r="AA1529">
            <v>0</v>
          </cell>
          <cell r="AB1529">
            <v>8.6300000000000002E-2</v>
          </cell>
          <cell r="AC1529">
            <v>0</v>
          </cell>
          <cell r="AD1529">
            <v>7.4999999999999997E-2</v>
          </cell>
          <cell r="AE1529">
            <v>0</v>
          </cell>
          <cell r="AG1529" t="str">
            <v/>
          </cell>
          <cell r="AH1529" t="str">
            <v/>
          </cell>
          <cell r="AJ1529">
            <v>0.11409999999999999</v>
          </cell>
          <cell r="AK1529">
            <v>0</v>
          </cell>
          <cell r="AL1529">
            <v>9.9199999999999997E-2</v>
          </cell>
          <cell r="AM1529">
            <v>0</v>
          </cell>
          <cell r="AN1529">
            <v>8.6300000000000002E-2</v>
          </cell>
          <cell r="AO1529">
            <v>0</v>
          </cell>
          <cell r="AP1529">
            <v>7.4999999999999997E-2</v>
          </cell>
          <cell r="AQ1529">
            <v>0</v>
          </cell>
          <cell r="AS1529" t="str">
            <v/>
          </cell>
          <cell r="AT1529" t="str">
            <v/>
          </cell>
          <cell r="AV1529" t="b">
            <v>1</v>
          </cell>
          <cell r="AW1529" t="str">
            <v>minute</v>
          </cell>
        </row>
        <row r="1530">
          <cell r="S1530" t="str">
            <v>INT ZWE ZWEMO</v>
          </cell>
          <cell r="T1530" t="str">
            <v>INT</v>
          </cell>
          <cell r="U1530" t="str">
            <v>ZWE</v>
          </cell>
          <cell r="V1530" t="str">
            <v>ZWEMO</v>
          </cell>
          <cell r="X1530">
            <v>0.68610000000000004</v>
          </cell>
          <cell r="Y1530">
            <v>0</v>
          </cell>
          <cell r="Z1530">
            <v>0.59660000000000002</v>
          </cell>
          <cell r="AA1530">
            <v>0</v>
          </cell>
          <cell r="AB1530">
            <v>0.51880000000000004</v>
          </cell>
          <cell r="AC1530">
            <v>0</v>
          </cell>
          <cell r="AD1530">
            <v>0.4511</v>
          </cell>
          <cell r="AE1530">
            <v>0</v>
          </cell>
          <cell r="AG1530" t="str">
            <v/>
          </cell>
          <cell r="AH1530" t="str">
            <v/>
          </cell>
          <cell r="AJ1530">
            <v>0.68610000000000004</v>
          </cell>
          <cell r="AK1530">
            <v>0</v>
          </cell>
          <cell r="AL1530">
            <v>0.59660000000000002</v>
          </cell>
          <cell r="AM1530">
            <v>0</v>
          </cell>
          <cell r="AN1530">
            <v>0.51880000000000004</v>
          </cell>
          <cell r="AO1530">
            <v>0</v>
          </cell>
          <cell r="AP1530">
            <v>0.4511</v>
          </cell>
          <cell r="AQ1530">
            <v>0</v>
          </cell>
          <cell r="AS1530" t="str">
            <v/>
          </cell>
          <cell r="AT1530" t="str">
            <v/>
          </cell>
          <cell r="AV1530" t="b">
            <v>1</v>
          </cell>
          <cell r="AW1530" t="str">
            <v>minute</v>
          </cell>
        </row>
        <row r="1531">
          <cell r="S1531" t="str">
            <v>INT ZWE</v>
          </cell>
          <cell r="T1531" t="str">
            <v>INT</v>
          </cell>
          <cell r="U1531" t="str">
            <v>ZWE</v>
          </cell>
          <cell r="V1531" t="str">
            <v/>
          </cell>
          <cell r="X1531">
            <v>0.13769999999999999</v>
          </cell>
          <cell r="Y1531">
            <v>0</v>
          </cell>
          <cell r="Z1531">
            <v>0.1197</v>
          </cell>
          <cell r="AA1531">
            <v>0</v>
          </cell>
          <cell r="AB1531">
            <v>0.1041</v>
          </cell>
          <cell r="AC1531">
            <v>0</v>
          </cell>
          <cell r="AD1531">
            <v>9.0499999999999997E-2</v>
          </cell>
          <cell r="AE1531">
            <v>0</v>
          </cell>
          <cell r="AG1531" t="str">
            <v/>
          </cell>
          <cell r="AH1531" t="str">
            <v/>
          </cell>
          <cell r="AJ1531">
            <v>0.13769999999999999</v>
          </cell>
          <cell r="AK1531">
            <v>0</v>
          </cell>
          <cell r="AL1531">
            <v>0.1197</v>
          </cell>
          <cell r="AM1531">
            <v>0</v>
          </cell>
          <cell r="AN1531">
            <v>0.1041</v>
          </cell>
          <cell r="AO1531">
            <v>0</v>
          </cell>
          <cell r="AP1531">
            <v>9.0499999999999997E-2</v>
          </cell>
          <cell r="AQ1531">
            <v>0</v>
          </cell>
          <cell r="AS1531" t="str">
            <v/>
          </cell>
          <cell r="AT1531" t="str">
            <v/>
          </cell>
          <cell r="AV1531" t="b">
            <v>1</v>
          </cell>
          <cell r="AW1531" t="str">
            <v>minute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K11">
            <v>1</v>
          </cell>
          <cell r="M11">
            <v>1</v>
          </cell>
        </row>
        <row r="17">
          <cell r="M17">
            <v>1</v>
          </cell>
        </row>
      </sheetData>
      <sheetData sheetId="10" refreshError="1">
        <row r="7">
          <cell r="AH7">
            <v>0</v>
          </cell>
        </row>
      </sheetData>
      <sheetData sheetId="11" refreshError="1">
        <row r="9">
          <cell r="AM9">
            <v>0</v>
          </cell>
        </row>
        <row r="18">
          <cell r="D18" t="str">
            <v/>
          </cell>
          <cell r="G18" t="str">
            <v/>
          </cell>
          <cell r="N18" t="str">
            <v/>
          </cell>
          <cell r="Q18" t="str">
            <v/>
          </cell>
          <cell r="AQ18" t="str">
            <v/>
          </cell>
        </row>
        <row r="19">
          <cell r="D19" t="str">
            <v/>
          </cell>
          <cell r="G19" t="str">
            <v/>
          </cell>
          <cell r="N19" t="str">
            <v/>
          </cell>
          <cell r="Q19" t="str">
            <v/>
          </cell>
          <cell r="AQ19" t="str">
            <v/>
          </cell>
        </row>
        <row r="20">
          <cell r="D20" t="str">
            <v/>
          </cell>
          <cell r="G20" t="str">
            <v/>
          </cell>
          <cell r="N20" t="str">
            <v/>
          </cell>
          <cell r="Q20" t="str">
            <v/>
          </cell>
          <cell r="AQ20" t="str">
            <v/>
          </cell>
        </row>
        <row r="21">
          <cell r="D21" t="str">
            <v/>
          </cell>
          <cell r="G21" t="str">
            <v/>
          </cell>
          <cell r="N21" t="str">
            <v/>
          </cell>
          <cell r="Q21" t="str">
            <v/>
          </cell>
          <cell r="AQ21" t="str">
            <v/>
          </cell>
        </row>
        <row r="22">
          <cell r="D22" t="str">
            <v/>
          </cell>
          <cell r="G22" t="str">
            <v/>
          </cell>
          <cell r="N22" t="str">
            <v/>
          </cell>
          <cell r="Q22" t="str">
            <v/>
          </cell>
          <cell r="AQ22" t="str">
            <v/>
          </cell>
        </row>
        <row r="23">
          <cell r="D23" t="str">
            <v/>
          </cell>
          <cell r="G23" t="str">
            <v/>
          </cell>
          <cell r="N23" t="str">
            <v/>
          </cell>
          <cell r="Q23" t="str">
            <v/>
          </cell>
          <cell r="AQ23" t="str">
            <v/>
          </cell>
        </row>
        <row r="24">
          <cell r="D24" t="str">
            <v/>
          </cell>
          <cell r="G24" t="str">
            <v/>
          </cell>
          <cell r="N24" t="str">
            <v/>
          </cell>
          <cell r="Q24" t="str">
            <v/>
          </cell>
          <cell r="AQ24" t="str">
            <v/>
          </cell>
        </row>
        <row r="25">
          <cell r="D25" t="str">
            <v/>
          </cell>
          <cell r="G25" t="str">
            <v/>
          </cell>
          <cell r="N25" t="str">
            <v/>
          </cell>
          <cell r="Q25" t="str">
            <v/>
          </cell>
          <cell r="AQ25" t="str">
            <v/>
          </cell>
        </row>
        <row r="26">
          <cell r="D26" t="str">
            <v/>
          </cell>
          <cell r="G26" t="str">
            <v/>
          </cell>
          <cell r="N26" t="str">
            <v/>
          </cell>
          <cell r="Q26" t="str">
            <v/>
          </cell>
          <cell r="AQ26" t="str">
            <v/>
          </cell>
        </row>
        <row r="27">
          <cell r="D27" t="str">
            <v/>
          </cell>
          <cell r="G27" t="str">
            <v/>
          </cell>
          <cell r="N27" t="str">
            <v/>
          </cell>
          <cell r="Q27" t="str">
            <v/>
          </cell>
          <cell r="AQ27" t="str">
            <v/>
          </cell>
        </row>
        <row r="28">
          <cell r="D28" t="str">
            <v/>
          </cell>
          <cell r="G28" t="str">
            <v/>
          </cell>
          <cell r="N28" t="str">
            <v/>
          </cell>
          <cell r="Q28" t="str">
            <v/>
          </cell>
          <cell r="AQ28" t="str">
            <v/>
          </cell>
        </row>
        <row r="29">
          <cell r="D29" t="str">
            <v/>
          </cell>
          <cell r="G29" t="str">
            <v/>
          </cell>
          <cell r="N29" t="str">
            <v/>
          </cell>
          <cell r="Q29" t="str">
            <v/>
          </cell>
          <cell r="AQ29" t="str">
            <v/>
          </cell>
        </row>
        <row r="30">
          <cell r="D30" t="str">
            <v/>
          </cell>
          <cell r="G30" t="str">
            <v/>
          </cell>
          <cell r="N30" t="str">
            <v/>
          </cell>
          <cell r="Q30" t="str">
            <v/>
          </cell>
          <cell r="AQ30" t="str">
            <v/>
          </cell>
        </row>
        <row r="31">
          <cell r="D31" t="str">
            <v/>
          </cell>
          <cell r="G31" t="str">
            <v/>
          </cell>
          <cell r="N31" t="str">
            <v/>
          </cell>
          <cell r="Q31" t="str">
            <v/>
          </cell>
          <cell r="AQ31" t="str">
            <v/>
          </cell>
        </row>
        <row r="32">
          <cell r="D32" t="str">
            <v/>
          </cell>
          <cell r="G32" t="str">
            <v/>
          </cell>
          <cell r="N32" t="str">
            <v/>
          </cell>
          <cell r="Q32" t="str">
            <v/>
          </cell>
          <cell r="AQ32" t="str">
            <v/>
          </cell>
        </row>
        <row r="33">
          <cell r="D33" t="str">
            <v/>
          </cell>
          <cell r="G33" t="str">
            <v/>
          </cell>
          <cell r="N33" t="str">
            <v/>
          </cell>
          <cell r="Q33" t="str">
            <v/>
          </cell>
          <cell r="AQ33" t="str">
            <v/>
          </cell>
        </row>
        <row r="34">
          <cell r="D34" t="str">
            <v/>
          </cell>
          <cell r="G34" t="str">
            <v/>
          </cell>
          <cell r="N34" t="str">
            <v/>
          </cell>
          <cell r="Q34" t="str">
            <v/>
          </cell>
          <cell r="AQ34" t="str">
            <v/>
          </cell>
        </row>
        <row r="35">
          <cell r="D35" t="str">
            <v/>
          </cell>
          <cell r="G35" t="str">
            <v/>
          </cell>
          <cell r="N35" t="str">
            <v/>
          </cell>
          <cell r="Q35" t="str">
            <v/>
          </cell>
          <cell r="AQ35" t="str">
            <v/>
          </cell>
        </row>
        <row r="36">
          <cell r="D36" t="str">
            <v/>
          </cell>
          <cell r="G36" t="str">
            <v/>
          </cell>
          <cell r="N36" t="str">
            <v/>
          </cell>
          <cell r="Q36" t="str">
            <v/>
          </cell>
          <cell r="AQ36" t="str">
            <v/>
          </cell>
        </row>
        <row r="37">
          <cell r="D37" t="str">
            <v/>
          </cell>
          <cell r="G37" t="str">
            <v/>
          </cell>
          <cell r="N37" t="str">
            <v/>
          </cell>
          <cell r="Q37" t="str">
            <v/>
          </cell>
          <cell r="AQ37" t="str">
            <v/>
          </cell>
        </row>
        <row r="38">
          <cell r="D38" t="str">
            <v/>
          </cell>
          <cell r="G38" t="str">
            <v/>
          </cell>
          <cell r="N38" t="str">
            <v/>
          </cell>
          <cell r="Q38" t="str">
            <v/>
          </cell>
          <cell r="AQ38" t="str">
            <v/>
          </cell>
        </row>
        <row r="39">
          <cell r="D39" t="str">
            <v/>
          </cell>
          <cell r="G39" t="str">
            <v/>
          </cell>
          <cell r="N39" t="str">
            <v/>
          </cell>
          <cell r="Q39" t="str">
            <v/>
          </cell>
          <cell r="AQ39" t="str">
            <v/>
          </cell>
        </row>
        <row r="40">
          <cell r="D40" t="str">
            <v/>
          </cell>
          <cell r="G40" t="str">
            <v/>
          </cell>
          <cell r="N40" t="str">
            <v/>
          </cell>
          <cell r="Q40" t="str">
            <v/>
          </cell>
          <cell r="AQ40" t="str">
            <v/>
          </cell>
        </row>
        <row r="41">
          <cell r="D41" t="str">
            <v/>
          </cell>
          <cell r="G41" t="str">
            <v/>
          </cell>
          <cell r="N41" t="str">
            <v/>
          </cell>
          <cell r="Q41" t="str">
            <v/>
          </cell>
          <cell r="AQ41" t="str">
            <v/>
          </cell>
        </row>
        <row r="42">
          <cell r="D42" t="str">
            <v/>
          </cell>
          <cell r="G42" t="str">
            <v/>
          </cell>
          <cell r="N42" t="str">
            <v/>
          </cell>
          <cell r="Q42" t="str">
            <v/>
          </cell>
          <cell r="AQ42" t="str">
            <v/>
          </cell>
        </row>
        <row r="43">
          <cell r="D43" t="str">
            <v/>
          </cell>
          <cell r="G43" t="str">
            <v/>
          </cell>
          <cell r="N43" t="str">
            <v/>
          </cell>
          <cell r="Q43" t="str">
            <v/>
          </cell>
          <cell r="AQ43" t="str">
            <v/>
          </cell>
        </row>
        <row r="44">
          <cell r="D44" t="str">
            <v/>
          </cell>
          <cell r="G44" t="str">
            <v/>
          </cell>
          <cell r="N44" t="str">
            <v/>
          </cell>
          <cell r="Q44" t="str">
            <v/>
          </cell>
          <cell r="AQ44" t="str">
            <v/>
          </cell>
        </row>
        <row r="45">
          <cell r="D45" t="str">
            <v/>
          </cell>
          <cell r="G45" t="str">
            <v/>
          </cell>
          <cell r="N45" t="str">
            <v/>
          </cell>
          <cell r="Q45" t="str">
            <v/>
          </cell>
          <cell r="AQ45" t="str">
            <v/>
          </cell>
        </row>
        <row r="46">
          <cell r="D46" t="str">
            <v/>
          </cell>
          <cell r="G46" t="str">
            <v/>
          </cell>
          <cell r="N46" t="str">
            <v/>
          </cell>
          <cell r="Q46" t="str">
            <v/>
          </cell>
          <cell r="AQ46" t="str">
            <v/>
          </cell>
        </row>
        <row r="47">
          <cell r="D47" t="str">
            <v/>
          </cell>
          <cell r="G47" t="str">
            <v/>
          </cell>
          <cell r="N47" t="str">
            <v/>
          </cell>
          <cell r="Q47" t="str">
            <v/>
          </cell>
          <cell r="AQ47" t="str">
            <v/>
          </cell>
        </row>
        <row r="48">
          <cell r="D48" t="str">
            <v/>
          </cell>
          <cell r="G48" t="str">
            <v/>
          </cell>
          <cell r="N48" t="str">
            <v/>
          </cell>
          <cell r="Q48" t="str">
            <v/>
          </cell>
          <cell r="AQ48" t="str">
            <v/>
          </cell>
        </row>
        <row r="49">
          <cell r="D49" t="str">
            <v/>
          </cell>
          <cell r="G49" t="str">
            <v/>
          </cell>
          <cell r="N49" t="str">
            <v/>
          </cell>
          <cell r="Q49" t="str">
            <v/>
          </cell>
          <cell r="AQ49" t="str">
            <v/>
          </cell>
        </row>
        <row r="50">
          <cell r="D50" t="str">
            <v/>
          </cell>
          <cell r="G50" t="str">
            <v/>
          </cell>
          <cell r="N50" t="str">
            <v/>
          </cell>
          <cell r="Q50" t="str">
            <v/>
          </cell>
          <cell r="AQ50" t="str">
            <v/>
          </cell>
        </row>
        <row r="51">
          <cell r="D51" t="str">
            <v/>
          </cell>
          <cell r="G51" t="str">
            <v/>
          </cell>
          <cell r="N51" t="str">
            <v/>
          </cell>
          <cell r="Q51" t="str">
            <v/>
          </cell>
          <cell r="AQ51" t="str">
            <v/>
          </cell>
        </row>
        <row r="52">
          <cell r="D52" t="str">
            <v/>
          </cell>
          <cell r="G52" t="str">
            <v/>
          </cell>
          <cell r="N52" t="str">
            <v/>
          </cell>
          <cell r="Q52" t="str">
            <v/>
          </cell>
          <cell r="AQ52" t="str">
            <v/>
          </cell>
        </row>
        <row r="53">
          <cell r="D53" t="str">
            <v/>
          </cell>
          <cell r="G53" t="str">
            <v/>
          </cell>
          <cell r="N53" t="str">
            <v/>
          </cell>
          <cell r="Q53" t="str">
            <v/>
          </cell>
          <cell r="AQ53" t="str">
            <v/>
          </cell>
        </row>
        <row r="54">
          <cell r="D54" t="str">
            <v/>
          </cell>
          <cell r="G54" t="str">
            <v/>
          </cell>
          <cell r="N54" t="str">
            <v/>
          </cell>
          <cell r="Q54" t="str">
            <v/>
          </cell>
          <cell r="AQ54" t="str">
            <v/>
          </cell>
        </row>
        <row r="55">
          <cell r="D55" t="str">
            <v/>
          </cell>
          <cell r="G55" t="str">
            <v/>
          </cell>
          <cell r="N55" t="str">
            <v/>
          </cell>
          <cell r="Q55" t="str">
            <v/>
          </cell>
          <cell r="AQ55" t="str">
            <v/>
          </cell>
        </row>
        <row r="56">
          <cell r="D56" t="str">
            <v/>
          </cell>
          <cell r="G56" t="str">
            <v/>
          </cell>
          <cell r="N56" t="str">
            <v/>
          </cell>
          <cell r="Q56" t="str">
            <v/>
          </cell>
          <cell r="AQ56" t="str">
            <v/>
          </cell>
        </row>
        <row r="57">
          <cell r="D57" t="str">
            <v/>
          </cell>
          <cell r="G57" t="str">
            <v/>
          </cell>
          <cell r="N57" t="str">
            <v/>
          </cell>
          <cell r="Q57" t="str">
            <v/>
          </cell>
          <cell r="AQ57" t="str">
            <v/>
          </cell>
        </row>
        <row r="58">
          <cell r="D58" t="str">
            <v/>
          </cell>
          <cell r="G58" t="str">
            <v/>
          </cell>
          <cell r="N58" t="str">
            <v/>
          </cell>
          <cell r="Q58" t="str">
            <v/>
          </cell>
          <cell r="AQ58" t="str">
            <v/>
          </cell>
        </row>
        <row r="59">
          <cell r="D59" t="str">
            <v/>
          </cell>
          <cell r="G59" t="str">
            <v/>
          </cell>
          <cell r="N59" t="str">
            <v/>
          </cell>
          <cell r="Q59" t="str">
            <v/>
          </cell>
          <cell r="AQ59" t="str">
            <v/>
          </cell>
        </row>
        <row r="60">
          <cell r="D60" t="str">
            <v/>
          </cell>
          <cell r="G60" t="str">
            <v/>
          </cell>
          <cell r="N60" t="str">
            <v/>
          </cell>
          <cell r="Q60" t="str">
            <v/>
          </cell>
          <cell r="AQ60" t="str">
            <v/>
          </cell>
        </row>
        <row r="61">
          <cell r="D61" t="str">
            <v/>
          </cell>
          <cell r="G61" t="str">
            <v/>
          </cell>
          <cell r="N61" t="str">
            <v/>
          </cell>
          <cell r="Q61" t="str">
            <v/>
          </cell>
          <cell r="AQ61" t="str">
            <v/>
          </cell>
        </row>
        <row r="62">
          <cell r="D62" t="str">
            <v/>
          </cell>
          <cell r="G62" t="str">
            <v/>
          </cell>
          <cell r="N62" t="str">
            <v/>
          </cell>
          <cell r="Q62" t="str">
            <v/>
          </cell>
          <cell r="AQ62" t="str">
            <v/>
          </cell>
        </row>
        <row r="63">
          <cell r="D63" t="str">
            <v/>
          </cell>
          <cell r="G63" t="str">
            <v/>
          </cell>
          <cell r="N63" t="str">
            <v/>
          </cell>
          <cell r="Q63" t="str">
            <v/>
          </cell>
          <cell r="AQ63" t="str">
            <v/>
          </cell>
        </row>
        <row r="64">
          <cell r="D64" t="str">
            <v/>
          </cell>
          <cell r="G64" t="str">
            <v/>
          </cell>
          <cell r="N64" t="str">
            <v/>
          </cell>
          <cell r="Q64" t="str">
            <v/>
          </cell>
          <cell r="AQ64" t="str">
            <v/>
          </cell>
        </row>
        <row r="65">
          <cell r="D65" t="str">
            <v/>
          </cell>
          <cell r="G65" t="str">
            <v/>
          </cell>
          <cell r="N65" t="str">
            <v/>
          </cell>
          <cell r="Q65" t="str">
            <v/>
          </cell>
          <cell r="AQ65" t="str">
            <v/>
          </cell>
        </row>
        <row r="66">
          <cell r="D66" t="str">
            <v/>
          </cell>
          <cell r="G66" t="str">
            <v/>
          </cell>
          <cell r="N66" t="str">
            <v/>
          </cell>
          <cell r="Q66" t="str">
            <v/>
          </cell>
          <cell r="AQ66" t="str">
            <v/>
          </cell>
        </row>
        <row r="67">
          <cell r="D67" t="str">
            <v/>
          </cell>
          <cell r="G67" t="str">
            <v/>
          </cell>
          <cell r="N67" t="str">
            <v/>
          </cell>
          <cell r="Q67" t="str">
            <v/>
          </cell>
          <cell r="AQ67" t="str">
            <v/>
          </cell>
        </row>
        <row r="68">
          <cell r="D68" t="str">
            <v/>
          </cell>
          <cell r="G68" t="str">
            <v/>
          </cell>
          <cell r="N68" t="str">
            <v/>
          </cell>
          <cell r="Q68" t="str">
            <v/>
          </cell>
          <cell r="AQ68" t="str">
            <v/>
          </cell>
        </row>
        <row r="69">
          <cell r="D69" t="str">
            <v/>
          </cell>
          <cell r="G69" t="str">
            <v/>
          </cell>
          <cell r="N69" t="str">
            <v/>
          </cell>
          <cell r="Q69" t="str">
            <v/>
          </cell>
          <cell r="AQ69" t="str">
            <v/>
          </cell>
        </row>
        <row r="70">
          <cell r="D70" t="str">
            <v/>
          </cell>
          <cell r="G70" t="str">
            <v/>
          </cell>
          <cell r="N70" t="str">
            <v/>
          </cell>
          <cell r="Q70" t="str">
            <v/>
          </cell>
          <cell r="AQ70" t="str">
            <v/>
          </cell>
        </row>
        <row r="71">
          <cell r="D71" t="str">
            <v/>
          </cell>
          <cell r="G71" t="str">
            <v/>
          </cell>
          <cell r="N71" t="str">
            <v/>
          </cell>
          <cell r="Q71" t="str">
            <v/>
          </cell>
          <cell r="AQ71" t="str">
            <v/>
          </cell>
        </row>
        <row r="72">
          <cell r="D72" t="str">
            <v/>
          </cell>
          <cell r="G72" t="str">
            <v/>
          </cell>
          <cell r="N72" t="str">
            <v/>
          </cell>
          <cell r="Q72" t="str">
            <v/>
          </cell>
          <cell r="AQ72" t="str">
            <v/>
          </cell>
        </row>
        <row r="73">
          <cell r="D73" t="str">
            <v/>
          </cell>
          <cell r="G73" t="str">
            <v/>
          </cell>
          <cell r="N73" t="str">
            <v/>
          </cell>
          <cell r="Q73" t="str">
            <v/>
          </cell>
          <cell r="AQ73" t="str">
            <v/>
          </cell>
        </row>
        <row r="74">
          <cell r="D74" t="str">
            <v/>
          </cell>
          <cell r="G74" t="str">
            <v/>
          </cell>
          <cell r="N74" t="str">
            <v/>
          </cell>
          <cell r="Q74" t="str">
            <v/>
          </cell>
          <cell r="AQ74" t="str">
            <v/>
          </cell>
        </row>
        <row r="75">
          <cell r="D75" t="str">
            <v/>
          </cell>
          <cell r="G75" t="str">
            <v/>
          </cell>
          <cell r="N75" t="str">
            <v/>
          </cell>
          <cell r="Q75" t="str">
            <v/>
          </cell>
          <cell r="AQ75" t="str">
            <v/>
          </cell>
        </row>
        <row r="76">
          <cell r="D76" t="str">
            <v/>
          </cell>
          <cell r="G76" t="str">
            <v/>
          </cell>
          <cell r="N76" t="str">
            <v/>
          </cell>
          <cell r="Q76" t="str">
            <v/>
          </cell>
          <cell r="AQ76" t="str">
            <v/>
          </cell>
        </row>
        <row r="77">
          <cell r="D77" t="str">
            <v/>
          </cell>
          <cell r="G77" t="str">
            <v/>
          </cell>
          <cell r="N77" t="str">
            <v/>
          </cell>
          <cell r="Q77" t="str">
            <v/>
          </cell>
          <cell r="AQ77" t="str">
            <v/>
          </cell>
        </row>
        <row r="78">
          <cell r="D78" t="str">
            <v/>
          </cell>
          <cell r="G78" t="str">
            <v/>
          </cell>
          <cell r="N78" t="str">
            <v/>
          </cell>
          <cell r="Q78" t="str">
            <v/>
          </cell>
          <cell r="AQ78" t="str">
            <v/>
          </cell>
        </row>
        <row r="79">
          <cell r="D79" t="str">
            <v/>
          </cell>
          <cell r="G79" t="str">
            <v/>
          </cell>
          <cell r="N79" t="str">
            <v/>
          </cell>
          <cell r="Q79" t="str">
            <v/>
          </cell>
          <cell r="AQ79" t="str">
            <v/>
          </cell>
        </row>
        <row r="80">
          <cell r="D80" t="str">
            <v/>
          </cell>
          <cell r="G80" t="str">
            <v/>
          </cell>
          <cell r="N80" t="str">
            <v/>
          </cell>
          <cell r="Q80" t="str">
            <v/>
          </cell>
          <cell r="AQ80" t="str">
            <v/>
          </cell>
        </row>
        <row r="81">
          <cell r="D81" t="str">
            <v/>
          </cell>
          <cell r="G81" t="str">
            <v/>
          </cell>
          <cell r="N81" t="str">
            <v/>
          </cell>
          <cell r="Q81" t="str">
            <v/>
          </cell>
          <cell r="AQ81" t="str">
            <v/>
          </cell>
        </row>
        <row r="82">
          <cell r="D82" t="str">
            <v/>
          </cell>
          <cell r="G82" t="str">
            <v/>
          </cell>
          <cell r="N82" t="str">
            <v/>
          </cell>
          <cell r="Q82" t="str">
            <v/>
          </cell>
          <cell r="AQ82" t="str">
            <v/>
          </cell>
        </row>
        <row r="83">
          <cell r="D83" t="str">
            <v/>
          </cell>
          <cell r="G83" t="str">
            <v/>
          </cell>
          <cell r="N83" t="str">
            <v/>
          </cell>
          <cell r="Q83" t="str">
            <v/>
          </cell>
          <cell r="AQ83" t="str">
            <v/>
          </cell>
        </row>
        <row r="84">
          <cell r="D84" t="str">
            <v/>
          </cell>
          <cell r="G84" t="str">
            <v/>
          </cell>
          <cell r="N84" t="str">
            <v/>
          </cell>
          <cell r="Q84" t="str">
            <v/>
          </cell>
          <cell r="AQ84" t="str">
            <v/>
          </cell>
        </row>
        <row r="85">
          <cell r="D85" t="str">
            <v/>
          </cell>
          <cell r="G85" t="str">
            <v/>
          </cell>
          <cell r="N85" t="str">
            <v/>
          </cell>
          <cell r="Q85" t="str">
            <v/>
          </cell>
          <cell r="AQ85" t="str">
            <v/>
          </cell>
        </row>
        <row r="86">
          <cell r="D86" t="str">
            <v/>
          </cell>
          <cell r="G86" t="str">
            <v/>
          </cell>
          <cell r="N86" t="str">
            <v/>
          </cell>
          <cell r="Q86" t="str">
            <v/>
          </cell>
          <cell r="AQ86" t="str">
            <v/>
          </cell>
        </row>
        <row r="87">
          <cell r="D87" t="str">
            <v/>
          </cell>
          <cell r="G87" t="str">
            <v/>
          </cell>
          <cell r="N87" t="str">
            <v/>
          </cell>
          <cell r="Q87" t="str">
            <v/>
          </cell>
          <cell r="AQ87" t="str">
            <v/>
          </cell>
        </row>
        <row r="88">
          <cell r="D88" t="str">
            <v/>
          </cell>
          <cell r="G88" t="str">
            <v/>
          </cell>
          <cell r="N88" t="str">
            <v/>
          </cell>
          <cell r="Q88" t="str">
            <v/>
          </cell>
          <cell r="AQ88" t="str">
            <v/>
          </cell>
        </row>
        <row r="89">
          <cell r="D89" t="str">
            <v/>
          </cell>
          <cell r="G89" t="str">
            <v/>
          </cell>
          <cell r="N89" t="str">
            <v/>
          </cell>
          <cell r="Q89" t="str">
            <v/>
          </cell>
          <cell r="AQ89" t="str">
            <v/>
          </cell>
        </row>
        <row r="90">
          <cell r="D90" t="str">
            <v/>
          </cell>
          <cell r="G90" t="str">
            <v/>
          </cell>
          <cell r="N90" t="str">
            <v/>
          </cell>
          <cell r="Q90" t="str">
            <v/>
          </cell>
          <cell r="AQ90" t="str">
            <v/>
          </cell>
        </row>
        <row r="91">
          <cell r="D91" t="str">
            <v/>
          </cell>
          <cell r="G91" t="str">
            <v/>
          </cell>
          <cell r="N91" t="str">
            <v/>
          </cell>
          <cell r="Q91" t="str">
            <v/>
          </cell>
          <cell r="AQ91" t="str">
            <v/>
          </cell>
        </row>
        <row r="92">
          <cell r="D92" t="str">
            <v/>
          </cell>
          <cell r="G92" t="str">
            <v/>
          </cell>
          <cell r="N92" t="str">
            <v/>
          </cell>
          <cell r="Q92" t="str">
            <v/>
          </cell>
          <cell r="AQ92" t="str">
            <v/>
          </cell>
        </row>
        <row r="93">
          <cell r="D93" t="str">
            <v/>
          </cell>
          <cell r="G93" t="str">
            <v/>
          </cell>
          <cell r="N93" t="str">
            <v/>
          </cell>
          <cell r="Q93" t="str">
            <v/>
          </cell>
          <cell r="AQ93" t="str">
            <v/>
          </cell>
        </row>
        <row r="94">
          <cell r="D94" t="str">
            <v/>
          </cell>
          <cell r="G94" t="str">
            <v/>
          </cell>
          <cell r="N94" t="str">
            <v/>
          </cell>
          <cell r="Q94" t="str">
            <v/>
          </cell>
          <cell r="AQ94" t="str">
            <v/>
          </cell>
        </row>
        <row r="95">
          <cell r="D95" t="str">
            <v/>
          </cell>
          <cell r="G95" t="str">
            <v/>
          </cell>
          <cell r="N95" t="str">
            <v/>
          </cell>
          <cell r="Q95" t="str">
            <v/>
          </cell>
          <cell r="AQ95" t="str">
            <v/>
          </cell>
        </row>
        <row r="96">
          <cell r="D96" t="str">
            <v/>
          </cell>
          <cell r="G96" t="str">
            <v/>
          </cell>
          <cell r="N96" t="str">
            <v/>
          </cell>
          <cell r="Q96" t="str">
            <v/>
          </cell>
          <cell r="AQ96" t="str">
            <v/>
          </cell>
        </row>
        <row r="97">
          <cell r="D97" t="str">
            <v/>
          </cell>
          <cell r="G97" t="str">
            <v/>
          </cell>
          <cell r="N97" t="str">
            <v/>
          </cell>
          <cell r="Q97" t="str">
            <v/>
          </cell>
          <cell r="AQ97" t="str">
            <v/>
          </cell>
        </row>
        <row r="98">
          <cell r="D98" t="str">
            <v/>
          </cell>
          <cell r="G98" t="str">
            <v/>
          </cell>
          <cell r="N98" t="str">
            <v/>
          </cell>
          <cell r="Q98" t="str">
            <v/>
          </cell>
          <cell r="AQ98" t="str">
            <v/>
          </cell>
        </row>
        <row r="99">
          <cell r="D99" t="str">
            <v/>
          </cell>
          <cell r="G99" t="str">
            <v/>
          </cell>
          <cell r="N99" t="str">
            <v/>
          </cell>
          <cell r="Q99" t="str">
            <v/>
          </cell>
          <cell r="AQ99" t="str">
            <v/>
          </cell>
        </row>
        <row r="100">
          <cell r="D100" t="str">
            <v/>
          </cell>
          <cell r="G100" t="str">
            <v/>
          </cell>
          <cell r="N100" t="str">
            <v/>
          </cell>
          <cell r="Q100" t="str">
            <v/>
          </cell>
          <cell r="AQ100" t="str">
            <v/>
          </cell>
        </row>
        <row r="101">
          <cell r="D101" t="str">
            <v/>
          </cell>
          <cell r="G101" t="str">
            <v/>
          </cell>
          <cell r="N101" t="str">
            <v/>
          </cell>
          <cell r="Q101" t="str">
            <v/>
          </cell>
          <cell r="AQ101" t="str">
            <v/>
          </cell>
        </row>
        <row r="102">
          <cell r="D102" t="str">
            <v/>
          </cell>
          <cell r="G102" t="str">
            <v/>
          </cell>
          <cell r="N102" t="str">
            <v/>
          </cell>
          <cell r="Q102" t="str">
            <v/>
          </cell>
          <cell r="AQ102" t="str">
            <v/>
          </cell>
        </row>
        <row r="103">
          <cell r="D103" t="str">
            <v/>
          </cell>
          <cell r="G103" t="str">
            <v/>
          </cell>
          <cell r="N103" t="str">
            <v/>
          </cell>
          <cell r="Q103" t="str">
            <v/>
          </cell>
          <cell r="AQ103" t="str">
            <v/>
          </cell>
        </row>
        <row r="104">
          <cell r="D104" t="str">
            <v/>
          </cell>
          <cell r="G104" t="str">
            <v/>
          </cell>
          <cell r="N104" t="str">
            <v/>
          </cell>
          <cell r="Q104" t="str">
            <v/>
          </cell>
          <cell r="AQ104" t="str">
            <v/>
          </cell>
        </row>
        <row r="105">
          <cell r="D105" t="str">
            <v/>
          </cell>
          <cell r="G105" t="str">
            <v/>
          </cell>
          <cell r="N105" t="str">
            <v/>
          </cell>
          <cell r="Q105" t="str">
            <v/>
          </cell>
          <cell r="AQ105" t="str">
            <v/>
          </cell>
        </row>
        <row r="106">
          <cell r="D106" t="str">
            <v/>
          </cell>
          <cell r="G106" t="str">
            <v/>
          </cell>
          <cell r="N106" t="str">
            <v/>
          </cell>
          <cell r="Q106" t="str">
            <v/>
          </cell>
          <cell r="AQ106" t="str">
            <v/>
          </cell>
        </row>
        <row r="107">
          <cell r="D107" t="str">
            <v/>
          </cell>
          <cell r="G107" t="str">
            <v/>
          </cell>
          <cell r="N107" t="str">
            <v/>
          </cell>
          <cell r="Q107" t="str">
            <v/>
          </cell>
          <cell r="AQ107" t="str">
            <v/>
          </cell>
        </row>
        <row r="108">
          <cell r="D108" t="str">
            <v/>
          </cell>
          <cell r="G108" t="str">
            <v/>
          </cell>
          <cell r="N108" t="str">
            <v/>
          </cell>
          <cell r="Q108" t="str">
            <v/>
          </cell>
          <cell r="AQ108" t="str">
            <v/>
          </cell>
        </row>
        <row r="109">
          <cell r="D109" t="str">
            <v/>
          </cell>
          <cell r="G109" t="str">
            <v/>
          </cell>
          <cell r="N109" t="str">
            <v/>
          </cell>
          <cell r="Q109" t="str">
            <v/>
          </cell>
          <cell r="AQ109" t="str">
            <v/>
          </cell>
        </row>
        <row r="110">
          <cell r="D110" t="str">
            <v/>
          </cell>
          <cell r="G110" t="str">
            <v/>
          </cell>
          <cell r="N110" t="str">
            <v/>
          </cell>
          <cell r="Q110" t="str">
            <v/>
          </cell>
          <cell r="AQ110" t="str">
            <v/>
          </cell>
        </row>
        <row r="111">
          <cell r="D111" t="str">
            <v/>
          </cell>
          <cell r="G111" t="str">
            <v/>
          </cell>
          <cell r="N111" t="str">
            <v/>
          </cell>
          <cell r="Q111" t="str">
            <v/>
          </cell>
          <cell r="AQ111" t="str">
            <v/>
          </cell>
        </row>
        <row r="112">
          <cell r="D112" t="str">
            <v/>
          </cell>
          <cell r="G112" t="str">
            <v/>
          </cell>
          <cell r="N112" t="str">
            <v/>
          </cell>
          <cell r="Q112" t="str">
            <v/>
          </cell>
          <cell r="AQ112" t="str">
            <v/>
          </cell>
        </row>
        <row r="113">
          <cell r="D113" t="str">
            <v/>
          </cell>
          <cell r="G113" t="str">
            <v/>
          </cell>
          <cell r="N113" t="str">
            <v/>
          </cell>
          <cell r="Q113" t="str">
            <v/>
          </cell>
          <cell r="AQ113" t="str">
            <v/>
          </cell>
        </row>
        <row r="114">
          <cell r="D114" t="str">
            <v/>
          </cell>
          <cell r="G114" t="str">
            <v/>
          </cell>
          <cell r="N114" t="str">
            <v/>
          </cell>
          <cell r="Q114" t="str">
            <v/>
          </cell>
          <cell r="AQ114" t="str">
            <v/>
          </cell>
        </row>
        <row r="115">
          <cell r="D115" t="str">
            <v/>
          </cell>
          <cell r="G115" t="str">
            <v/>
          </cell>
          <cell r="N115" t="str">
            <v/>
          </cell>
          <cell r="Q115" t="str">
            <v/>
          </cell>
          <cell r="AQ115" t="str">
            <v/>
          </cell>
        </row>
        <row r="116">
          <cell r="D116" t="str">
            <v/>
          </cell>
          <cell r="G116" t="str">
            <v/>
          </cell>
          <cell r="N116" t="str">
            <v/>
          </cell>
          <cell r="Q116" t="str">
            <v/>
          </cell>
          <cell r="AQ116" t="str">
            <v/>
          </cell>
        </row>
        <row r="117">
          <cell r="D117" t="str">
            <v/>
          </cell>
          <cell r="G117" t="str">
            <v/>
          </cell>
          <cell r="N117" t="str">
            <v/>
          </cell>
          <cell r="Q117" t="str">
            <v/>
          </cell>
          <cell r="AQ117" t="str">
            <v/>
          </cell>
        </row>
        <row r="118">
          <cell r="D118" t="str">
            <v/>
          </cell>
          <cell r="G118" t="str">
            <v/>
          </cell>
          <cell r="N118" t="str">
            <v/>
          </cell>
          <cell r="Q118" t="str">
            <v/>
          </cell>
          <cell r="AQ118" t="str">
            <v/>
          </cell>
        </row>
        <row r="119">
          <cell r="D119" t="str">
            <v/>
          </cell>
          <cell r="G119" t="str">
            <v/>
          </cell>
          <cell r="N119" t="str">
            <v/>
          </cell>
          <cell r="Q119" t="str">
            <v/>
          </cell>
          <cell r="AQ119" t="str">
            <v/>
          </cell>
        </row>
        <row r="120">
          <cell r="D120" t="str">
            <v/>
          </cell>
          <cell r="G120" t="str">
            <v/>
          </cell>
          <cell r="N120" t="str">
            <v/>
          </cell>
          <cell r="Q120" t="str">
            <v/>
          </cell>
          <cell r="AQ120" t="str">
            <v/>
          </cell>
        </row>
        <row r="121">
          <cell r="D121" t="str">
            <v/>
          </cell>
          <cell r="G121" t="str">
            <v/>
          </cell>
          <cell r="N121" t="str">
            <v/>
          </cell>
          <cell r="Q121" t="str">
            <v/>
          </cell>
          <cell r="AQ121" t="str">
            <v/>
          </cell>
        </row>
        <row r="122">
          <cell r="D122" t="str">
            <v/>
          </cell>
          <cell r="G122" t="str">
            <v/>
          </cell>
          <cell r="N122" t="str">
            <v/>
          </cell>
          <cell r="Q122" t="str">
            <v/>
          </cell>
          <cell r="AQ122" t="str">
            <v/>
          </cell>
        </row>
        <row r="123">
          <cell r="D123" t="str">
            <v/>
          </cell>
          <cell r="G123" t="str">
            <v/>
          </cell>
          <cell r="N123" t="str">
            <v/>
          </cell>
          <cell r="Q123" t="str">
            <v/>
          </cell>
          <cell r="AQ123" t="str">
            <v/>
          </cell>
        </row>
        <row r="124">
          <cell r="D124" t="str">
            <v/>
          </cell>
          <cell r="G124" t="str">
            <v/>
          </cell>
          <cell r="N124" t="str">
            <v/>
          </cell>
          <cell r="Q124" t="str">
            <v/>
          </cell>
          <cell r="AQ124" t="str">
            <v/>
          </cell>
        </row>
        <row r="125">
          <cell r="D125" t="str">
            <v/>
          </cell>
          <cell r="G125" t="str">
            <v/>
          </cell>
          <cell r="N125" t="str">
            <v/>
          </cell>
          <cell r="Q125" t="str">
            <v/>
          </cell>
          <cell r="AQ125" t="str">
            <v/>
          </cell>
        </row>
        <row r="126">
          <cell r="D126" t="str">
            <v/>
          </cell>
          <cell r="G126" t="str">
            <v/>
          </cell>
          <cell r="N126" t="str">
            <v/>
          </cell>
          <cell r="Q126" t="str">
            <v/>
          </cell>
          <cell r="AQ126" t="str">
            <v/>
          </cell>
        </row>
        <row r="127">
          <cell r="D127" t="str">
            <v/>
          </cell>
          <cell r="G127" t="str">
            <v/>
          </cell>
          <cell r="N127" t="str">
            <v/>
          </cell>
          <cell r="Q127" t="str">
            <v/>
          </cell>
          <cell r="AQ127" t="str">
            <v/>
          </cell>
        </row>
        <row r="128">
          <cell r="D128" t="str">
            <v/>
          </cell>
          <cell r="G128" t="str">
            <v/>
          </cell>
          <cell r="N128" t="str">
            <v/>
          </cell>
          <cell r="Q128" t="str">
            <v/>
          </cell>
          <cell r="AQ128" t="str">
            <v/>
          </cell>
        </row>
        <row r="129">
          <cell r="D129" t="str">
            <v/>
          </cell>
          <cell r="G129" t="str">
            <v/>
          </cell>
          <cell r="N129" t="str">
            <v/>
          </cell>
          <cell r="Q129" t="str">
            <v/>
          </cell>
          <cell r="AQ129" t="str">
            <v/>
          </cell>
        </row>
        <row r="130">
          <cell r="D130" t="str">
            <v/>
          </cell>
          <cell r="G130" t="str">
            <v/>
          </cell>
          <cell r="N130" t="str">
            <v/>
          </cell>
          <cell r="Q130" t="str">
            <v/>
          </cell>
          <cell r="AQ130" t="str">
            <v/>
          </cell>
        </row>
        <row r="131">
          <cell r="D131" t="str">
            <v/>
          </cell>
          <cell r="G131" t="str">
            <v/>
          </cell>
          <cell r="N131" t="str">
            <v/>
          </cell>
          <cell r="Q131" t="str">
            <v/>
          </cell>
          <cell r="AQ131" t="str">
            <v/>
          </cell>
        </row>
        <row r="132">
          <cell r="D132" t="str">
            <v/>
          </cell>
          <cell r="G132" t="str">
            <v/>
          </cell>
          <cell r="N132" t="str">
            <v/>
          </cell>
          <cell r="Q132" t="str">
            <v/>
          </cell>
          <cell r="AQ132" t="str">
            <v/>
          </cell>
        </row>
        <row r="133">
          <cell r="D133" t="str">
            <v/>
          </cell>
          <cell r="G133" t="str">
            <v/>
          </cell>
          <cell r="N133" t="str">
            <v/>
          </cell>
          <cell r="Q133" t="str">
            <v/>
          </cell>
          <cell r="AQ133" t="str">
            <v/>
          </cell>
        </row>
        <row r="134">
          <cell r="D134" t="str">
            <v/>
          </cell>
          <cell r="G134" t="str">
            <v/>
          </cell>
          <cell r="N134" t="str">
            <v/>
          </cell>
          <cell r="Q134" t="str">
            <v/>
          </cell>
          <cell r="AQ134" t="str">
            <v/>
          </cell>
        </row>
        <row r="135">
          <cell r="D135" t="str">
            <v/>
          </cell>
          <cell r="G135" t="str">
            <v/>
          </cell>
          <cell r="N135" t="str">
            <v/>
          </cell>
          <cell r="Q135" t="str">
            <v/>
          </cell>
          <cell r="AQ135" t="str">
            <v/>
          </cell>
        </row>
        <row r="136">
          <cell r="D136" t="str">
            <v/>
          </cell>
          <cell r="G136" t="str">
            <v/>
          </cell>
          <cell r="N136" t="str">
            <v/>
          </cell>
          <cell r="Q136" t="str">
            <v/>
          </cell>
          <cell r="AQ136" t="str">
            <v/>
          </cell>
        </row>
        <row r="137">
          <cell r="D137" t="str">
            <v/>
          </cell>
          <cell r="G137" t="str">
            <v/>
          </cell>
          <cell r="N137" t="str">
            <v/>
          </cell>
          <cell r="Q137" t="str">
            <v/>
          </cell>
          <cell r="AQ137" t="str">
            <v/>
          </cell>
        </row>
        <row r="138">
          <cell r="N138" t="str">
            <v/>
          </cell>
          <cell r="Q138" t="str">
            <v/>
          </cell>
          <cell r="AQ138" t="str">
            <v/>
          </cell>
        </row>
        <row r="139">
          <cell r="N139" t="str">
            <v/>
          </cell>
          <cell r="Q139" t="str">
            <v/>
          </cell>
          <cell r="AQ139" t="str">
            <v/>
          </cell>
        </row>
        <row r="140">
          <cell r="N140" t="str">
            <v/>
          </cell>
          <cell r="Q140" t="str">
            <v/>
          </cell>
          <cell r="AQ140" t="str">
            <v/>
          </cell>
        </row>
        <row r="141">
          <cell r="N141" t="str">
            <v/>
          </cell>
          <cell r="Q141" t="str">
            <v/>
          </cell>
          <cell r="AQ141" t="str">
            <v/>
          </cell>
        </row>
        <row r="142">
          <cell r="N142" t="str">
            <v/>
          </cell>
          <cell r="Q142" t="str">
            <v/>
          </cell>
          <cell r="AQ142" t="str">
            <v/>
          </cell>
        </row>
        <row r="143">
          <cell r="N143" t="str">
            <v/>
          </cell>
          <cell r="Q143" t="str">
            <v/>
          </cell>
          <cell r="AQ143" t="str">
            <v/>
          </cell>
        </row>
        <row r="144">
          <cell r="N144" t="str">
            <v/>
          </cell>
          <cell r="Q144" t="str">
            <v/>
          </cell>
          <cell r="AQ144" t="str">
            <v/>
          </cell>
        </row>
        <row r="145">
          <cell r="N145" t="str">
            <v/>
          </cell>
          <cell r="Q145" t="str">
            <v/>
          </cell>
          <cell r="AQ145" t="str">
            <v/>
          </cell>
        </row>
        <row r="146">
          <cell r="N146" t="str">
            <v/>
          </cell>
          <cell r="Q146" t="str">
            <v/>
          </cell>
          <cell r="AQ146" t="str">
            <v/>
          </cell>
        </row>
        <row r="147">
          <cell r="N147" t="str">
            <v/>
          </cell>
          <cell r="Q147" t="str">
            <v/>
          </cell>
          <cell r="AQ147" t="str">
            <v/>
          </cell>
        </row>
        <row r="148">
          <cell r="N148" t="str">
            <v/>
          </cell>
          <cell r="Q148" t="str">
            <v/>
          </cell>
          <cell r="AQ148" t="str">
            <v/>
          </cell>
        </row>
        <row r="149">
          <cell r="N149" t="str">
            <v/>
          </cell>
          <cell r="Q149" t="str">
            <v/>
          </cell>
          <cell r="AQ149" t="str">
            <v/>
          </cell>
        </row>
        <row r="150">
          <cell r="N150" t="str">
            <v/>
          </cell>
          <cell r="Q150" t="str">
            <v/>
          </cell>
          <cell r="AQ150" t="str">
            <v/>
          </cell>
        </row>
        <row r="151">
          <cell r="N151" t="str">
            <v/>
          </cell>
          <cell r="Q151" t="str">
            <v/>
          </cell>
          <cell r="AQ151" t="str">
            <v/>
          </cell>
        </row>
        <row r="152">
          <cell r="N152" t="str">
            <v/>
          </cell>
          <cell r="Q152" t="str">
            <v/>
          </cell>
          <cell r="AQ152" t="str">
            <v/>
          </cell>
        </row>
        <row r="153">
          <cell r="N153" t="str">
            <v/>
          </cell>
          <cell r="Q153" t="str">
            <v/>
          </cell>
          <cell r="AQ153" t="str">
            <v/>
          </cell>
        </row>
        <row r="154">
          <cell r="N154" t="str">
            <v/>
          </cell>
          <cell r="Q154" t="str">
            <v/>
          </cell>
          <cell r="AQ154" t="str">
            <v/>
          </cell>
        </row>
        <row r="155">
          <cell r="N155" t="str">
            <v/>
          </cell>
          <cell r="Q155" t="str">
            <v/>
          </cell>
          <cell r="AQ155" t="str">
            <v/>
          </cell>
        </row>
        <row r="156">
          <cell r="N156" t="str">
            <v/>
          </cell>
          <cell r="Q156" t="str">
            <v/>
          </cell>
          <cell r="AQ156" t="str">
            <v/>
          </cell>
        </row>
        <row r="157">
          <cell r="N157" t="str">
            <v/>
          </cell>
          <cell r="Q157" t="str">
            <v/>
          </cell>
          <cell r="AQ157" t="str">
            <v/>
          </cell>
        </row>
        <row r="158">
          <cell r="N158" t="str">
            <v/>
          </cell>
          <cell r="Q158" t="str">
            <v/>
          </cell>
          <cell r="AQ158" t="str">
            <v/>
          </cell>
        </row>
        <row r="159">
          <cell r="N159" t="str">
            <v/>
          </cell>
          <cell r="Q159" t="str">
            <v/>
          </cell>
          <cell r="AQ159" t="str">
            <v/>
          </cell>
        </row>
        <row r="160">
          <cell r="N160" t="str">
            <v/>
          </cell>
          <cell r="Q160" t="str">
            <v/>
          </cell>
          <cell r="AQ160" t="str">
            <v/>
          </cell>
        </row>
        <row r="161">
          <cell r="N161" t="str">
            <v/>
          </cell>
          <cell r="Q161" t="str">
            <v/>
          </cell>
          <cell r="AQ161" t="str">
            <v/>
          </cell>
        </row>
        <row r="162">
          <cell r="N162" t="str">
            <v/>
          </cell>
          <cell r="Q162" t="str">
            <v/>
          </cell>
          <cell r="AQ162" t="str">
            <v/>
          </cell>
        </row>
        <row r="163">
          <cell r="N163" t="str">
            <v/>
          </cell>
          <cell r="Q163" t="str">
            <v/>
          </cell>
          <cell r="AQ163" t="str">
            <v/>
          </cell>
        </row>
        <row r="164">
          <cell r="N164" t="str">
            <v/>
          </cell>
          <cell r="Q164" t="str">
            <v/>
          </cell>
          <cell r="AQ164" t="str">
            <v/>
          </cell>
        </row>
        <row r="165">
          <cell r="N165" t="str">
            <v/>
          </cell>
          <cell r="Q165" t="str">
            <v/>
          </cell>
          <cell r="AQ165" t="str">
            <v/>
          </cell>
        </row>
        <row r="166">
          <cell r="N166" t="str">
            <v/>
          </cell>
          <cell r="Q166" t="str">
            <v/>
          </cell>
          <cell r="AQ166" t="str">
            <v/>
          </cell>
        </row>
        <row r="167">
          <cell r="N167" t="str">
            <v/>
          </cell>
          <cell r="Q167" t="str">
            <v/>
          </cell>
          <cell r="AQ167" t="str">
            <v/>
          </cell>
        </row>
        <row r="168">
          <cell r="N168" t="str">
            <v/>
          </cell>
          <cell r="Q168" t="str">
            <v/>
          </cell>
          <cell r="AQ168" t="str">
            <v/>
          </cell>
        </row>
        <row r="169">
          <cell r="N169" t="str">
            <v/>
          </cell>
          <cell r="Q169" t="str">
            <v/>
          </cell>
          <cell r="AQ169" t="str">
            <v/>
          </cell>
        </row>
        <row r="170">
          <cell r="N170" t="str">
            <v/>
          </cell>
          <cell r="Q170" t="str">
            <v/>
          </cell>
          <cell r="AQ170" t="str">
            <v/>
          </cell>
        </row>
        <row r="171">
          <cell r="N171" t="str">
            <v/>
          </cell>
          <cell r="Q171" t="str">
            <v/>
          </cell>
          <cell r="AQ171" t="str">
            <v/>
          </cell>
        </row>
        <row r="172">
          <cell r="N172" t="str">
            <v/>
          </cell>
          <cell r="Q172" t="str">
            <v/>
          </cell>
          <cell r="AQ172" t="str">
            <v/>
          </cell>
        </row>
        <row r="173">
          <cell r="N173" t="str">
            <v/>
          </cell>
          <cell r="Q173" t="str">
            <v/>
          </cell>
          <cell r="AQ173" t="str">
            <v/>
          </cell>
        </row>
        <row r="174">
          <cell r="N174" t="str">
            <v/>
          </cell>
          <cell r="Q174" t="str">
            <v/>
          </cell>
          <cell r="AQ174" t="str">
            <v/>
          </cell>
        </row>
        <row r="175">
          <cell r="N175" t="str">
            <v/>
          </cell>
          <cell r="Q175" t="str">
            <v/>
          </cell>
          <cell r="AQ175" t="str">
            <v/>
          </cell>
        </row>
        <row r="176">
          <cell r="N176" t="str">
            <v/>
          </cell>
          <cell r="Q176" t="str">
            <v/>
          </cell>
          <cell r="AQ176" t="str">
            <v/>
          </cell>
        </row>
        <row r="177">
          <cell r="N177" t="str">
            <v/>
          </cell>
          <cell r="Q177" t="str">
            <v/>
          </cell>
          <cell r="AQ177" t="str">
            <v/>
          </cell>
        </row>
        <row r="178">
          <cell r="N178" t="str">
            <v/>
          </cell>
          <cell r="Q178" t="str">
            <v/>
          </cell>
          <cell r="AQ178" t="str">
            <v/>
          </cell>
        </row>
        <row r="179">
          <cell r="N179" t="str">
            <v/>
          </cell>
          <cell r="Q179" t="str">
            <v/>
          </cell>
          <cell r="AQ179" t="str">
            <v/>
          </cell>
        </row>
        <row r="180">
          <cell r="N180" t="str">
            <v/>
          </cell>
          <cell r="Q180" t="str">
            <v/>
          </cell>
          <cell r="AQ180" t="str">
            <v/>
          </cell>
        </row>
        <row r="181">
          <cell r="N181" t="str">
            <v/>
          </cell>
          <cell r="Q181" t="str">
            <v/>
          </cell>
          <cell r="AQ181" t="str">
            <v/>
          </cell>
        </row>
        <row r="182">
          <cell r="N182" t="str">
            <v/>
          </cell>
          <cell r="Q182" t="str">
            <v/>
          </cell>
          <cell r="AQ182" t="str">
            <v/>
          </cell>
        </row>
        <row r="183">
          <cell r="N183" t="str">
            <v/>
          </cell>
          <cell r="Q183" t="str">
            <v/>
          </cell>
          <cell r="AQ183" t="str">
            <v/>
          </cell>
        </row>
        <row r="184">
          <cell r="N184" t="str">
            <v/>
          </cell>
          <cell r="Q184" t="str">
            <v/>
          </cell>
          <cell r="AQ184" t="str">
            <v/>
          </cell>
        </row>
        <row r="185">
          <cell r="N185" t="str">
            <v/>
          </cell>
          <cell r="Q185" t="str">
            <v/>
          </cell>
          <cell r="AQ185" t="str">
            <v/>
          </cell>
        </row>
        <row r="186">
          <cell r="N186" t="str">
            <v/>
          </cell>
          <cell r="Q186" t="str">
            <v/>
          </cell>
          <cell r="AQ186" t="str">
            <v/>
          </cell>
        </row>
        <row r="187">
          <cell r="N187" t="str">
            <v/>
          </cell>
          <cell r="Q187" t="str">
            <v/>
          </cell>
          <cell r="AQ187" t="str">
            <v/>
          </cell>
        </row>
        <row r="188">
          <cell r="N188" t="str">
            <v/>
          </cell>
          <cell r="Q188" t="str">
            <v/>
          </cell>
          <cell r="AQ188" t="str">
            <v/>
          </cell>
        </row>
        <row r="189">
          <cell r="N189" t="str">
            <v/>
          </cell>
          <cell r="Q189" t="str">
            <v/>
          </cell>
          <cell r="AQ189" t="str">
            <v/>
          </cell>
        </row>
        <row r="190">
          <cell r="N190" t="str">
            <v/>
          </cell>
          <cell r="Q190" t="str">
            <v/>
          </cell>
          <cell r="AQ190" t="str">
            <v/>
          </cell>
        </row>
        <row r="191">
          <cell r="N191" t="str">
            <v/>
          </cell>
          <cell r="Q191" t="str">
            <v/>
          </cell>
          <cell r="AQ191" t="str">
            <v/>
          </cell>
        </row>
        <row r="192">
          <cell r="N192" t="str">
            <v/>
          </cell>
          <cell r="Q192" t="str">
            <v/>
          </cell>
          <cell r="AQ192" t="str">
            <v/>
          </cell>
        </row>
        <row r="193">
          <cell r="N193" t="str">
            <v/>
          </cell>
          <cell r="Q193" t="str">
            <v/>
          </cell>
          <cell r="AQ193" t="str">
            <v/>
          </cell>
        </row>
        <row r="194">
          <cell r="N194" t="str">
            <v/>
          </cell>
          <cell r="Q194" t="str">
            <v/>
          </cell>
          <cell r="AQ194" t="str">
            <v/>
          </cell>
        </row>
        <row r="195">
          <cell r="N195" t="str">
            <v/>
          </cell>
          <cell r="Q195" t="str">
            <v/>
          </cell>
          <cell r="AQ195" t="str">
            <v/>
          </cell>
        </row>
        <row r="196">
          <cell r="N196" t="str">
            <v/>
          </cell>
          <cell r="Q196" t="str">
            <v/>
          </cell>
          <cell r="AQ196" t="str">
            <v/>
          </cell>
        </row>
        <row r="197">
          <cell r="N197" t="str">
            <v/>
          </cell>
          <cell r="Q197" t="str">
            <v/>
          </cell>
          <cell r="AQ197" t="str">
            <v/>
          </cell>
        </row>
        <row r="198">
          <cell r="N198" t="str">
            <v/>
          </cell>
          <cell r="Q198" t="str">
            <v/>
          </cell>
          <cell r="AQ198" t="str">
            <v/>
          </cell>
        </row>
        <row r="199">
          <cell r="N199" t="str">
            <v/>
          </cell>
          <cell r="Q199" t="str">
            <v/>
          </cell>
          <cell r="AQ199" t="str">
            <v/>
          </cell>
        </row>
        <row r="200">
          <cell r="N200" t="str">
            <v/>
          </cell>
          <cell r="Q200" t="str">
            <v/>
          </cell>
          <cell r="AQ200" t="str">
            <v/>
          </cell>
        </row>
        <row r="201">
          <cell r="N201" t="str">
            <v/>
          </cell>
          <cell r="Q201" t="str">
            <v/>
          </cell>
          <cell r="AQ201" t="str">
            <v/>
          </cell>
        </row>
        <row r="202">
          <cell r="N202" t="str">
            <v/>
          </cell>
          <cell r="Q202" t="str">
            <v/>
          </cell>
          <cell r="AQ202" t="str">
            <v/>
          </cell>
        </row>
        <row r="203">
          <cell r="N203" t="str">
            <v/>
          </cell>
          <cell r="Q203" t="str">
            <v/>
          </cell>
          <cell r="AQ203" t="str">
            <v/>
          </cell>
        </row>
        <row r="204">
          <cell r="N204" t="str">
            <v/>
          </cell>
          <cell r="Q204" t="str">
            <v/>
          </cell>
          <cell r="AQ204" t="str">
            <v/>
          </cell>
        </row>
        <row r="205">
          <cell r="N205" t="str">
            <v/>
          </cell>
          <cell r="Q205" t="str">
            <v/>
          </cell>
          <cell r="AQ205" t="str">
            <v/>
          </cell>
        </row>
        <row r="206">
          <cell r="N206" t="str">
            <v/>
          </cell>
          <cell r="Q206" t="str">
            <v/>
          </cell>
          <cell r="AQ206" t="str">
            <v/>
          </cell>
        </row>
        <row r="207">
          <cell r="N207" t="str">
            <v/>
          </cell>
          <cell r="Q207" t="str">
            <v/>
          </cell>
          <cell r="AQ207" t="str">
            <v/>
          </cell>
        </row>
        <row r="208">
          <cell r="N208" t="str">
            <v/>
          </cell>
          <cell r="Q208" t="str">
            <v/>
          </cell>
          <cell r="AQ208" t="str">
            <v/>
          </cell>
        </row>
        <row r="209">
          <cell r="N209" t="str">
            <v/>
          </cell>
          <cell r="Q209" t="str">
            <v/>
          </cell>
          <cell r="AQ209" t="str">
            <v/>
          </cell>
        </row>
        <row r="210">
          <cell r="N210" t="str">
            <v/>
          </cell>
          <cell r="Q210" t="str">
            <v/>
          </cell>
          <cell r="AQ210" t="str">
            <v/>
          </cell>
        </row>
        <row r="211">
          <cell r="N211" t="str">
            <v/>
          </cell>
          <cell r="Q211" t="str">
            <v/>
          </cell>
          <cell r="AQ211" t="str">
            <v/>
          </cell>
        </row>
        <row r="212">
          <cell r="N212" t="str">
            <v/>
          </cell>
          <cell r="Q212" t="str">
            <v/>
          </cell>
          <cell r="AQ212" t="str">
            <v/>
          </cell>
        </row>
        <row r="213">
          <cell r="N213" t="str">
            <v/>
          </cell>
          <cell r="Q213" t="str">
            <v/>
          </cell>
          <cell r="AQ213" t="str">
            <v/>
          </cell>
        </row>
        <row r="214">
          <cell r="N214" t="str">
            <v/>
          </cell>
          <cell r="Q214" t="str">
            <v/>
          </cell>
          <cell r="AQ214" t="str">
            <v/>
          </cell>
        </row>
        <row r="215">
          <cell r="N215" t="str">
            <v/>
          </cell>
          <cell r="Q215" t="str">
            <v/>
          </cell>
          <cell r="AQ215" t="str">
            <v/>
          </cell>
        </row>
        <row r="216">
          <cell r="N216" t="str">
            <v/>
          </cell>
          <cell r="Q216" t="str">
            <v/>
          </cell>
          <cell r="AQ216" t="str">
            <v/>
          </cell>
        </row>
        <row r="217">
          <cell r="N217" t="str">
            <v/>
          </cell>
          <cell r="Q217" t="str">
            <v/>
          </cell>
          <cell r="AQ217" t="str">
            <v/>
          </cell>
        </row>
      </sheetData>
      <sheetData sheetId="12" refreshError="1">
        <row r="12">
          <cell r="C12" t="str">
            <v>12 months</v>
          </cell>
        </row>
        <row r="24">
          <cell r="E24" t="str">
            <v/>
          </cell>
          <cell r="F24" t="str">
            <v/>
          </cell>
        </row>
      </sheetData>
      <sheetData sheetId="13" refreshError="1">
        <row r="5">
          <cell r="Z5" t="str">
            <v>list</v>
          </cell>
        </row>
      </sheetData>
      <sheetData sheetId="14" refreshError="1"/>
      <sheetData sheetId="15" refreshError="1">
        <row r="4">
          <cell r="A4" t="str">
            <v>Unique ID</v>
          </cell>
          <cell r="B4" t="str">
            <v>Voice service</v>
          </cell>
          <cell r="C4" t="str">
            <v>Charge</v>
          </cell>
          <cell r="D4" t="str">
            <v>Charge type</v>
          </cell>
          <cell r="E4" t="str">
            <v>Unit</v>
          </cell>
          <cell r="F4" t="str">
            <v>Approval level</v>
          </cell>
          <cell r="G4" t="str">
            <v>Price point</v>
          </cell>
          <cell r="H4" t="str">
            <v>Show rate on tariff sheet</v>
          </cell>
          <cell r="I4" t="str">
            <v>Units (volume)</v>
          </cell>
          <cell r="J4" t="str">
            <v>Per minute - peak</v>
          </cell>
          <cell r="K4" t="str">
            <v>Per minute - off-peak</v>
          </cell>
          <cell r="L4" t="str">
            <v>Per call - peak</v>
          </cell>
          <cell r="M4" t="str">
            <v>Per call - off-peak</v>
          </cell>
          <cell r="N4" t="str">
            <v>OTP per unit</v>
          </cell>
          <cell r="O4" t="str">
            <v>MRP per unit</v>
          </cell>
          <cell r="P4" t="str">
            <v>Text value</v>
          </cell>
        </row>
        <row r="5">
          <cell r="A5" t="str">
            <v>SCENARIO</v>
          </cell>
          <cell r="B5" t="str">
            <v>All</v>
          </cell>
          <cell r="C5" t="str">
            <v>Scenario number</v>
          </cell>
          <cell r="D5" t="str">
            <v>Scenario number</v>
          </cell>
          <cell r="E5" t="str">
            <v>scenario</v>
          </cell>
          <cell r="P5">
            <v>0</v>
          </cell>
        </row>
        <row r="6">
          <cell r="A6" t="str">
            <v>STD</v>
          </cell>
          <cell r="B6" t="str">
            <v>All</v>
          </cell>
          <cell r="C6" t="str">
            <v>Standard pricing version</v>
          </cell>
          <cell r="D6" t="str">
            <v>Standard pricing version</v>
          </cell>
          <cell r="E6" t="str">
            <v>service</v>
          </cell>
          <cell r="P6" t="str">
            <v>V16A</v>
          </cell>
        </row>
        <row r="7">
          <cell r="A7" t="str">
            <v>TARIFF</v>
          </cell>
          <cell r="B7" t="str">
            <v>All</v>
          </cell>
          <cell r="C7" t="str">
            <v>Tariff selected</v>
          </cell>
          <cell r="D7" t="str">
            <v>Tariff selected</v>
          </cell>
          <cell r="E7" t="str">
            <v>service</v>
          </cell>
          <cell r="P7" t="str">
            <v>LP</v>
          </cell>
        </row>
        <row r="8">
          <cell r="A8" t="str">
            <v>MCD</v>
          </cell>
          <cell r="B8" t="str">
            <v>All</v>
          </cell>
          <cell r="C8" t="str">
            <v>Minimum call duration</v>
          </cell>
          <cell r="D8" t="str">
            <v>Minimum call duration</v>
          </cell>
          <cell r="E8" t="str">
            <v>service</v>
          </cell>
          <cell r="P8">
            <v>92</v>
          </cell>
        </row>
        <row r="9">
          <cell r="A9" t="str">
            <v>EURFOREX USD</v>
          </cell>
          <cell r="B9" t="str">
            <v>Forex</v>
          </cell>
          <cell r="C9" t="str">
            <v>US Dollars</v>
          </cell>
          <cell r="D9" t="str">
            <v>Forex rate</v>
          </cell>
          <cell r="E9" t="str">
            <v>service</v>
          </cell>
          <cell r="J9">
            <v>1.0900000000000001</v>
          </cell>
        </row>
        <row r="10">
          <cell r="A10" t="str">
            <v>DOM AUS AUSB1</v>
          </cell>
          <cell r="B10" t="str">
            <v>Business Talk</v>
          </cell>
          <cell r="C10" t="str">
            <v>Australia National Band 1</v>
          </cell>
          <cell r="D10" t="str">
            <v>Off-net domestic</v>
          </cell>
          <cell r="E10" t="str">
            <v>minute</v>
          </cell>
          <cell r="F10">
            <v>1</v>
          </cell>
          <cell r="G10">
            <v>1</v>
          </cell>
          <cell r="H10">
            <v>0</v>
          </cell>
          <cell r="I10">
            <v>0</v>
          </cell>
          <cell r="J10">
            <v>2.5000000000000001E-2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DOM AUS RESTA</v>
          </cell>
          <cell r="B11" t="str">
            <v>Business Talk</v>
          </cell>
          <cell r="C11" t="str">
            <v>Australia National Band 2</v>
          </cell>
          <cell r="D11" t="str">
            <v>Off-net domestic</v>
          </cell>
          <cell r="E11" t="str">
            <v>minute</v>
          </cell>
          <cell r="F11">
            <v>1</v>
          </cell>
          <cell r="G11">
            <v>1</v>
          </cell>
          <cell r="H11">
            <v>0</v>
          </cell>
          <cell r="I11">
            <v>0</v>
          </cell>
          <cell r="J11">
            <v>2.7300000000000001E-2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DOM AUS AUSMO</v>
          </cell>
          <cell r="B12" t="str">
            <v>Business Talk</v>
          </cell>
          <cell r="C12" t="str">
            <v>Australia Mobile</v>
          </cell>
          <cell r="D12" t="str">
            <v>Off-net domestic</v>
          </cell>
          <cell r="E12" t="str">
            <v>minute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9.0499999999999997E-2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DOM AUS AUSCS</v>
          </cell>
          <cell r="B13" t="str">
            <v>Business Talk</v>
          </cell>
          <cell r="C13" t="str">
            <v>Australia Community Serv</v>
          </cell>
          <cell r="D13" t="str">
            <v>Off-net domestic</v>
          </cell>
          <cell r="E13" t="str">
            <v>call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0.50970000000000004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DOM AUS AUSD1</v>
          </cell>
          <cell r="B14" t="str">
            <v>Business Talk</v>
          </cell>
          <cell r="C14" t="str">
            <v>Australia Directory Band 1</v>
          </cell>
          <cell r="D14" t="str">
            <v>Off-net domestic</v>
          </cell>
          <cell r="E14" t="str">
            <v>call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0.7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DOM AUS AUSD2</v>
          </cell>
          <cell r="B15" t="str">
            <v>Business Talk</v>
          </cell>
          <cell r="C15" t="str">
            <v>Australia Directory Band 2</v>
          </cell>
          <cell r="D15" t="str">
            <v>Off-net domestic</v>
          </cell>
          <cell r="E15" t="str">
            <v>minute &amp; call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0.09</v>
          </cell>
          <cell r="K15">
            <v>0</v>
          </cell>
          <cell r="L15">
            <v>1.17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DOM AUS AUSEM</v>
          </cell>
          <cell r="B16" t="str">
            <v>Business Talk</v>
          </cell>
          <cell r="C16" t="str">
            <v>Australia Emergency Services</v>
          </cell>
          <cell r="D16" t="str">
            <v>Off-net domestic</v>
          </cell>
          <cell r="E16" t="str">
            <v>minute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DOM AUS T1300</v>
          </cell>
          <cell r="B17" t="str">
            <v>Business Talk</v>
          </cell>
          <cell r="C17" t="str">
            <v>Australia Local Rate Service</v>
          </cell>
          <cell r="D17" t="str">
            <v>Off-net domestic</v>
          </cell>
          <cell r="E17" t="str">
            <v>call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0.27339999999999998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DOM AUS AUSOR</v>
          </cell>
          <cell r="B18" t="str">
            <v>Business Talk</v>
          </cell>
          <cell r="C18" t="str">
            <v>Australia Operators Services</v>
          </cell>
          <cell r="D18" t="str">
            <v>Off-net domestic</v>
          </cell>
          <cell r="E18" t="str">
            <v>call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0.33550000000000002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DOM AUS AUSPS</v>
          </cell>
          <cell r="B19" t="str">
            <v>Business Talk</v>
          </cell>
          <cell r="C19" t="str">
            <v>Australia Personal Services</v>
          </cell>
          <cell r="D19" t="str">
            <v>Off-net domestic</v>
          </cell>
          <cell r="E19" t="str">
            <v>minute &amp; call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9.3799999999999994E-2</v>
          </cell>
          <cell r="K19">
            <v>0</v>
          </cell>
          <cell r="L19">
            <v>0.35160000000000002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DOM AUS AUSC1</v>
          </cell>
          <cell r="B20" t="str">
            <v>Business Talk</v>
          </cell>
          <cell r="C20" t="str">
            <v>Australia Premium C01</v>
          </cell>
          <cell r="D20" t="str">
            <v>Off-net domestic</v>
          </cell>
          <cell r="E20" t="str">
            <v>call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0.57809999999999995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DOM AUS AUSC2</v>
          </cell>
          <cell r="B21" t="str">
            <v>Business Talk</v>
          </cell>
          <cell r="C21" t="str">
            <v>Australia Premium C02</v>
          </cell>
          <cell r="D21" t="str">
            <v>Off-net domestic</v>
          </cell>
          <cell r="E21" t="str">
            <v>call</v>
          </cell>
          <cell r="F21">
            <v>1</v>
          </cell>
          <cell r="G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2.8593999999999999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DOM AUS AUSC3</v>
          </cell>
          <cell r="B22" t="str">
            <v>Business Talk</v>
          </cell>
          <cell r="C22" t="str">
            <v>Australia Premium C03</v>
          </cell>
          <cell r="D22" t="str">
            <v>Off-net domestic</v>
          </cell>
          <cell r="E22" t="str">
            <v>call</v>
          </cell>
          <cell r="F22">
            <v>1</v>
          </cell>
          <cell r="G22">
            <v>1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12.5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DOM AUS AUSC4</v>
          </cell>
          <cell r="B23" t="str">
            <v>Business Talk</v>
          </cell>
          <cell r="C23" t="str">
            <v>Australia Premium C04</v>
          </cell>
          <cell r="D23" t="str">
            <v>Off-net domestic</v>
          </cell>
          <cell r="E23" t="str">
            <v>call</v>
          </cell>
          <cell r="F23">
            <v>1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25.781300000000002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DOM AUS AUSC5</v>
          </cell>
          <cell r="B24" t="str">
            <v>Business Talk</v>
          </cell>
          <cell r="C24" t="str">
            <v>Australia Premium C05</v>
          </cell>
          <cell r="D24" t="str">
            <v>Off-net domestic</v>
          </cell>
          <cell r="E24" t="str">
            <v>call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39.0625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DOM AUS AUCM1</v>
          </cell>
          <cell r="B25" t="str">
            <v>Business Talk</v>
          </cell>
          <cell r="C25" t="str">
            <v>Australia Premium Cm01</v>
          </cell>
          <cell r="D25" t="str">
            <v>Off-net domestic</v>
          </cell>
          <cell r="E25" t="str">
            <v>minute &amp; call</v>
          </cell>
          <cell r="F25">
            <v>1</v>
          </cell>
          <cell r="G25">
            <v>1</v>
          </cell>
          <cell r="H25">
            <v>0</v>
          </cell>
          <cell r="I25">
            <v>0</v>
          </cell>
          <cell r="J25">
            <v>0.57809999999999995</v>
          </cell>
          <cell r="K25">
            <v>0</v>
          </cell>
          <cell r="L25">
            <v>0.1797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DOM AUS AUCM2</v>
          </cell>
          <cell r="B26" t="str">
            <v>Business Talk</v>
          </cell>
          <cell r="C26" t="str">
            <v>Australia Premium Cm02</v>
          </cell>
          <cell r="D26" t="str">
            <v>Off-net domestic</v>
          </cell>
          <cell r="E26" t="str">
            <v>minute &amp; call</v>
          </cell>
          <cell r="F26">
            <v>1</v>
          </cell>
          <cell r="G26">
            <v>1</v>
          </cell>
          <cell r="H26">
            <v>0</v>
          </cell>
          <cell r="I26">
            <v>0</v>
          </cell>
          <cell r="J26">
            <v>0.85940000000000005</v>
          </cell>
          <cell r="K26">
            <v>0</v>
          </cell>
          <cell r="L26">
            <v>0.1797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DOM AUS AUCM3</v>
          </cell>
          <cell r="B27" t="str">
            <v>Business Talk</v>
          </cell>
          <cell r="C27" t="str">
            <v>Australia Premium Cm03</v>
          </cell>
          <cell r="D27" t="str">
            <v>Off-net domestic</v>
          </cell>
          <cell r="E27" t="str">
            <v>minute &amp; call</v>
          </cell>
          <cell r="F27">
            <v>1</v>
          </cell>
          <cell r="G27">
            <v>1</v>
          </cell>
          <cell r="H27">
            <v>0</v>
          </cell>
          <cell r="I27">
            <v>0</v>
          </cell>
          <cell r="J27">
            <v>1.3125</v>
          </cell>
          <cell r="K27">
            <v>0</v>
          </cell>
          <cell r="L27">
            <v>0.1797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DOM AUS AUCM4</v>
          </cell>
          <cell r="B28" t="str">
            <v>Business Talk</v>
          </cell>
          <cell r="C28" t="str">
            <v>Australia Premium Cm04</v>
          </cell>
          <cell r="D28" t="str">
            <v>Off-net domestic</v>
          </cell>
          <cell r="E28" t="str">
            <v>minute &amp; call</v>
          </cell>
          <cell r="F28">
            <v>1</v>
          </cell>
          <cell r="G28">
            <v>1</v>
          </cell>
          <cell r="H28">
            <v>0</v>
          </cell>
          <cell r="I28">
            <v>0</v>
          </cell>
          <cell r="J28">
            <v>2.2422</v>
          </cell>
          <cell r="K28">
            <v>0</v>
          </cell>
          <cell r="L28">
            <v>0.1797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 t="str">
            <v>DOM AUS AUCM5</v>
          </cell>
          <cell r="B29" t="str">
            <v>Business Talk</v>
          </cell>
          <cell r="C29" t="str">
            <v>Australia Premium Cm05</v>
          </cell>
          <cell r="D29" t="str">
            <v>Off-net domestic</v>
          </cell>
          <cell r="E29" t="str">
            <v>minute &amp; call</v>
          </cell>
          <cell r="F29">
            <v>1</v>
          </cell>
          <cell r="G29">
            <v>1</v>
          </cell>
          <cell r="H29">
            <v>0</v>
          </cell>
          <cell r="I29">
            <v>0</v>
          </cell>
          <cell r="J29">
            <v>4.5312999999999999</v>
          </cell>
          <cell r="K29">
            <v>0</v>
          </cell>
          <cell r="L29">
            <v>0.1797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DOM AUS AUCM6</v>
          </cell>
          <cell r="B30" t="str">
            <v>Business Talk</v>
          </cell>
          <cell r="C30" t="str">
            <v>Australia Premium Cm06</v>
          </cell>
          <cell r="D30" t="str">
            <v>Off-net domestic</v>
          </cell>
          <cell r="E30" t="str">
            <v>minute &amp; call</v>
          </cell>
          <cell r="F30">
            <v>1</v>
          </cell>
          <cell r="G30">
            <v>1</v>
          </cell>
          <cell r="H30">
            <v>0</v>
          </cell>
          <cell r="I30">
            <v>0</v>
          </cell>
          <cell r="J30">
            <v>0.80469999999999997</v>
          </cell>
          <cell r="K30">
            <v>0</v>
          </cell>
          <cell r="L30">
            <v>0.28910000000000002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DOM AUS AUCM7</v>
          </cell>
          <cell r="B31" t="str">
            <v>Business Talk</v>
          </cell>
          <cell r="C31" t="str">
            <v>Australia Premium Cm07</v>
          </cell>
          <cell r="D31" t="str">
            <v>Off-net domestic</v>
          </cell>
          <cell r="E31" t="str">
            <v>minute &amp; call</v>
          </cell>
          <cell r="F31">
            <v>1</v>
          </cell>
          <cell r="G31">
            <v>1</v>
          </cell>
          <cell r="H31">
            <v>0</v>
          </cell>
          <cell r="I31">
            <v>0</v>
          </cell>
          <cell r="J31">
            <v>1.4375</v>
          </cell>
          <cell r="K31">
            <v>0</v>
          </cell>
          <cell r="L31">
            <v>1.4375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DOM AUS AUSM1</v>
          </cell>
          <cell r="B32" t="str">
            <v>Business Talk</v>
          </cell>
          <cell r="C32" t="str">
            <v>Australia Premium M01</v>
          </cell>
          <cell r="D32" t="str">
            <v>Off-net domestic</v>
          </cell>
          <cell r="E32" t="str">
            <v>minute</v>
          </cell>
          <cell r="F32">
            <v>1</v>
          </cell>
          <cell r="G32">
            <v>1</v>
          </cell>
          <cell r="H32">
            <v>0</v>
          </cell>
          <cell r="I32">
            <v>0</v>
          </cell>
          <cell r="J32">
            <v>1.375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DOM AUS AUSM2</v>
          </cell>
          <cell r="B33" t="str">
            <v>Business Talk</v>
          </cell>
          <cell r="C33" t="str">
            <v>Australia Premium M02</v>
          </cell>
          <cell r="D33" t="str">
            <v>Off-net domestic</v>
          </cell>
          <cell r="E33" t="str">
            <v>minute</v>
          </cell>
          <cell r="F33">
            <v>1</v>
          </cell>
          <cell r="G33">
            <v>1</v>
          </cell>
          <cell r="H33">
            <v>0</v>
          </cell>
          <cell r="I33">
            <v>0</v>
          </cell>
          <cell r="J33">
            <v>5.0781000000000001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DOM AUS AUSM3</v>
          </cell>
          <cell r="B34" t="str">
            <v>Business Talk</v>
          </cell>
          <cell r="C34" t="str">
            <v>Australia Premium M03</v>
          </cell>
          <cell r="D34" t="str">
            <v>Off-net domestic</v>
          </cell>
          <cell r="E34" t="str">
            <v>minute</v>
          </cell>
          <cell r="F34">
            <v>1</v>
          </cell>
          <cell r="G34">
            <v>1</v>
          </cell>
          <cell r="H34">
            <v>0</v>
          </cell>
          <cell r="I34">
            <v>0</v>
          </cell>
          <cell r="J34">
            <v>12.5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DOM AUS AUSOP</v>
          </cell>
          <cell r="B35" t="str">
            <v>Business Talk</v>
          </cell>
          <cell r="C35" t="str">
            <v>Australia Sat Optus</v>
          </cell>
          <cell r="D35" t="str">
            <v>Off-net domestic</v>
          </cell>
          <cell r="E35" t="str">
            <v>minute &amp; call</v>
          </cell>
          <cell r="F35">
            <v>1</v>
          </cell>
          <cell r="G35">
            <v>1</v>
          </cell>
          <cell r="H35">
            <v>0</v>
          </cell>
          <cell r="I35">
            <v>0</v>
          </cell>
          <cell r="J35">
            <v>2.3437999999999999</v>
          </cell>
          <cell r="K35">
            <v>0</v>
          </cell>
          <cell r="L35">
            <v>0.35160000000000002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>DOM AUS AUST1</v>
          </cell>
          <cell r="B36" t="str">
            <v>Business Talk</v>
          </cell>
          <cell r="C36" t="str">
            <v>Australia Sat Telstra Band 1</v>
          </cell>
          <cell r="D36" t="str">
            <v>Off-net domestic</v>
          </cell>
          <cell r="E36" t="str">
            <v>minute &amp; call</v>
          </cell>
          <cell r="F36">
            <v>1</v>
          </cell>
          <cell r="G36">
            <v>1</v>
          </cell>
          <cell r="H36">
            <v>0</v>
          </cell>
          <cell r="I36">
            <v>0</v>
          </cell>
          <cell r="J36">
            <v>0.42970000000000003</v>
          </cell>
          <cell r="K36">
            <v>0</v>
          </cell>
          <cell r="L36">
            <v>0.35160000000000002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DOM AUS AUST2</v>
          </cell>
          <cell r="B37" t="str">
            <v>Business Talk</v>
          </cell>
          <cell r="C37" t="str">
            <v>Australia Sat Telstra Band 2</v>
          </cell>
          <cell r="D37" t="str">
            <v>Off-net domestic</v>
          </cell>
          <cell r="E37" t="str">
            <v>minute &amp; call</v>
          </cell>
          <cell r="F37">
            <v>1</v>
          </cell>
          <cell r="G37">
            <v>1</v>
          </cell>
          <cell r="H37">
            <v>0</v>
          </cell>
          <cell r="I37">
            <v>0</v>
          </cell>
          <cell r="J37">
            <v>1.0625</v>
          </cell>
          <cell r="K37">
            <v>0</v>
          </cell>
          <cell r="L37">
            <v>0.63280000000000003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DOM AUS AUSFR</v>
          </cell>
          <cell r="B38" t="str">
            <v>Business Talk</v>
          </cell>
          <cell r="C38" t="str">
            <v>Australia Toll Free</v>
          </cell>
          <cell r="D38" t="str">
            <v>Off-net domestic</v>
          </cell>
          <cell r="E38" t="str">
            <v>minute</v>
          </cell>
          <cell r="F38">
            <v>1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DOM AUT ZAUT0</v>
          </cell>
          <cell r="B39" t="str">
            <v>Business Talk</v>
          </cell>
          <cell r="C39" t="str">
            <v>Austria National</v>
          </cell>
          <cell r="D39" t="str">
            <v>Off-net domestic</v>
          </cell>
          <cell r="E39" t="str">
            <v>minute</v>
          </cell>
          <cell r="F39">
            <v>1</v>
          </cell>
          <cell r="G39">
            <v>1</v>
          </cell>
          <cell r="H39">
            <v>0</v>
          </cell>
          <cell r="I39">
            <v>0</v>
          </cell>
          <cell r="J39">
            <v>2.1299999999999999E-2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DOM AUT AUNAS</v>
          </cell>
          <cell r="B40" t="str">
            <v>Business Talk</v>
          </cell>
          <cell r="C40" t="str">
            <v>Austria National Ambulance</v>
          </cell>
          <cell r="D40" t="str">
            <v>Off-net domestic</v>
          </cell>
          <cell r="E40" t="str">
            <v>minute</v>
          </cell>
          <cell r="F40">
            <v>1</v>
          </cell>
          <cell r="G40">
            <v>1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DOM AUT AUNCS</v>
          </cell>
          <cell r="B41" t="str">
            <v>Business Talk</v>
          </cell>
          <cell r="C41" t="str">
            <v>Austria National Child Support</v>
          </cell>
          <cell r="D41" t="str">
            <v>Off-net domestic</v>
          </cell>
          <cell r="E41" t="str">
            <v>minute</v>
          </cell>
          <cell r="F41">
            <v>1</v>
          </cell>
          <cell r="G41">
            <v>1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DOM AUT AUNS</v>
          </cell>
          <cell r="B42" t="str">
            <v>Business Talk</v>
          </cell>
          <cell r="C42" t="str">
            <v>Austria National Support Line</v>
          </cell>
          <cell r="D42" t="str">
            <v>Off-net domestic</v>
          </cell>
          <cell r="E42" t="str">
            <v>minute</v>
          </cell>
          <cell r="F42">
            <v>1</v>
          </cell>
          <cell r="G42">
            <v>1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DOM AUT AUMKM</v>
          </cell>
          <cell r="B43" t="str">
            <v>Business Talk</v>
          </cell>
          <cell r="C43" t="str">
            <v>Austria Mobile Mobilkom/3G</v>
          </cell>
          <cell r="D43" t="str">
            <v>Off-net domestic</v>
          </cell>
          <cell r="E43" t="str">
            <v>minute</v>
          </cell>
          <cell r="F43">
            <v>1</v>
          </cell>
          <cell r="G43">
            <v>1</v>
          </cell>
          <cell r="H43">
            <v>0</v>
          </cell>
          <cell r="I43">
            <v>0</v>
          </cell>
          <cell r="J43">
            <v>3.56E-2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DOM AUT AUM1</v>
          </cell>
          <cell r="B44" t="str">
            <v>Business Talk</v>
          </cell>
          <cell r="C44" t="str">
            <v>Austria Mobile One</v>
          </cell>
          <cell r="D44" t="str">
            <v>Off-net domestic</v>
          </cell>
          <cell r="E44" t="str">
            <v>minute</v>
          </cell>
          <cell r="F44">
            <v>1</v>
          </cell>
          <cell r="G44">
            <v>1</v>
          </cell>
          <cell r="H44">
            <v>0</v>
          </cell>
          <cell r="I44">
            <v>0</v>
          </cell>
          <cell r="J44">
            <v>3.56E-2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DOM AUT ZAUT3</v>
          </cell>
          <cell r="B45" t="str">
            <v>Business Talk</v>
          </cell>
          <cell r="C45" t="str">
            <v>Austria Mobile Other</v>
          </cell>
          <cell r="D45" t="str">
            <v>Off-net domestic</v>
          </cell>
          <cell r="E45" t="str">
            <v>minute</v>
          </cell>
          <cell r="F45">
            <v>1</v>
          </cell>
          <cell r="G45">
            <v>1</v>
          </cell>
          <cell r="H45">
            <v>0</v>
          </cell>
          <cell r="I45">
            <v>0</v>
          </cell>
          <cell r="J45">
            <v>3.56E-2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DOM AUT AUMTG</v>
          </cell>
          <cell r="B46" t="str">
            <v>Business Talk</v>
          </cell>
          <cell r="C46" t="str">
            <v>Austria Mobile Telering</v>
          </cell>
          <cell r="D46" t="str">
            <v>Off-net domestic</v>
          </cell>
          <cell r="E46" t="str">
            <v>minute</v>
          </cell>
          <cell r="F46">
            <v>1</v>
          </cell>
          <cell r="G46">
            <v>1</v>
          </cell>
          <cell r="H46">
            <v>0</v>
          </cell>
          <cell r="I46">
            <v>0</v>
          </cell>
          <cell r="J46">
            <v>3.56E-2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 t="str">
            <v>DOM AUT ATMT</v>
          </cell>
          <cell r="B47" t="str">
            <v>Business Talk</v>
          </cell>
          <cell r="C47" t="str">
            <v>Austria Mobile T-Mobile</v>
          </cell>
          <cell r="D47" t="str">
            <v>Off-net domestic</v>
          </cell>
          <cell r="E47" t="str">
            <v>minute</v>
          </cell>
          <cell r="F47">
            <v>1</v>
          </cell>
          <cell r="G47">
            <v>1</v>
          </cell>
          <cell r="H47">
            <v>0</v>
          </cell>
          <cell r="I47">
            <v>0</v>
          </cell>
          <cell r="J47">
            <v>3.56E-2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DOM AUT AUCS</v>
          </cell>
          <cell r="B48" t="str">
            <v>Business Talk</v>
          </cell>
          <cell r="C48" t="str">
            <v>Austria Convergent Service</v>
          </cell>
          <cell r="D48" t="str">
            <v>Off-net domestic</v>
          </cell>
          <cell r="E48" t="str">
            <v>minute</v>
          </cell>
          <cell r="F48">
            <v>1</v>
          </cell>
          <cell r="G48">
            <v>1</v>
          </cell>
          <cell r="H48">
            <v>0</v>
          </cell>
          <cell r="I48">
            <v>0</v>
          </cell>
          <cell r="J48">
            <v>3.15E-2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DOM AUT AUDIR</v>
          </cell>
          <cell r="B49" t="str">
            <v>Business Talk</v>
          </cell>
          <cell r="C49" t="str">
            <v>Austria Directory</v>
          </cell>
          <cell r="D49" t="str">
            <v>Off-net domestic</v>
          </cell>
          <cell r="E49" t="str">
            <v>minute</v>
          </cell>
          <cell r="F49">
            <v>1</v>
          </cell>
          <cell r="G49">
            <v>1</v>
          </cell>
          <cell r="H49">
            <v>0</v>
          </cell>
          <cell r="I49">
            <v>0</v>
          </cell>
          <cell r="J49">
            <v>1.55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DOM AUT ATDR1</v>
          </cell>
          <cell r="B50" t="str">
            <v>Business Talk</v>
          </cell>
          <cell r="C50" t="str">
            <v>Austria Directory Band 1</v>
          </cell>
          <cell r="D50" t="str">
            <v>Off-net domestic</v>
          </cell>
          <cell r="E50" t="str">
            <v>minute</v>
          </cell>
          <cell r="F50">
            <v>1</v>
          </cell>
          <cell r="G50">
            <v>1</v>
          </cell>
          <cell r="H50">
            <v>0</v>
          </cell>
          <cell r="I50">
            <v>0</v>
          </cell>
          <cell r="J50">
            <v>0.1469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DOM AUT ATDR2</v>
          </cell>
          <cell r="B51" t="str">
            <v>Business Talk</v>
          </cell>
          <cell r="C51" t="str">
            <v>Austria Directory Band 2</v>
          </cell>
          <cell r="D51" t="str">
            <v>Off-net domestic</v>
          </cell>
          <cell r="E51" t="str">
            <v>minute</v>
          </cell>
          <cell r="F51">
            <v>1</v>
          </cell>
          <cell r="G51">
            <v>1</v>
          </cell>
          <cell r="H51">
            <v>0</v>
          </cell>
          <cell r="I51">
            <v>0</v>
          </cell>
          <cell r="J51">
            <v>1.4498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DOM AUT ATDR3</v>
          </cell>
          <cell r="B52" t="str">
            <v>Business Talk</v>
          </cell>
          <cell r="C52" t="str">
            <v>Austria Directory Band 3</v>
          </cell>
          <cell r="D52" t="str">
            <v>Off-net domestic</v>
          </cell>
          <cell r="E52" t="str">
            <v>minute</v>
          </cell>
          <cell r="F52">
            <v>1</v>
          </cell>
          <cell r="G52">
            <v>1</v>
          </cell>
          <cell r="H52">
            <v>0</v>
          </cell>
          <cell r="I52">
            <v>0</v>
          </cell>
          <cell r="J52">
            <v>1.8702000000000001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DOM AUT ATDR4</v>
          </cell>
          <cell r="B53" t="str">
            <v>Business Talk</v>
          </cell>
          <cell r="C53" t="str">
            <v>Austria Directory Band 4</v>
          </cell>
          <cell r="D53" t="str">
            <v>Off-net domestic</v>
          </cell>
          <cell r="E53" t="str">
            <v>minute</v>
          </cell>
          <cell r="F53">
            <v>1</v>
          </cell>
          <cell r="G53">
            <v>1</v>
          </cell>
          <cell r="H53">
            <v>0</v>
          </cell>
          <cell r="I53">
            <v>0</v>
          </cell>
          <cell r="J53">
            <v>2.3186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A54" t="str">
            <v>DOM AUT ATDR5</v>
          </cell>
          <cell r="B54" t="str">
            <v>Business Talk</v>
          </cell>
          <cell r="C54" t="str">
            <v>Austria Directory Band 5</v>
          </cell>
          <cell r="D54" t="str">
            <v>Off-net domestic</v>
          </cell>
          <cell r="E54" t="str">
            <v>minute</v>
          </cell>
          <cell r="F54">
            <v>1</v>
          </cell>
          <cell r="G54">
            <v>1</v>
          </cell>
          <cell r="H54">
            <v>0</v>
          </cell>
          <cell r="I54">
            <v>0</v>
          </cell>
          <cell r="J54">
            <v>2.8976999999999999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DOM AUT ATDR6</v>
          </cell>
          <cell r="B55" t="str">
            <v>Business Talk</v>
          </cell>
          <cell r="C55" t="str">
            <v>Austria Directory Band 6</v>
          </cell>
          <cell r="D55" t="str">
            <v>Off-net domestic</v>
          </cell>
          <cell r="E55" t="str">
            <v>minute</v>
          </cell>
          <cell r="F55">
            <v>1</v>
          </cell>
          <cell r="G55">
            <v>1</v>
          </cell>
          <cell r="H55">
            <v>0</v>
          </cell>
          <cell r="I55">
            <v>0</v>
          </cell>
          <cell r="J55">
            <v>3.3319000000000001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DOM AUT ATDR7</v>
          </cell>
          <cell r="B56" t="str">
            <v>Business Talk</v>
          </cell>
          <cell r="C56" t="str">
            <v>Austria Directory Band 7</v>
          </cell>
          <cell r="D56" t="str">
            <v>Off-net domestic</v>
          </cell>
          <cell r="E56" t="str">
            <v>minute</v>
          </cell>
          <cell r="F56">
            <v>1</v>
          </cell>
          <cell r="G56">
            <v>1</v>
          </cell>
          <cell r="H56">
            <v>0</v>
          </cell>
          <cell r="I56">
            <v>0</v>
          </cell>
          <cell r="J56">
            <v>3.8613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DOM AUT ATDR8</v>
          </cell>
          <cell r="B57" t="str">
            <v>Business Talk</v>
          </cell>
          <cell r="C57" t="str">
            <v>Austria Directory Band 8</v>
          </cell>
          <cell r="D57" t="str">
            <v>Off-net domestic</v>
          </cell>
          <cell r="E57" t="str">
            <v>minute</v>
          </cell>
          <cell r="F57">
            <v>1</v>
          </cell>
          <cell r="G57">
            <v>1</v>
          </cell>
          <cell r="H57">
            <v>0</v>
          </cell>
          <cell r="I57">
            <v>0</v>
          </cell>
          <cell r="J57">
            <v>4.6349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DOM AUT ATDR9</v>
          </cell>
          <cell r="B58" t="str">
            <v>Business Talk</v>
          </cell>
          <cell r="C58" t="str">
            <v>Austria Directory Band 9</v>
          </cell>
          <cell r="D58" t="str">
            <v>Off-net domestic</v>
          </cell>
          <cell r="E58" t="str">
            <v>minute</v>
          </cell>
          <cell r="F58">
            <v>1</v>
          </cell>
          <cell r="G58">
            <v>1</v>
          </cell>
          <cell r="H58">
            <v>0</v>
          </cell>
          <cell r="I58">
            <v>0</v>
          </cell>
          <cell r="J58">
            <v>7.7858000000000001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DOM AUT AUSOS</v>
          </cell>
          <cell r="B59" t="str">
            <v>Business Talk</v>
          </cell>
          <cell r="C59" t="str">
            <v>Austria Emergency</v>
          </cell>
          <cell r="D59" t="str">
            <v>Off-net domestic</v>
          </cell>
          <cell r="E59" t="str">
            <v>minute</v>
          </cell>
          <cell r="F59">
            <v>1</v>
          </cell>
          <cell r="G59">
            <v>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DOM AUT AUEUS</v>
          </cell>
          <cell r="B60" t="str">
            <v>Business Talk</v>
          </cell>
          <cell r="C60" t="str">
            <v>Austria Eu Harmonized Helpline</v>
          </cell>
          <cell r="D60" t="str">
            <v>Off-net domestic</v>
          </cell>
          <cell r="E60" t="str">
            <v>minute</v>
          </cell>
          <cell r="F60">
            <v>1</v>
          </cell>
          <cell r="G60">
            <v>1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DOM AUT AUMR</v>
          </cell>
          <cell r="B61" t="str">
            <v>Business Talk</v>
          </cell>
          <cell r="C61" t="str">
            <v>Austria Mountain Rescue</v>
          </cell>
          <cell r="D61" t="str">
            <v>Off-net domestic</v>
          </cell>
          <cell r="E61" t="str">
            <v>minute</v>
          </cell>
          <cell r="F61">
            <v>1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DOM AUT AUPR</v>
          </cell>
          <cell r="B62" t="str">
            <v>Business Talk</v>
          </cell>
          <cell r="C62" t="str">
            <v>Austria Online Services Number</v>
          </cell>
          <cell r="D62" t="str">
            <v>Off-net domestic</v>
          </cell>
          <cell r="E62" t="str">
            <v>minute</v>
          </cell>
          <cell r="F62">
            <v>1</v>
          </cell>
          <cell r="G62">
            <v>1</v>
          </cell>
          <cell r="H62">
            <v>0</v>
          </cell>
          <cell r="I62">
            <v>0</v>
          </cell>
          <cell r="J62">
            <v>4.9099999999999998E-2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DOM AUT AUPSN</v>
          </cell>
          <cell r="B63" t="str">
            <v>Business Talk</v>
          </cell>
          <cell r="C63" t="str">
            <v>Austria Personal</v>
          </cell>
          <cell r="D63" t="str">
            <v>Off-net domestic</v>
          </cell>
          <cell r="E63" t="str">
            <v>minute</v>
          </cell>
          <cell r="F63">
            <v>1</v>
          </cell>
          <cell r="G63">
            <v>1</v>
          </cell>
          <cell r="H63">
            <v>0</v>
          </cell>
          <cell r="I63">
            <v>0</v>
          </cell>
          <cell r="J63">
            <v>1.7000000000000001E-2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DOM AUT AU001</v>
          </cell>
          <cell r="B64" t="str">
            <v>Business Talk</v>
          </cell>
          <cell r="C64" t="str">
            <v>Austria Premium Band1</v>
          </cell>
          <cell r="D64" t="str">
            <v>Off-net domestic</v>
          </cell>
          <cell r="E64" t="str">
            <v>minute</v>
          </cell>
          <cell r="F64">
            <v>1</v>
          </cell>
          <cell r="G64">
            <v>1</v>
          </cell>
          <cell r="H64">
            <v>0</v>
          </cell>
          <cell r="I64">
            <v>0</v>
          </cell>
          <cell r="J64">
            <v>0.15140000000000001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DOM AUT AU00A</v>
          </cell>
          <cell r="B65" t="str">
            <v>Business Talk</v>
          </cell>
          <cell r="C65" t="str">
            <v>Austria Premium Band10</v>
          </cell>
          <cell r="D65" t="str">
            <v>Off-net domestic</v>
          </cell>
          <cell r="E65" t="str">
            <v>minute</v>
          </cell>
          <cell r="F65">
            <v>1</v>
          </cell>
          <cell r="G65">
            <v>1</v>
          </cell>
          <cell r="H65">
            <v>0</v>
          </cell>
          <cell r="I65">
            <v>0</v>
          </cell>
          <cell r="J65">
            <v>0.60560000000000003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DOM AUT AU00B</v>
          </cell>
          <cell r="B66" t="str">
            <v>Business Talk</v>
          </cell>
          <cell r="C66" t="str">
            <v>Austria Premium Band11</v>
          </cell>
          <cell r="D66" t="str">
            <v>Off-net domestic</v>
          </cell>
          <cell r="E66" t="str">
            <v>minute</v>
          </cell>
          <cell r="F66">
            <v>1</v>
          </cell>
          <cell r="G66">
            <v>1</v>
          </cell>
          <cell r="H66">
            <v>0</v>
          </cell>
          <cell r="I66">
            <v>0</v>
          </cell>
          <cell r="J66">
            <v>0.67589999999999995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DOM AUT AU00C</v>
          </cell>
          <cell r="B67" t="str">
            <v>Business Talk</v>
          </cell>
          <cell r="C67" t="str">
            <v>Austria Premium Band12</v>
          </cell>
          <cell r="D67" t="str">
            <v>Off-net domestic</v>
          </cell>
          <cell r="E67" t="str">
            <v>minute</v>
          </cell>
          <cell r="F67">
            <v>1</v>
          </cell>
          <cell r="G67">
            <v>1</v>
          </cell>
          <cell r="H67">
            <v>0</v>
          </cell>
          <cell r="I67">
            <v>0</v>
          </cell>
          <cell r="J67">
            <v>0.72670000000000001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DOM AUT AU00D</v>
          </cell>
          <cell r="B68" t="str">
            <v>Business Talk</v>
          </cell>
          <cell r="C68" t="str">
            <v>Austria Premium Band13</v>
          </cell>
          <cell r="D68" t="str">
            <v>Off-net domestic</v>
          </cell>
          <cell r="E68" t="str">
            <v>minute</v>
          </cell>
          <cell r="F68">
            <v>1</v>
          </cell>
          <cell r="G68">
            <v>1</v>
          </cell>
          <cell r="H68">
            <v>0</v>
          </cell>
          <cell r="I68">
            <v>0</v>
          </cell>
          <cell r="J68">
            <v>0.90110000000000001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DOM AUT AU00E</v>
          </cell>
          <cell r="B69" t="str">
            <v>Business Talk</v>
          </cell>
          <cell r="C69" t="str">
            <v>Austria Premium Band14</v>
          </cell>
          <cell r="D69" t="str">
            <v>Off-net domestic</v>
          </cell>
          <cell r="E69" t="str">
            <v>minute</v>
          </cell>
          <cell r="F69">
            <v>1</v>
          </cell>
          <cell r="G69">
            <v>1</v>
          </cell>
          <cell r="H69">
            <v>0</v>
          </cell>
          <cell r="I69">
            <v>0</v>
          </cell>
          <cell r="J69">
            <v>1.1264000000000001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DOM AUT AU00F</v>
          </cell>
          <cell r="B70" t="str">
            <v>Business Talk</v>
          </cell>
          <cell r="C70" t="str">
            <v>Austria Premium Band15</v>
          </cell>
          <cell r="D70" t="str">
            <v>Off-net domestic</v>
          </cell>
          <cell r="E70" t="str">
            <v>minute</v>
          </cell>
          <cell r="F70">
            <v>1</v>
          </cell>
          <cell r="G70">
            <v>1</v>
          </cell>
          <cell r="H70">
            <v>0</v>
          </cell>
          <cell r="I70">
            <v>0</v>
          </cell>
          <cell r="J70">
            <v>1.2954000000000001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DOM AUT AU00G</v>
          </cell>
          <cell r="B71" t="str">
            <v>Business Talk</v>
          </cell>
          <cell r="C71" t="str">
            <v>Austria Premium Band16</v>
          </cell>
          <cell r="D71" t="str">
            <v>Off-net domestic</v>
          </cell>
          <cell r="E71" t="str">
            <v>minute</v>
          </cell>
          <cell r="F71">
            <v>1</v>
          </cell>
          <cell r="G71">
            <v>1</v>
          </cell>
          <cell r="H71">
            <v>0</v>
          </cell>
          <cell r="I71">
            <v>0</v>
          </cell>
          <cell r="J71">
            <v>1.5013000000000001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DOM AUT AU00H</v>
          </cell>
          <cell r="B72" t="str">
            <v>Business Talk</v>
          </cell>
          <cell r="C72" t="str">
            <v>Austria Premium Band17</v>
          </cell>
          <cell r="D72" t="str">
            <v>Off-net domestic</v>
          </cell>
          <cell r="E72" t="str">
            <v>minute</v>
          </cell>
          <cell r="F72">
            <v>1</v>
          </cell>
          <cell r="G72">
            <v>1</v>
          </cell>
          <cell r="H72">
            <v>0</v>
          </cell>
          <cell r="I72">
            <v>0</v>
          </cell>
          <cell r="J72">
            <v>1.8023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DOM AUT AU00I</v>
          </cell>
          <cell r="B73" t="str">
            <v>Business Talk</v>
          </cell>
          <cell r="C73" t="str">
            <v>Austria Premium Band18</v>
          </cell>
          <cell r="D73" t="str">
            <v>Off-net domestic</v>
          </cell>
          <cell r="E73" t="str">
            <v>minute</v>
          </cell>
          <cell r="F73">
            <v>1</v>
          </cell>
          <cell r="G73">
            <v>1</v>
          </cell>
          <cell r="H73">
            <v>0</v>
          </cell>
          <cell r="I73">
            <v>0</v>
          </cell>
          <cell r="J73">
            <v>3.028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DOM AUT AU002</v>
          </cell>
          <cell r="B74" t="str">
            <v>Business Talk</v>
          </cell>
          <cell r="C74" t="str">
            <v>Austria Premium Band2</v>
          </cell>
          <cell r="D74" t="str">
            <v>Off-net domestic</v>
          </cell>
          <cell r="E74" t="str">
            <v>minute</v>
          </cell>
          <cell r="F74">
            <v>1</v>
          </cell>
          <cell r="G74">
            <v>1</v>
          </cell>
          <cell r="H74">
            <v>0</v>
          </cell>
          <cell r="I74">
            <v>0</v>
          </cell>
          <cell r="J74">
            <v>0.1817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DOM AUT AU003</v>
          </cell>
          <cell r="B75" t="str">
            <v>Business Talk</v>
          </cell>
          <cell r="C75" t="str">
            <v>Austria Premium Band3</v>
          </cell>
          <cell r="D75" t="str">
            <v>Off-net domestic</v>
          </cell>
          <cell r="E75" t="str">
            <v>minute</v>
          </cell>
          <cell r="F75">
            <v>1</v>
          </cell>
          <cell r="G75">
            <v>1</v>
          </cell>
          <cell r="H75">
            <v>0</v>
          </cell>
          <cell r="I75">
            <v>0</v>
          </cell>
          <cell r="J75">
            <v>0.2253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 t="str">
            <v>DOM AUT AU004</v>
          </cell>
          <cell r="B76" t="str">
            <v>Business Talk</v>
          </cell>
          <cell r="C76" t="str">
            <v>Austria Premium Band4</v>
          </cell>
          <cell r="D76" t="str">
            <v>Off-net domestic</v>
          </cell>
          <cell r="E76" t="str">
            <v>minute</v>
          </cell>
          <cell r="F76">
            <v>1</v>
          </cell>
          <cell r="G76">
            <v>1</v>
          </cell>
          <cell r="H76">
            <v>0</v>
          </cell>
          <cell r="I76">
            <v>0</v>
          </cell>
          <cell r="J76">
            <v>0.27010000000000001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A77" t="str">
            <v>DOM AUT AU005</v>
          </cell>
          <cell r="B77" t="str">
            <v>Business Talk</v>
          </cell>
          <cell r="C77" t="str">
            <v>Austria Premium Band5</v>
          </cell>
          <cell r="D77" t="str">
            <v>Off-net domestic</v>
          </cell>
          <cell r="E77" t="str">
            <v>minute</v>
          </cell>
          <cell r="F77">
            <v>1</v>
          </cell>
          <cell r="G77">
            <v>1</v>
          </cell>
          <cell r="H77">
            <v>0</v>
          </cell>
          <cell r="I77">
            <v>0</v>
          </cell>
          <cell r="J77">
            <v>0.32100000000000001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DOM AUT AU006</v>
          </cell>
          <cell r="B78" t="str">
            <v>Business Talk</v>
          </cell>
          <cell r="C78" t="str">
            <v>Austria Premium Band6</v>
          </cell>
          <cell r="D78" t="str">
            <v>Off-net domestic</v>
          </cell>
          <cell r="E78" t="str">
            <v>minute</v>
          </cell>
          <cell r="F78">
            <v>1</v>
          </cell>
          <cell r="G78">
            <v>1</v>
          </cell>
          <cell r="H78">
            <v>0</v>
          </cell>
          <cell r="I78">
            <v>0</v>
          </cell>
          <cell r="J78">
            <v>0.37490000000000001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DOM AUT AU007</v>
          </cell>
          <cell r="B79" t="str">
            <v>Business Talk</v>
          </cell>
          <cell r="C79" t="str">
            <v>Austria Premium Band7</v>
          </cell>
          <cell r="D79" t="str">
            <v>Off-net domestic</v>
          </cell>
          <cell r="E79" t="str">
            <v>minute</v>
          </cell>
          <cell r="F79">
            <v>1</v>
          </cell>
          <cell r="G79">
            <v>1</v>
          </cell>
          <cell r="H79">
            <v>0</v>
          </cell>
          <cell r="I79">
            <v>0</v>
          </cell>
          <cell r="J79">
            <v>0.43909999999999999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A80" t="str">
            <v>DOM AUT AU008</v>
          </cell>
          <cell r="B80" t="str">
            <v>Business Talk</v>
          </cell>
          <cell r="C80" t="str">
            <v>Austria Premium Band8</v>
          </cell>
          <cell r="D80" t="str">
            <v>Off-net domestic</v>
          </cell>
          <cell r="E80" t="str">
            <v>minute</v>
          </cell>
          <cell r="F80">
            <v>1</v>
          </cell>
          <cell r="G80">
            <v>1</v>
          </cell>
          <cell r="H80">
            <v>0</v>
          </cell>
          <cell r="I80">
            <v>0</v>
          </cell>
          <cell r="J80">
            <v>0.50690000000000002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DOM AUT AU009</v>
          </cell>
          <cell r="B81" t="str">
            <v>Business Talk</v>
          </cell>
          <cell r="C81" t="str">
            <v>Austria Premium Band9</v>
          </cell>
          <cell r="D81" t="str">
            <v>Off-net domestic</v>
          </cell>
          <cell r="E81" t="str">
            <v>minute</v>
          </cell>
          <cell r="F81">
            <v>1</v>
          </cell>
          <cell r="G81">
            <v>1</v>
          </cell>
          <cell r="H81">
            <v>0</v>
          </cell>
          <cell r="I81">
            <v>0</v>
          </cell>
          <cell r="J81">
            <v>0.56320000000000003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DOM AUT AU011</v>
          </cell>
          <cell r="B82" t="str">
            <v>Business Talk</v>
          </cell>
          <cell r="C82" t="str">
            <v>Austria Premium(901/931) Band1</v>
          </cell>
          <cell r="D82" t="str">
            <v>Off-net domestic</v>
          </cell>
          <cell r="E82" t="str">
            <v>call</v>
          </cell>
          <cell r="F82">
            <v>1</v>
          </cell>
          <cell r="G82">
            <v>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8.3299999999999999E-2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DOM AUT AU012</v>
          </cell>
          <cell r="B83" t="str">
            <v>Business Talk</v>
          </cell>
          <cell r="C83" t="str">
            <v>Austria Premium(901/931) Band2</v>
          </cell>
          <cell r="D83" t="str">
            <v>Off-net domestic</v>
          </cell>
          <cell r="E83" t="str">
            <v>call</v>
          </cell>
          <cell r="F83">
            <v>1</v>
          </cell>
          <cell r="G83">
            <v>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0.16669999999999999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DOM AUT AU013</v>
          </cell>
          <cell r="B84" t="str">
            <v>Business Talk</v>
          </cell>
          <cell r="C84" t="str">
            <v>Austria Premium(901/931) Band3</v>
          </cell>
          <cell r="D84" t="str">
            <v>Off-net domestic</v>
          </cell>
          <cell r="E84" t="str">
            <v>call</v>
          </cell>
          <cell r="F84">
            <v>1</v>
          </cell>
          <cell r="G84">
            <v>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0.25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DOM AUT AU014</v>
          </cell>
          <cell r="B85" t="str">
            <v>Business Talk</v>
          </cell>
          <cell r="C85" t="str">
            <v>Austria Premium(901/931) Band4</v>
          </cell>
          <cell r="D85" t="str">
            <v>Off-net domestic</v>
          </cell>
          <cell r="E85" t="str">
            <v>call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0.33329999999999999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DOM AUT AU015</v>
          </cell>
          <cell r="B86" t="str">
            <v>Business Talk</v>
          </cell>
          <cell r="C86" t="str">
            <v>Austria Premium(901/931) Band5</v>
          </cell>
          <cell r="D86" t="str">
            <v>Off-net domestic</v>
          </cell>
          <cell r="E86" t="str">
            <v>call</v>
          </cell>
          <cell r="F86">
            <v>1</v>
          </cell>
          <cell r="G86">
            <v>1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0.41670000000000001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DOM AUT AU016</v>
          </cell>
          <cell r="B87" t="str">
            <v>Business Talk</v>
          </cell>
          <cell r="C87" t="str">
            <v>Austria Premium(901/931) Band6</v>
          </cell>
          <cell r="D87" t="str">
            <v>Off-net domestic</v>
          </cell>
          <cell r="E87" t="str">
            <v>call</v>
          </cell>
          <cell r="F87">
            <v>1</v>
          </cell>
          <cell r="G87">
            <v>1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DOM AUT AU017</v>
          </cell>
          <cell r="B88" t="str">
            <v>Business Talk</v>
          </cell>
          <cell r="C88" t="str">
            <v>Austria Premium(901/931) Band7</v>
          </cell>
          <cell r="D88" t="str">
            <v>Off-net domestic</v>
          </cell>
          <cell r="E88" t="str">
            <v>call</v>
          </cell>
          <cell r="F88">
            <v>1</v>
          </cell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0.58330000000000004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DOM AUT AU018</v>
          </cell>
          <cell r="B89" t="str">
            <v>Business Talk</v>
          </cell>
          <cell r="C89" t="str">
            <v>Austria Premium(901/931) Band8</v>
          </cell>
          <cell r="D89" t="str">
            <v>Off-net domestic</v>
          </cell>
          <cell r="E89" t="str">
            <v>call</v>
          </cell>
          <cell r="F89">
            <v>1</v>
          </cell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0.66669999999999996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DOM AUT AU019</v>
          </cell>
          <cell r="B90" t="str">
            <v>Business Talk</v>
          </cell>
          <cell r="C90" t="str">
            <v>Austria Premium(901/931) Band9</v>
          </cell>
          <cell r="D90" t="str">
            <v>Off-net domestic</v>
          </cell>
          <cell r="E90" t="str">
            <v>call</v>
          </cell>
          <cell r="F90">
            <v>1</v>
          </cell>
          <cell r="G90">
            <v>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0.75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DOM AUT AU01A</v>
          </cell>
          <cell r="B91" t="str">
            <v>Business Talk</v>
          </cell>
          <cell r="C91" t="str">
            <v>Austria Premium(901/931)Band10</v>
          </cell>
          <cell r="D91" t="str">
            <v>Off-net domestic</v>
          </cell>
          <cell r="E91" t="str">
            <v>call</v>
          </cell>
          <cell r="F91">
            <v>1</v>
          </cell>
          <cell r="G91">
            <v>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0.83330000000000004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A92" t="str">
            <v>DOM AUT AU01B</v>
          </cell>
          <cell r="B92" t="str">
            <v>Business Talk</v>
          </cell>
          <cell r="C92" t="str">
            <v>Austria Premium(901/931)Band11</v>
          </cell>
          <cell r="D92" t="str">
            <v>Off-net domestic</v>
          </cell>
          <cell r="E92" t="str">
            <v>call</v>
          </cell>
          <cell r="F92">
            <v>1</v>
          </cell>
          <cell r="G92">
            <v>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1.6667000000000001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A93" t="str">
            <v>DOM AUT AU01C</v>
          </cell>
          <cell r="B93" t="str">
            <v>Business Talk</v>
          </cell>
          <cell r="C93" t="str">
            <v>Austria Premium(901/931)Band12</v>
          </cell>
          <cell r="D93" t="str">
            <v>Off-net domestic</v>
          </cell>
          <cell r="E93" t="str">
            <v>call</v>
          </cell>
          <cell r="F93">
            <v>1</v>
          </cell>
          <cell r="G93">
            <v>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2.5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DOM AUT AU01D</v>
          </cell>
          <cell r="B94" t="str">
            <v>Business Talk</v>
          </cell>
          <cell r="C94" t="str">
            <v>Austria Premium(901/931)Band13</v>
          </cell>
          <cell r="D94" t="str">
            <v>Off-net domestic</v>
          </cell>
          <cell r="E94" t="str">
            <v>call</v>
          </cell>
          <cell r="F94">
            <v>1</v>
          </cell>
          <cell r="G94">
            <v>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3.3332000000000002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DOM AUT AU01E</v>
          </cell>
          <cell r="B95" t="str">
            <v>Business Talk</v>
          </cell>
          <cell r="C95" t="str">
            <v>Austria Premium(901/931)Band14</v>
          </cell>
          <cell r="D95" t="str">
            <v>Off-net domestic</v>
          </cell>
          <cell r="E95" t="str">
            <v>call</v>
          </cell>
          <cell r="F95">
            <v>1</v>
          </cell>
          <cell r="G95">
            <v>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4.1665000000000001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DOM AUT AU01F</v>
          </cell>
          <cell r="B96" t="str">
            <v>Business Talk</v>
          </cell>
          <cell r="C96" t="str">
            <v>Austria Premium(901/931)Band15</v>
          </cell>
          <cell r="D96" t="str">
            <v>Off-net domestic</v>
          </cell>
          <cell r="E96" t="str">
            <v>call</v>
          </cell>
          <cell r="F96">
            <v>1</v>
          </cell>
          <cell r="G96">
            <v>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5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DOM AUT AU01G</v>
          </cell>
          <cell r="B97" t="str">
            <v>Business Talk</v>
          </cell>
          <cell r="C97" t="str">
            <v>Austria Premium(901/931)Band16</v>
          </cell>
          <cell r="D97" t="str">
            <v>Off-net domestic</v>
          </cell>
          <cell r="E97" t="str">
            <v>call</v>
          </cell>
          <cell r="F97">
            <v>1</v>
          </cell>
          <cell r="G97">
            <v>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5.8333000000000004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A98" t="str">
            <v>DOM AUT AU01H</v>
          </cell>
          <cell r="B98" t="str">
            <v>Business Talk</v>
          </cell>
          <cell r="C98" t="str">
            <v>Austria Premium(901/931)Band17</v>
          </cell>
          <cell r="D98" t="str">
            <v>Off-net domestic</v>
          </cell>
          <cell r="E98" t="str">
            <v>call</v>
          </cell>
          <cell r="F98">
            <v>1</v>
          </cell>
          <cell r="G98">
            <v>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6.6665000000000001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DOM AUT AU01I</v>
          </cell>
          <cell r="B99" t="str">
            <v>Business Talk</v>
          </cell>
          <cell r="C99" t="str">
            <v>Austria Premium(901/931)Band18</v>
          </cell>
          <cell r="D99" t="str">
            <v>Off-net domestic</v>
          </cell>
          <cell r="E99" t="str">
            <v>call</v>
          </cell>
          <cell r="F99">
            <v>1</v>
          </cell>
          <cell r="G99">
            <v>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7.5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A100" t="str">
            <v>DOM AUT AU101</v>
          </cell>
          <cell r="B100" t="str">
            <v>Business Talk</v>
          </cell>
          <cell r="C100" t="str">
            <v>Austria Shared (810) Band1</v>
          </cell>
          <cell r="D100" t="str">
            <v>Off-net domestic</v>
          </cell>
          <cell r="E100" t="str">
            <v>minute</v>
          </cell>
          <cell r="F100">
            <v>1</v>
          </cell>
          <cell r="G100">
            <v>1</v>
          </cell>
          <cell r="H100">
            <v>0</v>
          </cell>
          <cell r="I100">
            <v>0</v>
          </cell>
          <cell r="J100">
            <v>1.8200000000000001E-2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DOM AUT AU102</v>
          </cell>
          <cell r="B101" t="str">
            <v>Business Talk</v>
          </cell>
          <cell r="C101" t="str">
            <v>Austria Shared (810) Band2</v>
          </cell>
          <cell r="D101" t="str">
            <v>Off-net domestic</v>
          </cell>
          <cell r="E101" t="str">
            <v>minute</v>
          </cell>
          <cell r="F101">
            <v>1</v>
          </cell>
          <cell r="G101">
            <v>1</v>
          </cell>
          <cell r="H101">
            <v>0</v>
          </cell>
          <cell r="I101">
            <v>0</v>
          </cell>
          <cell r="J101">
            <v>3.6299999999999999E-2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 t="str">
            <v>DOM AUT AU103</v>
          </cell>
          <cell r="B102" t="str">
            <v>Business Talk</v>
          </cell>
          <cell r="C102" t="str">
            <v>Austria Shared (810) Band3</v>
          </cell>
          <cell r="D102" t="str">
            <v>Off-net domestic</v>
          </cell>
          <cell r="E102" t="str">
            <v>minute</v>
          </cell>
          <cell r="F102">
            <v>1</v>
          </cell>
          <cell r="G102">
            <v>1</v>
          </cell>
          <cell r="H102">
            <v>0</v>
          </cell>
          <cell r="I102">
            <v>0</v>
          </cell>
          <cell r="J102">
            <v>5.6300000000000003E-2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DOM AUT AU104</v>
          </cell>
          <cell r="B103" t="str">
            <v>Business Talk</v>
          </cell>
          <cell r="C103" t="str">
            <v>Austria Shared (810) Band4</v>
          </cell>
          <cell r="D103" t="str">
            <v>Off-net domestic</v>
          </cell>
          <cell r="E103" t="str">
            <v>minute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6.0600000000000001E-2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DOM AUT AU105</v>
          </cell>
          <cell r="B104" t="str">
            <v>Business Talk</v>
          </cell>
          <cell r="C104" t="str">
            <v>Austria Shared (810) Band5</v>
          </cell>
          <cell r="D104" t="str">
            <v>Off-net domestic</v>
          </cell>
          <cell r="E104" t="str">
            <v>minute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8.3299999999999999E-2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DOM AUT AU201</v>
          </cell>
          <cell r="B105" t="str">
            <v>Business Talk</v>
          </cell>
          <cell r="C105" t="str">
            <v>Austria Shared (820) Band1</v>
          </cell>
          <cell r="D105" t="str">
            <v>Off-net domestic</v>
          </cell>
          <cell r="E105" t="str">
            <v>minute</v>
          </cell>
          <cell r="F105">
            <v>1</v>
          </cell>
          <cell r="G105">
            <v>1</v>
          </cell>
          <cell r="H105">
            <v>0</v>
          </cell>
          <cell r="I105">
            <v>0</v>
          </cell>
          <cell r="J105">
            <v>7.8700000000000006E-2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DOM AUT AU202</v>
          </cell>
          <cell r="B106" t="str">
            <v>Business Talk</v>
          </cell>
          <cell r="C106" t="str">
            <v>Austria Shared (820) Band2</v>
          </cell>
          <cell r="D106" t="str">
            <v>Off-net domestic</v>
          </cell>
          <cell r="E106" t="str">
            <v>minute</v>
          </cell>
          <cell r="F106">
            <v>1</v>
          </cell>
          <cell r="G106">
            <v>1</v>
          </cell>
          <cell r="H106">
            <v>0</v>
          </cell>
          <cell r="I106">
            <v>0</v>
          </cell>
          <cell r="J106">
            <v>9.69E-2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DOM AUT AU203</v>
          </cell>
          <cell r="B107" t="str">
            <v>Business Talk</v>
          </cell>
          <cell r="C107" t="str">
            <v>Austria Shared (820) Band3</v>
          </cell>
          <cell r="D107" t="str">
            <v>Off-net domestic</v>
          </cell>
          <cell r="E107" t="str">
            <v>minute</v>
          </cell>
          <cell r="F107">
            <v>1</v>
          </cell>
          <cell r="G107">
            <v>1</v>
          </cell>
          <cell r="H107">
            <v>0</v>
          </cell>
          <cell r="I107">
            <v>0</v>
          </cell>
          <cell r="J107">
            <v>0.1211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DOM AUT AU204</v>
          </cell>
          <cell r="B108" t="str">
            <v>Business Talk</v>
          </cell>
          <cell r="C108" t="str">
            <v>Austria Shared (820) Band4</v>
          </cell>
          <cell r="D108" t="str">
            <v>Off-net domestic</v>
          </cell>
          <cell r="E108" t="str">
            <v>minute</v>
          </cell>
          <cell r="F108">
            <v>1</v>
          </cell>
          <cell r="G108">
            <v>1</v>
          </cell>
          <cell r="H108">
            <v>0</v>
          </cell>
          <cell r="I108">
            <v>0</v>
          </cell>
          <cell r="J108">
            <v>0.16669999999999999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A109" t="str">
            <v>DOM AUT AU211</v>
          </cell>
          <cell r="B109" t="str">
            <v>Business Talk</v>
          </cell>
          <cell r="C109" t="str">
            <v>Austria Shared (821) Band1</v>
          </cell>
          <cell r="D109" t="str">
            <v>Off-net domestic</v>
          </cell>
          <cell r="E109" t="str">
            <v>call</v>
          </cell>
          <cell r="F109">
            <v>1</v>
          </cell>
          <cell r="G109">
            <v>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8.3299999999999999E-2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A110" t="str">
            <v>DOM AUT AU212</v>
          </cell>
          <cell r="B110" t="str">
            <v>Business Talk</v>
          </cell>
          <cell r="C110" t="str">
            <v>Austria Shared (821) Band2</v>
          </cell>
          <cell r="D110" t="str">
            <v>Off-net domestic</v>
          </cell>
          <cell r="E110" t="str">
            <v>call</v>
          </cell>
          <cell r="F110">
            <v>1</v>
          </cell>
          <cell r="G110">
            <v>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0.16669999999999999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DOM AUT AUFRE</v>
          </cell>
          <cell r="B111" t="str">
            <v>Business Talk</v>
          </cell>
          <cell r="C111" t="str">
            <v>Austria Toll Free</v>
          </cell>
          <cell r="D111" t="str">
            <v>Off-net domestic</v>
          </cell>
          <cell r="E111" t="str">
            <v>minute</v>
          </cell>
          <cell r="F111">
            <v>1</v>
          </cell>
          <cell r="G111">
            <v>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A112" t="str">
            <v>DOM AUT AUWC</v>
          </cell>
          <cell r="B112" t="str">
            <v>Business Talk</v>
          </cell>
          <cell r="C112" t="str">
            <v>Austria Warning Center</v>
          </cell>
          <cell r="D112" t="str">
            <v>Off-net domestic</v>
          </cell>
          <cell r="E112" t="str">
            <v>minute</v>
          </cell>
          <cell r="F112">
            <v>1</v>
          </cell>
          <cell r="G112">
            <v>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DOM BHR FIX</v>
          </cell>
          <cell r="B113" t="str">
            <v>Business Talk</v>
          </cell>
          <cell r="C113" t="str">
            <v>Bahrain</v>
          </cell>
          <cell r="D113" t="str">
            <v>Off-net domestic</v>
          </cell>
          <cell r="E113" t="str">
            <v>minute</v>
          </cell>
          <cell r="F113">
            <v>1</v>
          </cell>
          <cell r="G113">
            <v>1</v>
          </cell>
          <cell r="H113">
            <v>0</v>
          </cell>
          <cell r="I113">
            <v>0</v>
          </cell>
          <cell r="J113">
            <v>8.7300000000000003E-2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DOM BEL BXL</v>
          </cell>
          <cell r="B114" t="str">
            <v>Business Talk</v>
          </cell>
          <cell r="C114" t="str">
            <v>Belgium National</v>
          </cell>
          <cell r="D114" t="str">
            <v>Off-net domestic</v>
          </cell>
          <cell r="E114" t="str">
            <v>minute</v>
          </cell>
          <cell r="F114">
            <v>1</v>
          </cell>
          <cell r="G114">
            <v>1</v>
          </cell>
          <cell r="H114">
            <v>0</v>
          </cell>
          <cell r="I114">
            <v>0</v>
          </cell>
          <cell r="J114">
            <v>2.3800000000000002E-2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DOM BEL MOBS</v>
          </cell>
          <cell r="B115" t="str">
            <v>Business Talk</v>
          </cell>
          <cell r="C115" t="str">
            <v>Belgium Mobile Base</v>
          </cell>
          <cell r="D115" t="str">
            <v>Off-net domestic</v>
          </cell>
          <cell r="E115" t="str">
            <v>minute</v>
          </cell>
          <cell r="F115">
            <v>1</v>
          </cell>
          <cell r="G115">
            <v>1</v>
          </cell>
          <cell r="H115">
            <v>0</v>
          </cell>
          <cell r="I115">
            <v>0</v>
          </cell>
          <cell r="J115">
            <v>2.06E-2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6">
          <cell r="A116" t="str">
            <v>DOM BEL MOBM</v>
          </cell>
          <cell r="B116" t="str">
            <v>Business Talk</v>
          </cell>
          <cell r="C116" t="str">
            <v>Belgium Mobile Mobistar</v>
          </cell>
          <cell r="D116" t="str">
            <v>Off-net domestic</v>
          </cell>
          <cell r="E116" t="str">
            <v>minute</v>
          </cell>
          <cell r="F116">
            <v>1</v>
          </cell>
          <cell r="G116">
            <v>1</v>
          </cell>
          <cell r="H116">
            <v>0</v>
          </cell>
          <cell r="I116">
            <v>0</v>
          </cell>
          <cell r="J116">
            <v>2.06E-2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DOM BEL MOBO</v>
          </cell>
          <cell r="B117" t="str">
            <v>Business Talk</v>
          </cell>
          <cell r="C117" t="str">
            <v>Belgium Mobile Other</v>
          </cell>
          <cell r="D117" t="str">
            <v>Off-net domestic</v>
          </cell>
          <cell r="E117" t="str">
            <v>minute</v>
          </cell>
          <cell r="F117">
            <v>1</v>
          </cell>
          <cell r="G117">
            <v>1</v>
          </cell>
          <cell r="H117">
            <v>0</v>
          </cell>
          <cell r="I117">
            <v>0</v>
          </cell>
          <cell r="J117">
            <v>2.06E-2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 t="str">
            <v>DOM BEL MOPX</v>
          </cell>
          <cell r="B118" t="str">
            <v>Business Talk</v>
          </cell>
          <cell r="C118" t="str">
            <v>Belgium Mobile Proximus</v>
          </cell>
          <cell r="D118" t="str">
            <v>Off-net domestic</v>
          </cell>
          <cell r="E118" t="str">
            <v>minute</v>
          </cell>
          <cell r="F118">
            <v>1</v>
          </cell>
          <cell r="G118">
            <v>1</v>
          </cell>
          <cell r="H118">
            <v>0</v>
          </cell>
          <cell r="I118">
            <v>0</v>
          </cell>
          <cell r="J118">
            <v>2.06E-2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 t="str">
            <v>DOM BEL BGASH</v>
          </cell>
          <cell r="B119" t="str">
            <v>Business Talk</v>
          </cell>
          <cell r="C119" t="str">
            <v>Belgium Astrid Helpline Servic</v>
          </cell>
          <cell r="D119" t="str">
            <v>Off-net domestic</v>
          </cell>
          <cell r="E119" t="str">
            <v>minute</v>
          </cell>
          <cell r="F119">
            <v>1</v>
          </cell>
          <cell r="G119">
            <v>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DOM BEL EAS3</v>
          </cell>
          <cell r="B120" t="str">
            <v>Business Talk</v>
          </cell>
          <cell r="C120" t="str">
            <v>Belgium Children Helpline</v>
          </cell>
          <cell r="D120" t="str">
            <v>Off-net domestic</v>
          </cell>
          <cell r="E120" t="str">
            <v>call</v>
          </cell>
          <cell r="F120">
            <v>1</v>
          </cell>
          <cell r="G120">
            <v>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DOM BEL EAS4</v>
          </cell>
          <cell r="B121" t="str">
            <v>Business Talk</v>
          </cell>
          <cell r="C121" t="str">
            <v>Belgium Crisis Line</v>
          </cell>
          <cell r="D121" t="str">
            <v>Off-net domestic</v>
          </cell>
          <cell r="E121" t="str">
            <v>call</v>
          </cell>
          <cell r="F121">
            <v>1</v>
          </cell>
          <cell r="G121">
            <v>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DOM BEL EDD</v>
          </cell>
          <cell r="B122" t="str">
            <v>Business Talk</v>
          </cell>
          <cell r="C122" t="str">
            <v>Belgium Directory Dutch</v>
          </cell>
          <cell r="D122" t="str">
            <v>Off-net domestic</v>
          </cell>
          <cell r="E122" t="str">
            <v>minute &amp; call</v>
          </cell>
          <cell r="F122">
            <v>1</v>
          </cell>
          <cell r="G122">
            <v>1</v>
          </cell>
          <cell r="H122">
            <v>0</v>
          </cell>
          <cell r="I122">
            <v>0</v>
          </cell>
          <cell r="J122">
            <v>0.2606</v>
          </cell>
          <cell r="K122">
            <v>0</v>
          </cell>
          <cell r="L122">
            <v>2.4586000000000001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DOM BEL EDE</v>
          </cell>
          <cell r="B123" t="str">
            <v>Business Talk</v>
          </cell>
          <cell r="C123" t="str">
            <v>Belgium Directory English</v>
          </cell>
          <cell r="D123" t="str">
            <v>Off-net domestic</v>
          </cell>
          <cell r="E123" t="str">
            <v>minute &amp; call</v>
          </cell>
          <cell r="F123">
            <v>1</v>
          </cell>
          <cell r="G123">
            <v>1</v>
          </cell>
          <cell r="H123">
            <v>0</v>
          </cell>
          <cell r="I123">
            <v>0</v>
          </cell>
          <cell r="J123">
            <v>0.2606</v>
          </cell>
          <cell r="K123">
            <v>0</v>
          </cell>
          <cell r="L123">
            <v>2.4586000000000001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DOM BEL EDF</v>
          </cell>
          <cell r="B124" t="str">
            <v>Business Talk</v>
          </cell>
          <cell r="C124" t="str">
            <v>Belgium Directory French</v>
          </cell>
          <cell r="D124" t="str">
            <v>Off-net domestic</v>
          </cell>
          <cell r="E124" t="str">
            <v>minute &amp; call</v>
          </cell>
          <cell r="F124">
            <v>1</v>
          </cell>
          <cell r="G124">
            <v>1</v>
          </cell>
          <cell r="H124">
            <v>0</v>
          </cell>
          <cell r="I124">
            <v>0</v>
          </cell>
          <cell r="J124">
            <v>0.2606</v>
          </cell>
          <cell r="K124">
            <v>0</v>
          </cell>
          <cell r="L124">
            <v>2.4586000000000001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DOM BEL EDO</v>
          </cell>
          <cell r="B125" t="str">
            <v>Business Talk</v>
          </cell>
          <cell r="C125" t="str">
            <v>Belgium Directory Other</v>
          </cell>
          <cell r="D125" t="str">
            <v>Off-net domestic</v>
          </cell>
          <cell r="E125" t="str">
            <v>minute &amp; call</v>
          </cell>
          <cell r="F125">
            <v>1</v>
          </cell>
          <cell r="G125">
            <v>1</v>
          </cell>
          <cell r="H125">
            <v>0</v>
          </cell>
          <cell r="I125">
            <v>0</v>
          </cell>
          <cell r="J125">
            <v>0.2606</v>
          </cell>
          <cell r="K125">
            <v>0</v>
          </cell>
          <cell r="L125">
            <v>2.4586000000000001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DOM BEL EAS1</v>
          </cell>
          <cell r="B126" t="str">
            <v>Business Talk</v>
          </cell>
          <cell r="C126" t="str">
            <v>Belgium Emergency</v>
          </cell>
          <cell r="D126" t="str">
            <v>Off-net domestic</v>
          </cell>
          <cell r="E126" t="str">
            <v>minute</v>
          </cell>
          <cell r="F126">
            <v>1</v>
          </cell>
          <cell r="G126">
            <v>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DOM BEL EAS2</v>
          </cell>
          <cell r="B127" t="str">
            <v>Business Talk</v>
          </cell>
          <cell r="C127" t="str">
            <v>Belgium Emergency Red Cross</v>
          </cell>
          <cell r="D127" t="str">
            <v>Off-net domestic</v>
          </cell>
          <cell r="E127" t="str">
            <v>call</v>
          </cell>
          <cell r="F127">
            <v>1</v>
          </cell>
          <cell r="G127">
            <v>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DOM BEL BGHLP</v>
          </cell>
          <cell r="B128" t="str">
            <v>Business Talk</v>
          </cell>
          <cell r="C128" t="str">
            <v>Belgium Eu Helpline Services</v>
          </cell>
          <cell r="D128" t="str">
            <v>Off-net domestic</v>
          </cell>
          <cell r="E128" t="str">
            <v>minute</v>
          </cell>
          <cell r="F128">
            <v>1</v>
          </cell>
          <cell r="G128">
            <v>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DOM BEL PSN</v>
          </cell>
          <cell r="B129" t="str">
            <v>Business Talk</v>
          </cell>
          <cell r="C129" t="str">
            <v>Belgium Personal Number</v>
          </cell>
          <cell r="D129" t="str">
            <v>Off-net domestic</v>
          </cell>
          <cell r="E129" t="str">
            <v>minute</v>
          </cell>
          <cell r="F129">
            <v>1</v>
          </cell>
          <cell r="G129">
            <v>1</v>
          </cell>
          <cell r="H129">
            <v>0</v>
          </cell>
          <cell r="I129">
            <v>0</v>
          </cell>
          <cell r="J129">
            <v>0.3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A130" t="str">
            <v>DOM BEL PRM1</v>
          </cell>
          <cell r="B130" t="str">
            <v>Business Talk</v>
          </cell>
          <cell r="C130" t="str">
            <v>Belgium Premium Rate 1</v>
          </cell>
          <cell r="D130" t="str">
            <v>Off-net domestic</v>
          </cell>
          <cell r="E130" t="str">
            <v>minute</v>
          </cell>
          <cell r="F130">
            <v>1</v>
          </cell>
          <cell r="G130">
            <v>1</v>
          </cell>
          <cell r="H130">
            <v>0</v>
          </cell>
          <cell r="I130">
            <v>0</v>
          </cell>
          <cell r="J130">
            <v>0.41799999999999998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DOM BEL PRM2</v>
          </cell>
          <cell r="B131" t="str">
            <v>Business Talk</v>
          </cell>
          <cell r="C131" t="str">
            <v>Belgium Premium Rate 2</v>
          </cell>
          <cell r="D131" t="str">
            <v>Off-net domestic</v>
          </cell>
          <cell r="E131" t="str">
            <v>call</v>
          </cell>
          <cell r="F131">
            <v>1</v>
          </cell>
          <cell r="G131">
            <v>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0.41799999999999998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DOM BEL PRM3</v>
          </cell>
          <cell r="B132" t="str">
            <v>Business Talk</v>
          </cell>
          <cell r="C132" t="str">
            <v>Belgium Premium Rate 3</v>
          </cell>
          <cell r="D132" t="str">
            <v>Off-net domestic</v>
          </cell>
          <cell r="E132" t="str">
            <v>minute</v>
          </cell>
          <cell r="F132">
            <v>1</v>
          </cell>
          <cell r="G132">
            <v>1</v>
          </cell>
          <cell r="H132">
            <v>0</v>
          </cell>
          <cell r="I132">
            <v>0</v>
          </cell>
          <cell r="J132">
            <v>0.83609999999999995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DOM BEL PRM4</v>
          </cell>
          <cell r="B133" t="str">
            <v>Business Talk</v>
          </cell>
          <cell r="C133" t="str">
            <v>Belgium Premium Rate 4</v>
          </cell>
          <cell r="D133" t="str">
            <v>Off-net domestic</v>
          </cell>
          <cell r="E133" t="str">
            <v>minute</v>
          </cell>
          <cell r="F133">
            <v>1</v>
          </cell>
          <cell r="G133">
            <v>1</v>
          </cell>
          <cell r="H133">
            <v>0</v>
          </cell>
          <cell r="I133">
            <v>0</v>
          </cell>
          <cell r="J133">
            <v>1.2541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DOM BEL PRM5</v>
          </cell>
          <cell r="B134" t="str">
            <v>Business Talk</v>
          </cell>
          <cell r="C134" t="str">
            <v>Belgium Premium Rate 5</v>
          </cell>
          <cell r="D134" t="str">
            <v>Off-net domestic</v>
          </cell>
          <cell r="E134" t="str">
            <v>minute</v>
          </cell>
          <cell r="F134">
            <v>1</v>
          </cell>
          <cell r="G134">
            <v>1</v>
          </cell>
          <cell r="H134">
            <v>0</v>
          </cell>
          <cell r="I134">
            <v>0</v>
          </cell>
          <cell r="J134">
            <v>1.6718999999999999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DOM BEL PRM6</v>
          </cell>
          <cell r="B135" t="str">
            <v>Business Talk</v>
          </cell>
          <cell r="C135" t="str">
            <v>Belgium Premium Rate 6</v>
          </cell>
          <cell r="D135" t="str">
            <v>Off-net domestic</v>
          </cell>
          <cell r="E135" t="str">
            <v>call</v>
          </cell>
          <cell r="F135">
            <v>1</v>
          </cell>
          <cell r="G135">
            <v>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1.6718999999999999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DOM BEL PRM7</v>
          </cell>
          <cell r="B136" t="str">
            <v>Business Talk</v>
          </cell>
          <cell r="C136" t="str">
            <v>Belgium Premium Rate 7</v>
          </cell>
          <cell r="D136" t="str">
            <v>Off-net domestic</v>
          </cell>
          <cell r="E136" t="str">
            <v>minute</v>
          </cell>
          <cell r="F136">
            <v>1</v>
          </cell>
          <cell r="G136">
            <v>1</v>
          </cell>
          <cell r="H136">
            <v>0</v>
          </cell>
          <cell r="I136">
            <v>0</v>
          </cell>
          <cell r="J136">
            <v>0.83609999999999995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DOM BEL PRM8</v>
          </cell>
          <cell r="B137" t="str">
            <v>Business Talk</v>
          </cell>
          <cell r="C137" t="str">
            <v>Belgium Premium Rate 8</v>
          </cell>
          <cell r="D137" t="str">
            <v>Off-net domestic</v>
          </cell>
          <cell r="E137" t="str">
            <v>minute</v>
          </cell>
          <cell r="F137">
            <v>1</v>
          </cell>
          <cell r="G137">
            <v>1</v>
          </cell>
          <cell r="H137">
            <v>0</v>
          </cell>
          <cell r="I137">
            <v>0</v>
          </cell>
          <cell r="J137">
            <v>1.6718999999999999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DOM BEL PRM9</v>
          </cell>
          <cell r="B138" t="str">
            <v>Business Talk</v>
          </cell>
          <cell r="C138" t="str">
            <v>Belgium Premium Rate 9</v>
          </cell>
          <cell r="D138" t="str">
            <v>Off-net domestic</v>
          </cell>
          <cell r="E138" t="str">
            <v>call</v>
          </cell>
          <cell r="F138">
            <v>1</v>
          </cell>
          <cell r="G138">
            <v>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25.9194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DOM BEL SCS</v>
          </cell>
          <cell r="B139" t="str">
            <v>Business Talk</v>
          </cell>
          <cell r="C139" t="str">
            <v>Belgium Shared Cost Services</v>
          </cell>
          <cell r="D139" t="str">
            <v>Off-net domestic</v>
          </cell>
          <cell r="E139" t="str">
            <v>minute</v>
          </cell>
          <cell r="F139">
            <v>1</v>
          </cell>
          <cell r="G139">
            <v>1</v>
          </cell>
          <cell r="H139">
            <v>0</v>
          </cell>
          <cell r="I139">
            <v>0</v>
          </cell>
          <cell r="J139">
            <v>1.8200000000000001E-2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DOM BEL DTFN</v>
          </cell>
          <cell r="B140" t="str">
            <v>Business Talk</v>
          </cell>
          <cell r="C140" t="str">
            <v>Belgium Toll Free</v>
          </cell>
          <cell r="D140" t="str">
            <v>Off-net domestic</v>
          </cell>
          <cell r="E140" t="str">
            <v>minute</v>
          </cell>
          <cell r="F140">
            <v>1</v>
          </cell>
          <cell r="G140">
            <v>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DOM BRA MOB</v>
          </cell>
          <cell r="B141" t="str">
            <v>Business Talk</v>
          </cell>
          <cell r="C141" t="str">
            <v>Brazil Mobile</v>
          </cell>
          <cell r="D141" t="str">
            <v>Off-net domestic</v>
          </cell>
          <cell r="E141" t="str">
            <v>minute</v>
          </cell>
          <cell r="F141">
            <v>1</v>
          </cell>
          <cell r="G141">
            <v>1</v>
          </cell>
          <cell r="H141">
            <v>0</v>
          </cell>
          <cell r="I141">
            <v>0</v>
          </cell>
          <cell r="J141">
            <v>0.25309999999999999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DOM BRA FIX</v>
          </cell>
          <cell r="B142" t="str">
            <v>Business Talk</v>
          </cell>
          <cell r="C142" t="str">
            <v>Brazil</v>
          </cell>
          <cell r="D142" t="str">
            <v>Off-net domestic</v>
          </cell>
          <cell r="E142" t="str">
            <v>minute</v>
          </cell>
          <cell r="F142">
            <v>1</v>
          </cell>
          <cell r="G142">
            <v>1</v>
          </cell>
          <cell r="H142">
            <v>0</v>
          </cell>
          <cell r="I142">
            <v>0</v>
          </cell>
          <cell r="J142">
            <v>3.3700000000000001E-2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DOM BGR MOB</v>
          </cell>
          <cell r="B143" t="str">
            <v>Business Talk</v>
          </cell>
          <cell r="C143" t="str">
            <v>Bulgaria Mobile</v>
          </cell>
          <cell r="D143" t="str">
            <v>Off-net domestic</v>
          </cell>
          <cell r="E143" t="str">
            <v>minute</v>
          </cell>
          <cell r="F143">
            <v>1</v>
          </cell>
          <cell r="G143">
            <v>1</v>
          </cell>
          <cell r="H143">
            <v>0</v>
          </cell>
          <cell r="I143">
            <v>0</v>
          </cell>
          <cell r="J143">
            <v>7.46E-2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DOM BGR FIX</v>
          </cell>
          <cell r="B144" t="str">
            <v>Business Talk</v>
          </cell>
          <cell r="C144" t="str">
            <v>Bulgaria</v>
          </cell>
          <cell r="D144" t="str">
            <v>Off-net domestic</v>
          </cell>
          <cell r="E144" t="str">
            <v>minute</v>
          </cell>
          <cell r="F144">
            <v>1</v>
          </cell>
          <cell r="G144">
            <v>1</v>
          </cell>
          <cell r="H144">
            <v>0</v>
          </cell>
          <cell r="I144">
            <v>0</v>
          </cell>
          <cell r="J144">
            <v>1.66E-2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DOM CAN CAOTH</v>
          </cell>
          <cell r="B145" t="str">
            <v>Business Talk</v>
          </cell>
          <cell r="C145" t="str">
            <v>Canada</v>
          </cell>
          <cell r="D145" t="str">
            <v>Off-net domestic</v>
          </cell>
          <cell r="E145" t="str">
            <v>minute</v>
          </cell>
          <cell r="F145">
            <v>1</v>
          </cell>
          <cell r="G145">
            <v>1</v>
          </cell>
          <cell r="H145">
            <v>0</v>
          </cell>
          <cell r="I145">
            <v>0</v>
          </cell>
          <cell r="J145">
            <v>1.4999999999999999E-2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DOM CHL MOB</v>
          </cell>
          <cell r="B146" t="str">
            <v>Business Talk</v>
          </cell>
          <cell r="C146" t="str">
            <v>Chile Mobile</v>
          </cell>
          <cell r="D146" t="str">
            <v>Off-net domestic</v>
          </cell>
          <cell r="E146" t="str">
            <v>minute</v>
          </cell>
          <cell r="F146">
            <v>1</v>
          </cell>
          <cell r="G146">
            <v>1</v>
          </cell>
          <cell r="H146">
            <v>0</v>
          </cell>
          <cell r="I146">
            <v>0</v>
          </cell>
          <cell r="J146">
            <v>0.23769999999999999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DOM CHL FIX</v>
          </cell>
          <cell r="B147" t="str">
            <v>Business Talk</v>
          </cell>
          <cell r="C147" t="str">
            <v>Chile</v>
          </cell>
          <cell r="D147" t="str">
            <v>Off-net domestic</v>
          </cell>
          <cell r="E147" t="str">
            <v>minute</v>
          </cell>
          <cell r="F147">
            <v>1</v>
          </cell>
          <cell r="G147">
            <v>1</v>
          </cell>
          <cell r="H147">
            <v>0</v>
          </cell>
          <cell r="I147">
            <v>0</v>
          </cell>
          <cell r="J147">
            <v>9.35E-2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DOM CRI CRI</v>
          </cell>
          <cell r="B148" t="str">
            <v>Business Talk</v>
          </cell>
          <cell r="C148" t="str">
            <v>Costa Rica National</v>
          </cell>
          <cell r="D148" t="str">
            <v>Off-net domestic</v>
          </cell>
          <cell r="E148" t="str">
            <v>minute</v>
          </cell>
          <cell r="F148">
            <v>1</v>
          </cell>
          <cell r="G148">
            <v>1</v>
          </cell>
          <cell r="H148">
            <v>0</v>
          </cell>
          <cell r="I148">
            <v>0</v>
          </cell>
          <cell r="J148">
            <v>3.1399999999999997E-2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A149" t="str">
            <v>DOM CRI CRIMO</v>
          </cell>
          <cell r="B149" t="str">
            <v>Business Talk</v>
          </cell>
          <cell r="C149" t="str">
            <v>Costa Rica National Mobile</v>
          </cell>
          <cell r="D149" t="str">
            <v>Off-net domestic</v>
          </cell>
          <cell r="E149" t="str">
            <v>minute</v>
          </cell>
          <cell r="F149">
            <v>1</v>
          </cell>
          <cell r="G149">
            <v>1</v>
          </cell>
          <cell r="H149">
            <v>0</v>
          </cell>
          <cell r="I149">
            <v>0</v>
          </cell>
          <cell r="J149">
            <v>0.1037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DOM HRV MOB</v>
          </cell>
          <cell r="B150" t="str">
            <v>Business Talk</v>
          </cell>
          <cell r="C150" t="str">
            <v>Croatia Mobile</v>
          </cell>
          <cell r="D150" t="str">
            <v>Off-net domestic</v>
          </cell>
          <cell r="E150" t="str">
            <v>minute</v>
          </cell>
          <cell r="F150">
            <v>1</v>
          </cell>
          <cell r="G150">
            <v>1</v>
          </cell>
          <cell r="H150">
            <v>0</v>
          </cell>
          <cell r="I150">
            <v>0</v>
          </cell>
          <cell r="J150">
            <v>0.14000000000000001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DOM HRV HRMT</v>
          </cell>
          <cell r="B151" t="str">
            <v>Business Talk</v>
          </cell>
          <cell r="C151" t="str">
            <v>Croatia Mobile T-Mobile</v>
          </cell>
          <cell r="D151" t="str">
            <v>Off-net domestic</v>
          </cell>
          <cell r="E151" t="str">
            <v>minute</v>
          </cell>
          <cell r="F151">
            <v>1</v>
          </cell>
          <cell r="G151">
            <v>1</v>
          </cell>
          <cell r="H151">
            <v>0</v>
          </cell>
          <cell r="I151">
            <v>0</v>
          </cell>
          <cell r="J151">
            <v>0.14000000000000001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DOM HRV FIX</v>
          </cell>
          <cell r="B152" t="str">
            <v>Business Talk</v>
          </cell>
          <cell r="C152" t="str">
            <v>Croatia</v>
          </cell>
          <cell r="D152" t="str">
            <v>Off-net domestic</v>
          </cell>
          <cell r="E152" t="str">
            <v>minute</v>
          </cell>
          <cell r="F152">
            <v>1</v>
          </cell>
          <cell r="G152">
            <v>1</v>
          </cell>
          <cell r="H152">
            <v>0</v>
          </cell>
          <cell r="I152">
            <v>0</v>
          </cell>
          <cell r="J152">
            <v>1.7600000000000001E-2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A153" t="str">
            <v>DOM CSK CZMT</v>
          </cell>
          <cell r="B153" t="str">
            <v>Business Talk</v>
          </cell>
          <cell r="C153" t="str">
            <v>Czech Rep Mobile T-Mobile</v>
          </cell>
          <cell r="D153" t="str">
            <v>Off-net domestic</v>
          </cell>
          <cell r="E153" t="str">
            <v>minute</v>
          </cell>
          <cell r="F153">
            <v>1</v>
          </cell>
          <cell r="G153">
            <v>1</v>
          </cell>
          <cell r="H153">
            <v>0</v>
          </cell>
          <cell r="I153">
            <v>0</v>
          </cell>
          <cell r="J153">
            <v>1.95E-2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DOM CSK MOBIL</v>
          </cell>
          <cell r="B154" t="str">
            <v>Business Talk</v>
          </cell>
          <cell r="C154" t="str">
            <v>Czech Republic Mobile</v>
          </cell>
          <cell r="D154" t="str">
            <v>Off-net domestic</v>
          </cell>
          <cell r="E154" t="str">
            <v>minute</v>
          </cell>
          <cell r="F154">
            <v>1</v>
          </cell>
          <cell r="G154">
            <v>1</v>
          </cell>
          <cell r="H154">
            <v>0</v>
          </cell>
          <cell r="I154">
            <v>0</v>
          </cell>
          <cell r="J154">
            <v>9.3200000000000005E-2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DOM CSK FIX</v>
          </cell>
          <cell r="B155" t="str">
            <v>Business Talk</v>
          </cell>
          <cell r="C155" t="str">
            <v>Czech Republic</v>
          </cell>
          <cell r="D155" t="str">
            <v>Off-net domestic</v>
          </cell>
          <cell r="E155" t="str">
            <v>minute</v>
          </cell>
          <cell r="F155">
            <v>1</v>
          </cell>
          <cell r="G155">
            <v>1</v>
          </cell>
          <cell r="H155">
            <v>0</v>
          </cell>
          <cell r="I155">
            <v>0</v>
          </cell>
          <cell r="J155">
            <v>2.1000000000000001E-2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DOM CSK WNM</v>
          </cell>
          <cell r="B156" t="str">
            <v>Business Talk</v>
          </cell>
          <cell r="C156" t="str">
            <v>Czech Republic White Numbers</v>
          </cell>
          <cell r="D156" t="str">
            <v>Off-net domestic</v>
          </cell>
          <cell r="E156" t="str">
            <v>minute</v>
          </cell>
          <cell r="F156">
            <v>1</v>
          </cell>
          <cell r="G156">
            <v>1</v>
          </cell>
          <cell r="H156">
            <v>0</v>
          </cell>
          <cell r="I156">
            <v>0</v>
          </cell>
          <cell r="J156">
            <v>1.5800000000000002E-2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DOM DNK AREA1</v>
          </cell>
          <cell r="B157" t="str">
            <v>Business Talk</v>
          </cell>
          <cell r="C157" t="str">
            <v>Denmark National</v>
          </cell>
          <cell r="D157" t="str">
            <v>Off-net domestic</v>
          </cell>
          <cell r="E157" t="str">
            <v>minute</v>
          </cell>
          <cell r="F157">
            <v>1</v>
          </cell>
          <cell r="G157">
            <v>1</v>
          </cell>
          <cell r="H157">
            <v>0</v>
          </cell>
          <cell r="I157">
            <v>0</v>
          </cell>
          <cell r="J157">
            <v>1.09E-2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DOM DNK AREA3</v>
          </cell>
          <cell r="B158" t="str">
            <v>Business Talk</v>
          </cell>
          <cell r="C158" t="str">
            <v>Denmark Mobile</v>
          </cell>
          <cell r="D158" t="str">
            <v>Off-net domestic</v>
          </cell>
          <cell r="E158" t="str">
            <v>minute</v>
          </cell>
          <cell r="F158">
            <v>1</v>
          </cell>
          <cell r="G158">
            <v>1</v>
          </cell>
          <cell r="H158">
            <v>0</v>
          </cell>
          <cell r="I158">
            <v>0</v>
          </cell>
          <cell r="J158">
            <v>2.3199999999999998E-2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DOM DNK DKMTE</v>
          </cell>
          <cell r="B159" t="str">
            <v>Business Talk</v>
          </cell>
          <cell r="C159" t="str">
            <v>Denmark Mobile Telia</v>
          </cell>
          <cell r="D159" t="str">
            <v>Off-net domestic</v>
          </cell>
          <cell r="E159" t="str">
            <v>minute</v>
          </cell>
          <cell r="F159">
            <v>1</v>
          </cell>
          <cell r="G159">
            <v>1</v>
          </cell>
          <cell r="H159">
            <v>0</v>
          </cell>
          <cell r="I159">
            <v>0</v>
          </cell>
          <cell r="J159">
            <v>2.3199999999999998E-2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DOM DNK DKANI</v>
          </cell>
          <cell r="B160" t="str">
            <v>Business Talk</v>
          </cell>
          <cell r="C160" t="str">
            <v>Denmark Animal Center</v>
          </cell>
          <cell r="D160" t="str">
            <v>Off-net domestic</v>
          </cell>
          <cell r="E160" t="str">
            <v>minute &amp; call</v>
          </cell>
          <cell r="F160">
            <v>1</v>
          </cell>
          <cell r="G160">
            <v>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0.1074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DOM DNK DKCNF</v>
          </cell>
          <cell r="B161" t="str">
            <v>Business Talk</v>
          </cell>
          <cell r="C161" t="str">
            <v>Denmark Conf</v>
          </cell>
          <cell r="D161" t="str">
            <v>Off-net domestic</v>
          </cell>
          <cell r="E161" t="str">
            <v>minute &amp; call</v>
          </cell>
          <cell r="F161">
            <v>1</v>
          </cell>
          <cell r="G161">
            <v>1</v>
          </cell>
          <cell r="H161">
            <v>0</v>
          </cell>
          <cell r="I161">
            <v>0</v>
          </cell>
          <cell r="J161">
            <v>2.1499999999999998E-2</v>
          </cell>
          <cell r="K161">
            <v>0</v>
          </cell>
          <cell r="L161">
            <v>1.72E-2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DOM DNK DKCRP</v>
          </cell>
          <cell r="B162" t="str">
            <v>Business Talk</v>
          </cell>
          <cell r="C162" t="str">
            <v>Denmark Corporate Numbers</v>
          </cell>
          <cell r="D162" t="str">
            <v>Off-net domestic</v>
          </cell>
          <cell r="E162" t="str">
            <v>minute &amp; call</v>
          </cell>
          <cell r="F162">
            <v>1</v>
          </cell>
          <cell r="G162">
            <v>1</v>
          </cell>
          <cell r="H162">
            <v>0</v>
          </cell>
          <cell r="I162">
            <v>0</v>
          </cell>
          <cell r="J162">
            <v>2.6800000000000001E-2</v>
          </cell>
          <cell r="K162">
            <v>0</v>
          </cell>
          <cell r="L162">
            <v>2.4199999999999999E-2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DOM DNK DKDQ2</v>
          </cell>
          <cell r="B163" t="str">
            <v>Business Talk</v>
          </cell>
          <cell r="C163" t="str">
            <v>Denmark Dir. Enq.</v>
          </cell>
          <cell r="D163" t="str">
            <v>Off-net domestic</v>
          </cell>
          <cell r="E163" t="str">
            <v>minute &amp; call</v>
          </cell>
          <cell r="F163">
            <v>1</v>
          </cell>
          <cell r="G163">
            <v>1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2.3450000000000002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DOM DNK DKEMG</v>
          </cell>
          <cell r="B164" t="str">
            <v>Business Talk</v>
          </cell>
          <cell r="C164" t="str">
            <v>Denmark Emergency</v>
          </cell>
          <cell r="D164" t="str">
            <v>Off-net domestic</v>
          </cell>
          <cell r="E164" t="str">
            <v>minute &amp; call</v>
          </cell>
          <cell r="F164">
            <v>1</v>
          </cell>
          <cell r="G164">
            <v>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DOM DNK DKFLX</v>
          </cell>
          <cell r="B165" t="str">
            <v>Business Talk</v>
          </cell>
          <cell r="C165" t="str">
            <v>Denmark Flex Numbers</v>
          </cell>
          <cell r="D165" t="str">
            <v>Off-net domestic</v>
          </cell>
          <cell r="E165" t="str">
            <v>minute &amp; call</v>
          </cell>
          <cell r="F165">
            <v>1</v>
          </cell>
          <cell r="G165">
            <v>1</v>
          </cell>
          <cell r="H165">
            <v>0</v>
          </cell>
          <cell r="I165">
            <v>0</v>
          </cell>
          <cell r="J165">
            <v>2.6800000000000001E-2</v>
          </cell>
          <cell r="K165">
            <v>0</v>
          </cell>
          <cell r="L165">
            <v>2.4199999999999999E-2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DOM DNK DKFRE</v>
          </cell>
          <cell r="B166" t="str">
            <v>Business Talk</v>
          </cell>
          <cell r="C166" t="str">
            <v>Denmark Freephone</v>
          </cell>
          <cell r="D166" t="str">
            <v>Off-net domestic</v>
          </cell>
          <cell r="E166" t="str">
            <v>minute &amp; call</v>
          </cell>
          <cell r="F166">
            <v>1</v>
          </cell>
          <cell r="G166">
            <v>1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A167" t="str">
            <v>DOM DNK DKHLT</v>
          </cell>
          <cell r="B167" t="str">
            <v>Business Talk</v>
          </cell>
          <cell r="C167" t="str">
            <v>Denmark Health Services</v>
          </cell>
          <cell r="D167" t="str">
            <v>Off-net domestic</v>
          </cell>
          <cell r="E167" t="str">
            <v>minute &amp; call</v>
          </cell>
          <cell r="F167">
            <v>1</v>
          </cell>
          <cell r="G167">
            <v>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DOM DNK DKDIQ</v>
          </cell>
          <cell r="B168" t="str">
            <v>Business Talk</v>
          </cell>
          <cell r="C168" t="str">
            <v>Denmark Nat. Dir. Enq.</v>
          </cell>
          <cell r="D168" t="str">
            <v>Off-net domestic</v>
          </cell>
          <cell r="E168" t="str">
            <v>minute &amp; call</v>
          </cell>
          <cell r="F168">
            <v>1</v>
          </cell>
          <cell r="G168">
            <v>1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2.3450000000000002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DOM DNK DKNEW</v>
          </cell>
          <cell r="B169" t="str">
            <v>Business Talk</v>
          </cell>
          <cell r="C169" t="str">
            <v>Denmark News</v>
          </cell>
          <cell r="D169" t="str">
            <v>Off-net domestic</v>
          </cell>
          <cell r="E169" t="str">
            <v>minute &amp; call</v>
          </cell>
          <cell r="F169">
            <v>1</v>
          </cell>
          <cell r="G169">
            <v>1</v>
          </cell>
          <cell r="H169">
            <v>0</v>
          </cell>
          <cell r="I169">
            <v>0</v>
          </cell>
          <cell r="J169">
            <v>0.26850000000000002</v>
          </cell>
          <cell r="K169">
            <v>0</v>
          </cell>
          <cell r="L169">
            <v>2.4199999999999999E-2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DOM DNK DKN2N</v>
          </cell>
          <cell r="B170" t="str">
            <v>Business Talk</v>
          </cell>
          <cell r="C170" t="str">
            <v>Denmark Number To Name</v>
          </cell>
          <cell r="D170" t="str">
            <v>Off-net domestic</v>
          </cell>
          <cell r="E170" t="str">
            <v>minute &amp; call</v>
          </cell>
          <cell r="F170">
            <v>1</v>
          </cell>
          <cell r="G170">
            <v>1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0.53690000000000004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DOM DNK DKPOL</v>
          </cell>
          <cell r="B171" t="str">
            <v>Business Talk</v>
          </cell>
          <cell r="C171" t="str">
            <v>Denmark Police</v>
          </cell>
          <cell r="D171" t="str">
            <v>Off-net domestic</v>
          </cell>
          <cell r="E171" t="str">
            <v>minute &amp; call</v>
          </cell>
          <cell r="F171">
            <v>1</v>
          </cell>
          <cell r="G171">
            <v>1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DOM DNK DKP01</v>
          </cell>
          <cell r="B172" t="str">
            <v>Business Talk</v>
          </cell>
          <cell r="C172" t="str">
            <v>Denmark Premium 909 Cat I</v>
          </cell>
          <cell r="D172" t="str">
            <v>Off-net domestic</v>
          </cell>
          <cell r="E172" t="str">
            <v>minute &amp; call</v>
          </cell>
          <cell r="F172">
            <v>1</v>
          </cell>
          <cell r="G172">
            <v>1</v>
          </cell>
          <cell r="H172">
            <v>0</v>
          </cell>
          <cell r="I172">
            <v>0</v>
          </cell>
          <cell r="J172">
            <v>7.5200000000000003E-2</v>
          </cell>
          <cell r="K172">
            <v>0</v>
          </cell>
          <cell r="L172">
            <v>0.4617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DOM DNK DKP02</v>
          </cell>
          <cell r="B173" t="str">
            <v>Business Talk</v>
          </cell>
          <cell r="C173" t="str">
            <v>Denmark Premium 909 Cat Ii</v>
          </cell>
          <cell r="D173" t="str">
            <v>Off-net domestic</v>
          </cell>
          <cell r="E173" t="str">
            <v>minute &amp; call</v>
          </cell>
          <cell r="F173">
            <v>1</v>
          </cell>
          <cell r="G173">
            <v>1</v>
          </cell>
          <cell r="H173">
            <v>0</v>
          </cell>
          <cell r="I173">
            <v>0</v>
          </cell>
          <cell r="J173">
            <v>2.1499999999999998E-2</v>
          </cell>
          <cell r="K173">
            <v>0</v>
          </cell>
          <cell r="L173">
            <v>0.1288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DOM DNK DKP03</v>
          </cell>
          <cell r="B174" t="str">
            <v>Business Talk</v>
          </cell>
          <cell r="C174" t="str">
            <v>Denmark Premium 909 Cat Iii</v>
          </cell>
          <cell r="D174" t="str">
            <v>Off-net domestic</v>
          </cell>
          <cell r="E174" t="str">
            <v>minute &amp; call</v>
          </cell>
          <cell r="F174">
            <v>1</v>
          </cell>
          <cell r="G174">
            <v>1</v>
          </cell>
          <cell r="H174">
            <v>0</v>
          </cell>
          <cell r="I174">
            <v>0</v>
          </cell>
          <cell r="J174">
            <v>2.1499999999999998E-2</v>
          </cell>
          <cell r="K174">
            <v>0</v>
          </cell>
          <cell r="L174">
            <v>8.5900000000000004E-2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DOM DNK DKP04</v>
          </cell>
          <cell r="B175" t="str">
            <v>Business Talk</v>
          </cell>
          <cell r="C175" t="str">
            <v>Denmark Premium 909 Cat Iv</v>
          </cell>
          <cell r="D175" t="str">
            <v>Off-net domestic</v>
          </cell>
          <cell r="E175" t="str">
            <v>minute &amp; call</v>
          </cell>
          <cell r="F175">
            <v>1</v>
          </cell>
          <cell r="G175">
            <v>1</v>
          </cell>
          <cell r="H175">
            <v>0</v>
          </cell>
          <cell r="I175">
            <v>0</v>
          </cell>
          <cell r="J175">
            <v>2.1499999999999998E-2</v>
          </cell>
          <cell r="K175">
            <v>0</v>
          </cell>
          <cell r="L175">
            <v>0.21479999999999999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DOM DNK DKP05</v>
          </cell>
          <cell r="B176" t="str">
            <v>Business Talk</v>
          </cell>
          <cell r="C176" t="str">
            <v>Denmark Premium 909 Cat V</v>
          </cell>
          <cell r="D176" t="str">
            <v>Off-net domestic</v>
          </cell>
          <cell r="E176" t="str">
            <v>minute &amp; call</v>
          </cell>
          <cell r="F176">
            <v>1</v>
          </cell>
          <cell r="G176">
            <v>1</v>
          </cell>
          <cell r="H176">
            <v>0</v>
          </cell>
          <cell r="I176">
            <v>0</v>
          </cell>
          <cell r="J176">
            <v>2.1499999999999998E-2</v>
          </cell>
          <cell r="K176">
            <v>0</v>
          </cell>
          <cell r="L176">
            <v>0.34360000000000002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DOM DNK DKP06</v>
          </cell>
          <cell r="B177" t="str">
            <v>Business Talk</v>
          </cell>
          <cell r="C177" t="str">
            <v>Denmark Premium 909 Cat Vi</v>
          </cell>
          <cell r="D177" t="str">
            <v>Off-net domestic</v>
          </cell>
          <cell r="E177" t="str">
            <v>minute &amp; call</v>
          </cell>
          <cell r="F177">
            <v>1</v>
          </cell>
          <cell r="G177">
            <v>1</v>
          </cell>
          <cell r="H177">
            <v>0</v>
          </cell>
          <cell r="I177">
            <v>0</v>
          </cell>
          <cell r="J177">
            <v>2.1499999999999998E-2</v>
          </cell>
          <cell r="K177">
            <v>0</v>
          </cell>
          <cell r="L177">
            <v>0.4123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DOM DNK DKP07</v>
          </cell>
          <cell r="B178" t="str">
            <v>Business Talk</v>
          </cell>
          <cell r="C178" t="str">
            <v>Denmark Premium Cat. Ia</v>
          </cell>
          <cell r="D178" t="str">
            <v>Off-net domestic</v>
          </cell>
          <cell r="E178" t="str">
            <v>minute &amp; call</v>
          </cell>
          <cell r="F178">
            <v>1</v>
          </cell>
          <cell r="G178">
            <v>1</v>
          </cell>
          <cell r="H178">
            <v>0</v>
          </cell>
          <cell r="I178">
            <v>0</v>
          </cell>
          <cell r="J178">
            <v>0.16109999999999999</v>
          </cell>
          <cell r="K178">
            <v>0</v>
          </cell>
          <cell r="L178">
            <v>2.4199999999999999E-2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DOM DNK DKP08</v>
          </cell>
          <cell r="B179" t="str">
            <v>Business Talk</v>
          </cell>
          <cell r="C179" t="str">
            <v>Denmark Premium Cat. Ib</v>
          </cell>
          <cell r="D179" t="str">
            <v>Off-net domestic</v>
          </cell>
          <cell r="E179" t="str">
            <v>minute &amp; call</v>
          </cell>
          <cell r="F179">
            <v>1</v>
          </cell>
          <cell r="G179">
            <v>1</v>
          </cell>
          <cell r="H179">
            <v>0</v>
          </cell>
          <cell r="I179">
            <v>0</v>
          </cell>
          <cell r="J179">
            <v>0.21479999999999999</v>
          </cell>
          <cell r="K179">
            <v>0</v>
          </cell>
          <cell r="L179">
            <v>2.4199999999999999E-2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A180" t="str">
            <v>DOM DNK DKP09</v>
          </cell>
          <cell r="B180" t="str">
            <v>Business Talk</v>
          </cell>
          <cell r="C180" t="str">
            <v>Denmark Premium Cat. Ic</v>
          </cell>
          <cell r="D180" t="str">
            <v>Off-net domestic</v>
          </cell>
          <cell r="E180" t="str">
            <v>minute &amp; call</v>
          </cell>
          <cell r="F180">
            <v>1</v>
          </cell>
          <cell r="G180">
            <v>1</v>
          </cell>
          <cell r="H180">
            <v>0</v>
          </cell>
          <cell r="I180">
            <v>0</v>
          </cell>
          <cell r="J180">
            <v>0.26850000000000002</v>
          </cell>
          <cell r="K180">
            <v>0</v>
          </cell>
          <cell r="L180">
            <v>2.4199999999999999E-2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DOM DNK DKP10</v>
          </cell>
          <cell r="B181" t="str">
            <v>Business Talk</v>
          </cell>
          <cell r="C181" t="str">
            <v>Denmark Premium Cat. Id</v>
          </cell>
          <cell r="D181" t="str">
            <v>Off-net domestic</v>
          </cell>
          <cell r="E181" t="str">
            <v>minute &amp; call</v>
          </cell>
          <cell r="F181">
            <v>1</v>
          </cell>
          <cell r="G181">
            <v>1</v>
          </cell>
          <cell r="H181">
            <v>0</v>
          </cell>
          <cell r="I181">
            <v>0</v>
          </cell>
          <cell r="J181">
            <v>0.3221</v>
          </cell>
          <cell r="K181">
            <v>0</v>
          </cell>
          <cell r="L181">
            <v>2.4199999999999999E-2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DOM DNK DKP11</v>
          </cell>
          <cell r="B182" t="str">
            <v>Business Talk</v>
          </cell>
          <cell r="C182" t="str">
            <v>Denmark Premium Cat. Ie</v>
          </cell>
          <cell r="D182" t="str">
            <v>Off-net domestic</v>
          </cell>
          <cell r="E182" t="str">
            <v>minute &amp; call</v>
          </cell>
          <cell r="F182">
            <v>1</v>
          </cell>
          <cell r="G182">
            <v>1</v>
          </cell>
          <cell r="H182">
            <v>0</v>
          </cell>
          <cell r="I182">
            <v>0</v>
          </cell>
          <cell r="J182">
            <v>0.37580000000000002</v>
          </cell>
          <cell r="K182">
            <v>0</v>
          </cell>
          <cell r="L182">
            <v>2.4199999999999999E-2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DOM DNK DKP12</v>
          </cell>
          <cell r="B183" t="str">
            <v>Business Talk</v>
          </cell>
          <cell r="C183" t="str">
            <v>Denmark Premium Cat. If</v>
          </cell>
          <cell r="D183" t="str">
            <v>Off-net domestic</v>
          </cell>
          <cell r="E183" t="str">
            <v>minute &amp; call</v>
          </cell>
          <cell r="F183">
            <v>1</v>
          </cell>
          <cell r="G183">
            <v>1</v>
          </cell>
          <cell r="H183">
            <v>0</v>
          </cell>
          <cell r="I183">
            <v>0</v>
          </cell>
          <cell r="J183">
            <v>0.42949999999999999</v>
          </cell>
          <cell r="K183">
            <v>0</v>
          </cell>
          <cell r="L183">
            <v>2.4199999999999999E-2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A184" t="str">
            <v>DOM DNK DKP13</v>
          </cell>
          <cell r="B184" t="str">
            <v>Business Talk</v>
          </cell>
          <cell r="C184" t="str">
            <v>Denmark Premium Cat. Ig</v>
          </cell>
          <cell r="D184" t="str">
            <v>Off-net domestic</v>
          </cell>
          <cell r="E184" t="str">
            <v>minute &amp; call</v>
          </cell>
          <cell r="F184">
            <v>1</v>
          </cell>
          <cell r="G184">
            <v>1</v>
          </cell>
          <cell r="H184">
            <v>0</v>
          </cell>
          <cell r="I184">
            <v>0</v>
          </cell>
          <cell r="J184">
            <v>0.51529999999999998</v>
          </cell>
          <cell r="K184">
            <v>0</v>
          </cell>
          <cell r="L184">
            <v>2.4199999999999999E-2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A185" t="str">
            <v>DOM DNK DKP14</v>
          </cell>
          <cell r="B185" t="str">
            <v>Business Talk</v>
          </cell>
          <cell r="C185" t="str">
            <v>Denmark Premium Cat. Va</v>
          </cell>
          <cell r="D185" t="str">
            <v>Off-net domestic</v>
          </cell>
          <cell r="E185" t="str">
            <v>minute &amp; call</v>
          </cell>
          <cell r="F185">
            <v>1</v>
          </cell>
          <cell r="G185">
            <v>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0.42949999999999999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DOM DNK DKP15</v>
          </cell>
          <cell r="B186" t="str">
            <v>Business Talk</v>
          </cell>
          <cell r="C186" t="str">
            <v>Denmark Premium Cat. Vb</v>
          </cell>
          <cell r="D186" t="str">
            <v>Off-net domestic</v>
          </cell>
          <cell r="E186" t="str">
            <v>minute &amp; call</v>
          </cell>
          <cell r="F186">
            <v>1</v>
          </cell>
          <cell r="G186">
            <v>1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0.51529999999999998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A187" t="str">
            <v>DOM DNK DKP18</v>
          </cell>
          <cell r="B187" t="str">
            <v>Business Talk</v>
          </cell>
          <cell r="C187" t="str">
            <v>Denmark Premium Cat. Via</v>
          </cell>
          <cell r="D187" t="str">
            <v>Off-net domestic</v>
          </cell>
          <cell r="E187" t="str">
            <v>minute &amp; call</v>
          </cell>
          <cell r="F187">
            <v>1</v>
          </cell>
          <cell r="G187">
            <v>1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20.1342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DOM DNK DKP19</v>
          </cell>
          <cell r="B188" t="str">
            <v>Business Talk</v>
          </cell>
          <cell r="C188" t="str">
            <v>Denmark Premium Cat. Vib</v>
          </cell>
          <cell r="D188" t="str">
            <v>Off-net domestic</v>
          </cell>
          <cell r="E188" t="str">
            <v>minute &amp; call</v>
          </cell>
          <cell r="F188">
            <v>1</v>
          </cell>
          <cell r="G188">
            <v>1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13.422800000000001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DOM DNK DKP20</v>
          </cell>
          <cell r="B189" t="str">
            <v>Business Talk</v>
          </cell>
          <cell r="C189" t="str">
            <v>Denmark Premium Cat. Vic</v>
          </cell>
          <cell r="D189" t="str">
            <v>Off-net domestic</v>
          </cell>
          <cell r="E189" t="str">
            <v>minute &amp; call</v>
          </cell>
          <cell r="F189">
            <v>1</v>
          </cell>
          <cell r="G189">
            <v>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6.7114000000000003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DOM DNK DKP21</v>
          </cell>
          <cell r="B190" t="str">
            <v>Business Talk</v>
          </cell>
          <cell r="C190" t="str">
            <v>Denmark Premium S900 Cat I</v>
          </cell>
          <cell r="D190" t="str">
            <v>Off-net domestic</v>
          </cell>
          <cell r="E190" t="str">
            <v>minute &amp; call</v>
          </cell>
          <cell r="F190">
            <v>1</v>
          </cell>
          <cell r="G190">
            <v>1</v>
          </cell>
          <cell r="H190">
            <v>0</v>
          </cell>
          <cell r="I190">
            <v>0</v>
          </cell>
          <cell r="J190">
            <v>2.1499999999999998E-2</v>
          </cell>
          <cell r="K190">
            <v>0</v>
          </cell>
          <cell r="L190">
            <v>0.1288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A191" t="str">
            <v>DOM DNK DKP22</v>
          </cell>
          <cell r="B191" t="str">
            <v>Business Talk</v>
          </cell>
          <cell r="C191" t="str">
            <v>Denmark Premium S900 Cat Ii</v>
          </cell>
          <cell r="D191" t="str">
            <v>Off-net domestic</v>
          </cell>
          <cell r="E191" t="str">
            <v>minute &amp; call</v>
          </cell>
          <cell r="F191">
            <v>1</v>
          </cell>
          <cell r="G191">
            <v>1</v>
          </cell>
          <cell r="H191">
            <v>0</v>
          </cell>
          <cell r="I191">
            <v>0</v>
          </cell>
          <cell r="J191">
            <v>2.6800000000000001E-2</v>
          </cell>
          <cell r="K191">
            <v>0</v>
          </cell>
          <cell r="L191">
            <v>0.1074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DOM DNK DKP23</v>
          </cell>
          <cell r="B192" t="str">
            <v>Business Talk</v>
          </cell>
          <cell r="C192" t="str">
            <v>Denmark Premium S900 Cat Iii</v>
          </cell>
          <cell r="D192" t="str">
            <v>Off-net domestic</v>
          </cell>
          <cell r="E192" t="str">
            <v>minute &amp; call</v>
          </cell>
          <cell r="F192">
            <v>1</v>
          </cell>
          <cell r="G192">
            <v>1</v>
          </cell>
          <cell r="H192">
            <v>0</v>
          </cell>
          <cell r="I192">
            <v>0</v>
          </cell>
          <cell r="J192">
            <v>2.6800000000000001E-2</v>
          </cell>
          <cell r="K192">
            <v>0</v>
          </cell>
          <cell r="L192">
            <v>0.26850000000000002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DOM DNK DKP24</v>
          </cell>
          <cell r="B193" t="str">
            <v>Business Talk</v>
          </cell>
          <cell r="C193" t="str">
            <v>Denmark Premium S900 Cat Iv</v>
          </cell>
          <cell r="D193" t="str">
            <v>Off-net domestic</v>
          </cell>
          <cell r="E193" t="str">
            <v>minute &amp; call</v>
          </cell>
          <cell r="F193">
            <v>1</v>
          </cell>
          <cell r="G193">
            <v>1</v>
          </cell>
          <cell r="H193">
            <v>0</v>
          </cell>
          <cell r="I193">
            <v>0</v>
          </cell>
          <cell r="J193">
            <v>2.1499999999999998E-2</v>
          </cell>
          <cell r="K193">
            <v>0</v>
          </cell>
          <cell r="L193">
            <v>0.37580000000000002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DOM DNK DKP25</v>
          </cell>
          <cell r="B194" t="str">
            <v>Business Talk</v>
          </cell>
          <cell r="C194" t="str">
            <v>Denmark Premium S900 Cat V</v>
          </cell>
          <cell r="D194" t="str">
            <v>Off-net domestic</v>
          </cell>
          <cell r="E194" t="str">
            <v>minute &amp; call</v>
          </cell>
          <cell r="F194">
            <v>1</v>
          </cell>
          <cell r="G194">
            <v>1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0.42949999999999999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DOM DNK DKP26</v>
          </cell>
          <cell r="B195" t="str">
            <v>Business Talk</v>
          </cell>
          <cell r="C195" t="str">
            <v>Denmark Premium S900 Cat Vi</v>
          </cell>
          <cell r="D195" t="str">
            <v>Off-net domestic</v>
          </cell>
          <cell r="E195" t="str">
            <v>minute &amp; call</v>
          </cell>
          <cell r="F195">
            <v>1</v>
          </cell>
          <cell r="G195">
            <v>1</v>
          </cell>
          <cell r="H195">
            <v>0</v>
          </cell>
          <cell r="I195">
            <v>0</v>
          </cell>
          <cell r="J195">
            <v>2.1499999999999998E-2</v>
          </cell>
          <cell r="K195">
            <v>0</v>
          </cell>
          <cell r="L195">
            <v>0.15029999999999999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A196" t="str">
            <v>DOM DNK DKP27</v>
          </cell>
          <cell r="B196" t="str">
            <v>Business Talk</v>
          </cell>
          <cell r="C196" t="str">
            <v>Denmark Premium S900 Cat Vii</v>
          </cell>
          <cell r="D196" t="str">
            <v>Off-net domestic</v>
          </cell>
          <cell r="E196" t="str">
            <v>minute &amp; call</v>
          </cell>
          <cell r="F196">
            <v>1</v>
          </cell>
          <cell r="G196">
            <v>1</v>
          </cell>
          <cell r="H196">
            <v>0</v>
          </cell>
          <cell r="I196">
            <v>0</v>
          </cell>
          <cell r="J196">
            <v>2.1499999999999998E-2</v>
          </cell>
          <cell r="K196">
            <v>0</v>
          </cell>
          <cell r="L196">
            <v>0.21479999999999999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DOM DNK DKP28</v>
          </cell>
          <cell r="B197" t="str">
            <v>Business Talk</v>
          </cell>
          <cell r="C197" t="str">
            <v>Denmark Premium S900 Cat Viii</v>
          </cell>
          <cell r="D197" t="str">
            <v>Off-net domestic</v>
          </cell>
          <cell r="E197" t="str">
            <v>minute &amp; call</v>
          </cell>
          <cell r="F197">
            <v>1</v>
          </cell>
          <cell r="G197">
            <v>1</v>
          </cell>
          <cell r="H197">
            <v>0</v>
          </cell>
          <cell r="I197">
            <v>0</v>
          </cell>
          <cell r="J197">
            <v>2.1499999999999998E-2</v>
          </cell>
          <cell r="K197">
            <v>0</v>
          </cell>
          <cell r="L197">
            <v>0.30070000000000002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DOM DNK DKP29</v>
          </cell>
          <cell r="B198" t="str">
            <v>Business Talk</v>
          </cell>
          <cell r="C198" t="str">
            <v>Denmark Public Payphone</v>
          </cell>
          <cell r="D198" t="str">
            <v>Off-net domestic</v>
          </cell>
          <cell r="E198" t="str">
            <v>minute &amp; call</v>
          </cell>
          <cell r="F198">
            <v>1</v>
          </cell>
          <cell r="G198">
            <v>1</v>
          </cell>
          <cell r="H198">
            <v>0</v>
          </cell>
          <cell r="I198">
            <v>0</v>
          </cell>
          <cell r="J198">
            <v>0.29530000000000001</v>
          </cell>
          <cell r="K198">
            <v>0</v>
          </cell>
          <cell r="L198">
            <v>2.4199999999999999E-2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DOM DNK DKROI</v>
          </cell>
          <cell r="B199" t="str">
            <v>Business Talk</v>
          </cell>
          <cell r="C199" t="str">
            <v>Denmark Road Info</v>
          </cell>
          <cell r="D199" t="str">
            <v>Off-net domestic</v>
          </cell>
          <cell r="E199" t="str">
            <v>minute &amp; call</v>
          </cell>
          <cell r="F199">
            <v>1</v>
          </cell>
          <cell r="G199">
            <v>1</v>
          </cell>
          <cell r="H199">
            <v>0</v>
          </cell>
          <cell r="I199">
            <v>0</v>
          </cell>
          <cell r="J199">
            <v>2.4199999999999999E-2</v>
          </cell>
          <cell r="K199">
            <v>0</v>
          </cell>
          <cell r="L199">
            <v>2.6800000000000001E-2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DOM DNK DKWFC</v>
          </cell>
          <cell r="B200" t="str">
            <v>Business Talk</v>
          </cell>
          <cell r="C200" t="str">
            <v>Denmark Weather Forecast</v>
          </cell>
          <cell r="D200" t="str">
            <v>Off-net domestic</v>
          </cell>
          <cell r="E200" t="str">
            <v>minute &amp; call</v>
          </cell>
          <cell r="F200">
            <v>1</v>
          </cell>
          <cell r="G200">
            <v>1</v>
          </cell>
          <cell r="H200">
            <v>0</v>
          </cell>
          <cell r="I200">
            <v>0</v>
          </cell>
          <cell r="J200">
            <v>0.26850000000000002</v>
          </cell>
          <cell r="K200">
            <v>0</v>
          </cell>
          <cell r="L200">
            <v>2.4199999999999999E-2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DOM EST MOB</v>
          </cell>
          <cell r="B201" t="str">
            <v>Business Talk</v>
          </cell>
          <cell r="C201" t="str">
            <v>Estonia Mobile</v>
          </cell>
          <cell r="D201" t="str">
            <v>Off-net domestic</v>
          </cell>
          <cell r="E201" t="str">
            <v>minute</v>
          </cell>
          <cell r="F201">
            <v>1</v>
          </cell>
          <cell r="G201">
            <v>1</v>
          </cell>
          <cell r="H201">
            <v>0</v>
          </cell>
          <cell r="I201">
            <v>0</v>
          </cell>
          <cell r="J201">
            <v>0.1729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DOM EST EEMEM</v>
          </cell>
          <cell r="B202" t="str">
            <v>Business Talk</v>
          </cell>
          <cell r="C202" t="str">
            <v>Estonia Mobile Emt</v>
          </cell>
          <cell r="D202" t="str">
            <v>Off-net domestic</v>
          </cell>
          <cell r="E202" t="str">
            <v>minute</v>
          </cell>
          <cell r="F202">
            <v>1</v>
          </cell>
          <cell r="G202">
            <v>1</v>
          </cell>
          <cell r="H202">
            <v>0</v>
          </cell>
          <cell r="I202">
            <v>0</v>
          </cell>
          <cell r="J202">
            <v>0.1729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DOM EST FIX</v>
          </cell>
          <cell r="B203" t="str">
            <v>Business Talk</v>
          </cell>
          <cell r="C203" t="str">
            <v>Estonia</v>
          </cell>
          <cell r="D203" t="str">
            <v>Off-net domestic</v>
          </cell>
          <cell r="E203" t="str">
            <v>minute</v>
          </cell>
          <cell r="F203">
            <v>1</v>
          </cell>
          <cell r="G203">
            <v>1</v>
          </cell>
          <cell r="H203">
            <v>0</v>
          </cell>
          <cell r="I203">
            <v>0</v>
          </cell>
          <cell r="J203">
            <v>3.1E-2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A204" t="str">
            <v>DOM FIN AREA2</v>
          </cell>
          <cell r="B204" t="str">
            <v>Business Talk</v>
          </cell>
          <cell r="C204" t="str">
            <v>Finland Mobile</v>
          </cell>
          <cell r="D204" t="str">
            <v>Off-net domestic</v>
          </cell>
          <cell r="E204" t="str">
            <v>minute</v>
          </cell>
          <cell r="F204">
            <v>1</v>
          </cell>
          <cell r="G204">
            <v>1</v>
          </cell>
          <cell r="H204">
            <v>0</v>
          </cell>
          <cell r="I204">
            <v>0</v>
          </cell>
          <cell r="J204">
            <v>0.06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A205" t="str">
            <v>DOM FIN FIMSO</v>
          </cell>
          <cell r="B205" t="str">
            <v>Business Talk</v>
          </cell>
          <cell r="C205" t="str">
            <v>Finland Mobile Sonera</v>
          </cell>
          <cell r="D205" t="str">
            <v>Off-net domestic</v>
          </cell>
          <cell r="E205" t="str">
            <v>minute</v>
          </cell>
          <cell r="F205">
            <v>1</v>
          </cell>
          <cell r="G205">
            <v>1</v>
          </cell>
          <cell r="H205">
            <v>0</v>
          </cell>
          <cell r="I205">
            <v>0</v>
          </cell>
          <cell r="J205">
            <v>4.7699999999999999E-2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DOM FIN AREA1</v>
          </cell>
          <cell r="B206" t="str">
            <v>Business Talk</v>
          </cell>
          <cell r="C206" t="str">
            <v>Finland</v>
          </cell>
          <cell r="D206" t="str">
            <v>Off-net domestic</v>
          </cell>
          <cell r="E206" t="str">
            <v>minute</v>
          </cell>
          <cell r="F206">
            <v>1</v>
          </cell>
          <cell r="G206">
            <v>1</v>
          </cell>
          <cell r="H206">
            <v>0</v>
          </cell>
          <cell r="I206">
            <v>0</v>
          </cell>
          <cell r="J206">
            <v>5.3999999999999999E-2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DOM FIN FIB01</v>
          </cell>
          <cell r="B207" t="str">
            <v>Business Talk</v>
          </cell>
          <cell r="C207" t="str">
            <v>Finland Business Nr Band 01</v>
          </cell>
          <cell r="D207" t="str">
            <v>Off-net domestic</v>
          </cell>
          <cell r="E207" t="str">
            <v>minute</v>
          </cell>
          <cell r="F207">
            <v>1</v>
          </cell>
          <cell r="G207">
            <v>1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DOM FIN FIB02</v>
          </cell>
          <cell r="B208" t="str">
            <v>Business Talk</v>
          </cell>
          <cell r="C208" t="str">
            <v>Finland Business Nr Band 02</v>
          </cell>
          <cell r="D208" t="str">
            <v>Off-net domestic</v>
          </cell>
          <cell r="E208" t="str">
            <v>minute</v>
          </cell>
          <cell r="F208">
            <v>1</v>
          </cell>
          <cell r="G208">
            <v>1</v>
          </cell>
          <cell r="H208">
            <v>0</v>
          </cell>
          <cell r="I208">
            <v>0</v>
          </cell>
          <cell r="J208">
            <v>6.08E-2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DOM FIN FIB03</v>
          </cell>
          <cell r="B209" t="str">
            <v>Business Talk</v>
          </cell>
          <cell r="C209" t="str">
            <v>Finland Business Nr Band 03</v>
          </cell>
          <cell r="D209" t="str">
            <v>Off-net domestic</v>
          </cell>
          <cell r="E209" t="str">
            <v>minute &amp; call</v>
          </cell>
          <cell r="F209">
            <v>1</v>
          </cell>
          <cell r="G209">
            <v>1</v>
          </cell>
          <cell r="H209">
            <v>0</v>
          </cell>
          <cell r="I209">
            <v>0</v>
          </cell>
          <cell r="J209">
            <v>6.08E-2</v>
          </cell>
          <cell r="K209">
            <v>0</v>
          </cell>
          <cell r="L209">
            <v>6.7299999999999999E-2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 t="str">
            <v>DOM FIN FIB04</v>
          </cell>
          <cell r="B210" t="str">
            <v>Business Talk</v>
          </cell>
          <cell r="C210" t="str">
            <v>Finland Business Nr Band 04</v>
          </cell>
          <cell r="D210" t="str">
            <v>Off-net domestic</v>
          </cell>
          <cell r="E210" t="str">
            <v>minute &amp; call</v>
          </cell>
          <cell r="F210">
            <v>1</v>
          </cell>
          <cell r="G210">
            <v>1</v>
          </cell>
          <cell r="H210">
            <v>0</v>
          </cell>
          <cell r="I210">
            <v>0</v>
          </cell>
          <cell r="J210">
            <v>6.08E-2</v>
          </cell>
          <cell r="K210">
            <v>0</v>
          </cell>
          <cell r="L210">
            <v>0.33660000000000001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A211" t="str">
            <v>DOM FIN FIB05</v>
          </cell>
          <cell r="B211" t="str">
            <v>Business Talk</v>
          </cell>
          <cell r="C211" t="str">
            <v>Finland Business Nr Band 05</v>
          </cell>
          <cell r="D211" t="str">
            <v>Off-net domestic</v>
          </cell>
          <cell r="E211" t="str">
            <v>minute &amp; call</v>
          </cell>
          <cell r="F211">
            <v>1</v>
          </cell>
          <cell r="G211">
            <v>1</v>
          </cell>
          <cell r="H211">
            <v>0</v>
          </cell>
          <cell r="I211">
            <v>0</v>
          </cell>
          <cell r="J211">
            <v>6.7299999999999999E-2</v>
          </cell>
          <cell r="K211">
            <v>0</v>
          </cell>
          <cell r="L211">
            <v>2.4400000000000002E-2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DOM FIN FIB06</v>
          </cell>
          <cell r="B212" t="str">
            <v>Business Talk</v>
          </cell>
          <cell r="C212" t="str">
            <v>Finland Business Nr Band 06</v>
          </cell>
          <cell r="D212" t="str">
            <v>Off-net domestic</v>
          </cell>
          <cell r="E212" t="str">
            <v>minute &amp; call</v>
          </cell>
          <cell r="F212">
            <v>1</v>
          </cell>
          <cell r="G212">
            <v>1</v>
          </cell>
          <cell r="H212">
            <v>0</v>
          </cell>
          <cell r="I212">
            <v>0</v>
          </cell>
          <cell r="J212">
            <v>1.21E-2</v>
          </cell>
          <cell r="K212">
            <v>0</v>
          </cell>
          <cell r="L212">
            <v>6.7299999999999999E-2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DOM FIN FIB07</v>
          </cell>
          <cell r="B213" t="str">
            <v>Business Talk</v>
          </cell>
          <cell r="C213" t="str">
            <v>Finland Business Nr Band 07</v>
          </cell>
          <cell r="D213" t="str">
            <v>Off-net domestic</v>
          </cell>
          <cell r="E213" t="str">
            <v>minute</v>
          </cell>
          <cell r="F213">
            <v>1</v>
          </cell>
          <cell r="G213">
            <v>1</v>
          </cell>
          <cell r="H213">
            <v>0</v>
          </cell>
          <cell r="I213">
            <v>0</v>
          </cell>
          <cell r="J213">
            <v>7.7299999999999994E-2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DOM FIN FIB08</v>
          </cell>
          <cell r="B214" t="str">
            <v>Business Talk</v>
          </cell>
          <cell r="C214" t="str">
            <v>Finland Business Nr Band 08</v>
          </cell>
          <cell r="D214" t="str">
            <v>Off-net domestic</v>
          </cell>
          <cell r="E214" t="str">
            <v>minute</v>
          </cell>
          <cell r="F214">
            <v>1</v>
          </cell>
          <cell r="G214">
            <v>1</v>
          </cell>
          <cell r="H214">
            <v>0</v>
          </cell>
          <cell r="I214">
            <v>0</v>
          </cell>
          <cell r="J214">
            <v>8.5199999999999998E-2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DOM FIN FIB09</v>
          </cell>
          <cell r="B215" t="str">
            <v>Business Talk</v>
          </cell>
          <cell r="C215" t="str">
            <v>Finland Business Nr Band 09</v>
          </cell>
          <cell r="D215" t="str">
            <v>Off-net domestic</v>
          </cell>
          <cell r="E215" t="str">
            <v>minute</v>
          </cell>
          <cell r="F215">
            <v>1</v>
          </cell>
          <cell r="G215">
            <v>1</v>
          </cell>
          <cell r="H215">
            <v>0</v>
          </cell>
          <cell r="I215">
            <v>0</v>
          </cell>
          <cell r="J215">
            <v>8.5400000000000004E-2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DOM FIN FIB10</v>
          </cell>
          <cell r="B216" t="str">
            <v>Business Talk</v>
          </cell>
          <cell r="C216" t="str">
            <v>Finland Business Nr Band 10</v>
          </cell>
          <cell r="D216" t="str">
            <v>Off-net domestic</v>
          </cell>
          <cell r="E216" t="str">
            <v>minute</v>
          </cell>
          <cell r="F216">
            <v>1</v>
          </cell>
          <cell r="G216">
            <v>1</v>
          </cell>
          <cell r="H216">
            <v>0</v>
          </cell>
          <cell r="I216">
            <v>0</v>
          </cell>
          <cell r="J216">
            <v>9.1200000000000003E-2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DOM FIN FIB11</v>
          </cell>
          <cell r="B217" t="str">
            <v>Business Talk</v>
          </cell>
          <cell r="C217" t="str">
            <v>Finland Business Nr Band 11</v>
          </cell>
          <cell r="D217" t="str">
            <v>Off-net domestic</v>
          </cell>
          <cell r="E217" t="str">
            <v>minute</v>
          </cell>
          <cell r="F217">
            <v>1</v>
          </cell>
          <cell r="G217">
            <v>1</v>
          </cell>
          <cell r="H217">
            <v>0</v>
          </cell>
          <cell r="I217">
            <v>0</v>
          </cell>
          <cell r="J217">
            <v>0.1056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DOM FIN FIB12</v>
          </cell>
          <cell r="B218" t="str">
            <v>Business Talk</v>
          </cell>
          <cell r="C218" t="str">
            <v>Finland Business Nr Band 12</v>
          </cell>
          <cell r="D218" t="str">
            <v>Off-net domestic</v>
          </cell>
          <cell r="E218" t="str">
            <v>minute</v>
          </cell>
          <cell r="F218">
            <v>1</v>
          </cell>
          <cell r="G218">
            <v>1</v>
          </cell>
          <cell r="H218">
            <v>0</v>
          </cell>
          <cell r="I218">
            <v>0</v>
          </cell>
          <cell r="J218">
            <v>0.1057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</row>
        <row r="219">
          <cell r="A219" t="str">
            <v>DOM FIN FIB13</v>
          </cell>
          <cell r="B219" t="str">
            <v>Business Talk</v>
          </cell>
          <cell r="C219" t="str">
            <v>Finland Business Nr Band 13</v>
          </cell>
          <cell r="D219" t="str">
            <v>Off-net domestic</v>
          </cell>
          <cell r="E219" t="str">
            <v>minute</v>
          </cell>
          <cell r="F219">
            <v>1</v>
          </cell>
          <cell r="G219">
            <v>1</v>
          </cell>
          <cell r="H219">
            <v>0</v>
          </cell>
          <cell r="I219">
            <v>0</v>
          </cell>
          <cell r="J219">
            <v>0.106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DOM FIN FIB14</v>
          </cell>
          <cell r="B220" t="str">
            <v>Business Talk</v>
          </cell>
          <cell r="C220" t="str">
            <v>Finland Business Nr Band 14</v>
          </cell>
          <cell r="D220" t="str">
            <v>Off-net domestic</v>
          </cell>
          <cell r="E220" t="str">
            <v>minute &amp; call</v>
          </cell>
          <cell r="F220">
            <v>1</v>
          </cell>
          <cell r="G220">
            <v>1</v>
          </cell>
          <cell r="H220">
            <v>0</v>
          </cell>
          <cell r="I220">
            <v>0</v>
          </cell>
          <cell r="J220">
            <v>4.8399999999999999E-2</v>
          </cell>
          <cell r="K220">
            <v>0</v>
          </cell>
          <cell r="L220">
            <v>6.7299999999999999E-2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DOM FIN FIB15</v>
          </cell>
          <cell r="B221" t="str">
            <v>Business Talk</v>
          </cell>
          <cell r="C221" t="str">
            <v>Finland Business Nr Band 15</v>
          </cell>
          <cell r="D221" t="str">
            <v>Off-net domestic</v>
          </cell>
          <cell r="E221" t="str">
            <v>minute</v>
          </cell>
          <cell r="F221">
            <v>1</v>
          </cell>
          <cell r="G221">
            <v>1</v>
          </cell>
          <cell r="H221">
            <v>0</v>
          </cell>
          <cell r="I221">
            <v>0</v>
          </cell>
          <cell r="J221">
            <v>0.1119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DOM FIN FIB16</v>
          </cell>
          <cell r="B222" t="str">
            <v>Business Talk</v>
          </cell>
          <cell r="C222" t="str">
            <v>Finland Business Nr Band 16</v>
          </cell>
          <cell r="D222" t="str">
            <v>Off-net domestic</v>
          </cell>
          <cell r="E222" t="str">
            <v>minute &amp; call</v>
          </cell>
          <cell r="F222">
            <v>1</v>
          </cell>
          <cell r="G222">
            <v>1</v>
          </cell>
          <cell r="H222">
            <v>0</v>
          </cell>
          <cell r="I222">
            <v>0</v>
          </cell>
          <cell r="J222">
            <v>0.1137</v>
          </cell>
          <cell r="K222">
            <v>0</v>
          </cell>
          <cell r="L222">
            <v>6.7299999999999999E-2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DOM FIN FIB17</v>
          </cell>
          <cell r="B223" t="str">
            <v>Business Talk</v>
          </cell>
          <cell r="C223" t="str">
            <v>Finland Business Nr Band 17</v>
          </cell>
          <cell r="D223" t="str">
            <v>Off-net domestic</v>
          </cell>
          <cell r="E223" t="str">
            <v>minute &amp; call</v>
          </cell>
          <cell r="F223">
            <v>1</v>
          </cell>
          <cell r="G223">
            <v>1</v>
          </cell>
          <cell r="H223">
            <v>0</v>
          </cell>
          <cell r="I223">
            <v>0</v>
          </cell>
          <cell r="J223">
            <v>5.57E-2</v>
          </cell>
          <cell r="K223">
            <v>0</v>
          </cell>
          <cell r="L223">
            <v>6.7299999999999999E-2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</row>
        <row r="224">
          <cell r="A224" t="str">
            <v>DOM FIN FIB18</v>
          </cell>
          <cell r="B224" t="str">
            <v>Business Talk</v>
          </cell>
          <cell r="C224" t="str">
            <v>Finland Business Nr Band 18</v>
          </cell>
          <cell r="D224" t="str">
            <v>Off-net domestic</v>
          </cell>
          <cell r="E224" t="str">
            <v>minute &amp; call</v>
          </cell>
          <cell r="F224">
            <v>1</v>
          </cell>
          <cell r="G224">
            <v>1</v>
          </cell>
          <cell r="H224">
            <v>0</v>
          </cell>
          <cell r="I224">
            <v>0</v>
          </cell>
          <cell r="J224">
            <v>5.6899999999999999E-2</v>
          </cell>
          <cell r="K224">
            <v>0</v>
          </cell>
          <cell r="L224">
            <v>6.7299999999999999E-2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 t="str">
            <v>DOM FIN FIB19</v>
          </cell>
          <cell r="B225" t="str">
            <v>Business Talk</v>
          </cell>
          <cell r="C225" t="str">
            <v>Finland Business Nr Band 19</v>
          </cell>
          <cell r="D225" t="str">
            <v>Off-net domestic</v>
          </cell>
          <cell r="E225" t="str">
            <v>minute</v>
          </cell>
          <cell r="F225">
            <v>1</v>
          </cell>
          <cell r="G225">
            <v>1</v>
          </cell>
          <cell r="H225">
            <v>0</v>
          </cell>
          <cell r="I225">
            <v>0</v>
          </cell>
          <cell r="J225">
            <v>0.12139999999999999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DOM FIN FIB20</v>
          </cell>
          <cell r="B226" t="str">
            <v>Business Talk</v>
          </cell>
          <cell r="C226" t="str">
            <v>Finland Business Nr Band 20</v>
          </cell>
          <cell r="D226" t="str">
            <v>Off-net domestic</v>
          </cell>
          <cell r="E226" t="str">
            <v>minute</v>
          </cell>
          <cell r="F226">
            <v>1</v>
          </cell>
          <cell r="G226">
            <v>1</v>
          </cell>
          <cell r="H226">
            <v>0</v>
          </cell>
          <cell r="I226">
            <v>0</v>
          </cell>
          <cell r="J226">
            <v>0.1216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A227" t="str">
            <v>DOM FIN FIB21</v>
          </cell>
          <cell r="B227" t="str">
            <v>Business Talk</v>
          </cell>
          <cell r="C227" t="str">
            <v>Finland Business Nr Band 21</v>
          </cell>
          <cell r="D227" t="str">
            <v>Off-net domestic</v>
          </cell>
          <cell r="E227" t="str">
            <v>minute &amp; call</v>
          </cell>
          <cell r="F227">
            <v>1</v>
          </cell>
          <cell r="G227">
            <v>1</v>
          </cell>
          <cell r="H227">
            <v>0</v>
          </cell>
          <cell r="I227">
            <v>0</v>
          </cell>
          <cell r="J227">
            <v>7.1199999999999999E-2</v>
          </cell>
          <cell r="K227">
            <v>0</v>
          </cell>
          <cell r="L227">
            <v>6.7299999999999999E-2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DOM FIN FIB22</v>
          </cell>
          <cell r="B228" t="str">
            <v>Business Talk</v>
          </cell>
          <cell r="C228" t="str">
            <v>Finland Business Nr Band 22</v>
          </cell>
          <cell r="D228" t="str">
            <v>Off-net domestic</v>
          </cell>
          <cell r="E228" t="str">
            <v>minute &amp; call</v>
          </cell>
          <cell r="F228">
            <v>1</v>
          </cell>
          <cell r="G228">
            <v>1</v>
          </cell>
          <cell r="H228">
            <v>0</v>
          </cell>
          <cell r="I228">
            <v>0</v>
          </cell>
          <cell r="J228">
            <v>0.1401</v>
          </cell>
          <cell r="K228">
            <v>0</v>
          </cell>
          <cell r="L228">
            <v>6.7299999999999999E-2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DOM FIN FIB23</v>
          </cell>
          <cell r="B229" t="str">
            <v>Business Talk</v>
          </cell>
          <cell r="C229" t="str">
            <v>Finland Business Nr Band 23</v>
          </cell>
          <cell r="D229" t="str">
            <v>Off-net domestic</v>
          </cell>
          <cell r="E229" t="str">
            <v>minute &amp; call</v>
          </cell>
          <cell r="F229">
            <v>1</v>
          </cell>
          <cell r="G229">
            <v>1</v>
          </cell>
          <cell r="H229">
            <v>0</v>
          </cell>
          <cell r="I229">
            <v>0</v>
          </cell>
          <cell r="J229">
            <v>0.08</v>
          </cell>
          <cell r="K229">
            <v>0</v>
          </cell>
          <cell r="L229">
            <v>6.7299999999999999E-2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DOM FIN FIB24</v>
          </cell>
          <cell r="B230" t="str">
            <v>Business Talk</v>
          </cell>
          <cell r="C230" t="str">
            <v>Finland Business Nr Band 24</v>
          </cell>
          <cell r="D230" t="str">
            <v>Off-net domestic</v>
          </cell>
          <cell r="E230" t="str">
            <v>minute &amp; call</v>
          </cell>
          <cell r="F230">
            <v>1</v>
          </cell>
          <cell r="G230">
            <v>1</v>
          </cell>
          <cell r="H230">
            <v>0</v>
          </cell>
          <cell r="I230">
            <v>0</v>
          </cell>
          <cell r="J230">
            <v>9.7500000000000003E-2</v>
          </cell>
          <cell r="K230">
            <v>0</v>
          </cell>
          <cell r="L230">
            <v>6.7299999999999999E-2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 t="str">
            <v>DOM FIN FIB25</v>
          </cell>
          <cell r="B231" t="str">
            <v>Business Talk</v>
          </cell>
          <cell r="C231" t="str">
            <v>Finland Business Nr Band 25</v>
          </cell>
          <cell r="D231" t="str">
            <v>Off-net domestic</v>
          </cell>
          <cell r="E231" t="str">
            <v>minute &amp; call</v>
          </cell>
          <cell r="F231">
            <v>1</v>
          </cell>
          <cell r="G231">
            <v>1</v>
          </cell>
          <cell r="H231">
            <v>0</v>
          </cell>
          <cell r="I231">
            <v>0</v>
          </cell>
          <cell r="J231">
            <v>9.7600000000000006E-2</v>
          </cell>
          <cell r="K231">
            <v>0</v>
          </cell>
          <cell r="L231">
            <v>6.7299999999999999E-2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DOM FIN FIB26</v>
          </cell>
          <cell r="B232" t="str">
            <v>Business Talk</v>
          </cell>
          <cell r="C232" t="str">
            <v>Finland Business Nr Band 26</v>
          </cell>
          <cell r="D232" t="str">
            <v>Off-net domestic</v>
          </cell>
          <cell r="E232" t="str">
            <v>minute</v>
          </cell>
          <cell r="F232">
            <v>1</v>
          </cell>
          <cell r="G232">
            <v>1</v>
          </cell>
          <cell r="H232">
            <v>0</v>
          </cell>
          <cell r="I232">
            <v>0</v>
          </cell>
          <cell r="J232">
            <v>0.16650000000000001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DOM FIN FIB27</v>
          </cell>
          <cell r="B233" t="str">
            <v>Business Talk</v>
          </cell>
          <cell r="C233" t="str">
            <v>Finland Business Nr Band 27</v>
          </cell>
          <cell r="D233" t="str">
            <v>Off-net domestic</v>
          </cell>
          <cell r="E233" t="str">
            <v>minute &amp; call</v>
          </cell>
          <cell r="F233">
            <v>1</v>
          </cell>
          <cell r="G233">
            <v>1</v>
          </cell>
          <cell r="H233">
            <v>0</v>
          </cell>
          <cell r="I233">
            <v>0</v>
          </cell>
          <cell r="J233">
            <v>0.12</v>
          </cell>
          <cell r="K233">
            <v>0</v>
          </cell>
          <cell r="L233">
            <v>6.7299999999999999E-2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DOM FIN FIB28</v>
          </cell>
          <cell r="B234" t="str">
            <v>Business Talk</v>
          </cell>
          <cell r="C234" t="str">
            <v>Finland Business Nr Band 28</v>
          </cell>
          <cell r="D234" t="str">
            <v>Off-net domestic</v>
          </cell>
          <cell r="E234" t="str">
            <v>minute</v>
          </cell>
          <cell r="F234">
            <v>1</v>
          </cell>
          <cell r="G234">
            <v>1</v>
          </cell>
          <cell r="H234">
            <v>0</v>
          </cell>
          <cell r="I234">
            <v>0</v>
          </cell>
          <cell r="J234">
            <v>0.18379999999999999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A235" t="str">
            <v>DOM FIN FIB29</v>
          </cell>
          <cell r="B235" t="str">
            <v>Business Talk</v>
          </cell>
          <cell r="C235" t="str">
            <v>Finland Business Nr Band 29</v>
          </cell>
          <cell r="D235" t="str">
            <v>Off-net domestic</v>
          </cell>
          <cell r="E235" t="str">
            <v>minute &amp; call</v>
          </cell>
          <cell r="F235">
            <v>1</v>
          </cell>
          <cell r="G235">
            <v>1</v>
          </cell>
          <cell r="H235">
            <v>0</v>
          </cell>
          <cell r="I235">
            <v>0</v>
          </cell>
          <cell r="J235">
            <v>0.18890000000000001</v>
          </cell>
          <cell r="K235">
            <v>0</v>
          </cell>
          <cell r="L235">
            <v>6.7299999999999999E-2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DOM FIN FIDIR</v>
          </cell>
          <cell r="B236" t="str">
            <v>Business Talk</v>
          </cell>
          <cell r="C236" t="str">
            <v>Finland Directory Enquiry</v>
          </cell>
          <cell r="D236" t="str">
            <v>Off-net domestic</v>
          </cell>
          <cell r="E236" t="str">
            <v>minute &amp; call</v>
          </cell>
          <cell r="F236">
            <v>1</v>
          </cell>
          <cell r="G236">
            <v>1</v>
          </cell>
          <cell r="H236">
            <v>0</v>
          </cell>
          <cell r="I236">
            <v>0</v>
          </cell>
          <cell r="J236">
            <v>0.65</v>
          </cell>
          <cell r="K236">
            <v>0</v>
          </cell>
          <cell r="L236">
            <v>1.3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DOM FIN FISOS</v>
          </cell>
          <cell r="B237" t="str">
            <v>Business Talk</v>
          </cell>
          <cell r="C237" t="str">
            <v>Finland Emerg And Short Nr</v>
          </cell>
          <cell r="D237" t="str">
            <v>Off-net domestic</v>
          </cell>
          <cell r="E237" t="str">
            <v>minute</v>
          </cell>
          <cell r="F237">
            <v>1</v>
          </cell>
          <cell r="G237">
            <v>1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DOM FIN FITFR</v>
          </cell>
          <cell r="B238" t="str">
            <v>Business Talk</v>
          </cell>
          <cell r="C238" t="str">
            <v>Finland Toll Free</v>
          </cell>
          <cell r="D238" t="str">
            <v>Off-net domestic</v>
          </cell>
          <cell r="E238" t="str">
            <v>minute</v>
          </cell>
          <cell r="F238">
            <v>1</v>
          </cell>
          <cell r="G238">
            <v>1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A239" t="str">
            <v>DOM FIN FITS1</v>
          </cell>
          <cell r="B239" t="str">
            <v>Business Talk</v>
          </cell>
          <cell r="C239" t="str">
            <v>Finland Toll Share Band I</v>
          </cell>
          <cell r="D239" t="str">
            <v>Off-net domestic</v>
          </cell>
          <cell r="E239" t="str">
            <v>minute &amp; call</v>
          </cell>
          <cell r="F239">
            <v>1</v>
          </cell>
          <cell r="G239">
            <v>1</v>
          </cell>
          <cell r="H239">
            <v>0</v>
          </cell>
          <cell r="I239">
            <v>0</v>
          </cell>
          <cell r="J239">
            <v>0.65</v>
          </cell>
          <cell r="K239">
            <v>0</v>
          </cell>
          <cell r="L239">
            <v>1.3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A240" t="str">
            <v>DOM FIN FITS2</v>
          </cell>
          <cell r="B240" t="str">
            <v>Business Talk</v>
          </cell>
          <cell r="C240" t="str">
            <v>Finland Toll Share Band Ii</v>
          </cell>
          <cell r="D240" t="str">
            <v>Off-net domestic</v>
          </cell>
          <cell r="E240" t="str">
            <v>minute &amp; call</v>
          </cell>
          <cell r="F240">
            <v>1</v>
          </cell>
          <cell r="G240">
            <v>1</v>
          </cell>
          <cell r="H240">
            <v>0</v>
          </cell>
          <cell r="I240">
            <v>0</v>
          </cell>
          <cell r="J240">
            <v>0.65</v>
          </cell>
          <cell r="K240">
            <v>0</v>
          </cell>
          <cell r="L240">
            <v>1.3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DOM FRA OFPOP</v>
          </cell>
          <cell r="B241" t="str">
            <v>Business Talk</v>
          </cell>
          <cell r="C241" t="str">
            <v>France National</v>
          </cell>
          <cell r="D241" t="str">
            <v>Off-net domestic</v>
          </cell>
          <cell r="E241" t="str">
            <v>minute</v>
          </cell>
          <cell r="F241">
            <v>1</v>
          </cell>
          <cell r="G241">
            <v>1</v>
          </cell>
          <cell r="H241">
            <v>0</v>
          </cell>
          <cell r="I241">
            <v>0</v>
          </cell>
          <cell r="J241">
            <v>1.2200000000000001E-2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 t="str">
            <v>DOM FRA MOBIL</v>
          </cell>
          <cell r="B242" t="str">
            <v>Business Talk</v>
          </cell>
          <cell r="C242" t="str">
            <v>France Mobile</v>
          </cell>
          <cell r="D242" t="str">
            <v>Off-net domestic</v>
          </cell>
          <cell r="E242" t="str">
            <v>minute</v>
          </cell>
          <cell r="F242">
            <v>1</v>
          </cell>
          <cell r="G242">
            <v>1</v>
          </cell>
          <cell r="H242">
            <v>0</v>
          </cell>
          <cell r="I242">
            <v>0</v>
          </cell>
          <cell r="J242">
            <v>3.7699999999999997E-2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DOM FRA MOBBO</v>
          </cell>
          <cell r="B243" t="str">
            <v>Business Talk</v>
          </cell>
          <cell r="C243" t="str">
            <v>France Mobile Bouygues</v>
          </cell>
          <cell r="D243" t="str">
            <v>Off-net domestic</v>
          </cell>
          <cell r="E243" t="str">
            <v>minute</v>
          </cell>
          <cell r="F243">
            <v>1</v>
          </cell>
          <cell r="G243">
            <v>1</v>
          </cell>
          <cell r="H243">
            <v>0</v>
          </cell>
          <cell r="I243">
            <v>0</v>
          </cell>
          <cell r="J243">
            <v>3.7699999999999997E-2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DOM FRA FRMGL</v>
          </cell>
          <cell r="B244" t="str">
            <v>Business Talk</v>
          </cell>
          <cell r="C244" t="str">
            <v>France Mobile Globalstar</v>
          </cell>
          <cell r="D244" t="str">
            <v>Off-net domestic</v>
          </cell>
          <cell r="E244" t="str">
            <v>minute</v>
          </cell>
          <cell r="F244">
            <v>1</v>
          </cell>
          <cell r="G244">
            <v>1</v>
          </cell>
          <cell r="H244">
            <v>0</v>
          </cell>
          <cell r="I244">
            <v>0</v>
          </cell>
          <cell r="J244">
            <v>0.4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DOM FRA MOBI1</v>
          </cell>
          <cell r="B245" t="str">
            <v>Business Talk</v>
          </cell>
          <cell r="C245" t="str">
            <v>France Mobile Orange</v>
          </cell>
          <cell r="D245" t="str">
            <v>Off-net domestic</v>
          </cell>
          <cell r="E245" t="str">
            <v>minute</v>
          </cell>
          <cell r="F245">
            <v>1</v>
          </cell>
          <cell r="G245">
            <v>1</v>
          </cell>
          <cell r="H245">
            <v>0</v>
          </cell>
          <cell r="I245">
            <v>0</v>
          </cell>
          <cell r="J245">
            <v>3.7699999999999997E-2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DOM FRA MOBSF</v>
          </cell>
          <cell r="B246" t="str">
            <v>Business Talk</v>
          </cell>
          <cell r="C246" t="str">
            <v>France Mobile Sfr</v>
          </cell>
          <cell r="D246" t="str">
            <v>Off-net domestic</v>
          </cell>
          <cell r="E246" t="str">
            <v>minute</v>
          </cell>
          <cell r="F246">
            <v>1</v>
          </cell>
          <cell r="G246">
            <v>1</v>
          </cell>
          <cell r="H246">
            <v>0</v>
          </cell>
          <cell r="I246">
            <v>0</v>
          </cell>
          <cell r="J246">
            <v>3.7699999999999997E-2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DOM GUF MOB</v>
          </cell>
          <cell r="B247" t="str">
            <v>Business Talk</v>
          </cell>
          <cell r="C247" t="str">
            <v>French Guiana Mobile</v>
          </cell>
          <cell r="D247" t="str">
            <v>Off-net domestic</v>
          </cell>
          <cell r="E247" t="str">
            <v>minute</v>
          </cell>
          <cell r="F247">
            <v>1</v>
          </cell>
          <cell r="G247">
            <v>1</v>
          </cell>
          <cell r="H247">
            <v>0</v>
          </cell>
          <cell r="I247">
            <v>0</v>
          </cell>
          <cell r="J247">
            <v>3.7699999999999997E-2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A248" t="str">
            <v>DOM GUF FIX</v>
          </cell>
          <cell r="B248" t="str">
            <v>Business Talk</v>
          </cell>
          <cell r="C248" t="str">
            <v>French Guiana</v>
          </cell>
          <cell r="D248" t="str">
            <v>Off-net domestic</v>
          </cell>
          <cell r="E248" t="str">
            <v>minute</v>
          </cell>
          <cell r="F248">
            <v>1</v>
          </cell>
          <cell r="G248">
            <v>1</v>
          </cell>
          <cell r="H248">
            <v>0</v>
          </cell>
          <cell r="I248">
            <v>0</v>
          </cell>
          <cell r="J248">
            <v>1.7999999999999999E-2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DOM GUF GU1FR</v>
          </cell>
          <cell r="B249" t="str">
            <v>Business Talk</v>
          </cell>
          <cell r="C249" t="str">
            <v>French Guiana 10Xy Toll Free</v>
          </cell>
          <cell r="D249" t="str">
            <v>Off-net domestic</v>
          </cell>
          <cell r="E249" t="str">
            <v>minute</v>
          </cell>
          <cell r="F249">
            <v>1</v>
          </cell>
          <cell r="G249">
            <v>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DOM GUF GU1TS</v>
          </cell>
          <cell r="B250" t="str">
            <v>Business Talk</v>
          </cell>
          <cell r="C250" t="str">
            <v>French Guiana 10Xy Toll Share</v>
          </cell>
          <cell r="D250" t="str">
            <v>Off-net domestic</v>
          </cell>
          <cell r="E250" t="str">
            <v>minute &amp; call</v>
          </cell>
          <cell r="F250">
            <v>1</v>
          </cell>
          <cell r="G250">
            <v>1</v>
          </cell>
          <cell r="H250">
            <v>0</v>
          </cell>
          <cell r="I250">
            <v>0</v>
          </cell>
          <cell r="J250">
            <v>2.3E-2</v>
          </cell>
          <cell r="K250">
            <v>0</v>
          </cell>
          <cell r="L250">
            <v>6.5000000000000002E-2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DOM GUF GU300</v>
          </cell>
          <cell r="B251" t="str">
            <v>Business Talk</v>
          </cell>
          <cell r="C251" t="str">
            <v>French Guiana 3Bpq Band00</v>
          </cell>
          <cell r="D251" t="str">
            <v>Off-net domestic</v>
          </cell>
          <cell r="E251" t="str">
            <v>minute</v>
          </cell>
          <cell r="F251">
            <v>1</v>
          </cell>
          <cell r="G251">
            <v>1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 t="str">
            <v>DOM GUF GU301</v>
          </cell>
          <cell r="B252" t="str">
            <v>Business Talk</v>
          </cell>
          <cell r="C252" t="str">
            <v>French Guiana 3Bpq Band01</v>
          </cell>
          <cell r="D252" t="str">
            <v>Off-net domestic</v>
          </cell>
          <cell r="E252" t="str">
            <v>minute</v>
          </cell>
          <cell r="F252">
            <v>1</v>
          </cell>
          <cell r="G252">
            <v>1</v>
          </cell>
          <cell r="H252">
            <v>0</v>
          </cell>
          <cell r="I252">
            <v>0</v>
          </cell>
          <cell r="J252">
            <v>5.04E-2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DOM GUF GU302</v>
          </cell>
          <cell r="B253" t="str">
            <v>Business Talk</v>
          </cell>
          <cell r="C253" t="str">
            <v>French Guiana 3Bpq Band02</v>
          </cell>
          <cell r="D253" t="str">
            <v>Off-net domestic</v>
          </cell>
          <cell r="E253" t="str">
            <v>minute</v>
          </cell>
          <cell r="F253">
            <v>1</v>
          </cell>
          <cell r="G253">
            <v>1</v>
          </cell>
          <cell r="H253">
            <v>0</v>
          </cell>
          <cell r="I253">
            <v>0</v>
          </cell>
          <cell r="J253">
            <v>5.9400000000000001E-2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DOM GUF GU303</v>
          </cell>
          <cell r="B254" t="str">
            <v>Business Talk</v>
          </cell>
          <cell r="C254" t="str">
            <v>French Guiana 3Bpq Band03</v>
          </cell>
          <cell r="D254" t="str">
            <v>Off-net domestic</v>
          </cell>
          <cell r="E254" t="str">
            <v>minute</v>
          </cell>
          <cell r="F254">
            <v>1</v>
          </cell>
          <cell r="G254">
            <v>1</v>
          </cell>
          <cell r="H254">
            <v>0</v>
          </cell>
          <cell r="I254">
            <v>0</v>
          </cell>
          <cell r="J254">
            <v>9.4E-2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DOM GUF GU304</v>
          </cell>
          <cell r="B255" t="str">
            <v>Business Talk</v>
          </cell>
          <cell r="C255" t="str">
            <v>French Guiana 3Bpq Band04</v>
          </cell>
          <cell r="D255" t="str">
            <v>Off-net domestic</v>
          </cell>
          <cell r="E255" t="str">
            <v>minute</v>
          </cell>
          <cell r="F255">
            <v>1</v>
          </cell>
          <cell r="G255">
            <v>1</v>
          </cell>
          <cell r="H255">
            <v>0</v>
          </cell>
          <cell r="I255">
            <v>0</v>
          </cell>
          <cell r="J255">
            <v>0.125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DOM GUF GU305</v>
          </cell>
          <cell r="B256" t="str">
            <v>Business Talk</v>
          </cell>
          <cell r="C256" t="str">
            <v>French Guiana 3Bpq Band05</v>
          </cell>
          <cell r="D256" t="str">
            <v>Off-net domestic</v>
          </cell>
          <cell r="E256" t="str">
            <v>minute</v>
          </cell>
          <cell r="F256">
            <v>1</v>
          </cell>
          <cell r="G256">
            <v>1</v>
          </cell>
          <cell r="H256">
            <v>0</v>
          </cell>
          <cell r="I256">
            <v>0</v>
          </cell>
          <cell r="J256">
            <v>0.17630000000000001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DOM GUF GU306</v>
          </cell>
          <cell r="B257" t="str">
            <v>Business Talk</v>
          </cell>
          <cell r="C257" t="str">
            <v>French Guiana 3Bpq Band06</v>
          </cell>
          <cell r="D257" t="str">
            <v>Off-net domestic</v>
          </cell>
          <cell r="E257" t="str">
            <v>minute</v>
          </cell>
          <cell r="F257">
            <v>1</v>
          </cell>
          <cell r="G257">
            <v>1</v>
          </cell>
          <cell r="H257">
            <v>0</v>
          </cell>
          <cell r="I257">
            <v>0</v>
          </cell>
          <cell r="J257">
            <v>0.188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DOM GUF GU307</v>
          </cell>
          <cell r="B258" t="str">
            <v>Business Talk</v>
          </cell>
          <cell r="C258" t="str">
            <v>French Guiana 3Bpq Band07</v>
          </cell>
          <cell r="D258" t="str">
            <v>Off-net domestic</v>
          </cell>
          <cell r="E258" t="str">
            <v>minute</v>
          </cell>
          <cell r="F258">
            <v>1</v>
          </cell>
          <cell r="G258">
            <v>1</v>
          </cell>
          <cell r="H258">
            <v>0</v>
          </cell>
          <cell r="I258">
            <v>0</v>
          </cell>
          <cell r="J258">
            <v>0.28100000000000003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</row>
        <row r="259">
          <cell r="A259" t="str">
            <v>DOM GUF GU308</v>
          </cell>
          <cell r="B259" t="str">
            <v>Business Talk</v>
          </cell>
          <cell r="C259" t="str">
            <v>French Guiana 3Bpq Band08</v>
          </cell>
          <cell r="D259" t="str">
            <v>Off-net domestic</v>
          </cell>
          <cell r="E259" t="str">
            <v>minute</v>
          </cell>
          <cell r="F259">
            <v>1</v>
          </cell>
          <cell r="G259">
            <v>1</v>
          </cell>
          <cell r="H259">
            <v>0</v>
          </cell>
          <cell r="I259">
            <v>0</v>
          </cell>
          <cell r="J259">
            <v>0.29680000000000001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DOM GUF GU309</v>
          </cell>
          <cell r="B260" t="str">
            <v>Business Talk</v>
          </cell>
          <cell r="C260" t="str">
            <v>French Guiana 3Bpq Band09</v>
          </cell>
          <cell r="D260" t="str">
            <v>Off-net domestic</v>
          </cell>
          <cell r="E260" t="str">
            <v>minute</v>
          </cell>
          <cell r="F260">
            <v>1</v>
          </cell>
          <cell r="G260">
            <v>1</v>
          </cell>
          <cell r="H260">
            <v>0</v>
          </cell>
          <cell r="I260">
            <v>0</v>
          </cell>
          <cell r="J260">
            <v>0.34499999999999997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DOM GUF GU310</v>
          </cell>
          <cell r="B261" t="str">
            <v>Business Talk</v>
          </cell>
          <cell r="C261" t="str">
            <v>French Guiana 3Bpq Band10</v>
          </cell>
          <cell r="D261" t="str">
            <v>Off-net domestic</v>
          </cell>
          <cell r="E261" t="str">
            <v>minute</v>
          </cell>
          <cell r="F261">
            <v>1</v>
          </cell>
          <cell r="G261">
            <v>1</v>
          </cell>
          <cell r="H261">
            <v>0</v>
          </cell>
          <cell r="I261">
            <v>0</v>
          </cell>
          <cell r="J261">
            <v>0.72309999999999997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DOM GUF GU311</v>
          </cell>
          <cell r="B262" t="str">
            <v>Business Talk</v>
          </cell>
          <cell r="C262" t="str">
            <v>French Guiana 3Bpq Band11</v>
          </cell>
          <cell r="D262" t="str">
            <v>Off-net domestic</v>
          </cell>
          <cell r="E262" t="str">
            <v>minute</v>
          </cell>
          <cell r="F262">
            <v>1</v>
          </cell>
          <cell r="G262">
            <v>1</v>
          </cell>
          <cell r="H262">
            <v>0</v>
          </cell>
          <cell r="I262">
            <v>0</v>
          </cell>
          <cell r="J262">
            <v>1.1279999999999999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A263" t="str">
            <v>DOM GUF GU312</v>
          </cell>
          <cell r="B263" t="str">
            <v>Business Talk</v>
          </cell>
          <cell r="C263" t="str">
            <v>French Guiana 3Bpq Band12</v>
          </cell>
          <cell r="D263" t="str">
            <v>Off-net domestic</v>
          </cell>
          <cell r="E263" t="str">
            <v>minute &amp; call</v>
          </cell>
          <cell r="F263">
            <v>1</v>
          </cell>
          <cell r="G263">
            <v>1</v>
          </cell>
          <cell r="H263">
            <v>0</v>
          </cell>
          <cell r="I263">
            <v>0</v>
          </cell>
          <cell r="J263">
            <v>9.9000000000000005E-2</v>
          </cell>
          <cell r="K263">
            <v>0</v>
          </cell>
          <cell r="L263">
            <v>2E-3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DOM GUF GU313</v>
          </cell>
          <cell r="B264" t="str">
            <v>Business Talk</v>
          </cell>
          <cell r="C264" t="str">
            <v>French Guiana 3Bpq Band13</v>
          </cell>
          <cell r="D264" t="str">
            <v>Off-net domestic</v>
          </cell>
          <cell r="E264" t="str">
            <v>minute &amp; call</v>
          </cell>
          <cell r="F264">
            <v>1</v>
          </cell>
          <cell r="G264">
            <v>1</v>
          </cell>
          <cell r="H264">
            <v>0</v>
          </cell>
          <cell r="I264">
            <v>0</v>
          </cell>
          <cell r="J264">
            <v>6.7100000000000007E-2</v>
          </cell>
          <cell r="K264">
            <v>0</v>
          </cell>
          <cell r="L264">
            <v>1.7000000000000001E-2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DOM GUF GU314</v>
          </cell>
          <cell r="B265" t="str">
            <v>Business Talk</v>
          </cell>
          <cell r="C265" t="str">
            <v>French Guiana 3Bpq Band14</v>
          </cell>
          <cell r="D265" t="str">
            <v>Off-net domestic</v>
          </cell>
          <cell r="E265" t="str">
            <v>minute &amp; call</v>
          </cell>
          <cell r="F265">
            <v>1</v>
          </cell>
          <cell r="G265">
            <v>1</v>
          </cell>
          <cell r="H265">
            <v>0</v>
          </cell>
          <cell r="I265">
            <v>0</v>
          </cell>
          <cell r="J265">
            <v>7.4999999999999997E-2</v>
          </cell>
          <cell r="K265">
            <v>0</v>
          </cell>
          <cell r="L265">
            <v>2.4E-2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DOM GUF GU315</v>
          </cell>
          <cell r="B266" t="str">
            <v>Business Talk</v>
          </cell>
          <cell r="C266" t="str">
            <v>French Guiana 3Bpq Band15</v>
          </cell>
          <cell r="D266" t="str">
            <v>Off-net domestic</v>
          </cell>
          <cell r="E266" t="str">
            <v>minute &amp; call</v>
          </cell>
          <cell r="F266">
            <v>1</v>
          </cell>
          <cell r="G266">
            <v>1</v>
          </cell>
          <cell r="H266">
            <v>0</v>
          </cell>
          <cell r="I266">
            <v>0</v>
          </cell>
          <cell r="J266">
            <v>5.0999999999999997E-2</v>
          </cell>
          <cell r="K266">
            <v>0</v>
          </cell>
          <cell r="L266">
            <v>4.2999999999999997E-2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DOM GUF GU316</v>
          </cell>
          <cell r="B267" t="str">
            <v>Business Talk</v>
          </cell>
          <cell r="C267" t="str">
            <v>French Guiana 3Bpq Band16</v>
          </cell>
          <cell r="D267" t="str">
            <v>Off-net domestic</v>
          </cell>
          <cell r="E267" t="str">
            <v>minute &amp; call</v>
          </cell>
          <cell r="F267">
            <v>1</v>
          </cell>
          <cell r="G267">
            <v>1</v>
          </cell>
          <cell r="H267">
            <v>0</v>
          </cell>
          <cell r="I267">
            <v>0</v>
          </cell>
          <cell r="J267">
            <v>2.3E-2</v>
          </cell>
          <cell r="K267">
            <v>0</v>
          </cell>
          <cell r="L267">
            <v>6.5000000000000002E-2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DOM GUF GU317</v>
          </cell>
          <cell r="B268" t="str">
            <v>Business Talk</v>
          </cell>
          <cell r="C268" t="str">
            <v>French Guiana 3Bpq Band17</v>
          </cell>
          <cell r="D268" t="str">
            <v>Off-net domestic</v>
          </cell>
          <cell r="E268" t="str">
            <v>minute &amp; call</v>
          </cell>
          <cell r="F268">
            <v>1</v>
          </cell>
          <cell r="G268">
            <v>1</v>
          </cell>
          <cell r="H268">
            <v>0</v>
          </cell>
          <cell r="I268">
            <v>0</v>
          </cell>
          <cell r="J268">
            <v>2.4E-2</v>
          </cell>
          <cell r="K268">
            <v>0</v>
          </cell>
          <cell r="L268">
            <v>7.5999999999999998E-2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DOM GUF GU318</v>
          </cell>
          <cell r="B269" t="str">
            <v>Business Talk</v>
          </cell>
          <cell r="C269" t="str">
            <v>French Guiana 3Bpq Band18</v>
          </cell>
          <cell r="D269" t="str">
            <v>Off-net domestic</v>
          </cell>
          <cell r="E269" t="str">
            <v>call</v>
          </cell>
          <cell r="F269">
            <v>1</v>
          </cell>
          <cell r="G269">
            <v>1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9.4E-2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 t="str">
            <v>DOM GUF GU319</v>
          </cell>
          <cell r="B270" t="str">
            <v>Business Talk</v>
          </cell>
          <cell r="C270" t="str">
            <v>French Guiana 3Bpq Band19</v>
          </cell>
          <cell r="D270" t="str">
            <v>Off-net domestic</v>
          </cell>
          <cell r="E270" t="str">
            <v>minute &amp; call</v>
          </cell>
          <cell r="F270">
            <v>1</v>
          </cell>
          <cell r="G270">
            <v>1</v>
          </cell>
          <cell r="H270">
            <v>0</v>
          </cell>
          <cell r="I270">
            <v>0</v>
          </cell>
          <cell r="J270">
            <v>0.125</v>
          </cell>
          <cell r="K270">
            <v>0</v>
          </cell>
          <cell r="L270">
            <v>9.4E-2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A271" t="str">
            <v>DOM GUF GU320</v>
          </cell>
          <cell r="B271" t="str">
            <v>Business Talk</v>
          </cell>
          <cell r="C271" t="str">
            <v>French Guiana 3Bpq Band20</v>
          </cell>
          <cell r="D271" t="str">
            <v>Off-net domestic</v>
          </cell>
          <cell r="E271" t="str">
            <v>minute &amp; call</v>
          </cell>
          <cell r="F271">
            <v>1</v>
          </cell>
          <cell r="G271">
            <v>1</v>
          </cell>
          <cell r="H271">
            <v>0</v>
          </cell>
          <cell r="I271">
            <v>0</v>
          </cell>
          <cell r="J271">
            <v>4.7E-2</v>
          </cell>
          <cell r="K271">
            <v>0</v>
          </cell>
          <cell r="L271">
            <v>0.14099999999999999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 t="str">
            <v>DOM GUF GU321</v>
          </cell>
          <cell r="B272" t="str">
            <v>Business Talk</v>
          </cell>
          <cell r="C272" t="str">
            <v>French Guiana 3Bpq Band21</v>
          </cell>
          <cell r="D272" t="str">
            <v>Off-net domestic</v>
          </cell>
          <cell r="E272" t="str">
            <v>call</v>
          </cell>
          <cell r="F272">
            <v>1</v>
          </cell>
          <cell r="G272">
            <v>1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0.47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A273" t="str">
            <v>DOM GUF GUVAS</v>
          </cell>
          <cell r="B273" t="str">
            <v>Business Talk</v>
          </cell>
          <cell r="C273" t="str">
            <v>French Guiana 3Bpq Band22</v>
          </cell>
          <cell r="D273" t="str">
            <v>Off-net domestic</v>
          </cell>
          <cell r="E273" t="str">
            <v>minute &amp; call</v>
          </cell>
          <cell r="F273">
            <v>1</v>
          </cell>
          <cell r="G273">
            <v>1</v>
          </cell>
          <cell r="H273">
            <v>0</v>
          </cell>
          <cell r="I273">
            <v>0</v>
          </cell>
          <cell r="J273">
            <v>0.28100000000000003</v>
          </cell>
          <cell r="K273">
            <v>0</v>
          </cell>
          <cell r="L273">
            <v>1.1297999999999999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 t="str">
            <v>DOM GUF GUSOS</v>
          </cell>
          <cell r="B274" t="str">
            <v>Business Talk</v>
          </cell>
          <cell r="C274" t="str">
            <v>French Guiana Emerg Short Nr</v>
          </cell>
          <cell r="D274" t="str">
            <v>Off-net domestic</v>
          </cell>
          <cell r="E274" t="str">
            <v>minute</v>
          </cell>
          <cell r="F274">
            <v>1</v>
          </cell>
          <cell r="G274">
            <v>1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A275" t="str">
            <v>DOM GUF GU860</v>
          </cell>
          <cell r="B275" t="str">
            <v>Business Talk</v>
          </cell>
          <cell r="C275" t="str">
            <v>French Guiana Internet Dial Up</v>
          </cell>
          <cell r="D275" t="str">
            <v>Off-net domestic</v>
          </cell>
          <cell r="E275" t="str">
            <v>minute</v>
          </cell>
          <cell r="F275">
            <v>1</v>
          </cell>
          <cell r="G275">
            <v>1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 t="str">
            <v>DOM GUF GU82H</v>
          </cell>
          <cell r="B276" t="str">
            <v>Business Talk</v>
          </cell>
          <cell r="C276" t="str">
            <v>French Guiana Premium 820 High</v>
          </cell>
          <cell r="D276" t="str">
            <v>Off-net domestic</v>
          </cell>
          <cell r="E276" t="str">
            <v>minute &amp; call</v>
          </cell>
          <cell r="F276">
            <v>1</v>
          </cell>
          <cell r="G276">
            <v>1</v>
          </cell>
          <cell r="H276">
            <v>0</v>
          </cell>
          <cell r="I276">
            <v>0</v>
          </cell>
          <cell r="J276">
            <v>9.9000000000000005E-2</v>
          </cell>
          <cell r="K276">
            <v>0</v>
          </cell>
          <cell r="L276">
            <v>9.4E-2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A277" t="str">
            <v>DOM GUF GU82L</v>
          </cell>
          <cell r="B277" t="str">
            <v>Business Talk</v>
          </cell>
          <cell r="C277" t="str">
            <v>French Guiana Premium 820 Low</v>
          </cell>
          <cell r="D277" t="str">
            <v>Off-net domestic</v>
          </cell>
          <cell r="E277" t="str">
            <v>minute &amp; call</v>
          </cell>
          <cell r="F277">
            <v>1</v>
          </cell>
          <cell r="G277">
            <v>1</v>
          </cell>
          <cell r="H277">
            <v>0</v>
          </cell>
          <cell r="I277">
            <v>0</v>
          </cell>
          <cell r="J277">
            <v>7.4999999999999997E-2</v>
          </cell>
          <cell r="K277">
            <v>0</v>
          </cell>
          <cell r="L277">
            <v>9.4E-2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 t="str">
            <v>DOM GUF GU825</v>
          </cell>
          <cell r="B278" t="str">
            <v>Business Talk</v>
          </cell>
          <cell r="C278" t="str">
            <v>French Guiana Premium 825</v>
          </cell>
          <cell r="D278" t="str">
            <v>Off-net domestic</v>
          </cell>
          <cell r="E278" t="str">
            <v>minute</v>
          </cell>
          <cell r="F278">
            <v>1</v>
          </cell>
          <cell r="G278">
            <v>1</v>
          </cell>
          <cell r="H278">
            <v>0</v>
          </cell>
          <cell r="I278">
            <v>0</v>
          </cell>
          <cell r="J278">
            <v>0.12529999999999999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A279" t="str">
            <v>DOM GUF GU89H</v>
          </cell>
          <cell r="B279" t="str">
            <v>Business Talk</v>
          </cell>
          <cell r="C279" t="str">
            <v>French Guiana Premium 890 High</v>
          </cell>
          <cell r="D279" t="str">
            <v>Off-net domestic</v>
          </cell>
          <cell r="E279" t="str">
            <v>minute</v>
          </cell>
          <cell r="F279">
            <v>1</v>
          </cell>
          <cell r="G279">
            <v>1</v>
          </cell>
          <cell r="H279">
            <v>0</v>
          </cell>
          <cell r="I279">
            <v>0</v>
          </cell>
          <cell r="J279">
            <v>0.12529999999999999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 t="str">
            <v>DOM GUF GU89L</v>
          </cell>
          <cell r="B280" t="str">
            <v>Business Talk</v>
          </cell>
          <cell r="C280" t="str">
            <v>French Guiana Premium 890 Low</v>
          </cell>
          <cell r="D280" t="str">
            <v>Off-net domestic</v>
          </cell>
          <cell r="E280" t="str">
            <v>minute</v>
          </cell>
          <cell r="F280">
            <v>1</v>
          </cell>
          <cell r="G280">
            <v>1</v>
          </cell>
          <cell r="H280">
            <v>0</v>
          </cell>
          <cell r="I280">
            <v>0</v>
          </cell>
          <cell r="J280">
            <v>9.4E-2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</row>
        <row r="281">
          <cell r="A281" t="str">
            <v>DOM GUF GU891</v>
          </cell>
          <cell r="B281" t="str">
            <v>Business Talk</v>
          </cell>
          <cell r="C281" t="str">
            <v>French Guiana Premium 891</v>
          </cell>
          <cell r="D281" t="str">
            <v>Off-net domestic</v>
          </cell>
          <cell r="E281" t="str">
            <v>minute</v>
          </cell>
          <cell r="F281">
            <v>1</v>
          </cell>
          <cell r="G281">
            <v>1</v>
          </cell>
          <cell r="H281">
            <v>0</v>
          </cell>
          <cell r="I281">
            <v>0</v>
          </cell>
          <cell r="J281">
            <v>0.188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 t="str">
            <v>DOM GUF GU892</v>
          </cell>
          <cell r="B282" t="str">
            <v>Business Talk</v>
          </cell>
          <cell r="C282" t="str">
            <v>French Guiana Premium 892</v>
          </cell>
          <cell r="D282" t="str">
            <v>Off-net domestic</v>
          </cell>
          <cell r="E282" t="str">
            <v>minute</v>
          </cell>
          <cell r="F282">
            <v>1</v>
          </cell>
          <cell r="G282">
            <v>1</v>
          </cell>
          <cell r="H282">
            <v>0</v>
          </cell>
          <cell r="I282">
            <v>0</v>
          </cell>
          <cell r="J282">
            <v>0.28199999999999997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A283" t="str">
            <v>DOM GUF GU897</v>
          </cell>
          <cell r="B283" t="str">
            <v>Business Talk</v>
          </cell>
          <cell r="C283" t="str">
            <v>French Guiana Premium 897</v>
          </cell>
          <cell r="D283" t="str">
            <v>Off-net domestic</v>
          </cell>
          <cell r="E283" t="str">
            <v>call</v>
          </cell>
          <cell r="F283">
            <v>1</v>
          </cell>
          <cell r="G283">
            <v>1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0.47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 t="str">
            <v>DOM GUF GU899</v>
          </cell>
          <cell r="B284" t="str">
            <v>Business Talk</v>
          </cell>
          <cell r="C284" t="str">
            <v>French Guiana Premium 899</v>
          </cell>
          <cell r="D284" t="str">
            <v>Off-net domestic</v>
          </cell>
          <cell r="E284" t="str">
            <v>minute &amp; call</v>
          </cell>
          <cell r="F284">
            <v>1</v>
          </cell>
          <cell r="G284">
            <v>1</v>
          </cell>
          <cell r="H284">
            <v>0</v>
          </cell>
          <cell r="I284">
            <v>0</v>
          </cell>
          <cell r="J284">
            <v>0.28199999999999997</v>
          </cell>
          <cell r="K284">
            <v>0</v>
          </cell>
          <cell r="L284">
            <v>1.1276999999999999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A285" t="str">
            <v>DOM GUF GU006</v>
          </cell>
          <cell r="B285" t="str">
            <v>Business Talk</v>
          </cell>
          <cell r="C285" t="str">
            <v>French Guiana Tel. Info. 118006</v>
          </cell>
          <cell r="D285" t="str">
            <v>Off-net domestic</v>
          </cell>
          <cell r="E285" t="str">
            <v>minute &amp; call</v>
          </cell>
          <cell r="F285">
            <v>1</v>
          </cell>
          <cell r="G285">
            <v>1</v>
          </cell>
          <cell r="H285">
            <v>0</v>
          </cell>
          <cell r="I285">
            <v>0</v>
          </cell>
          <cell r="J285">
            <v>0.28199999999999997</v>
          </cell>
          <cell r="K285">
            <v>0</v>
          </cell>
          <cell r="L285">
            <v>1.1279999999999999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 t="str">
            <v>DOM GUF GU218</v>
          </cell>
          <cell r="B286" t="str">
            <v>Business Talk</v>
          </cell>
          <cell r="C286" t="str">
            <v>French Guiana Tel. Info. 118218</v>
          </cell>
          <cell r="D286" t="str">
            <v>Off-net domestic</v>
          </cell>
          <cell r="E286" t="str">
            <v>minute &amp; call</v>
          </cell>
          <cell r="F286">
            <v>1</v>
          </cell>
          <cell r="G286">
            <v>1</v>
          </cell>
          <cell r="H286">
            <v>0</v>
          </cell>
          <cell r="I286">
            <v>0</v>
          </cell>
          <cell r="J286">
            <v>0.752</v>
          </cell>
          <cell r="K286">
            <v>0</v>
          </cell>
          <cell r="L286">
            <v>0.752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A287" t="str">
            <v>DOM GUF GU222</v>
          </cell>
          <cell r="B287" t="str">
            <v>Business Talk</v>
          </cell>
          <cell r="C287" t="str">
            <v>French Guiana Tel. Info. 118222</v>
          </cell>
          <cell r="D287" t="str">
            <v>Off-net domestic</v>
          </cell>
          <cell r="E287" t="str">
            <v>minute &amp; call</v>
          </cell>
          <cell r="F287">
            <v>1</v>
          </cell>
          <cell r="G287">
            <v>1</v>
          </cell>
          <cell r="H287">
            <v>0</v>
          </cell>
          <cell r="I287">
            <v>0</v>
          </cell>
          <cell r="J287">
            <v>0.188</v>
          </cell>
          <cell r="K287">
            <v>0</v>
          </cell>
          <cell r="L287">
            <v>1.1279999999999999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 t="str">
            <v>DOM GUF GU700</v>
          </cell>
          <cell r="B288" t="str">
            <v>Business Talk</v>
          </cell>
          <cell r="C288" t="str">
            <v>French Guiana Tel. Info. 118700</v>
          </cell>
          <cell r="D288" t="str">
            <v>Off-net domestic</v>
          </cell>
          <cell r="E288" t="str">
            <v>call</v>
          </cell>
          <cell r="F288">
            <v>1</v>
          </cell>
          <cell r="G288">
            <v>1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2.5099999999999998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A289" t="str">
            <v>DOM GUF GU710</v>
          </cell>
          <cell r="B289" t="str">
            <v>Business Talk</v>
          </cell>
          <cell r="C289" t="str">
            <v>French Guiana Tel. Info. 118710</v>
          </cell>
          <cell r="D289" t="str">
            <v>Off-net domestic</v>
          </cell>
          <cell r="E289" t="str">
            <v>minute</v>
          </cell>
          <cell r="F289">
            <v>1</v>
          </cell>
          <cell r="G289">
            <v>1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 t="str">
            <v>DOM GUF GU711</v>
          </cell>
          <cell r="B290" t="str">
            <v>Business Talk</v>
          </cell>
          <cell r="C290" t="str">
            <v>French Guiana Tel. Info. 118711</v>
          </cell>
          <cell r="D290" t="str">
            <v>Off-net domestic</v>
          </cell>
          <cell r="E290" t="str">
            <v>minute &amp; call</v>
          </cell>
          <cell r="F290">
            <v>1</v>
          </cell>
          <cell r="G290">
            <v>1</v>
          </cell>
          <cell r="H290">
            <v>0</v>
          </cell>
          <cell r="I290">
            <v>0</v>
          </cell>
          <cell r="J290">
            <v>0.28199999999999997</v>
          </cell>
          <cell r="K290">
            <v>0</v>
          </cell>
          <cell r="L290">
            <v>0.65800000000000003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A291" t="str">
            <v>DOM GUF GU712</v>
          </cell>
          <cell r="B291" t="str">
            <v>Business Talk</v>
          </cell>
          <cell r="C291" t="str">
            <v>French Guiana Tel. Info. 118712</v>
          </cell>
          <cell r="D291" t="str">
            <v>Off-net domestic</v>
          </cell>
          <cell r="E291" t="str">
            <v>minute &amp; call</v>
          </cell>
          <cell r="F291">
            <v>1</v>
          </cell>
          <cell r="G291">
            <v>1</v>
          </cell>
          <cell r="H291">
            <v>0</v>
          </cell>
          <cell r="I291">
            <v>0</v>
          </cell>
          <cell r="J291">
            <v>0.376</v>
          </cell>
          <cell r="K291">
            <v>0</v>
          </cell>
          <cell r="L291">
            <v>1.222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 t="str">
            <v>DOM GUF GU888</v>
          </cell>
          <cell r="B292" t="str">
            <v>Business Talk</v>
          </cell>
          <cell r="C292" t="str">
            <v>French Guiana Tel. Info. 118888</v>
          </cell>
          <cell r="D292" t="str">
            <v>Off-net domestic</v>
          </cell>
          <cell r="E292" t="str">
            <v>minute &amp; call</v>
          </cell>
          <cell r="F292">
            <v>1</v>
          </cell>
          <cell r="G292">
            <v>1</v>
          </cell>
          <cell r="H292">
            <v>0</v>
          </cell>
          <cell r="I292">
            <v>0</v>
          </cell>
          <cell r="J292">
            <v>9.4E-2</v>
          </cell>
          <cell r="K292">
            <v>0</v>
          </cell>
          <cell r="L292">
            <v>0.94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A293" t="str">
            <v>DOM GUF GUFRE</v>
          </cell>
          <cell r="B293" t="str">
            <v>Business Talk</v>
          </cell>
          <cell r="C293" t="str">
            <v>French Guiana Toll Free</v>
          </cell>
          <cell r="D293" t="str">
            <v>Off-net domestic</v>
          </cell>
          <cell r="E293" t="str">
            <v>minute</v>
          </cell>
          <cell r="F293">
            <v>1</v>
          </cell>
          <cell r="G293">
            <v>1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A294" t="str">
            <v>DOM GUF GU810</v>
          </cell>
          <cell r="B294" t="str">
            <v>Business Talk</v>
          </cell>
          <cell r="C294" t="str">
            <v>French Guiana Toll Share</v>
          </cell>
          <cell r="D294" t="str">
            <v>Off-net domestic</v>
          </cell>
          <cell r="E294" t="str">
            <v>minute &amp; call</v>
          </cell>
          <cell r="F294">
            <v>1</v>
          </cell>
          <cell r="G294">
            <v>1</v>
          </cell>
          <cell r="H294">
            <v>0</v>
          </cell>
          <cell r="I294">
            <v>0</v>
          </cell>
          <cell r="J294">
            <v>2.3E-2</v>
          </cell>
          <cell r="K294">
            <v>0</v>
          </cell>
          <cell r="L294">
            <v>6.5000000000000002E-2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A295" t="str">
            <v>DOM GEO MOB</v>
          </cell>
          <cell r="B295" t="str">
            <v>Business Talk</v>
          </cell>
          <cell r="C295" t="str">
            <v>Georgia Mobile</v>
          </cell>
          <cell r="D295" t="str">
            <v>Off-net domestic</v>
          </cell>
          <cell r="E295" t="str">
            <v>minute</v>
          </cell>
          <cell r="F295">
            <v>1</v>
          </cell>
          <cell r="G295">
            <v>1</v>
          </cell>
          <cell r="H295">
            <v>0</v>
          </cell>
          <cell r="I295">
            <v>0</v>
          </cell>
          <cell r="J295">
            <v>0.17469999999999999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 t="str">
            <v>DOM GEO GEMGE</v>
          </cell>
          <cell r="B296" t="str">
            <v>Business Talk</v>
          </cell>
          <cell r="C296" t="str">
            <v>Georgia Mobile Geocell</v>
          </cell>
          <cell r="D296" t="str">
            <v>Off-net domestic</v>
          </cell>
          <cell r="E296" t="str">
            <v>minute</v>
          </cell>
          <cell r="F296">
            <v>1</v>
          </cell>
          <cell r="G296">
            <v>1</v>
          </cell>
          <cell r="H296">
            <v>0</v>
          </cell>
          <cell r="I296">
            <v>0</v>
          </cell>
          <cell r="J296">
            <v>0.17469999999999999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A297" t="str">
            <v>DOM GEO FIX</v>
          </cell>
          <cell r="B297" t="str">
            <v>Business Talk</v>
          </cell>
          <cell r="C297" t="str">
            <v>Georgia</v>
          </cell>
          <cell r="D297" t="str">
            <v>Off-net domestic</v>
          </cell>
          <cell r="E297" t="str">
            <v>minute</v>
          </cell>
          <cell r="F297">
            <v>1</v>
          </cell>
          <cell r="G297">
            <v>1</v>
          </cell>
          <cell r="H297">
            <v>0</v>
          </cell>
          <cell r="I297">
            <v>0</v>
          </cell>
          <cell r="J297">
            <v>9.2799999999999994E-2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A298" t="str">
            <v>DOM GER GEVPN</v>
          </cell>
          <cell r="B298" t="str">
            <v>Business Talk</v>
          </cell>
          <cell r="C298" t="str">
            <v>Germany International Vpn</v>
          </cell>
          <cell r="D298" t="str">
            <v>Off-net domestic</v>
          </cell>
          <cell r="E298" t="str">
            <v>minute</v>
          </cell>
          <cell r="F298">
            <v>1</v>
          </cell>
          <cell r="G298">
            <v>1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A299" t="str">
            <v>DOM GER GMOTH</v>
          </cell>
          <cell r="B299" t="str">
            <v>Business Talk</v>
          </cell>
          <cell r="C299" t="str">
            <v>Germany National</v>
          </cell>
          <cell r="D299" t="str">
            <v>Off-net domestic</v>
          </cell>
          <cell r="E299" t="str">
            <v>minute</v>
          </cell>
          <cell r="F299">
            <v>1</v>
          </cell>
          <cell r="G299">
            <v>1</v>
          </cell>
          <cell r="H299">
            <v>0</v>
          </cell>
          <cell r="I299">
            <v>0</v>
          </cell>
          <cell r="J299">
            <v>1.1900000000000001E-2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 t="str">
            <v>DOM GER GEMEP</v>
          </cell>
          <cell r="B300" t="str">
            <v>Business Talk</v>
          </cell>
          <cell r="C300" t="str">
            <v>Germany Mobile E-Plus</v>
          </cell>
          <cell r="D300" t="str">
            <v>Off-net domestic</v>
          </cell>
          <cell r="E300" t="str">
            <v>minute</v>
          </cell>
          <cell r="F300">
            <v>1</v>
          </cell>
          <cell r="G300">
            <v>1</v>
          </cell>
          <cell r="H300">
            <v>0</v>
          </cell>
          <cell r="I300">
            <v>0</v>
          </cell>
          <cell r="J300">
            <v>3.3000000000000002E-2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A301" t="str">
            <v>DOM GER GEMO2</v>
          </cell>
          <cell r="B301" t="str">
            <v>Business Talk</v>
          </cell>
          <cell r="C301" t="str">
            <v>Germany Mobile O2</v>
          </cell>
          <cell r="D301" t="str">
            <v>Off-net domestic</v>
          </cell>
          <cell r="E301" t="str">
            <v>minute</v>
          </cell>
          <cell r="F301">
            <v>1</v>
          </cell>
          <cell r="G301">
            <v>1</v>
          </cell>
          <cell r="H301">
            <v>0</v>
          </cell>
          <cell r="I301">
            <v>0</v>
          </cell>
          <cell r="J301">
            <v>3.3000000000000002E-2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A302" t="str">
            <v>DOM GER GMMOB</v>
          </cell>
          <cell r="B302" t="str">
            <v>Business Talk</v>
          </cell>
          <cell r="C302" t="str">
            <v>Germany Mobile Other</v>
          </cell>
          <cell r="D302" t="str">
            <v>Off-net domestic</v>
          </cell>
          <cell r="E302" t="str">
            <v>minute</v>
          </cell>
          <cell r="F302">
            <v>1</v>
          </cell>
          <cell r="G302">
            <v>1</v>
          </cell>
          <cell r="H302">
            <v>0</v>
          </cell>
          <cell r="I302">
            <v>0</v>
          </cell>
          <cell r="J302">
            <v>3.3000000000000002E-2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 t="str">
            <v>DOM GER GEMTM</v>
          </cell>
          <cell r="B303" t="str">
            <v>Business Talk</v>
          </cell>
          <cell r="C303" t="str">
            <v>Germany Mobile T-Mobile</v>
          </cell>
          <cell r="D303" t="str">
            <v>Off-net domestic</v>
          </cell>
          <cell r="E303" t="str">
            <v>minute</v>
          </cell>
          <cell r="F303">
            <v>1</v>
          </cell>
          <cell r="G303">
            <v>1</v>
          </cell>
          <cell r="H303">
            <v>0</v>
          </cell>
          <cell r="I303">
            <v>0</v>
          </cell>
          <cell r="J303">
            <v>3.3000000000000002E-2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A304" t="str">
            <v>DOM GER GEMVO</v>
          </cell>
          <cell r="B304" t="str">
            <v>Business Talk</v>
          </cell>
          <cell r="C304" t="str">
            <v>Germany Mobile Vodafone</v>
          </cell>
          <cell r="D304" t="str">
            <v>Off-net domestic</v>
          </cell>
          <cell r="E304" t="str">
            <v>minute</v>
          </cell>
          <cell r="F304">
            <v>1</v>
          </cell>
          <cell r="G304">
            <v>1</v>
          </cell>
          <cell r="H304">
            <v>0</v>
          </cell>
          <cell r="I304">
            <v>0</v>
          </cell>
          <cell r="J304">
            <v>3.3000000000000002E-2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A305" t="str">
            <v>DOM GER GEDIR</v>
          </cell>
          <cell r="B305" t="str">
            <v>Business Talk</v>
          </cell>
          <cell r="C305" t="str">
            <v>Germany Directory Enquiry</v>
          </cell>
          <cell r="D305" t="str">
            <v>Off-net domestic</v>
          </cell>
          <cell r="E305" t="str">
            <v>minute</v>
          </cell>
          <cell r="F305">
            <v>1</v>
          </cell>
          <cell r="G305">
            <v>1</v>
          </cell>
          <cell r="H305">
            <v>0</v>
          </cell>
          <cell r="I305">
            <v>0</v>
          </cell>
          <cell r="J305">
            <v>1.6718999999999999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A306" t="str">
            <v>DOM GER GEEMN</v>
          </cell>
          <cell r="B306" t="str">
            <v>Business Talk</v>
          </cell>
          <cell r="C306" t="str">
            <v>Germany Emergency Numbers</v>
          </cell>
          <cell r="D306" t="str">
            <v>Off-net domestic</v>
          </cell>
          <cell r="E306" t="str">
            <v>minute</v>
          </cell>
          <cell r="F306">
            <v>1</v>
          </cell>
          <cell r="G306">
            <v>1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A307" t="str">
            <v>DOM GER GEONL</v>
          </cell>
          <cell r="B307" t="str">
            <v>Business Talk</v>
          </cell>
          <cell r="C307" t="str">
            <v>Germany Online Services</v>
          </cell>
          <cell r="D307" t="str">
            <v>Off-net domestic</v>
          </cell>
          <cell r="E307" t="str">
            <v>minute</v>
          </cell>
          <cell r="F307">
            <v>1</v>
          </cell>
          <cell r="G307">
            <v>1</v>
          </cell>
          <cell r="H307">
            <v>0</v>
          </cell>
          <cell r="I307">
            <v>0</v>
          </cell>
          <cell r="J307">
            <v>0.126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A308" t="str">
            <v>DOM GER PAGE</v>
          </cell>
          <cell r="B308" t="str">
            <v>Business Talk</v>
          </cell>
          <cell r="C308" t="str">
            <v>Germany Pager</v>
          </cell>
          <cell r="D308" t="str">
            <v>Off-net domestic</v>
          </cell>
          <cell r="E308" t="str">
            <v>minute</v>
          </cell>
          <cell r="F308">
            <v>1</v>
          </cell>
          <cell r="G308">
            <v>1</v>
          </cell>
          <cell r="H308">
            <v>0</v>
          </cell>
          <cell r="I308">
            <v>0</v>
          </cell>
          <cell r="J308">
            <v>0.15629999999999999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A309" t="str">
            <v>DOM GER GEPN1</v>
          </cell>
          <cell r="B309" t="str">
            <v>Business Talk</v>
          </cell>
          <cell r="C309" t="str">
            <v>Germany Personal Numbers</v>
          </cell>
          <cell r="D309" t="str">
            <v>Off-net domestic</v>
          </cell>
          <cell r="E309" t="str">
            <v>minute</v>
          </cell>
          <cell r="F309">
            <v>1</v>
          </cell>
          <cell r="G309">
            <v>1</v>
          </cell>
          <cell r="H309">
            <v>0</v>
          </cell>
          <cell r="I309">
            <v>0</v>
          </cell>
          <cell r="J309">
            <v>0.1041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 t="str">
            <v>DOM GER GEPAD</v>
          </cell>
          <cell r="B310" t="str">
            <v>Business Talk</v>
          </cell>
          <cell r="C310" t="str">
            <v>Germany Prem Adult Offbill</v>
          </cell>
          <cell r="D310" t="str">
            <v>Off-net domestic</v>
          </cell>
          <cell r="E310" t="str">
            <v>minute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A311" t="str">
            <v>DOM GER GEPDL</v>
          </cell>
          <cell r="B311" t="str">
            <v>Business Talk</v>
          </cell>
          <cell r="C311" t="str">
            <v>Germany Prem Dialers Offbill</v>
          </cell>
          <cell r="D311" t="str">
            <v>Off-net domestic</v>
          </cell>
          <cell r="E311" t="str">
            <v>minute</v>
          </cell>
          <cell r="F311">
            <v>1</v>
          </cell>
          <cell r="G311">
            <v>1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 t="str">
            <v>DOM GER GEPEN</v>
          </cell>
          <cell r="B312" t="str">
            <v>Business Talk</v>
          </cell>
          <cell r="C312" t="str">
            <v>Germany Prem Entertain Offbill</v>
          </cell>
          <cell r="D312" t="str">
            <v>Off-net domestic</v>
          </cell>
          <cell r="E312" t="str">
            <v>minute</v>
          </cell>
          <cell r="F312">
            <v>1</v>
          </cell>
          <cell r="G312">
            <v>1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A313" t="str">
            <v>DOM GER GEPIN</v>
          </cell>
          <cell r="B313" t="str">
            <v>Business Talk</v>
          </cell>
          <cell r="C313" t="str">
            <v>Germany Prem Info Offbill</v>
          </cell>
          <cell r="D313" t="str">
            <v>Off-net domestic</v>
          </cell>
          <cell r="E313" t="str">
            <v>minute</v>
          </cell>
          <cell r="F313">
            <v>1</v>
          </cell>
          <cell r="G313">
            <v>1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A314" t="str">
            <v>DOM GER GETS1</v>
          </cell>
          <cell r="B314" t="str">
            <v>Business Talk</v>
          </cell>
          <cell r="C314" t="str">
            <v>Germany Shared Cost 1</v>
          </cell>
          <cell r="D314" t="str">
            <v>Off-net domestic</v>
          </cell>
          <cell r="E314" t="str">
            <v>minute</v>
          </cell>
          <cell r="F314">
            <v>1</v>
          </cell>
          <cell r="G314">
            <v>1</v>
          </cell>
          <cell r="H314">
            <v>0</v>
          </cell>
          <cell r="I314">
            <v>0</v>
          </cell>
          <cell r="J314">
            <v>3.27E-2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 t="str">
            <v>DOM GER GETS2</v>
          </cell>
          <cell r="B315" t="str">
            <v>Business Talk</v>
          </cell>
          <cell r="C315" t="str">
            <v>Germany Shared Cost 2</v>
          </cell>
          <cell r="D315" t="str">
            <v>Off-net domestic</v>
          </cell>
          <cell r="E315" t="str">
            <v>call</v>
          </cell>
          <cell r="F315">
            <v>1</v>
          </cell>
          <cell r="G315">
            <v>1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5.04E-2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A316" t="str">
            <v>DOM GER GETS3</v>
          </cell>
          <cell r="B316" t="str">
            <v>Business Talk</v>
          </cell>
          <cell r="C316" t="str">
            <v>Germany Shared Cost 3</v>
          </cell>
          <cell r="D316" t="str">
            <v>Off-net domestic</v>
          </cell>
          <cell r="E316" t="str">
            <v>minute</v>
          </cell>
          <cell r="F316">
            <v>1</v>
          </cell>
          <cell r="G316">
            <v>1</v>
          </cell>
          <cell r="H316">
            <v>0</v>
          </cell>
          <cell r="I316">
            <v>0</v>
          </cell>
          <cell r="J316">
            <v>7.5600000000000001E-2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A317" t="str">
            <v>DOM GER GETS4</v>
          </cell>
          <cell r="B317" t="str">
            <v>Business Talk</v>
          </cell>
          <cell r="C317" t="str">
            <v>Germany Shared Cost 4</v>
          </cell>
          <cell r="D317" t="str">
            <v>Off-net domestic</v>
          </cell>
          <cell r="E317" t="str">
            <v>call</v>
          </cell>
          <cell r="F317">
            <v>1</v>
          </cell>
          <cell r="G317">
            <v>1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0.16800000000000001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 t="str">
            <v>DOM GER GETS5</v>
          </cell>
          <cell r="B318" t="str">
            <v>Business Talk</v>
          </cell>
          <cell r="C318" t="str">
            <v>Germany Shared Cost 5</v>
          </cell>
          <cell r="D318" t="str">
            <v>Off-net domestic</v>
          </cell>
          <cell r="E318" t="str">
            <v>minute</v>
          </cell>
          <cell r="F318">
            <v>1</v>
          </cell>
          <cell r="G318">
            <v>1</v>
          </cell>
          <cell r="H318">
            <v>0</v>
          </cell>
          <cell r="I318">
            <v>0</v>
          </cell>
          <cell r="J318">
            <v>0.1176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A319" t="str">
            <v>DOM GER GETS6</v>
          </cell>
          <cell r="B319" t="str">
            <v>Business Talk</v>
          </cell>
          <cell r="C319" t="str">
            <v>Germany Shared-Cost 6</v>
          </cell>
          <cell r="D319" t="str">
            <v>Off-net domestic</v>
          </cell>
          <cell r="E319" t="str">
            <v>call</v>
          </cell>
          <cell r="F319">
            <v>1</v>
          </cell>
          <cell r="G319">
            <v>1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0.2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 t="str">
            <v>DOM GER GETS7</v>
          </cell>
          <cell r="B320" t="str">
            <v>Business Talk</v>
          </cell>
          <cell r="C320" t="str">
            <v>Germany Shared-Cost 7</v>
          </cell>
          <cell r="D320" t="str">
            <v>Off-net domestic</v>
          </cell>
          <cell r="E320" t="str">
            <v>minute</v>
          </cell>
          <cell r="F320">
            <v>1</v>
          </cell>
          <cell r="G320">
            <v>1</v>
          </cell>
          <cell r="H320">
            <v>0</v>
          </cell>
          <cell r="I320">
            <v>0</v>
          </cell>
          <cell r="J320">
            <v>0.14000000000000001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A321" t="str">
            <v>DOM GER GESOC</v>
          </cell>
          <cell r="B321" t="str">
            <v>Business Talk</v>
          </cell>
          <cell r="C321" t="str">
            <v>Germany Social Value Services</v>
          </cell>
          <cell r="D321" t="str">
            <v>Off-net domestic</v>
          </cell>
          <cell r="E321" t="str">
            <v>minute</v>
          </cell>
          <cell r="F321">
            <v>1</v>
          </cell>
          <cell r="G321">
            <v>1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A322" t="str">
            <v>DOM GER GEV01</v>
          </cell>
          <cell r="B322" t="str">
            <v>Business Talk</v>
          </cell>
          <cell r="C322" t="str">
            <v>Germany Televoting 1</v>
          </cell>
          <cell r="D322" t="str">
            <v>Off-net domestic</v>
          </cell>
          <cell r="E322" t="str">
            <v>call</v>
          </cell>
          <cell r="F322">
            <v>1</v>
          </cell>
          <cell r="G322">
            <v>1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0.1176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 t="str">
            <v>DOM GER GEV02</v>
          </cell>
          <cell r="B323" t="str">
            <v>Business Talk</v>
          </cell>
          <cell r="C323" t="str">
            <v>Germany Televoting 2</v>
          </cell>
          <cell r="D323" t="str">
            <v>Off-net domestic</v>
          </cell>
          <cell r="E323" t="str">
            <v>minute</v>
          </cell>
          <cell r="F323">
            <v>1</v>
          </cell>
          <cell r="G323">
            <v>1</v>
          </cell>
          <cell r="H323">
            <v>0</v>
          </cell>
          <cell r="I323">
            <v>0</v>
          </cell>
          <cell r="J323">
            <v>0.1176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 t="str">
            <v>DOM GER GEV03</v>
          </cell>
          <cell r="B324" t="str">
            <v>Business Talk</v>
          </cell>
          <cell r="C324" t="str">
            <v>Germany Televoting 3</v>
          </cell>
          <cell r="D324" t="str">
            <v>Off-net domestic</v>
          </cell>
          <cell r="E324" t="str">
            <v>call</v>
          </cell>
          <cell r="F324">
            <v>1</v>
          </cell>
          <cell r="G324">
            <v>1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0.21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A325" t="str">
            <v>DOM GER GEV04</v>
          </cell>
          <cell r="B325" t="str">
            <v>Business Talk</v>
          </cell>
          <cell r="C325" t="str">
            <v>Germany Televoting 4</v>
          </cell>
          <cell r="D325" t="str">
            <v>Off-net domestic</v>
          </cell>
          <cell r="E325" t="str">
            <v>call</v>
          </cell>
          <cell r="F325">
            <v>1</v>
          </cell>
          <cell r="G325">
            <v>1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0.84030000000000005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 t="str">
            <v>DOM GER GEV05</v>
          </cell>
          <cell r="B326" t="str">
            <v>Business Talk</v>
          </cell>
          <cell r="C326" t="str">
            <v>Germany Televoting 5</v>
          </cell>
          <cell r="D326" t="str">
            <v>Off-net domestic</v>
          </cell>
          <cell r="E326" t="str">
            <v>call</v>
          </cell>
          <cell r="F326">
            <v>1</v>
          </cell>
          <cell r="G326">
            <v>1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0.42009999999999997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 t="str">
            <v>DOM GER GETFR</v>
          </cell>
          <cell r="B327" t="str">
            <v>Business Talk</v>
          </cell>
          <cell r="C327" t="str">
            <v>Germany Toll Free</v>
          </cell>
          <cell r="D327" t="str">
            <v>Off-net domestic</v>
          </cell>
          <cell r="E327" t="str">
            <v>minute</v>
          </cell>
          <cell r="F327">
            <v>1</v>
          </cell>
          <cell r="G327">
            <v>1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A328" t="str">
            <v>DOM GIB MOB</v>
          </cell>
          <cell r="B328" t="str">
            <v>Business Talk</v>
          </cell>
          <cell r="C328" t="str">
            <v>Gibraltar Mobile</v>
          </cell>
          <cell r="D328" t="str">
            <v>Off-net domestic</v>
          </cell>
          <cell r="E328" t="str">
            <v>minute</v>
          </cell>
          <cell r="F328">
            <v>1</v>
          </cell>
          <cell r="G328">
            <v>1</v>
          </cell>
          <cell r="H328">
            <v>0</v>
          </cell>
          <cell r="I328">
            <v>0</v>
          </cell>
          <cell r="J328">
            <v>0.25309999999999999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A329" t="str">
            <v>DOM GIB FIX</v>
          </cell>
          <cell r="B329" t="str">
            <v>Business Talk</v>
          </cell>
          <cell r="C329" t="str">
            <v>Gibraltar</v>
          </cell>
          <cell r="D329" t="str">
            <v>Off-net domestic</v>
          </cell>
          <cell r="E329" t="str">
            <v>minute</v>
          </cell>
          <cell r="F329">
            <v>1</v>
          </cell>
          <cell r="G329">
            <v>1</v>
          </cell>
          <cell r="H329">
            <v>0</v>
          </cell>
          <cell r="I329">
            <v>0</v>
          </cell>
          <cell r="J329">
            <v>0.25309999999999999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A330" t="str">
            <v>DOM GRC MOBGR</v>
          </cell>
          <cell r="B330" t="str">
            <v>Business Talk</v>
          </cell>
          <cell r="C330" t="str">
            <v>Greece Mobile</v>
          </cell>
          <cell r="D330" t="str">
            <v>Off-net domestic</v>
          </cell>
          <cell r="E330" t="str">
            <v>minute</v>
          </cell>
          <cell r="F330">
            <v>1</v>
          </cell>
          <cell r="G330">
            <v>1</v>
          </cell>
          <cell r="H330">
            <v>0</v>
          </cell>
          <cell r="I330">
            <v>0</v>
          </cell>
          <cell r="J330">
            <v>3.9600000000000003E-2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A331" t="str">
            <v>DOM GRC GRMCO</v>
          </cell>
          <cell r="B331" t="str">
            <v>Business Talk</v>
          </cell>
          <cell r="C331" t="str">
            <v>Greece Mobile Cosmote</v>
          </cell>
          <cell r="D331" t="str">
            <v>Off-net domestic</v>
          </cell>
          <cell r="E331" t="str">
            <v>minute</v>
          </cell>
          <cell r="F331">
            <v>1</v>
          </cell>
          <cell r="G331">
            <v>1</v>
          </cell>
          <cell r="H331">
            <v>0</v>
          </cell>
          <cell r="I331">
            <v>0</v>
          </cell>
          <cell r="J331">
            <v>2.4400000000000002E-2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A332" t="str">
            <v>DOM GRC FIXGR</v>
          </cell>
          <cell r="B332" t="str">
            <v>Business Talk</v>
          </cell>
          <cell r="C332" t="str">
            <v>Greece</v>
          </cell>
          <cell r="D332" t="str">
            <v>Off-net domestic</v>
          </cell>
          <cell r="E332" t="str">
            <v>minute</v>
          </cell>
          <cell r="F332">
            <v>1</v>
          </cell>
          <cell r="G332">
            <v>1</v>
          </cell>
          <cell r="H332">
            <v>0</v>
          </cell>
          <cell r="I332">
            <v>0</v>
          </cell>
          <cell r="J332">
            <v>1.29E-2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A333" t="str">
            <v>DOM GLP MOB</v>
          </cell>
          <cell r="B333" t="str">
            <v>Business Talk</v>
          </cell>
          <cell r="C333" t="str">
            <v>Guadeloupe Mobile</v>
          </cell>
          <cell r="D333" t="str">
            <v>Off-net domestic</v>
          </cell>
          <cell r="E333" t="str">
            <v>minute</v>
          </cell>
          <cell r="F333">
            <v>1</v>
          </cell>
          <cell r="G333">
            <v>1</v>
          </cell>
          <cell r="H333">
            <v>0</v>
          </cell>
          <cell r="I333">
            <v>0</v>
          </cell>
          <cell r="J333">
            <v>3.7699999999999997E-2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</row>
        <row r="334">
          <cell r="A334" t="str">
            <v>DOM GLP FIX</v>
          </cell>
          <cell r="B334" t="str">
            <v>Business Talk</v>
          </cell>
          <cell r="C334" t="str">
            <v>Guadeloupe</v>
          </cell>
          <cell r="D334" t="str">
            <v>Off-net domestic</v>
          </cell>
          <cell r="E334" t="str">
            <v>minute</v>
          </cell>
          <cell r="F334">
            <v>1</v>
          </cell>
          <cell r="G334">
            <v>1</v>
          </cell>
          <cell r="H334">
            <v>0</v>
          </cell>
          <cell r="I334">
            <v>0</v>
          </cell>
          <cell r="J334">
            <v>1.7999999999999999E-2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A335" t="str">
            <v>DOM GLP GL1FR</v>
          </cell>
          <cell r="B335" t="str">
            <v>Business Talk</v>
          </cell>
          <cell r="C335" t="str">
            <v>Guadeloupe 10Xy Toll Free</v>
          </cell>
          <cell r="D335" t="str">
            <v>Off-net domestic</v>
          </cell>
          <cell r="E335" t="str">
            <v>minute</v>
          </cell>
          <cell r="F335">
            <v>1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A336" t="str">
            <v>DOM GLP GL1TS</v>
          </cell>
          <cell r="B336" t="str">
            <v>Business Talk</v>
          </cell>
          <cell r="C336" t="str">
            <v>Guadeloupe 10Xy Toll Share</v>
          </cell>
          <cell r="D336" t="str">
            <v>Off-net domestic</v>
          </cell>
          <cell r="E336" t="str">
            <v>minute &amp; call</v>
          </cell>
          <cell r="F336">
            <v>1</v>
          </cell>
          <cell r="G336">
            <v>1</v>
          </cell>
          <cell r="H336">
            <v>0</v>
          </cell>
          <cell r="I336">
            <v>0</v>
          </cell>
          <cell r="J336">
            <v>2.3E-2</v>
          </cell>
          <cell r="K336">
            <v>0</v>
          </cell>
          <cell r="L336">
            <v>6.5000000000000002E-2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A337" t="str">
            <v>DOM GLP GL300</v>
          </cell>
          <cell r="B337" t="str">
            <v>Business Talk</v>
          </cell>
          <cell r="C337" t="str">
            <v>Guadeloupe 3Bpq Band00</v>
          </cell>
          <cell r="D337" t="str">
            <v>Off-net domestic</v>
          </cell>
          <cell r="E337" t="str">
            <v>minute</v>
          </cell>
          <cell r="F337">
            <v>1</v>
          </cell>
          <cell r="G337">
            <v>1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</row>
        <row r="338">
          <cell r="A338" t="str">
            <v>DOM GLP GL301</v>
          </cell>
          <cell r="B338" t="str">
            <v>Business Talk</v>
          </cell>
          <cell r="C338" t="str">
            <v>Guadeloupe 3Bpq Band01</v>
          </cell>
          <cell r="D338" t="str">
            <v>Off-net domestic</v>
          </cell>
          <cell r="E338" t="str">
            <v>minute</v>
          </cell>
          <cell r="F338">
            <v>1</v>
          </cell>
          <cell r="G338">
            <v>1</v>
          </cell>
          <cell r="H338">
            <v>0</v>
          </cell>
          <cell r="I338">
            <v>0</v>
          </cell>
          <cell r="J338">
            <v>5.04E-2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A339" t="str">
            <v>DOM GLP GL302</v>
          </cell>
          <cell r="B339" t="str">
            <v>Business Talk</v>
          </cell>
          <cell r="C339" t="str">
            <v>Guadeloupe 3Bpq Band02</v>
          </cell>
          <cell r="D339" t="str">
            <v>Off-net domestic</v>
          </cell>
          <cell r="E339" t="str">
            <v>minute</v>
          </cell>
          <cell r="F339">
            <v>1</v>
          </cell>
          <cell r="G339">
            <v>1</v>
          </cell>
          <cell r="H339">
            <v>0</v>
          </cell>
          <cell r="I339">
            <v>0</v>
          </cell>
          <cell r="J339">
            <v>5.9400000000000001E-2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A340" t="str">
            <v>DOM GLP GL303</v>
          </cell>
          <cell r="B340" t="str">
            <v>Business Talk</v>
          </cell>
          <cell r="C340" t="str">
            <v>Guadeloupe 3Bpq Band03</v>
          </cell>
          <cell r="D340" t="str">
            <v>Off-net domestic</v>
          </cell>
          <cell r="E340" t="str">
            <v>minute</v>
          </cell>
          <cell r="F340">
            <v>1</v>
          </cell>
          <cell r="G340">
            <v>1</v>
          </cell>
          <cell r="H340">
            <v>0</v>
          </cell>
          <cell r="I340">
            <v>0</v>
          </cell>
          <cell r="J340">
            <v>9.4E-2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A341" t="str">
            <v>DOM GLP GL304</v>
          </cell>
          <cell r="B341" t="str">
            <v>Business Talk</v>
          </cell>
          <cell r="C341" t="str">
            <v>Guadeloupe 3Bpq Band04</v>
          </cell>
          <cell r="D341" t="str">
            <v>Off-net domestic</v>
          </cell>
          <cell r="E341" t="str">
            <v>minute</v>
          </cell>
          <cell r="F341">
            <v>1</v>
          </cell>
          <cell r="G341">
            <v>1</v>
          </cell>
          <cell r="H341">
            <v>0</v>
          </cell>
          <cell r="I341">
            <v>0</v>
          </cell>
          <cell r="J341">
            <v>0.125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A342" t="str">
            <v>DOM GLP GL305</v>
          </cell>
          <cell r="B342" t="str">
            <v>Business Talk</v>
          </cell>
          <cell r="C342" t="str">
            <v>Guadeloupe 3Bpq Band05</v>
          </cell>
          <cell r="D342" t="str">
            <v>Off-net domestic</v>
          </cell>
          <cell r="E342" t="str">
            <v>minute</v>
          </cell>
          <cell r="F342">
            <v>1</v>
          </cell>
          <cell r="G342">
            <v>1</v>
          </cell>
          <cell r="H342">
            <v>0</v>
          </cell>
          <cell r="I342">
            <v>0</v>
          </cell>
          <cell r="J342">
            <v>0.17630000000000001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A343" t="str">
            <v>DOM GLP GL306</v>
          </cell>
          <cell r="B343" t="str">
            <v>Business Talk</v>
          </cell>
          <cell r="C343" t="str">
            <v>Guadeloupe 3Bpq Band06</v>
          </cell>
          <cell r="D343" t="str">
            <v>Off-net domestic</v>
          </cell>
          <cell r="E343" t="str">
            <v>minute</v>
          </cell>
          <cell r="F343">
            <v>1</v>
          </cell>
          <cell r="G343">
            <v>1</v>
          </cell>
          <cell r="H343">
            <v>0</v>
          </cell>
          <cell r="I343">
            <v>0</v>
          </cell>
          <cell r="J343">
            <v>0.188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A344" t="str">
            <v>DOM GLP GL307</v>
          </cell>
          <cell r="B344" t="str">
            <v>Business Talk</v>
          </cell>
          <cell r="C344" t="str">
            <v>Guadeloupe 3Bpq Band07</v>
          </cell>
          <cell r="D344" t="str">
            <v>Off-net domestic</v>
          </cell>
          <cell r="E344" t="str">
            <v>minute</v>
          </cell>
          <cell r="F344">
            <v>1</v>
          </cell>
          <cell r="G344">
            <v>1</v>
          </cell>
          <cell r="H344">
            <v>0</v>
          </cell>
          <cell r="I344">
            <v>0</v>
          </cell>
          <cell r="J344">
            <v>0.28100000000000003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>DOM GLP GL308</v>
          </cell>
          <cell r="B345" t="str">
            <v>Business Talk</v>
          </cell>
          <cell r="C345" t="str">
            <v>Guadeloupe 3Bpq Band08</v>
          </cell>
          <cell r="D345" t="str">
            <v>Off-net domestic</v>
          </cell>
          <cell r="E345" t="str">
            <v>minute</v>
          </cell>
          <cell r="F345">
            <v>1</v>
          </cell>
          <cell r="G345">
            <v>1</v>
          </cell>
          <cell r="H345">
            <v>0</v>
          </cell>
          <cell r="I345">
            <v>0</v>
          </cell>
          <cell r="J345">
            <v>0.29680000000000001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 t="str">
            <v>DOM GLP GL309</v>
          </cell>
          <cell r="B346" t="str">
            <v>Business Talk</v>
          </cell>
          <cell r="C346" t="str">
            <v>Guadeloupe 3Bpq Band09</v>
          </cell>
          <cell r="D346" t="str">
            <v>Off-net domestic</v>
          </cell>
          <cell r="E346" t="str">
            <v>minute</v>
          </cell>
          <cell r="F346">
            <v>1</v>
          </cell>
          <cell r="G346">
            <v>1</v>
          </cell>
          <cell r="H346">
            <v>0</v>
          </cell>
          <cell r="I346">
            <v>0</v>
          </cell>
          <cell r="J346">
            <v>0.34499999999999997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A347" t="str">
            <v>DOM GLP GL310</v>
          </cell>
          <cell r="B347" t="str">
            <v>Business Talk</v>
          </cell>
          <cell r="C347" t="str">
            <v>Guadeloupe 3Bpq Band10</v>
          </cell>
          <cell r="D347" t="str">
            <v>Off-net domestic</v>
          </cell>
          <cell r="E347" t="str">
            <v>minute</v>
          </cell>
          <cell r="F347">
            <v>1</v>
          </cell>
          <cell r="G347">
            <v>1</v>
          </cell>
          <cell r="H347">
            <v>0</v>
          </cell>
          <cell r="I347">
            <v>0</v>
          </cell>
          <cell r="J347">
            <v>0.72309999999999997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A348" t="str">
            <v>DOM GLP GL311</v>
          </cell>
          <cell r="B348" t="str">
            <v>Business Talk</v>
          </cell>
          <cell r="C348" t="str">
            <v>Guadeloupe 3Bpq Band11</v>
          </cell>
          <cell r="D348" t="str">
            <v>Off-net domestic</v>
          </cell>
          <cell r="E348" t="str">
            <v>minute</v>
          </cell>
          <cell r="F348">
            <v>1</v>
          </cell>
          <cell r="G348">
            <v>1</v>
          </cell>
          <cell r="H348">
            <v>0</v>
          </cell>
          <cell r="I348">
            <v>0</v>
          </cell>
          <cell r="J348">
            <v>1.1279999999999999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</row>
        <row r="349">
          <cell r="A349" t="str">
            <v>DOM GLP GL312</v>
          </cell>
          <cell r="B349" t="str">
            <v>Business Talk</v>
          </cell>
          <cell r="C349" t="str">
            <v>Guadeloupe 3Bpq Band12</v>
          </cell>
          <cell r="D349" t="str">
            <v>Off-net domestic</v>
          </cell>
          <cell r="E349" t="str">
            <v>minute &amp; call</v>
          </cell>
          <cell r="F349">
            <v>1</v>
          </cell>
          <cell r="G349">
            <v>1</v>
          </cell>
          <cell r="H349">
            <v>0</v>
          </cell>
          <cell r="I349">
            <v>0</v>
          </cell>
          <cell r="J349">
            <v>9.9000000000000005E-2</v>
          </cell>
          <cell r="K349">
            <v>0</v>
          </cell>
          <cell r="L349">
            <v>2E-3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A350" t="str">
            <v>DOM GLP GL313</v>
          </cell>
          <cell r="B350" t="str">
            <v>Business Talk</v>
          </cell>
          <cell r="C350" t="str">
            <v>Guadeloupe 3Bpq Band13</v>
          </cell>
          <cell r="D350" t="str">
            <v>Off-net domestic</v>
          </cell>
          <cell r="E350" t="str">
            <v>minute &amp; call</v>
          </cell>
          <cell r="F350">
            <v>1</v>
          </cell>
          <cell r="G350">
            <v>1</v>
          </cell>
          <cell r="H350">
            <v>0</v>
          </cell>
          <cell r="I350">
            <v>0</v>
          </cell>
          <cell r="J350">
            <v>6.7100000000000007E-2</v>
          </cell>
          <cell r="K350">
            <v>0</v>
          </cell>
          <cell r="L350">
            <v>1.7000000000000001E-2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</row>
        <row r="351">
          <cell r="A351" t="str">
            <v>DOM GLP GL314</v>
          </cell>
          <cell r="B351" t="str">
            <v>Business Talk</v>
          </cell>
          <cell r="C351" t="str">
            <v>Guadeloupe 3Bpq Band14</v>
          </cell>
          <cell r="D351" t="str">
            <v>Off-net domestic</v>
          </cell>
          <cell r="E351" t="str">
            <v>minute &amp; call</v>
          </cell>
          <cell r="F351">
            <v>1</v>
          </cell>
          <cell r="G351">
            <v>1</v>
          </cell>
          <cell r="H351">
            <v>0</v>
          </cell>
          <cell r="I351">
            <v>0</v>
          </cell>
          <cell r="J351">
            <v>7.4999999999999997E-2</v>
          </cell>
          <cell r="K351">
            <v>0</v>
          </cell>
          <cell r="L351">
            <v>2.4E-2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A352" t="str">
            <v>DOM GLP GL315</v>
          </cell>
          <cell r="B352" t="str">
            <v>Business Talk</v>
          </cell>
          <cell r="C352" t="str">
            <v>Guadeloupe 3Bpq Band15</v>
          </cell>
          <cell r="D352" t="str">
            <v>Off-net domestic</v>
          </cell>
          <cell r="E352" t="str">
            <v>minute &amp; call</v>
          </cell>
          <cell r="F352">
            <v>1</v>
          </cell>
          <cell r="G352">
            <v>1</v>
          </cell>
          <cell r="H352">
            <v>0</v>
          </cell>
          <cell r="I352">
            <v>0</v>
          </cell>
          <cell r="J352">
            <v>5.0999999999999997E-2</v>
          </cell>
          <cell r="K352">
            <v>0</v>
          </cell>
          <cell r="L352">
            <v>4.2999999999999997E-2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A353" t="str">
            <v>DOM GLP GL316</v>
          </cell>
          <cell r="B353" t="str">
            <v>Business Talk</v>
          </cell>
          <cell r="C353" t="str">
            <v>Guadeloupe 3Bpq Band16</v>
          </cell>
          <cell r="D353" t="str">
            <v>Off-net domestic</v>
          </cell>
          <cell r="E353" t="str">
            <v>minute &amp; call</v>
          </cell>
          <cell r="F353">
            <v>1</v>
          </cell>
          <cell r="G353">
            <v>1</v>
          </cell>
          <cell r="H353">
            <v>0</v>
          </cell>
          <cell r="I353">
            <v>0</v>
          </cell>
          <cell r="J353">
            <v>2.3E-2</v>
          </cell>
          <cell r="K353">
            <v>0</v>
          </cell>
          <cell r="L353">
            <v>6.5000000000000002E-2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 t="str">
            <v>DOM GLP GL317</v>
          </cell>
          <cell r="B354" t="str">
            <v>Business Talk</v>
          </cell>
          <cell r="C354" t="str">
            <v>Guadeloupe 3Bpq Band17</v>
          </cell>
          <cell r="D354" t="str">
            <v>Off-net domestic</v>
          </cell>
          <cell r="E354" t="str">
            <v>minute &amp; call</v>
          </cell>
          <cell r="F354">
            <v>1</v>
          </cell>
          <cell r="G354">
            <v>1</v>
          </cell>
          <cell r="H354">
            <v>0</v>
          </cell>
          <cell r="I354">
            <v>0</v>
          </cell>
          <cell r="J354">
            <v>2.4E-2</v>
          </cell>
          <cell r="K354">
            <v>0</v>
          </cell>
          <cell r="L354">
            <v>7.5999999999999998E-2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 t="str">
            <v>DOM GLP GL318</v>
          </cell>
          <cell r="B355" t="str">
            <v>Business Talk</v>
          </cell>
          <cell r="C355" t="str">
            <v>Guadeloupe 3Bpq Band18</v>
          </cell>
          <cell r="D355" t="str">
            <v>Off-net domestic</v>
          </cell>
          <cell r="E355" t="str">
            <v>call</v>
          </cell>
          <cell r="F355">
            <v>1</v>
          </cell>
          <cell r="G355">
            <v>1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9.4E-2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 t="str">
            <v>DOM GLP GL319</v>
          </cell>
          <cell r="B356" t="str">
            <v>Business Talk</v>
          </cell>
          <cell r="C356" t="str">
            <v>Guadeloupe 3Bpq Band19</v>
          </cell>
          <cell r="D356" t="str">
            <v>Off-net domestic</v>
          </cell>
          <cell r="E356" t="str">
            <v>minute &amp; call</v>
          </cell>
          <cell r="F356">
            <v>1</v>
          </cell>
          <cell r="G356">
            <v>1</v>
          </cell>
          <cell r="H356">
            <v>0</v>
          </cell>
          <cell r="I356">
            <v>0</v>
          </cell>
          <cell r="J356">
            <v>0.125</v>
          </cell>
          <cell r="K356">
            <v>0</v>
          </cell>
          <cell r="L356">
            <v>9.4E-2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 t="str">
            <v>DOM GLP GL320</v>
          </cell>
          <cell r="B357" t="str">
            <v>Business Talk</v>
          </cell>
          <cell r="C357" t="str">
            <v>Guadeloupe 3Bpq Band20</v>
          </cell>
          <cell r="D357" t="str">
            <v>Off-net domestic</v>
          </cell>
          <cell r="E357" t="str">
            <v>minute &amp; call</v>
          </cell>
          <cell r="F357">
            <v>1</v>
          </cell>
          <cell r="G357">
            <v>1</v>
          </cell>
          <cell r="H357">
            <v>0</v>
          </cell>
          <cell r="I357">
            <v>0</v>
          </cell>
          <cell r="J357">
            <v>4.7E-2</v>
          </cell>
          <cell r="K357">
            <v>0</v>
          </cell>
          <cell r="L357">
            <v>0.14099999999999999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</row>
        <row r="358">
          <cell r="A358" t="str">
            <v>DOM GLP GL321</v>
          </cell>
          <cell r="B358" t="str">
            <v>Business Talk</v>
          </cell>
          <cell r="C358" t="str">
            <v>Guadeloupe 3Bpq Band21</v>
          </cell>
          <cell r="D358" t="str">
            <v>Off-net domestic</v>
          </cell>
          <cell r="E358" t="str">
            <v>call</v>
          </cell>
          <cell r="F358">
            <v>1</v>
          </cell>
          <cell r="G358">
            <v>1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0.47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 t="str">
            <v>DOM GLP GLVAS</v>
          </cell>
          <cell r="B359" t="str">
            <v>Business Talk</v>
          </cell>
          <cell r="C359" t="str">
            <v>Guadeloupe 3Bpq Band22</v>
          </cell>
          <cell r="D359" t="str">
            <v>Off-net domestic</v>
          </cell>
          <cell r="E359" t="str">
            <v>minute &amp; call</v>
          </cell>
          <cell r="F359">
            <v>1</v>
          </cell>
          <cell r="G359">
            <v>1</v>
          </cell>
          <cell r="H359">
            <v>0</v>
          </cell>
          <cell r="I359">
            <v>0</v>
          </cell>
          <cell r="J359">
            <v>0.28100000000000003</v>
          </cell>
          <cell r="K359">
            <v>0</v>
          </cell>
          <cell r="L359">
            <v>1.1297999999999999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</row>
        <row r="360">
          <cell r="A360" t="str">
            <v>DOM GLP GLSOS</v>
          </cell>
          <cell r="B360" t="str">
            <v>Business Talk</v>
          </cell>
          <cell r="C360" t="str">
            <v>Guadeloupe Emerg Short Nr</v>
          </cell>
          <cell r="D360" t="str">
            <v>Off-net domestic</v>
          </cell>
          <cell r="E360" t="str">
            <v>minute</v>
          </cell>
          <cell r="F360">
            <v>1</v>
          </cell>
          <cell r="G360">
            <v>1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 t="str">
            <v>DOM GLP GL860</v>
          </cell>
          <cell r="B361" t="str">
            <v>Business Talk</v>
          </cell>
          <cell r="C361" t="str">
            <v>Guadeloupe Internet Dial Up</v>
          </cell>
          <cell r="D361" t="str">
            <v>Off-net domestic</v>
          </cell>
          <cell r="E361" t="str">
            <v>minute</v>
          </cell>
          <cell r="F361">
            <v>1</v>
          </cell>
          <cell r="G361">
            <v>1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A362" t="str">
            <v>DOM GLP GL82H</v>
          </cell>
          <cell r="B362" t="str">
            <v>Business Talk</v>
          </cell>
          <cell r="C362" t="str">
            <v>Guadeloupe Premium 820 High</v>
          </cell>
          <cell r="D362" t="str">
            <v>Off-net domestic</v>
          </cell>
          <cell r="E362" t="str">
            <v>minute &amp; call</v>
          </cell>
          <cell r="F362">
            <v>1</v>
          </cell>
          <cell r="G362">
            <v>1</v>
          </cell>
          <cell r="H362">
            <v>0</v>
          </cell>
          <cell r="I362">
            <v>0</v>
          </cell>
          <cell r="J362">
            <v>9.9000000000000005E-2</v>
          </cell>
          <cell r="K362">
            <v>0</v>
          </cell>
          <cell r="L362">
            <v>9.4E-2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</row>
        <row r="363">
          <cell r="A363" t="str">
            <v>DOM GLP GL82L</v>
          </cell>
          <cell r="B363" t="str">
            <v>Business Talk</v>
          </cell>
          <cell r="C363" t="str">
            <v>Guadeloupe Premium 820 Low</v>
          </cell>
          <cell r="D363" t="str">
            <v>Off-net domestic</v>
          </cell>
          <cell r="E363" t="str">
            <v>minute &amp; call</v>
          </cell>
          <cell r="F363">
            <v>1</v>
          </cell>
          <cell r="G363">
            <v>1</v>
          </cell>
          <cell r="H363">
            <v>0</v>
          </cell>
          <cell r="I363">
            <v>0</v>
          </cell>
          <cell r="J363">
            <v>7.4999999999999997E-2</v>
          </cell>
          <cell r="K363">
            <v>0</v>
          </cell>
          <cell r="L363">
            <v>9.4E-2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</row>
        <row r="364">
          <cell r="A364" t="str">
            <v>DOM GLP GL825</v>
          </cell>
          <cell r="B364" t="str">
            <v>Business Talk</v>
          </cell>
          <cell r="C364" t="str">
            <v>Guadeloupe Premium 825</v>
          </cell>
          <cell r="D364" t="str">
            <v>Off-net domestic</v>
          </cell>
          <cell r="E364" t="str">
            <v>minute</v>
          </cell>
          <cell r="F364">
            <v>1</v>
          </cell>
          <cell r="G364">
            <v>1</v>
          </cell>
          <cell r="H364">
            <v>0</v>
          </cell>
          <cell r="I364">
            <v>0</v>
          </cell>
          <cell r="J364">
            <v>0.12529999999999999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A365" t="str">
            <v>DOM GLP GL89H</v>
          </cell>
          <cell r="B365" t="str">
            <v>Business Talk</v>
          </cell>
          <cell r="C365" t="str">
            <v>Guadeloupe Premium 890 High</v>
          </cell>
          <cell r="D365" t="str">
            <v>Off-net domestic</v>
          </cell>
          <cell r="E365" t="str">
            <v>minute</v>
          </cell>
          <cell r="F365">
            <v>1</v>
          </cell>
          <cell r="G365">
            <v>1</v>
          </cell>
          <cell r="H365">
            <v>0</v>
          </cell>
          <cell r="I365">
            <v>0</v>
          </cell>
          <cell r="J365">
            <v>0.12529999999999999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A366" t="str">
            <v>DOM GLP GL89L</v>
          </cell>
          <cell r="B366" t="str">
            <v>Business Talk</v>
          </cell>
          <cell r="C366" t="str">
            <v>Guadeloupe Premium 890 Low</v>
          </cell>
          <cell r="D366" t="str">
            <v>Off-net domestic</v>
          </cell>
          <cell r="E366" t="str">
            <v>minute</v>
          </cell>
          <cell r="F366">
            <v>1</v>
          </cell>
          <cell r="G366">
            <v>1</v>
          </cell>
          <cell r="H366">
            <v>0</v>
          </cell>
          <cell r="I366">
            <v>0</v>
          </cell>
          <cell r="J366">
            <v>9.4E-2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A367" t="str">
            <v>DOM GLP GL891</v>
          </cell>
          <cell r="B367" t="str">
            <v>Business Talk</v>
          </cell>
          <cell r="C367" t="str">
            <v>Guadeloupe Premium 891</v>
          </cell>
          <cell r="D367" t="str">
            <v>Off-net domestic</v>
          </cell>
          <cell r="E367" t="str">
            <v>minute</v>
          </cell>
          <cell r="F367">
            <v>1</v>
          </cell>
          <cell r="G367">
            <v>1</v>
          </cell>
          <cell r="H367">
            <v>0</v>
          </cell>
          <cell r="I367">
            <v>0</v>
          </cell>
          <cell r="J367">
            <v>0.188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A368" t="str">
            <v>DOM GLP GL892</v>
          </cell>
          <cell r="B368" t="str">
            <v>Business Talk</v>
          </cell>
          <cell r="C368" t="str">
            <v>Guadeloupe Premium 892</v>
          </cell>
          <cell r="D368" t="str">
            <v>Off-net domestic</v>
          </cell>
          <cell r="E368" t="str">
            <v>minute</v>
          </cell>
          <cell r="F368">
            <v>1</v>
          </cell>
          <cell r="G368">
            <v>1</v>
          </cell>
          <cell r="H368">
            <v>0</v>
          </cell>
          <cell r="I368">
            <v>0</v>
          </cell>
          <cell r="J368">
            <v>0.28199999999999997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A369" t="str">
            <v>DOM GLP GL897</v>
          </cell>
          <cell r="B369" t="str">
            <v>Business Talk</v>
          </cell>
          <cell r="C369" t="str">
            <v>Guadeloupe Premium 897</v>
          </cell>
          <cell r="D369" t="str">
            <v>Off-net domestic</v>
          </cell>
          <cell r="E369" t="str">
            <v>call</v>
          </cell>
          <cell r="F369">
            <v>1</v>
          </cell>
          <cell r="G369">
            <v>1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0.47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A370" t="str">
            <v>DOM GLP GL899</v>
          </cell>
          <cell r="B370" t="str">
            <v>Business Talk</v>
          </cell>
          <cell r="C370" t="str">
            <v>Guadeloupe Premium 899</v>
          </cell>
          <cell r="D370" t="str">
            <v>Off-net domestic</v>
          </cell>
          <cell r="E370" t="str">
            <v>minute &amp; call</v>
          </cell>
          <cell r="F370">
            <v>1</v>
          </cell>
          <cell r="G370">
            <v>1</v>
          </cell>
          <cell r="H370">
            <v>0</v>
          </cell>
          <cell r="I370">
            <v>0</v>
          </cell>
          <cell r="J370">
            <v>0.28199999999999997</v>
          </cell>
          <cell r="K370">
            <v>0</v>
          </cell>
          <cell r="L370">
            <v>1.1276999999999999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A371" t="str">
            <v>DOM GLP GL006</v>
          </cell>
          <cell r="B371" t="str">
            <v>Business Talk</v>
          </cell>
          <cell r="C371" t="str">
            <v>Guadeloupe Tel. Info. 118006</v>
          </cell>
          <cell r="D371" t="str">
            <v>Off-net domestic</v>
          </cell>
          <cell r="E371" t="str">
            <v>minute &amp; call</v>
          </cell>
          <cell r="F371">
            <v>1</v>
          </cell>
          <cell r="G371">
            <v>1</v>
          </cell>
          <cell r="H371">
            <v>0</v>
          </cell>
          <cell r="I371">
            <v>0</v>
          </cell>
          <cell r="J371">
            <v>0.28199999999999997</v>
          </cell>
          <cell r="K371">
            <v>0</v>
          </cell>
          <cell r="L371">
            <v>1.1279999999999999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A372" t="str">
            <v>DOM GLP GL218</v>
          </cell>
          <cell r="B372" t="str">
            <v>Business Talk</v>
          </cell>
          <cell r="C372" t="str">
            <v>Guadeloupe Tel. Info. 118218</v>
          </cell>
          <cell r="D372" t="str">
            <v>Off-net domestic</v>
          </cell>
          <cell r="E372" t="str">
            <v>minute &amp; call</v>
          </cell>
          <cell r="F372">
            <v>1</v>
          </cell>
          <cell r="G372">
            <v>1</v>
          </cell>
          <cell r="H372">
            <v>0</v>
          </cell>
          <cell r="I372">
            <v>0</v>
          </cell>
          <cell r="J372">
            <v>0.752</v>
          </cell>
          <cell r="K372">
            <v>0</v>
          </cell>
          <cell r="L372">
            <v>0.752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A373" t="str">
            <v>DOM GLP GL222</v>
          </cell>
          <cell r="B373" t="str">
            <v>Business Talk</v>
          </cell>
          <cell r="C373" t="str">
            <v>Guadeloupe Tel. Info. 118222</v>
          </cell>
          <cell r="D373" t="str">
            <v>Off-net domestic</v>
          </cell>
          <cell r="E373" t="str">
            <v>minute &amp; call</v>
          </cell>
          <cell r="F373">
            <v>1</v>
          </cell>
          <cell r="G373">
            <v>1</v>
          </cell>
          <cell r="H373">
            <v>0</v>
          </cell>
          <cell r="I373">
            <v>0</v>
          </cell>
          <cell r="J373">
            <v>0.188</v>
          </cell>
          <cell r="K373">
            <v>0</v>
          </cell>
          <cell r="L373">
            <v>1.1279999999999999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DOM GLP GL700</v>
          </cell>
          <cell r="B374" t="str">
            <v>Business Talk</v>
          </cell>
          <cell r="C374" t="str">
            <v>Guadeloupe Tel. Info. 118700</v>
          </cell>
          <cell r="D374" t="str">
            <v>Off-net domestic</v>
          </cell>
          <cell r="E374" t="str">
            <v>call</v>
          </cell>
          <cell r="F374">
            <v>1</v>
          </cell>
          <cell r="G374">
            <v>1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2.5099999999999998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 t="str">
            <v>DOM GLP GL710</v>
          </cell>
          <cell r="B375" t="str">
            <v>Business Talk</v>
          </cell>
          <cell r="C375" t="str">
            <v>Guadeloupe Tel. Info. 118710</v>
          </cell>
          <cell r="D375" t="str">
            <v>Off-net domestic</v>
          </cell>
          <cell r="E375" t="str">
            <v>minute</v>
          </cell>
          <cell r="F375">
            <v>1</v>
          </cell>
          <cell r="G375">
            <v>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A376" t="str">
            <v>DOM GLP GL711</v>
          </cell>
          <cell r="B376" t="str">
            <v>Business Talk</v>
          </cell>
          <cell r="C376" t="str">
            <v>Guadeloupe Tel. Info. 118711</v>
          </cell>
          <cell r="D376" t="str">
            <v>Off-net domestic</v>
          </cell>
          <cell r="E376" t="str">
            <v>minute &amp; call</v>
          </cell>
          <cell r="F376">
            <v>1</v>
          </cell>
          <cell r="G376">
            <v>1</v>
          </cell>
          <cell r="H376">
            <v>0</v>
          </cell>
          <cell r="I376">
            <v>0</v>
          </cell>
          <cell r="J376">
            <v>0.28199999999999997</v>
          </cell>
          <cell r="K376">
            <v>0</v>
          </cell>
          <cell r="L376">
            <v>0.65800000000000003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A377" t="str">
            <v>DOM GLP GL712</v>
          </cell>
          <cell r="B377" t="str">
            <v>Business Talk</v>
          </cell>
          <cell r="C377" t="str">
            <v>Guadeloupe Tel. Info. 118712</v>
          </cell>
          <cell r="D377" t="str">
            <v>Off-net domestic</v>
          </cell>
          <cell r="E377" t="str">
            <v>minute &amp; call</v>
          </cell>
          <cell r="F377">
            <v>1</v>
          </cell>
          <cell r="G377">
            <v>1</v>
          </cell>
          <cell r="H377">
            <v>0</v>
          </cell>
          <cell r="I377">
            <v>0</v>
          </cell>
          <cell r="J377">
            <v>0.376</v>
          </cell>
          <cell r="K377">
            <v>0</v>
          </cell>
          <cell r="L377">
            <v>1.222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A378" t="str">
            <v>DOM GLP GL888</v>
          </cell>
          <cell r="B378" t="str">
            <v>Business Talk</v>
          </cell>
          <cell r="C378" t="str">
            <v>Guadeloupe Tel. Info. 118888</v>
          </cell>
          <cell r="D378" t="str">
            <v>Off-net domestic</v>
          </cell>
          <cell r="E378" t="str">
            <v>minute &amp; call</v>
          </cell>
          <cell r="F378">
            <v>1</v>
          </cell>
          <cell r="G378">
            <v>1</v>
          </cell>
          <cell r="H378">
            <v>0</v>
          </cell>
          <cell r="I378">
            <v>0</v>
          </cell>
          <cell r="J378">
            <v>9.4E-2</v>
          </cell>
          <cell r="K378">
            <v>0</v>
          </cell>
          <cell r="L378">
            <v>0.94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A379" t="str">
            <v>DOM GLP GLFRE</v>
          </cell>
          <cell r="B379" t="str">
            <v>Business Talk</v>
          </cell>
          <cell r="C379" t="str">
            <v>Guadeloupe Toll Free</v>
          </cell>
          <cell r="D379" t="str">
            <v>Off-net domestic</v>
          </cell>
          <cell r="E379" t="str">
            <v>minute</v>
          </cell>
          <cell r="F379">
            <v>1</v>
          </cell>
          <cell r="G379">
            <v>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</row>
        <row r="380">
          <cell r="A380" t="str">
            <v>DOM GLP GL810</v>
          </cell>
          <cell r="B380" t="str">
            <v>Business Talk</v>
          </cell>
          <cell r="C380" t="str">
            <v>Guadeloupe Toll Share</v>
          </cell>
          <cell r="D380" t="str">
            <v>Off-net domestic</v>
          </cell>
          <cell r="E380" t="str">
            <v>minute &amp; call</v>
          </cell>
          <cell r="F380">
            <v>1</v>
          </cell>
          <cell r="G380">
            <v>1</v>
          </cell>
          <cell r="H380">
            <v>0</v>
          </cell>
          <cell r="I380">
            <v>0</v>
          </cell>
          <cell r="J380">
            <v>2.3E-2</v>
          </cell>
          <cell r="K380">
            <v>0</v>
          </cell>
          <cell r="L380">
            <v>6.5000000000000002E-2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A381" t="str">
            <v>DOM GUM FIX</v>
          </cell>
          <cell r="B381" t="str">
            <v>Business Talk</v>
          </cell>
          <cell r="C381" t="str">
            <v>Guam</v>
          </cell>
          <cell r="D381" t="str">
            <v>Off-net domestic</v>
          </cell>
          <cell r="E381" t="str">
            <v>minute</v>
          </cell>
          <cell r="F381">
            <v>1</v>
          </cell>
          <cell r="G381">
            <v>1</v>
          </cell>
          <cell r="H381">
            <v>0</v>
          </cell>
          <cell r="I381">
            <v>0</v>
          </cell>
          <cell r="J381">
            <v>2.6599999999999999E-2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</row>
        <row r="382">
          <cell r="A382" t="str">
            <v>DOM HKG MOB</v>
          </cell>
          <cell r="B382" t="str">
            <v>Business Talk</v>
          </cell>
          <cell r="C382" t="str">
            <v>Hong Kong Mobile</v>
          </cell>
          <cell r="D382" t="str">
            <v>Off-net domestic</v>
          </cell>
          <cell r="E382" t="str">
            <v>minute</v>
          </cell>
          <cell r="F382">
            <v>1</v>
          </cell>
          <cell r="G382">
            <v>1</v>
          </cell>
          <cell r="H382">
            <v>0</v>
          </cell>
          <cell r="I382">
            <v>0</v>
          </cell>
          <cell r="J382">
            <v>2.7199999999999998E-2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A383" t="str">
            <v>DOM HKG HKG1</v>
          </cell>
          <cell r="B383" t="str">
            <v>Business Talk</v>
          </cell>
          <cell r="C383" t="str">
            <v>Hong Kong</v>
          </cell>
          <cell r="D383" t="str">
            <v>Off-net domestic</v>
          </cell>
          <cell r="E383" t="str">
            <v>minute</v>
          </cell>
          <cell r="F383">
            <v>1</v>
          </cell>
          <cell r="G383">
            <v>1</v>
          </cell>
          <cell r="H383">
            <v>0</v>
          </cell>
          <cell r="I383">
            <v>0</v>
          </cell>
          <cell r="J383">
            <v>2.7199999999999998E-2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DOM HKG HKACC</v>
          </cell>
          <cell r="B384" t="str">
            <v>Business Talk</v>
          </cell>
          <cell r="C384" t="str">
            <v>Hong Kong Access Codes</v>
          </cell>
          <cell r="D384" t="str">
            <v>Off-net domestic</v>
          </cell>
          <cell r="E384" t="str">
            <v>minute</v>
          </cell>
          <cell r="F384">
            <v>1</v>
          </cell>
          <cell r="G384">
            <v>1</v>
          </cell>
          <cell r="H384">
            <v>0</v>
          </cell>
          <cell r="I384">
            <v>0</v>
          </cell>
          <cell r="J384">
            <v>1.6799999999999999E-2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 t="str">
            <v>DOM HKG HKDIR</v>
          </cell>
          <cell r="B385" t="str">
            <v>Business Talk</v>
          </cell>
          <cell r="C385" t="str">
            <v>Hong Kong Directory</v>
          </cell>
          <cell r="D385" t="str">
            <v>Off-net domestic</v>
          </cell>
          <cell r="E385" t="str">
            <v>minute</v>
          </cell>
          <cell r="F385">
            <v>1</v>
          </cell>
          <cell r="G385">
            <v>1</v>
          </cell>
          <cell r="H385">
            <v>0</v>
          </cell>
          <cell r="I385">
            <v>0</v>
          </cell>
          <cell r="J385">
            <v>2.7199999999999998E-2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</row>
        <row r="386">
          <cell r="A386" t="str">
            <v>DOM HKG HKSOS</v>
          </cell>
          <cell r="B386" t="str">
            <v>Business Talk</v>
          </cell>
          <cell r="C386" t="str">
            <v>Hong Kong Emergency</v>
          </cell>
          <cell r="D386" t="str">
            <v>Off-net domestic</v>
          </cell>
          <cell r="E386" t="str">
            <v>minute</v>
          </cell>
          <cell r="F386">
            <v>1</v>
          </cell>
          <cell r="G386">
            <v>1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 t="str">
            <v>DOM HKG HKHLP</v>
          </cell>
          <cell r="B387" t="str">
            <v>Business Talk</v>
          </cell>
          <cell r="C387" t="str">
            <v>Hong Kong Help Desk</v>
          </cell>
          <cell r="D387" t="str">
            <v>Off-net domestic</v>
          </cell>
          <cell r="E387" t="str">
            <v>minute</v>
          </cell>
          <cell r="F387">
            <v>1</v>
          </cell>
          <cell r="G387">
            <v>1</v>
          </cell>
          <cell r="H387">
            <v>0</v>
          </cell>
          <cell r="I387">
            <v>0</v>
          </cell>
          <cell r="J387">
            <v>2.7199999999999998E-2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A388" t="str">
            <v>DOM HKG HKPAG</v>
          </cell>
          <cell r="B388" t="str">
            <v>Business Talk</v>
          </cell>
          <cell r="C388" t="str">
            <v>Hong Kong Pager</v>
          </cell>
          <cell r="D388" t="str">
            <v>Off-net domestic</v>
          </cell>
          <cell r="E388" t="str">
            <v>minute</v>
          </cell>
          <cell r="F388">
            <v>1</v>
          </cell>
          <cell r="G388">
            <v>1</v>
          </cell>
          <cell r="H388">
            <v>0</v>
          </cell>
          <cell r="I388">
            <v>0</v>
          </cell>
          <cell r="J388">
            <v>4.3999999999999997E-2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</row>
        <row r="389">
          <cell r="A389" t="str">
            <v>DOM HKG HKTIM</v>
          </cell>
          <cell r="B389" t="str">
            <v>Business Talk</v>
          </cell>
          <cell r="C389" t="str">
            <v>Hong Kong Time/Temp</v>
          </cell>
          <cell r="D389" t="str">
            <v>Off-net domestic</v>
          </cell>
          <cell r="E389" t="str">
            <v>minute</v>
          </cell>
          <cell r="F389">
            <v>1</v>
          </cell>
          <cell r="G389">
            <v>1</v>
          </cell>
          <cell r="H389">
            <v>0</v>
          </cell>
          <cell r="I389">
            <v>0</v>
          </cell>
          <cell r="J389">
            <v>2.7199999999999998E-2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</row>
        <row r="390">
          <cell r="A390" t="str">
            <v>DOM HKG HKFRE</v>
          </cell>
          <cell r="B390" t="str">
            <v>Business Talk</v>
          </cell>
          <cell r="C390" t="str">
            <v>Hong Kong toll free</v>
          </cell>
          <cell r="D390" t="str">
            <v>Off-net domestic</v>
          </cell>
          <cell r="E390" t="str">
            <v>minute</v>
          </cell>
          <cell r="F390">
            <v>1</v>
          </cell>
          <cell r="G390">
            <v>1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 t="str">
            <v>DOM HKG HKVAS</v>
          </cell>
          <cell r="B391" t="str">
            <v>Business Talk</v>
          </cell>
          <cell r="C391" t="str">
            <v>Hong Kong VAS</v>
          </cell>
          <cell r="D391" t="str">
            <v>Off-net domestic</v>
          </cell>
          <cell r="E391" t="str">
            <v>minute</v>
          </cell>
          <cell r="F391">
            <v>1</v>
          </cell>
          <cell r="G391">
            <v>1</v>
          </cell>
          <cell r="H391">
            <v>0</v>
          </cell>
          <cell r="I391">
            <v>0</v>
          </cell>
          <cell r="J391">
            <v>0.52359999999999995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</row>
        <row r="392">
          <cell r="A392" t="str">
            <v>DOM HUN MOBIL</v>
          </cell>
          <cell r="B392" t="str">
            <v>Business Talk</v>
          </cell>
          <cell r="C392" t="str">
            <v>Hungary Mobile</v>
          </cell>
          <cell r="D392" t="str">
            <v>Off-net domestic</v>
          </cell>
          <cell r="E392" t="str">
            <v>minute</v>
          </cell>
          <cell r="F392">
            <v>1</v>
          </cell>
          <cell r="G392">
            <v>1</v>
          </cell>
          <cell r="H392">
            <v>0</v>
          </cell>
          <cell r="I392">
            <v>0</v>
          </cell>
          <cell r="J392">
            <v>4.0899999999999999E-2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 t="str">
            <v>DOM HUN HUMT</v>
          </cell>
          <cell r="B393" t="str">
            <v>Business Talk</v>
          </cell>
          <cell r="C393" t="str">
            <v>Hungary Mobile T-Mobile</v>
          </cell>
          <cell r="D393" t="str">
            <v>Off-net domestic</v>
          </cell>
          <cell r="E393" t="str">
            <v>minute</v>
          </cell>
          <cell r="F393">
            <v>1</v>
          </cell>
          <cell r="G393">
            <v>1</v>
          </cell>
          <cell r="H393">
            <v>0</v>
          </cell>
          <cell r="I393">
            <v>0</v>
          </cell>
          <cell r="J393">
            <v>4.0899999999999999E-2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</row>
        <row r="394">
          <cell r="A394" t="str">
            <v>DOM HUN FIX</v>
          </cell>
          <cell r="B394" t="str">
            <v>Business Talk</v>
          </cell>
          <cell r="C394" t="str">
            <v>Hungary</v>
          </cell>
          <cell r="D394" t="str">
            <v>Off-net domestic</v>
          </cell>
          <cell r="E394" t="str">
            <v>minute</v>
          </cell>
          <cell r="F394">
            <v>1</v>
          </cell>
          <cell r="G394">
            <v>1</v>
          </cell>
          <cell r="H394">
            <v>0</v>
          </cell>
          <cell r="I394">
            <v>0</v>
          </cell>
          <cell r="J394">
            <v>1.24E-2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 t="str">
            <v>DOM HUN T40</v>
          </cell>
          <cell r="B395" t="str">
            <v>Business Talk</v>
          </cell>
          <cell r="C395" t="str">
            <v>Hungary Toll Share 40</v>
          </cell>
          <cell r="D395" t="str">
            <v>Off-net domestic</v>
          </cell>
          <cell r="E395" t="str">
            <v>minute</v>
          </cell>
          <cell r="F395">
            <v>1</v>
          </cell>
          <cell r="G395">
            <v>1</v>
          </cell>
          <cell r="H395">
            <v>0</v>
          </cell>
          <cell r="I395">
            <v>0</v>
          </cell>
          <cell r="J395">
            <v>0.11600000000000001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</row>
        <row r="396">
          <cell r="A396" t="str">
            <v>DOM ISL ISLMO</v>
          </cell>
          <cell r="B396" t="str">
            <v>Business Talk</v>
          </cell>
          <cell r="C396" t="str">
            <v>Iceland Mobile</v>
          </cell>
          <cell r="D396" t="str">
            <v>Off-net domestic</v>
          </cell>
          <cell r="E396" t="str">
            <v>minute</v>
          </cell>
          <cell r="F396">
            <v>1</v>
          </cell>
          <cell r="G396">
            <v>1</v>
          </cell>
          <cell r="H396">
            <v>0</v>
          </cell>
          <cell r="I396">
            <v>0</v>
          </cell>
          <cell r="J396">
            <v>0.14000000000000001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</row>
        <row r="397">
          <cell r="A397" t="str">
            <v>DOM ISL ISL01</v>
          </cell>
          <cell r="B397" t="str">
            <v>Business Talk</v>
          </cell>
          <cell r="C397" t="str">
            <v>Iceland</v>
          </cell>
          <cell r="D397" t="str">
            <v>Off-net domestic</v>
          </cell>
          <cell r="E397" t="str">
            <v>minute</v>
          </cell>
          <cell r="F397">
            <v>1</v>
          </cell>
          <cell r="G397">
            <v>1</v>
          </cell>
          <cell r="H397">
            <v>0</v>
          </cell>
          <cell r="I397">
            <v>0</v>
          </cell>
          <cell r="J397">
            <v>2.7099999999999999E-2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</row>
        <row r="398">
          <cell r="A398" t="str">
            <v>DOM IRL DUBAR</v>
          </cell>
          <cell r="B398" t="str">
            <v>Business Talk</v>
          </cell>
          <cell r="C398" t="str">
            <v>Ireland National</v>
          </cell>
          <cell r="D398" t="str">
            <v>Off-net domestic</v>
          </cell>
          <cell r="E398" t="str">
            <v>minute</v>
          </cell>
          <cell r="F398">
            <v>1</v>
          </cell>
          <cell r="G398">
            <v>1</v>
          </cell>
          <cell r="H398">
            <v>0</v>
          </cell>
          <cell r="I398">
            <v>0</v>
          </cell>
          <cell r="J398">
            <v>1.26E-2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A399" t="str">
            <v>DOM IRL MOBAR</v>
          </cell>
          <cell r="B399" t="str">
            <v>Business Talk</v>
          </cell>
          <cell r="C399" t="str">
            <v>Ireland Mobile</v>
          </cell>
          <cell r="D399" t="str">
            <v>Off-net domestic</v>
          </cell>
          <cell r="E399" t="str">
            <v>minute</v>
          </cell>
          <cell r="F399">
            <v>1</v>
          </cell>
          <cell r="G399">
            <v>1</v>
          </cell>
          <cell r="H399">
            <v>0</v>
          </cell>
          <cell r="I399">
            <v>0</v>
          </cell>
          <cell r="J399">
            <v>5.2200000000000003E-2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</row>
        <row r="400">
          <cell r="A400" t="str">
            <v>DOM IRL IEMBE</v>
          </cell>
          <cell r="B400" t="str">
            <v>Business Talk</v>
          </cell>
          <cell r="C400" t="str">
            <v>Ireland Mobile Svces</v>
          </cell>
          <cell r="D400" t="str">
            <v>Off-net domestic</v>
          </cell>
          <cell r="E400" t="str">
            <v>minute</v>
          </cell>
          <cell r="F400">
            <v>1</v>
          </cell>
          <cell r="G400">
            <v>1</v>
          </cell>
          <cell r="H400">
            <v>0</v>
          </cell>
          <cell r="I400">
            <v>0</v>
          </cell>
          <cell r="J400">
            <v>0.29220000000000002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</row>
        <row r="401">
          <cell r="A401" t="str">
            <v>DOM IRL IECSS</v>
          </cell>
          <cell r="B401" t="str">
            <v>Business Talk</v>
          </cell>
          <cell r="C401" t="str">
            <v>Ireland Customer Services</v>
          </cell>
          <cell r="D401" t="str">
            <v>Off-net domestic</v>
          </cell>
          <cell r="E401" t="str">
            <v>minute</v>
          </cell>
          <cell r="F401">
            <v>1</v>
          </cell>
          <cell r="G401">
            <v>1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</row>
        <row r="402">
          <cell r="A402" t="str">
            <v>DOM IRL IEDQS</v>
          </cell>
          <cell r="B402" t="str">
            <v>Business Talk</v>
          </cell>
          <cell r="C402" t="str">
            <v>Ireland Directory Enquiry</v>
          </cell>
          <cell r="D402" t="str">
            <v>Off-net domestic</v>
          </cell>
          <cell r="E402" t="str">
            <v>minute &amp; call</v>
          </cell>
          <cell r="F402">
            <v>1</v>
          </cell>
          <cell r="G402">
            <v>1</v>
          </cell>
          <cell r="H402">
            <v>0</v>
          </cell>
          <cell r="I402">
            <v>0</v>
          </cell>
          <cell r="J402">
            <v>0.5</v>
          </cell>
          <cell r="K402">
            <v>0</v>
          </cell>
          <cell r="L402">
            <v>1.7282999999999999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</row>
        <row r="403">
          <cell r="A403" t="str">
            <v>DOM IRL IEEHS</v>
          </cell>
          <cell r="B403" t="str">
            <v>Business Talk</v>
          </cell>
          <cell r="C403" t="str">
            <v>Ireland Emergency Services</v>
          </cell>
          <cell r="D403" t="str">
            <v>Off-net domestic</v>
          </cell>
          <cell r="E403" t="str">
            <v>minute</v>
          </cell>
          <cell r="F403">
            <v>1</v>
          </cell>
          <cell r="G403">
            <v>1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 t="str">
            <v>DOM IRL IEFRE</v>
          </cell>
          <cell r="B404" t="str">
            <v>Business Talk</v>
          </cell>
          <cell r="C404" t="str">
            <v>Ireland Freephone</v>
          </cell>
          <cell r="D404" t="str">
            <v>Off-net domestic</v>
          </cell>
          <cell r="E404" t="str">
            <v>minute</v>
          </cell>
          <cell r="F404">
            <v>1</v>
          </cell>
          <cell r="G404">
            <v>1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</row>
        <row r="405">
          <cell r="A405" t="str">
            <v>DOM IRL IEHHS</v>
          </cell>
          <cell r="B405" t="str">
            <v>Business Talk</v>
          </cell>
          <cell r="C405" t="str">
            <v>Ireland Helpline Services</v>
          </cell>
          <cell r="D405" t="str">
            <v>Off-net domestic</v>
          </cell>
          <cell r="E405" t="str">
            <v>minute</v>
          </cell>
          <cell r="F405">
            <v>1</v>
          </cell>
          <cell r="G405">
            <v>1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 t="str">
            <v>DOM IRL IEPFF</v>
          </cell>
          <cell r="B406" t="str">
            <v>Business Talk</v>
          </cell>
          <cell r="C406" t="str">
            <v>Ireland Internet Flat Rate</v>
          </cell>
          <cell r="D406" t="str">
            <v>Off-net domestic</v>
          </cell>
          <cell r="E406" t="str">
            <v>minute</v>
          </cell>
          <cell r="F406">
            <v>1</v>
          </cell>
          <cell r="G406">
            <v>1</v>
          </cell>
          <cell r="H406">
            <v>0</v>
          </cell>
          <cell r="I406">
            <v>0</v>
          </cell>
          <cell r="J406">
            <v>4.1999999999999997E-3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A407" t="str">
            <v>DOM IRL IEILO</v>
          </cell>
          <cell r="B407" t="str">
            <v>Business Talk</v>
          </cell>
          <cell r="C407" t="str">
            <v>Ireland Internet Local</v>
          </cell>
          <cell r="D407" t="str">
            <v>Off-net domestic</v>
          </cell>
          <cell r="E407" t="str">
            <v>minute</v>
          </cell>
          <cell r="F407">
            <v>1</v>
          </cell>
          <cell r="G407">
            <v>1</v>
          </cell>
          <cell r="H407">
            <v>0</v>
          </cell>
          <cell r="I407">
            <v>0</v>
          </cell>
          <cell r="J407">
            <v>2.8500000000000001E-2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</row>
        <row r="408">
          <cell r="A408" t="str">
            <v>DOM IRL IEPYG</v>
          </cell>
          <cell r="B408" t="str">
            <v>Business Talk</v>
          </cell>
          <cell r="C408" t="str">
            <v>Ireland Internet Payg</v>
          </cell>
          <cell r="D408" t="str">
            <v>Off-net domestic</v>
          </cell>
          <cell r="E408" t="str">
            <v>minute</v>
          </cell>
          <cell r="F408">
            <v>1</v>
          </cell>
          <cell r="G408">
            <v>1</v>
          </cell>
          <cell r="H408">
            <v>0</v>
          </cell>
          <cell r="I408">
            <v>0</v>
          </cell>
          <cell r="J408">
            <v>6.5600000000000006E-2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A409" t="str">
            <v>DOM IRL IEPNS</v>
          </cell>
          <cell r="B409" t="str">
            <v>Business Talk</v>
          </cell>
          <cell r="C409" t="str">
            <v>Ireland Personal Numbers (Cpp)</v>
          </cell>
          <cell r="D409" t="str">
            <v>Off-net domestic</v>
          </cell>
          <cell r="E409" t="str">
            <v>minute</v>
          </cell>
          <cell r="F409">
            <v>1</v>
          </cell>
          <cell r="G409">
            <v>1</v>
          </cell>
          <cell r="H409">
            <v>0</v>
          </cell>
          <cell r="I409">
            <v>0</v>
          </cell>
          <cell r="J409">
            <v>0.1095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DOM IRL IEPC1</v>
          </cell>
          <cell r="B410" t="str">
            <v>Business Talk</v>
          </cell>
          <cell r="C410" t="str">
            <v>Ireland Premium Rate 1512</v>
          </cell>
          <cell r="D410" t="str">
            <v>Off-net domestic</v>
          </cell>
          <cell r="E410" t="str">
            <v>call</v>
          </cell>
          <cell r="F410">
            <v>1</v>
          </cell>
          <cell r="G410">
            <v>1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0.40649999999999997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 t="str">
            <v>DOM IRL IEPC2</v>
          </cell>
          <cell r="B411" t="str">
            <v>Business Talk</v>
          </cell>
          <cell r="C411" t="str">
            <v>Ireland Premium Rate 1513</v>
          </cell>
          <cell r="D411" t="str">
            <v>Off-net domestic</v>
          </cell>
          <cell r="E411" t="str">
            <v>call</v>
          </cell>
          <cell r="F411">
            <v>1</v>
          </cell>
          <cell r="G411">
            <v>1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0.56910000000000005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</row>
        <row r="412">
          <cell r="A412" t="str">
            <v>DOM IRL IEPC3</v>
          </cell>
          <cell r="B412" t="str">
            <v>Business Talk</v>
          </cell>
          <cell r="C412" t="str">
            <v>Ireland Premium Rate 1514</v>
          </cell>
          <cell r="D412" t="str">
            <v>Off-net domestic</v>
          </cell>
          <cell r="E412" t="str">
            <v>call</v>
          </cell>
          <cell r="F412">
            <v>1</v>
          </cell>
          <cell r="G412">
            <v>1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0.73170000000000002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</row>
        <row r="413">
          <cell r="A413" t="str">
            <v>DOM IRL IEPC4</v>
          </cell>
          <cell r="B413" t="str">
            <v>Business Talk</v>
          </cell>
          <cell r="C413" t="str">
            <v>Ireland Premium Rate 1515</v>
          </cell>
          <cell r="D413" t="str">
            <v>Off-net domestic</v>
          </cell>
          <cell r="E413" t="str">
            <v>call</v>
          </cell>
          <cell r="F413">
            <v>1</v>
          </cell>
          <cell r="G413">
            <v>1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0.97560000000000002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</row>
        <row r="414">
          <cell r="A414" t="str">
            <v>DOM IRL IEPC5</v>
          </cell>
          <cell r="B414" t="str">
            <v>Business Talk</v>
          </cell>
          <cell r="C414" t="str">
            <v>Ireland Premium Rate 1516</v>
          </cell>
          <cell r="D414" t="str">
            <v>Off-net domestic</v>
          </cell>
          <cell r="E414" t="str">
            <v>call</v>
          </cell>
          <cell r="F414">
            <v>1</v>
          </cell>
          <cell r="G414">
            <v>1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1.4634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</row>
        <row r="415">
          <cell r="A415" t="str">
            <v>DOM IRL IEPC6</v>
          </cell>
          <cell r="B415" t="str">
            <v>Business Talk</v>
          </cell>
          <cell r="C415" t="str">
            <v>Ireland Premium Rate 1517</v>
          </cell>
          <cell r="D415" t="str">
            <v>Off-net domestic</v>
          </cell>
          <cell r="E415" t="str">
            <v>call</v>
          </cell>
          <cell r="F415">
            <v>1</v>
          </cell>
          <cell r="G415">
            <v>1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2.0325000000000002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</row>
        <row r="416">
          <cell r="A416" t="str">
            <v>DOM IRL IEPC7</v>
          </cell>
          <cell r="B416" t="str">
            <v>Business Talk</v>
          </cell>
          <cell r="C416" t="str">
            <v>Ireland Premium Rate 1518</v>
          </cell>
          <cell r="D416" t="str">
            <v>Off-net domestic</v>
          </cell>
          <cell r="E416" t="str">
            <v>call</v>
          </cell>
          <cell r="F416">
            <v>1</v>
          </cell>
          <cell r="G416">
            <v>1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2.8454000000000002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</row>
        <row r="417">
          <cell r="A417" t="str">
            <v>DOM IRL IEPM1</v>
          </cell>
          <cell r="B417" t="str">
            <v>Business Talk</v>
          </cell>
          <cell r="C417" t="str">
            <v>Ireland Premium Rate 1520</v>
          </cell>
          <cell r="D417" t="str">
            <v>Off-net domestic</v>
          </cell>
          <cell r="E417" t="str">
            <v>minute</v>
          </cell>
          <cell r="F417">
            <v>1</v>
          </cell>
          <cell r="G417">
            <v>1</v>
          </cell>
          <cell r="H417">
            <v>0</v>
          </cell>
          <cell r="I417">
            <v>0</v>
          </cell>
          <cell r="J417">
            <v>0.24390000000000001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</row>
        <row r="418">
          <cell r="A418" t="str">
            <v>DOM IRL IEPM2</v>
          </cell>
          <cell r="B418" t="str">
            <v>Business Talk</v>
          </cell>
          <cell r="C418" t="str">
            <v>Ireland Premium Rate 1530</v>
          </cell>
          <cell r="D418" t="str">
            <v>Off-net domestic</v>
          </cell>
          <cell r="E418" t="str">
            <v>minute</v>
          </cell>
          <cell r="F418">
            <v>1</v>
          </cell>
          <cell r="G418">
            <v>1</v>
          </cell>
          <cell r="H418">
            <v>0</v>
          </cell>
          <cell r="I418">
            <v>0</v>
          </cell>
          <cell r="J418">
            <v>0.40649999999999997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</row>
        <row r="419">
          <cell r="A419" t="str">
            <v>DOM IRL IEPM3</v>
          </cell>
          <cell r="B419" t="str">
            <v>Business Talk</v>
          </cell>
          <cell r="C419" t="str">
            <v>Ireland Premium Rate 1540</v>
          </cell>
          <cell r="D419" t="str">
            <v>Off-net domestic</v>
          </cell>
          <cell r="E419" t="str">
            <v>minute</v>
          </cell>
          <cell r="F419">
            <v>1</v>
          </cell>
          <cell r="G419">
            <v>1</v>
          </cell>
          <cell r="H419">
            <v>0</v>
          </cell>
          <cell r="I419">
            <v>0</v>
          </cell>
          <cell r="J419">
            <v>0.56910000000000005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</row>
        <row r="420">
          <cell r="A420" t="str">
            <v>DOM IRL IEPM4</v>
          </cell>
          <cell r="B420" t="str">
            <v>Business Talk</v>
          </cell>
          <cell r="C420" t="str">
            <v>Ireland Premium Rate 1550</v>
          </cell>
          <cell r="D420" t="str">
            <v>Off-net domestic</v>
          </cell>
          <cell r="E420" t="str">
            <v>minute</v>
          </cell>
          <cell r="F420">
            <v>1</v>
          </cell>
          <cell r="G420">
            <v>1</v>
          </cell>
          <cell r="H420">
            <v>0</v>
          </cell>
          <cell r="I420">
            <v>0</v>
          </cell>
          <cell r="J420">
            <v>0.97560000000000002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</row>
        <row r="421">
          <cell r="A421" t="str">
            <v>DOM IRL IEPM5</v>
          </cell>
          <cell r="B421" t="str">
            <v>Business Talk</v>
          </cell>
          <cell r="C421" t="str">
            <v>Ireland Premium Rate 1560</v>
          </cell>
          <cell r="D421" t="str">
            <v>Off-net domestic</v>
          </cell>
          <cell r="E421" t="str">
            <v>minute</v>
          </cell>
          <cell r="F421">
            <v>1</v>
          </cell>
          <cell r="G421">
            <v>1</v>
          </cell>
          <cell r="H421">
            <v>0</v>
          </cell>
          <cell r="I421">
            <v>0</v>
          </cell>
          <cell r="J421">
            <v>1.4634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A422" t="str">
            <v>DOM IRL IEPM6</v>
          </cell>
          <cell r="B422" t="str">
            <v>Business Talk</v>
          </cell>
          <cell r="C422" t="str">
            <v>Ireland Premium Rate 1570</v>
          </cell>
          <cell r="D422" t="str">
            <v>Off-net domestic</v>
          </cell>
          <cell r="E422" t="str">
            <v>minute</v>
          </cell>
          <cell r="F422">
            <v>1</v>
          </cell>
          <cell r="G422">
            <v>1</v>
          </cell>
          <cell r="H422">
            <v>0</v>
          </cell>
          <cell r="I422">
            <v>0</v>
          </cell>
          <cell r="J422">
            <v>1.9512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</row>
        <row r="423">
          <cell r="A423" t="str">
            <v>DOM IRL IEPM7</v>
          </cell>
          <cell r="B423" t="str">
            <v>Business Talk</v>
          </cell>
          <cell r="C423" t="str">
            <v>Ireland Premium Rate 1580</v>
          </cell>
          <cell r="D423" t="str">
            <v>Off-net domestic</v>
          </cell>
          <cell r="E423" t="str">
            <v>minute</v>
          </cell>
          <cell r="F423">
            <v>1</v>
          </cell>
          <cell r="G423">
            <v>1</v>
          </cell>
          <cell r="H423">
            <v>0</v>
          </cell>
          <cell r="I423">
            <v>0</v>
          </cell>
          <cell r="J423">
            <v>2.3982000000000001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</row>
        <row r="424">
          <cell r="A424" t="str">
            <v>DOM IRL IEPM8</v>
          </cell>
          <cell r="B424" t="str">
            <v>Business Talk</v>
          </cell>
          <cell r="C424" t="str">
            <v>Ireland Premium Rate 1590</v>
          </cell>
          <cell r="D424" t="str">
            <v>Off-net domestic</v>
          </cell>
          <cell r="E424" t="str">
            <v>minute</v>
          </cell>
          <cell r="F424">
            <v>1</v>
          </cell>
          <cell r="G424">
            <v>1</v>
          </cell>
          <cell r="H424">
            <v>0</v>
          </cell>
          <cell r="I424">
            <v>0</v>
          </cell>
          <cell r="J424">
            <v>2.8454000000000002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</row>
        <row r="425">
          <cell r="A425" t="str">
            <v>DOM IRL IESCC</v>
          </cell>
          <cell r="B425" t="str">
            <v>Business Talk</v>
          </cell>
          <cell r="C425" t="str">
            <v>Ireland Shared Cost Per Call</v>
          </cell>
          <cell r="D425" t="str">
            <v>Off-net domestic</v>
          </cell>
          <cell r="E425" t="str">
            <v>call</v>
          </cell>
          <cell r="F425">
            <v>1</v>
          </cell>
          <cell r="G425">
            <v>1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5.4300000000000001E-2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</row>
        <row r="426">
          <cell r="A426" t="str">
            <v>DOM IRL IESCM</v>
          </cell>
          <cell r="B426" t="str">
            <v>Business Talk</v>
          </cell>
          <cell r="C426" t="str">
            <v>Ireland Shared Cost Per Min</v>
          </cell>
          <cell r="D426" t="str">
            <v>Off-net domestic</v>
          </cell>
          <cell r="E426" t="str">
            <v>minute</v>
          </cell>
          <cell r="F426">
            <v>1</v>
          </cell>
          <cell r="G426">
            <v>1</v>
          </cell>
          <cell r="H426">
            <v>0</v>
          </cell>
          <cell r="I426">
            <v>0</v>
          </cell>
          <cell r="J426">
            <v>6.6900000000000001E-2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</row>
        <row r="427">
          <cell r="A427" t="str">
            <v>DOM IRL IEUAS</v>
          </cell>
          <cell r="B427" t="str">
            <v>Business Talk</v>
          </cell>
          <cell r="C427" t="str">
            <v>Ireland Universal Access</v>
          </cell>
          <cell r="D427" t="str">
            <v>Off-net domestic</v>
          </cell>
          <cell r="E427" t="str">
            <v>minute</v>
          </cell>
          <cell r="F427">
            <v>1</v>
          </cell>
          <cell r="G427">
            <v>1</v>
          </cell>
          <cell r="H427">
            <v>0</v>
          </cell>
          <cell r="I427">
            <v>0</v>
          </cell>
          <cell r="J427">
            <v>6.6900000000000001E-2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A428" t="str">
            <v>DOM IRL IEIPN</v>
          </cell>
          <cell r="B428" t="str">
            <v>Business Talk</v>
          </cell>
          <cell r="C428" t="str">
            <v>Ireland Voip Numbers</v>
          </cell>
          <cell r="D428" t="str">
            <v>Off-net domestic</v>
          </cell>
          <cell r="E428" t="str">
            <v>minute</v>
          </cell>
          <cell r="F428">
            <v>1</v>
          </cell>
          <cell r="G428">
            <v>1</v>
          </cell>
          <cell r="H428">
            <v>0</v>
          </cell>
          <cell r="I428">
            <v>0</v>
          </cell>
          <cell r="J428">
            <v>7.4499999999999997E-2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</row>
        <row r="429">
          <cell r="A429" t="str">
            <v>DOM ITA REST</v>
          </cell>
          <cell r="B429" t="str">
            <v>Business Talk</v>
          </cell>
          <cell r="C429" t="str">
            <v>Italy National</v>
          </cell>
          <cell r="D429" t="str">
            <v>Off-net domestic</v>
          </cell>
          <cell r="E429" t="str">
            <v>minute</v>
          </cell>
          <cell r="F429">
            <v>1</v>
          </cell>
          <cell r="G429">
            <v>1</v>
          </cell>
          <cell r="H429">
            <v>0</v>
          </cell>
          <cell r="I429">
            <v>0</v>
          </cell>
          <cell r="J429">
            <v>1.37E-2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 t="str">
            <v>DOM ITA ZITA7</v>
          </cell>
          <cell r="B430" t="str">
            <v>Business Talk</v>
          </cell>
          <cell r="C430" t="str">
            <v>Italy Mobile Other</v>
          </cell>
          <cell r="D430" t="str">
            <v>Off-net domestic</v>
          </cell>
          <cell r="E430" t="str">
            <v>minute</v>
          </cell>
          <cell r="F430">
            <v>1</v>
          </cell>
          <cell r="G430">
            <v>1</v>
          </cell>
          <cell r="H430">
            <v>0</v>
          </cell>
          <cell r="I430">
            <v>0</v>
          </cell>
          <cell r="J430">
            <v>3.3000000000000002E-2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A431" t="str">
            <v>DOM ITA ZITA9</v>
          </cell>
          <cell r="B431" t="str">
            <v>Business Talk</v>
          </cell>
          <cell r="C431" t="str">
            <v>Italy Mobile Tim</v>
          </cell>
          <cell r="D431" t="str">
            <v>Off-net domestic</v>
          </cell>
          <cell r="E431" t="str">
            <v>minute</v>
          </cell>
          <cell r="F431">
            <v>1</v>
          </cell>
          <cell r="G431">
            <v>1</v>
          </cell>
          <cell r="H431">
            <v>0</v>
          </cell>
          <cell r="I431">
            <v>0</v>
          </cell>
          <cell r="J431">
            <v>2.2800000000000001E-2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 t="str">
            <v>DOM ITA ZITA8</v>
          </cell>
          <cell r="B432" t="str">
            <v>Business Talk</v>
          </cell>
          <cell r="C432" t="str">
            <v>Italy Mobile Vodafone</v>
          </cell>
          <cell r="D432" t="str">
            <v>Off-net domestic</v>
          </cell>
          <cell r="E432" t="str">
            <v>minute</v>
          </cell>
          <cell r="F432">
            <v>1</v>
          </cell>
          <cell r="G432">
            <v>1</v>
          </cell>
          <cell r="H432">
            <v>0</v>
          </cell>
          <cell r="I432">
            <v>0</v>
          </cell>
          <cell r="J432">
            <v>2.2800000000000001E-2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A433" t="str">
            <v>DOM ITA ZIT10</v>
          </cell>
          <cell r="B433" t="str">
            <v>Business Talk</v>
          </cell>
          <cell r="C433" t="str">
            <v>Italy Mobile Wind</v>
          </cell>
          <cell r="D433" t="str">
            <v>Off-net domestic</v>
          </cell>
          <cell r="E433" t="str">
            <v>minute</v>
          </cell>
          <cell r="F433">
            <v>1</v>
          </cell>
          <cell r="G433">
            <v>1</v>
          </cell>
          <cell r="H433">
            <v>0</v>
          </cell>
          <cell r="I433">
            <v>0</v>
          </cell>
          <cell r="J433">
            <v>2.2800000000000001E-2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 t="str">
            <v>DOM ITA ITPR5</v>
          </cell>
          <cell r="B434" t="str">
            <v>Business Talk</v>
          </cell>
          <cell r="C434" t="str">
            <v>Italy Assistance Premium</v>
          </cell>
          <cell r="D434" t="str">
            <v>Off-net domestic</v>
          </cell>
          <cell r="E434" t="str">
            <v>minute &amp; call</v>
          </cell>
          <cell r="F434">
            <v>1</v>
          </cell>
          <cell r="G434">
            <v>1</v>
          </cell>
          <cell r="H434">
            <v>0</v>
          </cell>
          <cell r="I434">
            <v>0</v>
          </cell>
          <cell r="J434">
            <v>1.5</v>
          </cell>
          <cell r="K434">
            <v>0</v>
          </cell>
          <cell r="L434">
            <v>0.3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</row>
        <row r="435">
          <cell r="A435" t="str">
            <v>DOM ITA ITCCS</v>
          </cell>
          <cell r="B435" t="str">
            <v>Business Talk</v>
          </cell>
          <cell r="C435" t="str">
            <v>Italy Customer Care</v>
          </cell>
          <cell r="D435" t="str">
            <v>Off-net domestic</v>
          </cell>
          <cell r="E435" t="str">
            <v>minute</v>
          </cell>
          <cell r="F435">
            <v>1</v>
          </cell>
          <cell r="G435">
            <v>1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</row>
        <row r="436">
          <cell r="A436" t="str">
            <v>DOM ITA ITDIR</v>
          </cell>
          <cell r="B436" t="str">
            <v>Business Talk</v>
          </cell>
          <cell r="C436" t="str">
            <v>Italy Directory</v>
          </cell>
          <cell r="D436" t="str">
            <v>Off-net domestic</v>
          </cell>
          <cell r="E436" t="str">
            <v>minute &amp; call</v>
          </cell>
          <cell r="F436">
            <v>1</v>
          </cell>
          <cell r="G436">
            <v>1</v>
          </cell>
          <cell r="H436">
            <v>0</v>
          </cell>
          <cell r="I436">
            <v>0</v>
          </cell>
          <cell r="J436">
            <v>1.2</v>
          </cell>
          <cell r="K436">
            <v>0</v>
          </cell>
          <cell r="L436">
            <v>0.3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</row>
        <row r="437">
          <cell r="A437" t="str">
            <v>DOM ITA ITSOS</v>
          </cell>
          <cell r="B437" t="str">
            <v>Business Talk</v>
          </cell>
          <cell r="C437" t="str">
            <v>Italy Emergency</v>
          </cell>
          <cell r="D437" t="str">
            <v>Off-net domestic</v>
          </cell>
          <cell r="E437" t="str">
            <v>minute</v>
          </cell>
          <cell r="F437">
            <v>1</v>
          </cell>
          <cell r="G437">
            <v>1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</row>
        <row r="438">
          <cell r="A438" t="str">
            <v>DOM ITA ITPR7</v>
          </cell>
          <cell r="B438" t="str">
            <v>Business Talk</v>
          </cell>
          <cell r="C438" t="str">
            <v>Italy Entertainment Premium</v>
          </cell>
          <cell r="D438" t="str">
            <v>Off-net domestic</v>
          </cell>
          <cell r="E438" t="str">
            <v>minute &amp; call</v>
          </cell>
          <cell r="F438">
            <v>1</v>
          </cell>
          <cell r="G438">
            <v>1</v>
          </cell>
          <cell r="H438">
            <v>0</v>
          </cell>
          <cell r="I438">
            <v>0</v>
          </cell>
          <cell r="J438">
            <v>1.5</v>
          </cell>
          <cell r="K438">
            <v>0</v>
          </cell>
          <cell r="L438">
            <v>0.3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</row>
        <row r="439">
          <cell r="A439" t="str">
            <v>DOM ITA ITEUN</v>
          </cell>
          <cell r="B439" t="str">
            <v>Business Talk</v>
          </cell>
          <cell r="C439" t="str">
            <v>Italy Eu Helpline Services</v>
          </cell>
          <cell r="D439" t="str">
            <v>Off-net domestic</v>
          </cell>
          <cell r="E439" t="str">
            <v>minute</v>
          </cell>
          <cell r="F439">
            <v>1</v>
          </cell>
          <cell r="G439">
            <v>1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A440" t="str">
            <v>DOM ITA ITIA1</v>
          </cell>
          <cell r="B440" t="str">
            <v>Business Talk</v>
          </cell>
          <cell r="C440" t="str">
            <v>Italy Free Internet Access</v>
          </cell>
          <cell r="D440" t="str">
            <v>Off-net domestic</v>
          </cell>
          <cell r="E440" t="str">
            <v>minute</v>
          </cell>
          <cell r="F440">
            <v>1</v>
          </cell>
          <cell r="G440">
            <v>1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DOM ITA ITPR4</v>
          </cell>
          <cell r="B441" t="str">
            <v>Business Talk</v>
          </cell>
          <cell r="C441" t="str">
            <v>Italy Information Premium High</v>
          </cell>
          <cell r="D441" t="str">
            <v>Off-net domestic</v>
          </cell>
          <cell r="E441" t="str">
            <v>minute &amp; call</v>
          </cell>
          <cell r="F441">
            <v>1</v>
          </cell>
          <cell r="G441">
            <v>1</v>
          </cell>
          <cell r="H441">
            <v>0</v>
          </cell>
          <cell r="I441">
            <v>0</v>
          </cell>
          <cell r="J441">
            <v>1.5</v>
          </cell>
          <cell r="K441">
            <v>0</v>
          </cell>
          <cell r="L441">
            <v>0.3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 t="str">
            <v>DOM ITA ITPR3</v>
          </cell>
          <cell r="B442" t="str">
            <v>Business Talk</v>
          </cell>
          <cell r="C442" t="str">
            <v>Italy Information Premium Low</v>
          </cell>
          <cell r="D442" t="str">
            <v>Off-net domestic</v>
          </cell>
          <cell r="E442" t="str">
            <v>minute</v>
          </cell>
          <cell r="F442">
            <v>1</v>
          </cell>
          <cell r="G442">
            <v>1</v>
          </cell>
          <cell r="H442">
            <v>0</v>
          </cell>
          <cell r="I442">
            <v>0</v>
          </cell>
          <cell r="J442">
            <v>0.4365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</row>
        <row r="443">
          <cell r="A443" t="str">
            <v>DOM ITA ITSC3</v>
          </cell>
          <cell r="B443" t="str">
            <v>Business Talk</v>
          </cell>
          <cell r="C443" t="str">
            <v>Italy Information Premium Sms</v>
          </cell>
          <cell r="D443" t="str">
            <v>Off-net domestic</v>
          </cell>
          <cell r="E443" t="str">
            <v>call</v>
          </cell>
          <cell r="F443">
            <v>1</v>
          </cell>
          <cell r="G443">
            <v>1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A444" t="str">
            <v>DOM ITA ITIA2</v>
          </cell>
          <cell r="B444" t="str">
            <v>Business Talk</v>
          </cell>
          <cell r="C444" t="str">
            <v>Italy Internet Access Band 1</v>
          </cell>
          <cell r="D444" t="str">
            <v>Off-net domestic</v>
          </cell>
          <cell r="E444" t="str">
            <v>minute &amp; call</v>
          </cell>
          <cell r="F444">
            <v>1</v>
          </cell>
          <cell r="G444">
            <v>1</v>
          </cell>
          <cell r="H444">
            <v>0</v>
          </cell>
          <cell r="I444">
            <v>0</v>
          </cell>
          <cell r="J444">
            <v>1.2E-2</v>
          </cell>
          <cell r="K444">
            <v>0</v>
          </cell>
          <cell r="L444">
            <v>0.1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A445" t="str">
            <v>DOM ITA ITIA3</v>
          </cell>
          <cell r="B445" t="str">
            <v>Business Talk</v>
          </cell>
          <cell r="C445" t="str">
            <v>Italy Internet Access Band 2</v>
          </cell>
          <cell r="D445" t="str">
            <v>Off-net domestic</v>
          </cell>
          <cell r="E445" t="str">
            <v>minute &amp; call</v>
          </cell>
          <cell r="F445">
            <v>1</v>
          </cell>
          <cell r="G445">
            <v>1</v>
          </cell>
          <cell r="H445">
            <v>0</v>
          </cell>
          <cell r="I445">
            <v>0</v>
          </cell>
          <cell r="J445">
            <v>0.06</v>
          </cell>
          <cell r="K445">
            <v>0</v>
          </cell>
          <cell r="L445">
            <v>0.1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A446" t="str">
            <v>DOM ITA ITIA4</v>
          </cell>
          <cell r="B446" t="str">
            <v>Business Talk</v>
          </cell>
          <cell r="C446" t="str">
            <v>Italy Internet Access Band 3</v>
          </cell>
          <cell r="D446" t="str">
            <v>Off-net domestic</v>
          </cell>
          <cell r="E446" t="str">
            <v>minute</v>
          </cell>
          <cell r="F446">
            <v>1</v>
          </cell>
          <cell r="G446">
            <v>1</v>
          </cell>
          <cell r="H446">
            <v>0</v>
          </cell>
          <cell r="I446">
            <v>0</v>
          </cell>
          <cell r="J446">
            <v>0.15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 t="str">
            <v>DOM ITA ITPR6</v>
          </cell>
          <cell r="B447" t="str">
            <v>Business Talk</v>
          </cell>
          <cell r="C447" t="str">
            <v>Italy Mass Call Premium</v>
          </cell>
          <cell r="D447" t="str">
            <v>Off-net domestic</v>
          </cell>
          <cell r="E447" t="str">
            <v>minute &amp; call</v>
          </cell>
          <cell r="F447">
            <v>1</v>
          </cell>
          <cell r="G447">
            <v>1</v>
          </cell>
          <cell r="H447">
            <v>0</v>
          </cell>
          <cell r="I447">
            <v>0</v>
          </cell>
          <cell r="J447">
            <v>0.2293</v>
          </cell>
          <cell r="K447">
            <v>0</v>
          </cell>
          <cell r="L447">
            <v>2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</row>
        <row r="448">
          <cell r="A448" t="str">
            <v>DOM ITA ITNOM</v>
          </cell>
          <cell r="B448" t="str">
            <v>Business Talk</v>
          </cell>
          <cell r="C448" t="str">
            <v>Italy Nomadic Services</v>
          </cell>
          <cell r="D448" t="str">
            <v>Off-net domestic</v>
          </cell>
          <cell r="E448" t="str">
            <v>minute</v>
          </cell>
          <cell r="F448">
            <v>1</v>
          </cell>
          <cell r="G448">
            <v>1</v>
          </cell>
          <cell r="H448">
            <v>0</v>
          </cell>
          <cell r="I448">
            <v>0</v>
          </cell>
          <cell r="J448">
            <v>1.5100000000000001E-2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A449" t="str">
            <v>DOM ITA ITPB1</v>
          </cell>
          <cell r="B449" t="str">
            <v>Business Talk</v>
          </cell>
          <cell r="C449" t="str">
            <v>Italy Personal Numbers</v>
          </cell>
          <cell r="D449" t="str">
            <v>Off-net domestic</v>
          </cell>
          <cell r="E449" t="str">
            <v>minute &amp; call</v>
          </cell>
          <cell r="F449">
            <v>1</v>
          </cell>
          <cell r="G449">
            <v>1</v>
          </cell>
          <cell r="H449">
            <v>0</v>
          </cell>
          <cell r="I449">
            <v>0</v>
          </cell>
          <cell r="J449">
            <v>0.26</v>
          </cell>
          <cell r="K449">
            <v>0</v>
          </cell>
          <cell r="L449">
            <v>0.12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A450" t="str">
            <v>DOM ITA ITPRA</v>
          </cell>
          <cell r="B450" t="str">
            <v>Business Talk</v>
          </cell>
          <cell r="C450" t="str">
            <v>Italy Premium Band 1</v>
          </cell>
          <cell r="D450" t="str">
            <v>Off-net domestic</v>
          </cell>
          <cell r="E450" t="str">
            <v>minute &amp; call</v>
          </cell>
          <cell r="F450">
            <v>1</v>
          </cell>
          <cell r="G450">
            <v>1</v>
          </cell>
          <cell r="H450">
            <v>0</v>
          </cell>
          <cell r="I450">
            <v>0</v>
          </cell>
          <cell r="J450">
            <v>0.2293</v>
          </cell>
          <cell r="K450">
            <v>0</v>
          </cell>
          <cell r="L450">
            <v>6.5600000000000006E-2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</row>
        <row r="451">
          <cell r="A451" t="str">
            <v>DOM ITA ITPRB</v>
          </cell>
          <cell r="B451" t="str">
            <v>Business Talk</v>
          </cell>
          <cell r="C451" t="str">
            <v>Italy Premium Band 2</v>
          </cell>
          <cell r="D451" t="str">
            <v>Off-net domestic</v>
          </cell>
          <cell r="E451" t="str">
            <v>minute &amp; call</v>
          </cell>
          <cell r="F451">
            <v>1</v>
          </cell>
          <cell r="G451">
            <v>1</v>
          </cell>
          <cell r="H451">
            <v>0</v>
          </cell>
          <cell r="I451">
            <v>0</v>
          </cell>
          <cell r="J451">
            <v>0.32790000000000002</v>
          </cell>
          <cell r="K451">
            <v>0</v>
          </cell>
          <cell r="L451">
            <v>6.5600000000000006E-2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</row>
        <row r="452">
          <cell r="A452" t="str">
            <v>DOM ITA ITPRC</v>
          </cell>
          <cell r="B452" t="str">
            <v>Business Talk</v>
          </cell>
          <cell r="C452" t="str">
            <v>Italy Premium Band 3</v>
          </cell>
          <cell r="D452" t="str">
            <v>Off-net domestic</v>
          </cell>
          <cell r="E452" t="str">
            <v>minute &amp; call</v>
          </cell>
          <cell r="F452">
            <v>1</v>
          </cell>
          <cell r="G452">
            <v>1</v>
          </cell>
          <cell r="H452">
            <v>0</v>
          </cell>
          <cell r="I452">
            <v>0</v>
          </cell>
          <cell r="J452">
            <v>0.49170000000000003</v>
          </cell>
          <cell r="K452">
            <v>0</v>
          </cell>
          <cell r="L452">
            <v>6.5600000000000006E-2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A453" t="str">
            <v>DOM ITA ITPRD</v>
          </cell>
          <cell r="B453" t="str">
            <v>Business Talk</v>
          </cell>
          <cell r="C453" t="str">
            <v>Italy Premium Band 4</v>
          </cell>
          <cell r="D453" t="str">
            <v>Off-net domestic</v>
          </cell>
          <cell r="E453" t="str">
            <v>minute &amp; call</v>
          </cell>
          <cell r="F453">
            <v>1</v>
          </cell>
          <cell r="G453">
            <v>1</v>
          </cell>
          <cell r="H453">
            <v>0</v>
          </cell>
          <cell r="I453">
            <v>0</v>
          </cell>
          <cell r="J453">
            <v>0.78710000000000002</v>
          </cell>
          <cell r="K453">
            <v>0</v>
          </cell>
          <cell r="L453">
            <v>6.5600000000000006E-2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</row>
        <row r="454">
          <cell r="A454" t="str">
            <v>DOM ITA ITPRE</v>
          </cell>
          <cell r="B454" t="str">
            <v>Business Talk</v>
          </cell>
          <cell r="C454" t="str">
            <v>Italy Premium Band 5</v>
          </cell>
          <cell r="D454" t="str">
            <v>Off-net domestic</v>
          </cell>
          <cell r="E454" t="str">
            <v>minute &amp; call</v>
          </cell>
          <cell r="F454">
            <v>1</v>
          </cell>
          <cell r="G454">
            <v>1</v>
          </cell>
          <cell r="H454">
            <v>0</v>
          </cell>
          <cell r="I454">
            <v>0</v>
          </cell>
          <cell r="J454">
            <v>1.3118000000000001</v>
          </cell>
          <cell r="K454">
            <v>0</v>
          </cell>
          <cell r="L454">
            <v>6.5600000000000006E-2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 t="str">
            <v>DOM ITA ITPRF</v>
          </cell>
          <cell r="B455" t="str">
            <v>Business Talk</v>
          </cell>
          <cell r="C455" t="str">
            <v>Italy Premium Band 6</v>
          </cell>
          <cell r="D455" t="str">
            <v>Off-net domestic</v>
          </cell>
          <cell r="E455" t="str">
            <v>call</v>
          </cell>
          <cell r="F455">
            <v>1</v>
          </cell>
          <cell r="G455">
            <v>1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</row>
        <row r="456">
          <cell r="A456" t="str">
            <v>DOM ITA ITVPN</v>
          </cell>
          <cell r="B456" t="str">
            <v>Business Talk</v>
          </cell>
          <cell r="C456" t="str">
            <v>Italy Private Network</v>
          </cell>
          <cell r="D456" t="str">
            <v>Off-net domestic</v>
          </cell>
          <cell r="E456" t="str">
            <v>minute</v>
          </cell>
          <cell r="F456">
            <v>1</v>
          </cell>
          <cell r="G456">
            <v>1</v>
          </cell>
          <cell r="H456">
            <v>0</v>
          </cell>
          <cell r="I456">
            <v>0</v>
          </cell>
          <cell r="J456">
            <v>1.5100000000000001E-2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 t="str">
            <v>DOM ITA ITSAT</v>
          </cell>
          <cell r="B457" t="str">
            <v>Business Talk</v>
          </cell>
          <cell r="C457" t="str">
            <v>Italy Satellites</v>
          </cell>
          <cell r="D457" t="str">
            <v>Off-net domestic</v>
          </cell>
          <cell r="E457" t="str">
            <v>minute</v>
          </cell>
          <cell r="F457">
            <v>1</v>
          </cell>
          <cell r="G457">
            <v>1</v>
          </cell>
          <cell r="H457">
            <v>0</v>
          </cell>
          <cell r="I457">
            <v>0</v>
          </cell>
          <cell r="J457">
            <v>0.4985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</row>
        <row r="458">
          <cell r="A458" t="str">
            <v>DOM ITA ITSC1</v>
          </cell>
          <cell r="B458" t="str">
            <v>Business Talk</v>
          </cell>
          <cell r="C458" t="str">
            <v>Italy Selfcare Band 1</v>
          </cell>
          <cell r="D458" t="str">
            <v>Off-net domestic</v>
          </cell>
          <cell r="E458" t="str">
            <v>minute</v>
          </cell>
          <cell r="F458">
            <v>1</v>
          </cell>
          <cell r="G458">
            <v>1</v>
          </cell>
          <cell r="H458">
            <v>0</v>
          </cell>
          <cell r="I458">
            <v>0</v>
          </cell>
          <cell r="J458">
            <v>1.5100000000000001E-2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 t="str">
            <v>DOM ITA ITSC2</v>
          </cell>
          <cell r="B459" t="str">
            <v>Business Talk</v>
          </cell>
          <cell r="C459" t="str">
            <v>Italy Selfcare Band 2</v>
          </cell>
          <cell r="D459" t="str">
            <v>Off-net domestic</v>
          </cell>
          <cell r="E459" t="str">
            <v>minute &amp; call</v>
          </cell>
          <cell r="F459">
            <v>1</v>
          </cell>
          <cell r="G459">
            <v>1</v>
          </cell>
          <cell r="H459">
            <v>0</v>
          </cell>
          <cell r="I459">
            <v>0</v>
          </cell>
          <cell r="J459">
            <v>1</v>
          </cell>
          <cell r="K459">
            <v>0</v>
          </cell>
          <cell r="L459">
            <v>0.3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</row>
        <row r="460">
          <cell r="A460" t="str">
            <v>DOM ITA ITSC4</v>
          </cell>
          <cell r="B460" t="str">
            <v>Business Talk</v>
          </cell>
          <cell r="C460" t="str">
            <v>Italy Selfcare Band 4</v>
          </cell>
          <cell r="D460" t="str">
            <v>Off-net domestic</v>
          </cell>
          <cell r="E460" t="str">
            <v>minute</v>
          </cell>
          <cell r="F460">
            <v>1</v>
          </cell>
          <cell r="G460">
            <v>1</v>
          </cell>
          <cell r="H460">
            <v>0</v>
          </cell>
          <cell r="I460">
            <v>0</v>
          </cell>
          <cell r="J460">
            <v>0.25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</row>
        <row r="461">
          <cell r="A461" t="str">
            <v>DOM ITA ITSC0</v>
          </cell>
          <cell r="B461" t="str">
            <v>Business Talk</v>
          </cell>
          <cell r="C461" t="str">
            <v>Italy Selfcare Free Call</v>
          </cell>
          <cell r="D461" t="str">
            <v>Off-net domestic</v>
          </cell>
          <cell r="E461" t="str">
            <v>minute</v>
          </cell>
          <cell r="F461">
            <v>1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</row>
        <row r="462">
          <cell r="A462" t="str">
            <v>DOM ITA ITSB1</v>
          </cell>
          <cell r="B462" t="str">
            <v>Business Talk</v>
          </cell>
          <cell r="C462" t="str">
            <v>Italy Shared Per Call</v>
          </cell>
          <cell r="D462" t="str">
            <v>Off-net domestic</v>
          </cell>
          <cell r="E462" t="str">
            <v>call</v>
          </cell>
          <cell r="F462">
            <v>1</v>
          </cell>
          <cell r="G462">
            <v>1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0.1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</row>
        <row r="463">
          <cell r="A463" t="str">
            <v>DOM ITA ITSB2</v>
          </cell>
          <cell r="B463" t="str">
            <v>Business Talk</v>
          </cell>
          <cell r="C463" t="str">
            <v>Italy Shared Per Minute</v>
          </cell>
          <cell r="D463" t="str">
            <v>Off-net domestic</v>
          </cell>
          <cell r="E463" t="str">
            <v>minute</v>
          </cell>
          <cell r="F463">
            <v>1</v>
          </cell>
          <cell r="G463">
            <v>1</v>
          </cell>
          <cell r="H463">
            <v>0</v>
          </cell>
          <cell r="I463">
            <v>0</v>
          </cell>
          <cell r="J463">
            <v>1.4999999999999999E-2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A464" t="str">
            <v>DOM ITA ITSSV</v>
          </cell>
          <cell r="B464" t="str">
            <v>Business Talk</v>
          </cell>
          <cell r="C464" t="str">
            <v>Italy Social Services</v>
          </cell>
          <cell r="D464" t="str">
            <v>Off-net domestic</v>
          </cell>
          <cell r="E464" t="str">
            <v>minute</v>
          </cell>
          <cell r="F464">
            <v>1</v>
          </cell>
          <cell r="G464">
            <v>1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</row>
        <row r="465">
          <cell r="A465" t="str">
            <v>DOM ITA ITFRE</v>
          </cell>
          <cell r="B465" t="str">
            <v>Business Talk</v>
          </cell>
          <cell r="C465" t="str">
            <v>Italy Toll Free</v>
          </cell>
          <cell r="D465" t="str">
            <v>Off-net domestic</v>
          </cell>
          <cell r="E465" t="str">
            <v>minute</v>
          </cell>
          <cell r="F465">
            <v>1</v>
          </cell>
          <cell r="G465">
            <v>1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A466" t="str">
            <v>DOM ITA ITSHN</v>
          </cell>
          <cell r="B466" t="str">
            <v>Business Talk</v>
          </cell>
          <cell r="C466" t="str">
            <v>Italy Utility Services</v>
          </cell>
          <cell r="D466" t="str">
            <v>Off-net domestic</v>
          </cell>
          <cell r="E466" t="str">
            <v>minute</v>
          </cell>
          <cell r="F466">
            <v>1</v>
          </cell>
          <cell r="G466">
            <v>1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</row>
        <row r="467">
          <cell r="A467" t="str">
            <v>DOM JAM MOB</v>
          </cell>
          <cell r="B467" t="str">
            <v>Business Talk</v>
          </cell>
          <cell r="C467" t="str">
            <v>Jamaica Mobile</v>
          </cell>
          <cell r="D467" t="str">
            <v>Off-net domestic</v>
          </cell>
          <cell r="E467" t="str">
            <v>minute</v>
          </cell>
          <cell r="F467">
            <v>1</v>
          </cell>
          <cell r="G467">
            <v>1</v>
          </cell>
          <cell r="H467">
            <v>0</v>
          </cell>
          <cell r="I467">
            <v>0</v>
          </cell>
          <cell r="J467">
            <v>0.313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</row>
        <row r="468">
          <cell r="A468" t="str">
            <v>DOM JAM FIX</v>
          </cell>
          <cell r="B468" t="str">
            <v>Business Talk</v>
          </cell>
          <cell r="C468" t="str">
            <v>Jamaica</v>
          </cell>
          <cell r="D468" t="str">
            <v>Off-net domestic</v>
          </cell>
          <cell r="E468" t="str">
            <v>minute</v>
          </cell>
          <cell r="F468">
            <v>1</v>
          </cell>
          <cell r="G468">
            <v>1</v>
          </cell>
          <cell r="H468">
            <v>0</v>
          </cell>
          <cell r="I468">
            <v>0</v>
          </cell>
          <cell r="J468">
            <v>0.14779999999999999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</row>
        <row r="469">
          <cell r="A469" t="str">
            <v>DOM JPN CJPN3</v>
          </cell>
          <cell r="B469" t="str">
            <v>Business Talk</v>
          </cell>
          <cell r="C469" t="str">
            <v>Japan Mobile</v>
          </cell>
          <cell r="D469" t="str">
            <v>Off-net domestic</v>
          </cell>
          <cell r="E469" t="str">
            <v>minute</v>
          </cell>
          <cell r="F469">
            <v>1</v>
          </cell>
          <cell r="G469">
            <v>1</v>
          </cell>
          <cell r="H469">
            <v>0</v>
          </cell>
          <cell r="I469">
            <v>0</v>
          </cell>
          <cell r="J469">
            <v>0.1714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A470" t="str">
            <v>DOM JPN OPAR</v>
          </cell>
          <cell r="B470" t="str">
            <v>Business Talk</v>
          </cell>
          <cell r="C470" t="str">
            <v>Japan</v>
          </cell>
          <cell r="D470" t="str">
            <v>Off-net domestic</v>
          </cell>
          <cell r="E470" t="str">
            <v>minute</v>
          </cell>
          <cell r="F470">
            <v>1</v>
          </cell>
          <cell r="G470">
            <v>1</v>
          </cell>
          <cell r="H470">
            <v>0</v>
          </cell>
          <cell r="I470">
            <v>0</v>
          </cell>
          <cell r="J470">
            <v>6.4899999999999999E-2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A471" t="str">
            <v>DOM KEN KEFIX</v>
          </cell>
          <cell r="B471" t="str">
            <v>Business Talk</v>
          </cell>
          <cell r="C471" t="str">
            <v>Kenya National</v>
          </cell>
          <cell r="D471" t="str">
            <v>Off-net domestic</v>
          </cell>
          <cell r="E471" t="str">
            <v>minute</v>
          </cell>
          <cell r="F471">
            <v>1</v>
          </cell>
          <cell r="G471">
            <v>1</v>
          </cell>
          <cell r="H471">
            <v>0</v>
          </cell>
          <cell r="I471">
            <v>0</v>
          </cell>
          <cell r="J471">
            <v>9.0399999999999994E-2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A472" t="str">
            <v>DOM KEN KEMOB</v>
          </cell>
          <cell r="B472" t="str">
            <v>Business Talk</v>
          </cell>
          <cell r="C472" t="str">
            <v>Kenya Mobile</v>
          </cell>
          <cell r="D472" t="str">
            <v>Off-net domestic</v>
          </cell>
          <cell r="E472" t="str">
            <v>minute</v>
          </cell>
          <cell r="F472">
            <v>1</v>
          </cell>
          <cell r="G472">
            <v>1</v>
          </cell>
          <cell r="H472">
            <v>0</v>
          </cell>
          <cell r="I472">
            <v>0</v>
          </cell>
          <cell r="J472">
            <v>0.121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DOM KOR KMOB</v>
          </cell>
          <cell r="B473" t="str">
            <v>Business Talk</v>
          </cell>
          <cell r="C473" t="str">
            <v>Korea South Mobile</v>
          </cell>
          <cell r="D473" t="str">
            <v>Off-net domestic</v>
          </cell>
          <cell r="E473" t="str">
            <v>minute</v>
          </cell>
          <cell r="F473">
            <v>1</v>
          </cell>
          <cell r="G473">
            <v>1</v>
          </cell>
          <cell r="H473">
            <v>0</v>
          </cell>
          <cell r="I473">
            <v>0</v>
          </cell>
          <cell r="J473">
            <v>4.8599999999999997E-2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A474" t="str">
            <v>DOM KOR SKOR</v>
          </cell>
          <cell r="B474" t="str">
            <v>Business Talk</v>
          </cell>
          <cell r="C474" t="str">
            <v>Korea South</v>
          </cell>
          <cell r="D474" t="str">
            <v>Off-net domestic</v>
          </cell>
          <cell r="E474" t="str">
            <v>minute</v>
          </cell>
          <cell r="F474">
            <v>1</v>
          </cell>
          <cell r="G474">
            <v>1</v>
          </cell>
          <cell r="H474">
            <v>0</v>
          </cell>
          <cell r="I474">
            <v>0</v>
          </cell>
          <cell r="J474">
            <v>3.2099999999999997E-2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 t="str">
            <v>DOM LVA MOB</v>
          </cell>
          <cell r="B475" t="str">
            <v>Business Talk</v>
          </cell>
          <cell r="C475" t="str">
            <v>Latvia Mobile</v>
          </cell>
          <cell r="D475" t="str">
            <v>Off-net domestic</v>
          </cell>
          <cell r="E475" t="str">
            <v>minute</v>
          </cell>
          <cell r="F475">
            <v>1</v>
          </cell>
          <cell r="G475">
            <v>1</v>
          </cell>
          <cell r="H475">
            <v>0</v>
          </cell>
          <cell r="I475">
            <v>0</v>
          </cell>
          <cell r="J475">
            <v>4.5499999999999999E-2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</row>
        <row r="476">
          <cell r="A476" t="str">
            <v>DOM LVA LVMLM</v>
          </cell>
          <cell r="B476" t="str">
            <v>Business Talk</v>
          </cell>
          <cell r="C476" t="str">
            <v>Latvia Mobile Lmt</v>
          </cell>
          <cell r="D476" t="str">
            <v>Off-net domestic</v>
          </cell>
          <cell r="E476" t="str">
            <v>minute</v>
          </cell>
          <cell r="F476">
            <v>1</v>
          </cell>
          <cell r="G476">
            <v>1</v>
          </cell>
          <cell r="H476">
            <v>0</v>
          </cell>
          <cell r="I476">
            <v>0</v>
          </cell>
          <cell r="J476">
            <v>4.5499999999999999E-2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A477" t="str">
            <v>DOM LVA FIX</v>
          </cell>
          <cell r="B477" t="str">
            <v>Business Talk</v>
          </cell>
          <cell r="C477" t="str">
            <v>Latvia</v>
          </cell>
          <cell r="D477" t="str">
            <v>Off-net domestic</v>
          </cell>
          <cell r="E477" t="str">
            <v>minute</v>
          </cell>
          <cell r="F477">
            <v>1</v>
          </cell>
          <cell r="G477">
            <v>1</v>
          </cell>
          <cell r="H477">
            <v>0</v>
          </cell>
          <cell r="I477">
            <v>0</v>
          </cell>
          <cell r="J477">
            <v>3.5000000000000003E-2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A478" t="str">
            <v>DOM LIE MOB</v>
          </cell>
          <cell r="B478" t="str">
            <v>Business Talk</v>
          </cell>
          <cell r="C478" t="str">
            <v>Liechtenstein Mobile</v>
          </cell>
          <cell r="D478" t="str">
            <v>Off-net domestic</v>
          </cell>
          <cell r="E478" t="str">
            <v>minute</v>
          </cell>
          <cell r="F478">
            <v>1</v>
          </cell>
          <cell r="G478">
            <v>1</v>
          </cell>
          <cell r="H478">
            <v>0</v>
          </cell>
          <cell r="I478">
            <v>0</v>
          </cell>
          <cell r="J478">
            <v>0.441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A479" t="str">
            <v>DOM LIE LIMOR</v>
          </cell>
          <cell r="B479" t="str">
            <v>Business Talk</v>
          </cell>
          <cell r="C479" t="str">
            <v>Liechtenstein Mobile Orange</v>
          </cell>
          <cell r="D479" t="str">
            <v>Off-net domestic</v>
          </cell>
          <cell r="E479" t="str">
            <v>minute</v>
          </cell>
          <cell r="F479">
            <v>1</v>
          </cell>
          <cell r="G479">
            <v>1</v>
          </cell>
          <cell r="H479">
            <v>0</v>
          </cell>
          <cell r="I479">
            <v>0</v>
          </cell>
          <cell r="J479">
            <v>0.441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</row>
        <row r="480">
          <cell r="A480" t="str">
            <v>DOM LIE FIX</v>
          </cell>
          <cell r="B480" t="str">
            <v>Business Talk</v>
          </cell>
          <cell r="C480" t="str">
            <v>Liechtenstein</v>
          </cell>
          <cell r="D480" t="str">
            <v>Off-net domestic</v>
          </cell>
          <cell r="E480" t="str">
            <v>minute</v>
          </cell>
          <cell r="F480">
            <v>1</v>
          </cell>
          <cell r="G480">
            <v>1</v>
          </cell>
          <cell r="H480">
            <v>0</v>
          </cell>
          <cell r="I480">
            <v>0</v>
          </cell>
          <cell r="J480">
            <v>0.11219999999999999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A481" t="str">
            <v>DOM LTU MOB</v>
          </cell>
          <cell r="B481" t="str">
            <v>Business Talk</v>
          </cell>
          <cell r="C481" t="str">
            <v>Lithuania Mobile</v>
          </cell>
          <cell r="D481" t="str">
            <v>Off-net domestic</v>
          </cell>
          <cell r="E481" t="str">
            <v>minute</v>
          </cell>
          <cell r="F481">
            <v>1</v>
          </cell>
          <cell r="G481">
            <v>1</v>
          </cell>
          <cell r="H481">
            <v>0</v>
          </cell>
          <cell r="I481">
            <v>0</v>
          </cell>
          <cell r="J481">
            <v>5.5199999999999999E-2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A482" t="str">
            <v>DOM LTU LTMOM</v>
          </cell>
          <cell r="B482" t="str">
            <v>Business Talk</v>
          </cell>
          <cell r="C482" t="str">
            <v>Lithuania Mobile Omnitel</v>
          </cell>
          <cell r="D482" t="str">
            <v>Off-net domestic</v>
          </cell>
          <cell r="E482" t="str">
            <v>minute</v>
          </cell>
          <cell r="F482">
            <v>1</v>
          </cell>
          <cell r="G482">
            <v>1</v>
          </cell>
          <cell r="H482">
            <v>0</v>
          </cell>
          <cell r="I482">
            <v>0</v>
          </cell>
          <cell r="J482">
            <v>5.5199999999999999E-2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 t="str">
            <v>DOM LTU FIX</v>
          </cell>
          <cell r="B483" t="str">
            <v>Business Talk</v>
          </cell>
          <cell r="C483" t="str">
            <v>Lithuania</v>
          </cell>
          <cell r="D483" t="str">
            <v>Off-net domestic</v>
          </cell>
          <cell r="E483" t="str">
            <v>minute</v>
          </cell>
          <cell r="F483">
            <v>1</v>
          </cell>
          <cell r="G483">
            <v>1</v>
          </cell>
          <cell r="H483">
            <v>0</v>
          </cell>
          <cell r="I483">
            <v>0</v>
          </cell>
          <cell r="J483">
            <v>2.7099999999999999E-2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</row>
        <row r="484">
          <cell r="A484" t="str">
            <v>DOM LUX AREA1</v>
          </cell>
          <cell r="B484" t="str">
            <v>Business Talk</v>
          </cell>
          <cell r="C484" t="str">
            <v>Luxembourg National</v>
          </cell>
          <cell r="D484" t="str">
            <v>Off-net domestic</v>
          </cell>
          <cell r="E484" t="str">
            <v>minute</v>
          </cell>
          <cell r="F484">
            <v>1</v>
          </cell>
          <cell r="G484">
            <v>1</v>
          </cell>
          <cell r="H484">
            <v>0</v>
          </cell>
          <cell r="I484">
            <v>0</v>
          </cell>
          <cell r="J484">
            <v>1.4200000000000001E-2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A485" t="str">
            <v>DOM LUX AREA6</v>
          </cell>
          <cell r="B485" t="str">
            <v>Business Talk</v>
          </cell>
          <cell r="C485" t="str">
            <v>Luxembourg National Services 1</v>
          </cell>
          <cell r="D485" t="str">
            <v>Off-net domestic</v>
          </cell>
          <cell r="E485" t="str">
            <v>minute</v>
          </cell>
          <cell r="F485">
            <v>1</v>
          </cell>
          <cell r="G485">
            <v>1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 t="str">
            <v>DOM LUX LXNS2</v>
          </cell>
          <cell r="B486" t="str">
            <v>Business Talk</v>
          </cell>
          <cell r="C486" t="str">
            <v>Luxembourg National Services 2</v>
          </cell>
          <cell r="D486" t="str">
            <v>Off-net domestic</v>
          </cell>
          <cell r="E486" t="str">
            <v>minute</v>
          </cell>
          <cell r="F486">
            <v>1</v>
          </cell>
          <cell r="G486">
            <v>1</v>
          </cell>
          <cell r="H486">
            <v>0</v>
          </cell>
          <cell r="I486">
            <v>0</v>
          </cell>
          <cell r="J486">
            <v>1.67E-2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</row>
        <row r="487">
          <cell r="A487" t="str">
            <v>DOM LUX AREA2</v>
          </cell>
          <cell r="B487" t="str">
            <v>Business Talk</v>
          </cell>
          <cell r="C487" t="str">
            <v>Luxembourg Mobile Ept</v>
          </cell>
          <cell r="D487" t="str">
            <v>Off-net domestic</v>
          </cell>
          <cell r="E487" t="str">
            <v>minute</v>
          </cell>
          <cell r="F487">
            <v>1</v>
          </cell>
          <cell r="G487">
            <v>1</v>
          </cell>
          <cell r="H487">
            <v>0</v>
          </cell>
          <cell r="I487">
            <v>0</v>
          </cell>
          <cell r="J487">
            <v>0.12479999999999999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A488" t="str">
            <v>DOM LUX LXMJO</v>
          </cell>
          <cell r="B488" t="str">
            <v>Business Talk</v>
          </cell>
          <cell r="C488" t="str">
            <v>Luxembourg Mobile Join</v>
          </cell>
          <cell r="D488" t="str">
            <v>Off-net domestic</v>
          </cell>
          <cell r="E488" t="str">
            <v>minute</v>
          </cell>
          <cell r="F488">
            <v>1</v>
          </cell>
          <cell r="G488">
            <v>1</v>
          </cell>
          <cell r="H488">
            <v>0</v>
          </cell>
          <cell r="I488">
            <v>0</v>
          </cell>
          <cell r="J488">
            <v>0.12479999999999999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A489" t="str">
            <v>DOM LUX LXMVO</v>
          </cell>
          <cell r="B489" t="str">
            <v>Business Talk</v>
          </cell>
          <cell r="C489" t="str">
            <v>Luxembourg Mobile Orange</v>
          </cell>
          <cell r="D489" t="str">
            <v>Off-net domestic</v>
          </cell>
          <cell r="E489" t="str">
            <v>minute</v>
          </cell>
          <cell r="F489">
            <v>1</v>
          </cell>
          <cell r="G489">
            <v>1</v>
          </cell>
          <cell r="H489">
            <v>0</v>
          </cell>
          <cell r="I489">
            <v>0</v>
          </cell>
          <cell r="J489">
            <v>0.12479999999999999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A490" t="str">
            <v>DOM LUX LXMTA</v>
          </cell>
          <cell r="B490" t="str">
            <v>Business Talk</v>
          </cell>
          <cell r="C490" t="str">
            <v>Luxembourg Mobile Tango</v>
          </cell>
          <cell r="D490" t="str">
            <v>Off-net domestic</v>
          </cell>
          <cell r="E490" t="str">
            <v>minute</v>
          </cell>
          <cell r="F490">
            <v>1</v>
          </cell>
          <cell r="G490">
            <v>1</v>
          </cell>
          <cell r="H490">
            <v>0</v>
          </cell>
          <cell r="I490">
            <v>0</v>
          </cell>
          <cell r="J490">
            <v>0.12479999999999999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 t="str">
            <v>DOM LUX CLOCK</v>
          </cell>
          <cell r="B491" t="str">
            <v>Business Talk</v>
          </cell>
          <cell r="C491" t="str">
            <v>Luxembourg Clock</v>
          </cell>
          <cell r="D491" t="str">
            <v>Off-net domestic</v>
          </cell>
          <cell r="E491" t="str">
            <v>minute</v>
          </cell>
          <cell r="F491">
            <v>1</v>
          </cell>
          <cell r="G491">
            <v>1</v>
          </cell>
          <cell r="H491">
            <v>0</v>
          </cell>
          <cell r="I491">
            <v>0</v>
          </cell>
          <cell r="J491">
            <v>2.7E-2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</row>
        <row r="492">
          <cell r="A492" t="str">
            <v>DOM LUX LXCSV</v>
          </cell>
          <cell r="B492" t="str">
            <v>Business Talk</v>
          </cell>
          <cell r="C492" t="str">
            <v>Luxembourg Convergent Services</v>
          </cell>
          <cell r="D492" t="str">
            <v>Off-net domestic</v>
          </cell>
          <cell r="E492" t="str">
            <v>minute</v>
          </cell>
          <cell r="F492">
            <v>1</v>
          </cell>
          <cell r="G492">
            <v>1</v>
          </cell>
          <cell r="H492">
            <v>0</v>
          </cell>
          <cell r="I492">
            <v>0</v>
          </cell>
          <cell r="J492">
            <v>1.37E-2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</row>
        <row r="493">
          <cell r="A493" t="str">
            <v>DOM LUX LXDIN</v>
          </cell>
          <cell r="B493" t="str">
            <v>Business Talk</v>
          </cell>
          <cell r="C493" t="str">
            <v>Luxembourg Directory Intl</v>
          </cell>
          <cell r="D493" t="str">
            <v>Off-net domestic</v>
          </cell>
          <cell r="E493" t="str">
            <v>minute</v>
          </cell>
          <cell r="F493">
            <v>1</v>
          </cell>
          <cell r="G493">
            <v>1</v>
          </cell>
          <cell r="H493">
            <v>0</v>
          </cell>
          <cell r="I493">
            <v>0</v>
          </cell>
          <cell r="J493">
            <v>0.64680000000000004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</row>
        <row r="494">
          <cell r="A494" t="str">
            <v>DOM LUX AREA7</v>
          </cell>
          <cell r="B494" t="str">
            <v>Business Talk</v>
          </cell>
          <cell r="C494" t="str">
            <v>Luxembourg Directory Nat</v>
          </cell>
          <cell r="D494" t="str">
            <v>Off-net domestic</v>
          </cell>
          <cell r="E494" t="str">
            <v>minute</v>
          </cell>
          <cell r="F494">
            <v>1</v>
          </cell>
          <cell r="G494">
            <v>1</v>
          </cell>
          <cell r="H494">
            <v>0</v>
          </cell>
          <cell r="I494">
            <v>0</v>
          </cell>
          <cell r="J494">
            <v>0.42120000000000002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</row>
        <row r="495">
          <cell r="A495" t="str">
            <v>DOM LUX LXEMS</v>
          </cell>
          <cell r="B495" t="str">
            <v>Business Talk</v>
          </cell>
          <cell r="C495" t="str">
            <v>Luxembourg Emergency Service</v>
          </cell>
          <cell r="D495" t="str">
            <v>Off-net domestic</v>
          </cell>
          <cell r="E495" t="str">
            <v>minute</v>
          </cell>
          <cell r="F495">
            <v>1</v>
          </cell>
          <cell r="G495">
            <v>1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</row>
        <row r="496">
          <cell r="A496" t="str">
            <v>DOM LUX LXEUH</v>
          </cell>
          <cell r="B496" t="str">
            <v>Business Talk</v>
          </cell>
          <cell r="C496" t="str">
            <v>Luxembourg Eu Harmonized Help</v>
          </cell>
          <cell r="D496" t="str">
            <v>Off-net domestic</v>
          </cell>
          <cell r="E496" t="str">
            <v>minute</v>
          </cell>
          <cell r="F496">
            <v>1</v>
          </cell>
          <cell r="G496">
            <v>1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A497" t="str">
            <v>DOM LUX LXIS1</v>
          </cell>
          <cell r="B497" t="str">
            <v>Business Talk</v>
          </cell>
          <cell r="C497" t="str">
            <v>Luxembourg Internet Access 1</v>
          </cell>
          <cell r="D497" t="str">
            <v>Off-net domestic</v>
          </cell>
          <cell r="E497" t="str">
            <v>minute</v>
          </cell>
          <cell r="F497">
            <v>1</v>
          </cell>
          <cell r="G497">
            <v>1</v>
          </cell>
          <cell r="H497">
            <v>0</v>
          </cell>
          <cell r="I497">
            <v>0</v>
          </cell>
          <cell r="J497">
            <v>1.77E-2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 t="str">
            <v>DOM LUX LXIS2</v>
          </cell>
          <cell r="B498" t="str">
            <v>Business Talk</v>
          </cell>
          <cell r="C498" t="str">
            <v>Luxembourg Internet Access 2</v>
          </cell>
          <cell r="D498" t="str">
            <v>Off-net domestic</v>
          </cell>
          <cell r="E498" t="str">
            <v>minute</v>
          </cell>
          <cell r="F498">
            <v>1</v>
          </cell>
          <cell r="G498">
            <v>1</v>
          </cell>
          <cell r="H498">
            <v>0</v>
          </cell>
          <cell r="I498">
            <v>0</v>
          </cell>
          <cell r="J498">
            <v>3.61E-2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</row>
        <row r="499">
          <cell r="A499" t="str">
            <v>DOM LUX LXIS3</v>
          </cell>
          <cell r="B499" t="str">
            <v>Business Talk</v>
          </cell>
          <cell r="C499" t="str">
            <v>Luxembourg Internet Access 3</v>
          </cell>
          <cell r="D499" t="str">
            <v>Off-net domestic</v>
          </cell>
          <cell r="E499" t="str">
            <v>minute</v>
          </cell>
          <cell r="F499">
            <v>1</v>
          </cell>
          <cell r="G499">
            <v>1</v>
          </cell>
          <cell r="H499">
            <v>0</v>
          </cell>
          <cell r="I499">
            <v>0</v>
          </cell>
          <cell r="J499">
            <v>5.96E-2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</row>
        <row r="500">
          <cell r="A500" t="str">
            <v>DOM LUX LXOTS</v>
          </cell>
          <cell r="B500" t="str">
            <v>Business Talk</v>
          </cell>
          <cell r="C500" t="str">
            <v>Luxembourg Other Services</v>
          </cell>
          <cell r="D500" t="str">
            <v>Off-net domestic</v>
          </cell>
          <cell r="E500" t="str">
            <v>minute</v>
          </cell>
          <cell r="F500">
            <v>1</v>
          </cell>
          <cell r="G500">
            <v>1</v>
          </cell>
          <cell r="H500">
            <v>0</v>
          </cell>
          <cell r="I500">
            <v>0</v>
          </cell>
          <cell r="J500">
            <v>4.1999999999999997E-3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</row>
        <row r="501">
          <cell r="A501" t="str">
            <v>DOM LUX LXP1C</v>
          </cell>
          <cell r="B501" t="str">
            <v>Business Talk</v>
          </cell>
          <cell r="C501" t="str">
            <v>Luxembourg Premium Rate 1C</v>
          </cell>
          <cell r="D501" t="str">
            <v>Off-net domestic</v>
          </cell>
          <cell r="E501" t="str">
            <v>call</v>
          </cell>
          <cell r="F501">
            <v>1</v>
          </cell>
          <cell r="G501">
            <v>1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0.1087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A502" t="str">
            <v>DOM LUX LXP1M</v>
          </cell>
          <cell r="B502" t="str">
            <v>Business Talk</v>
          </cell>
          <cell r="C502" t="str">
            <v>Luxembourg Premium Rate 1M</v>
          </cell>
          <cell r="D502" t="str">
            <v>Off-net domestic</v>
          </cell>
          <cell r="E502" t="str">
            <v>minute</v>
          </cell>
          <cell r="F502">
            <v>1</v>
          </cell>
          <cell r="G502">
            <v>1</v>
          </cell>
          <cell r="H502">
            <v>0</v>
          </cell>
          <cell r="I502">
            <v>0</v>
          </cell>
          <cell r="J502">
            <v>2.6100000000000002E-2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A503" t="str">
            <v>DOM LUX LXP2C</v>
          </cell>
          <cell r="B503" t="str">
            <v>Business Talk</v>
          </cell>
          <cell r="C503" t="str">
            <v>Luxembourg Premium Rate 2C</v>
          </cell>
          <cell r="D503" t="str">
            <v>Off-net domestic</v>
          </cell>
          <cell r="E503" t="str">
            <v>call</v>
          </cell>
          <cell r="F503">
            <v>1</v>
          </cell>
          <cell r="G503">
            <v>1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0.21740000000000001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 t="str">
            <v>DOM LUX LXP2M</v>
          </cell>
          <cell r="B504" t="str">
            <v>Business Talk</v>
          </cell>
          <cell r="C504" t="str">
            <v>Luxembourg Premium Rate 2M</v>
          </cell>
          <cell r="D504" t="str">
            <v>Off-net domestic</v>
          </cell>
          <cell r="E504" t="str">
            <v>minute</v>
          </cell>
          <cell r="F504">
            <v>1</v>
          </cell>
          <cell r="G504">
            <v>1</v>
          </cell>
          <cell r="H504">
            <v>0</v>
          </cell>
          <cell r="I504">
            <v>0</v>
          </cell>
          <cell r="J504">
            <v>0.1303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</row>
        <row r="505">
          <cell r="A505" t="str">
            <v>DOM LUX LXP3C</v>
          </cell>
          <cell r="B505" t="str">
            <v>Business Talk</v>
          </cell>
          <cell r="C505" t="str">
            <v>Luxembourg Premium Rate 3C</v>
          </cell>
          <cell r="D505" t="str">
            <v>Off-net domestic</v>
          </cell>
          <cell r="E505" t="str">
            <v>call</v>
          </cell>
          <cell r="F505">
            <v>1</v>
          </cell>
          <cell r="G505">
            <v>1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0.43480000000000002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 t="str">
            <v>DOM LUX LXP3M</v>
          </cell>
          <cell r="B506" t="str">
            <v>Business Talk</v>
          </cell>
          <cell r="C506" t="str">
            <v>Luxembourg Premium Rate 3M</v>
          </cell>
          <cell r="D506" t="str">
            <v>Off-net domestic</v>
          </cell>
          <cell r="E506" t="str">
            <v>minute</v>
          </cell>
          <cell r="F506">
            <v>1</v>
          </cell>
          <cell r="G506">
            <v>1</v>
          </cell>
          <cell r="H506">
            <v>0</v>
          </cell>
          <cell r="I506">
            <v>0</v>
          </cell>
          <cell r="J506">
            <v>0.21740000000000001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</row>
        <row r="507">
          <cell r="A507" t="str">
            <v>DOM LUX LXP4C</v>
          </cell>
          <cell r="B507" t="str">
            <v>Business Talk</v>
          </cell>
          <cell r="C507" t="str">
            <v>Luxembourg Premium Rate 4C</v>
          </cell>
          <cell r="D507" t="str">
            <v>Off-net domestic</v>
          </cell>
          <cell r="E507" t="str">
            <v>call</v>
          </cell>
          <cell r="F507">
            <v>1</v>
          </cell>
          <cell r="G507">
            <v>1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0.6522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 t="str">
            <v>DOM LUX LXP4M</v>
          </cell>
          <cell r="B508" t="str">
            <v>Business Talk</v>
          </cell>
          <cell r="C508" t="str">
            <v>Luxembourg Premium Rate 4M</v>
          </cell>
          <cell r="D508" t="str">
            <v>Off-net domestic</v>
          </cell>
          <cell r="E508" t="str">
            <v>minute</v>
          </cell>
          <cell r="F508">
            <v>1</v>
          </cell>
          <cell r="G508">
            <v>1</v>
          </cell>
          <cell r="H508">
            <v>0</v>
          </cell>
          <cell r="I508">
            <v>0</v>
          </cell>
          <cell r="J508">
            <v>0.3478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</row>
        <row r="509">
          <cell r="A509" t="str">
            <v>DOM LUX LXP5C</v>
          </cell>
          <cell r="B509" t="str">
            <v>Business Talk</v>
          </cell>
          <cell r="C509" t="str">
            <v>Luxembourg Premium Rate 5C</v>
          </cell>
          <cell r="D509" t="str">
            <v>Off-net domestic</v>
          </cell>
          <cell r="E509" t="str">
            <v>call</v>
          </cell>
          <cell r="F509">
            <v>1</v>
          </cell>
          <cell r="G509">
            <v>1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1.3043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 t="str">
            <v>DOM LUX LXP5M</v>
          </cell>
          <cell r="B510" t="str">
            <v>Business Talk</v>
          </cell>
          <cell r="C510" t="str">
            <v>Luxembourg Premium Rate 5M</v>
          </cell>
          <cell r="D510" t="str">
            <v>Off-net domestic</v>
          </cell>
          <cell r="E510" t="str">
            <v>minute</v>
          </cell>
          <cell r="F510">
            <v>1</v>
          </cell>
          <cell r="G510">
            <v>1</v>
          </cell>
          <cell r="H510">
            <v>0</v>
          </cell>
          <cell r="I510">
            <v>0</v>
          </cell>
          <cell r="J510">
            <v>0.56520000000000004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A511" t="str">
            <v>DOM LUX LXP6C</v>
          </cell>
          <cell r="B511" t="str">
            <v>Business Talk</v>
          </cell>
          <cell r="C511" t="str">
            <v>Luxembourg Premium Rate 6C</v>
          </cell>
          <cell r="D511" t="str">
            <v>Off-net domestic</v>
          </cell>
          <cell r="E511" t="str">
            <v>call</v>
          </cell>
          <cell r="F511">
            <v>1</v>
          </cell>
          <cell r="G511">
            <v>1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1.9560999999999999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 t="str">
            <v>DOM LUX LXP6M</v>
          </cell>
          <cell r="B512" t="str">
            <v>Business Talk</v>
          </cell>
          <cell r="C512" t="str">
            <v>Luxembourg Premium Rate 6M</v>
          </cell>
          <cell r="D512" t="str">
            <v>Off-net domestic</v>
          </cell>
          <cell r="E512" t="str">
            <v>minute</v>
          </cell>
          <cell r="F512">
            <v>1</v>
          </cell>
          <cell r="G512">
            <v>1</v>
          </cell>
          <cell r="H512">
            <v>0</v>
          </cell>
          <cell r="I512">
            <v>0</v>
          </cell>
          <cell r="J512">
            <v>0.73909999999999998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A513" t="str">
            <v>DOM LUX LXP7C</v>
          </cell>
          <cell r="B513" t="str">
            <v>Business Talk</v>
          </cell>
          <cell r="C513" t="str">
            <v>Luxembourg Premium Rate 7C</v>
          </cell>
          <cell r="D513" t="str">
            <v>Off-net domestic</v>
          </cell>
          <cell r="E513" t="str">
            <v>call</v>
          </cell>
          <cell r="F513">
            <v>1</v>
          </cell>
          <cell r="G513">
            <v>1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2.6086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 t="str">
            <v>DOM LUX LXP7M</v>
          </cell>
          <cell r="B514" t="str">
            <v>Business Talk</v>
          </cell>
          <cell r="C514" t="str">
            <v>Luxembourg Premium Rate 7M</v>
          </cell>
          <cell r="D514" t="str">
            <v>Off-net domestic</v>
          </cell>
          <cell r="E514" t="str">
            <v>minute</v>
          </cell>
          <cell r="F514">
            <v>1</v>
          </cell>
          <cell r="G514">
            <v>1</v>
          </cell>
          <cell r="H514">
            <v>0</v>
          </cell>
          <cell r="I514">
            <v>0</v>
          </cell>
          <cell r="J514">
            <v>1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</row>
        <row r="515">
          <cell r="A515" t="str">
            <v>DOM LUX LXP8C</v>
          </cell>
          <cell r="B515" t="str">
            <v>Business Talk</v>
          </cell>
          <cell r="C515" t="str">
            <v>Luxembourg Premium Rate 8C</v>
          </cell>
          <cell r="D515" t="str">
            <v>Off-net domestic</v>
          </cell>
          <cell r="E515" t="str">
            <v>call</v>
          </cell>
          <cell r="F515">
            <v>1</v>
          </cell>
          <cell r="G515">
            <v>1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5.2172000000000001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 t="str">
            <v>DOM LUX LXP8M</v>
          </cell>
          <cell r="B516" t="str">
            <v>Business Talk</v>
          </cell>
          <cell r="C516" t="str">
            <v>Luxembourg Premium Rate 8M</v>
          </cell>
          <cell r="D516" t="str">
            <v>Off-net domestic</v>
          </cell>
          <cell r="E516" t="str">
            <v>minute</v>
          </cell>
          <cell r="F516">
            <v>1</v>
          </cell>
          <cell r="G516">
            <v>1</v>
          </cell>
          <cell r="H516">
            <v>0</v>
          </cell>
          <cell r="I516">
            <v>0</v>
          </cell>
          <cell r="J516">
            <v>1.7391000000000001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</row>
        <row r="517">
          <cell r="A517" t="str">
            <v>DOM LUX LXSC1</v>
          </cell>
          <cell r="B517" t="str">
            <v>Business Talk</v>
          </cell>
          <cell r="C517" t="str">
            <v>Luxembourg Shared Costs</v>
          </cell>
          <cell r="D517" t="str">
            <v>Off-net domestic</v>
          </cell>
          <cell r="E517" t="str">
            <v>minute</v>
          </cell>
          <cell r="F517">
            <v>1</v>
          </cell>
          <cell r="G517">
            <v>1</v>
          </cell>
          <cell r="H517">
            <v>0</v>
          </cell>
          <cell r="I517">
            <v>0</v>
          </cell>
          <cell r="J517">
            <v>1.67E-2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 t="str">
            <v>DOM LUX LXTS</v>
          </cell>
          <cell r="B518" t="str">
            <v>Business Talk</v>
          </cell>
          <cell r="C518" t="str">
            <v>Luxembourg Telematic</v>
          </cell>
          <cell r="D518" t="str">
            <v>Off-net domestic</v>
          </cell>
          <cell r="E518" t="str">
            <v>call</v>
          </cell>
          <cell r="F518">
            <v>1</v>
          </cell>
          <cell r="G518">
            <v>1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0.1043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</row>
        <row r="519">
          <cell r="A519" t="str">
            <v>DOM LUX LXTF</v>
          </cell>
          <cell r="B519" t="str">
            <v>Business Talk</v>
          </cell>
          <cell r="C519" t="str">
            <v>Luxembourg Toll Free</v>
          </cell>
          <cell r="D519" t="str">
            <v>Off-net domestic</v>
          </cell>
          <cell r="E519" t="str">
            <v>minute</v>
          </cell>
          <cell r="F519">
            <v>1</v>
          </cell>
          <cell r="G519">
            <v>1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 t="str">
            <v>DOM MYS MMOB</v>
          </cell>
          <cell r="B520" t="str">
            <v>Business Talk</v>
          </cell>
          <cell r="C520" t="str">
            <v>Malaysia Mobile</v>
          </cell>
          <cell r="D520" t="str">
            <v>Off-net domestic</v>
          </cell>
          <cell r="E520" t="str">
            <v>minute</v>
          </cell>
          <cell r="F520">
            <v>1</v>
          </cell>
          <cell r="G520">
            <v>1</v>
          </cell>
          <cell r="H520">
            <v>0</v>
          </cell>
          <cell r="I520">
            <v>0</v>
          </cell>
          <cell r="J520">
            <v>3.3099999999999997E-2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</row>
        <row r="521">
          <cell r="A521" t="str">
            <v>DOM MYS MALA</v>
          </cell>
          <cell r="B521" t="str">
            <v>Business Talk</v>
          </cell>
          <cell r="C521" t="str">
            <v>Malaysia</v>
          </cell>
          <cell r="D521" t="str">
            <v>Off-net domestic</v>
          </cell>
          <cell r="E521" t="str">
            <v>minute</v>
          </cell>
          <cell r="F521">
            <v>1</v>
          </cell>
          <cell r="G521">
            <v>1</v>
          </cell>
          <cell r="H521">
            <v>0</v>
          </cell>
          <cell r="I521">
            <v>0</v>
          </cell>
          <cell r="J521">
            <v>3.1899999999999998E-2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</row>
        <row r="522">
          <cell r="A522" t="str">
            <v>DOM MLT MOB</v>
          </cell>
          <cell r="B522" t="str">
            <v>Business Talk</v>
          </cell>
          <cell r="C522" t="str">
            <v>Malta Mobile</v>
          </cell>
          <cell r="D522" t="str">
            <v>Off-net domestic</v>
          </cell>
          <cell r="E522" t="str">
            <v>minute</v>
          </cell>
          <cell r="F522">
            <v>1</v>
          </cell>
          <cell r="G522">
            <v>1</v>
          </cell>
          <cell r="H522">
            <v>0</v>
          </cell>
          <cell r="I522">
            <v>0</v>
          </cell>
          <cell r="J522">
            <v>7.8100000000000003E-2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</row>
        <row r="523">
          <cell r="A523" t="str">
            <v>DOM MLT FIX</v>
          </cell>
          <cell r="B523" t="str">
            <v>Business Talk</v>
          </cell>
          <cell r="C523" t="str">
            <v>Malta</v>
          </cell>
          <cell r="D523" t="str">
            <v>Off-net domestic</v>
          </cell>
          <cell r="E523" t="str">
            <v>minute</v>
          </cell>
          <cell r="F523">
            <v>1</v>
          </cell>
          <cell r="G523">
            <v>1</v>
          </cell>
          <cell r="H523">
            <v>0</v>
          </cell>
          <cell r="I523">
            <v>0</v>
          </cell>
          <cell r="J523">
            <v>2.5600000000000001E-2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</row>
        <row r="524">
          <cell r="A524" t="str">
            <v>DOM MTQ MOB</v>
          </cell>
          <cell r="B524" t="str">
            <v>Business Talk</v>
          </cell>
          <cell r="C524" t="str">
            <v>Martinique Mobile</v>
          </cell>
          <cell r="D524" t="str">
            <v>Off-net domestic</v>
          </cell>
          <cell r="E524" t="str">
            <v>minute</v>
          </cell>
          <cell r="F524">
            <v>1</v>
          </cell>
          <cell r="G524">
            <v>1</v>
          </cell>
          <cell r="H524">
            <v>0</v>
          </cell>
          <cell r="I524">
            <v>0</v>
          </cell>
          <cell r="J524">
            <v>3.7699999999999997E-2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</row>
        <row r="525">
          <cell r="A525" t="str">
            <v>DOM MTQ FIX</v>
          </cell>
          <cell r="B525" t="str">
            <v>Business Talk</v>
          </cell>
          <cell r="C525" t="str">
            <v>Martinique</v>
          </cell>
          <cell r="D525" t="str">
            <v>Off-net domestic</v>
          </cell>
          <cell r="E525" t="str">
            <v>minute</v>
          </cell>
          <cell r="F525">
            <v>1</v>
          </cell>
          <cell r="G525">
            <v>1</v>
          </cell>
          <cell r="H525">
            <v>0</v>
          </cell>
          <cell r="I525">
            <v>0</v>
          </cell>
          <cell r="J525">
            <v>1.7999999999999999E-2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</row>
        <row r="526">
          <cell r="A526" t="str">
            <v>DOM MTQ MQ1FR</v>
          </cell>
          <cell r="B526" t="str">
            <v>Business Talk</v>
          </cell>
          <cell r="C526" t="str">
            <v>Martinique 10Xy Toll Free</v>
          </cell>
          <cell r="D526" t="str">
            <v>Off-net domestic</v>
          </cell>
          <cell r="E526" t="str">
            <v>minute</v>
          </cell>
          <cell r="F526">
            <v>1</v>
          </cell>
          <cell r="G526">
            <v>1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</row>
        <row r="527">
          <cell r="A527" t="str">
            <v>DOM MTQ MQ1TS</v>
          </cell>
          <cell r="B527" t="str">
            <v>Business Talk</v>
          </cell>
          <cell r="C527" t="str">
            <v>Martinique 10Xy Toll Share</v>
          </cell>
          <cell r="D527" t="str">
            <v>Off-net domestic</v>
          </cell>
          <cell r="E527" t="str">
            <v>minute &amp; call</v>
          </cell>
          <cell r="F527">
            <v>1</v>
          </cell>
          <cell r="G527">
            <v>1</v>
          </cell>
          <cell r="H527">
            <v>0</v>
          </cell>
          <cell r="I527">
            <v>0</v>
          </cell>
          <cell r="J527">
            <v>2.3E-2</v>
          </cell>
          <cell r="K527">
            <v>0</v>
          </cell>
          <cell r="L527">
            <v>6.5000000000000002E-2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</row>
        <row r="528">
          <cell r="A528" t="str">
            <v>DOM MTQ MQ300</v>
          </cell>
          <cell r="B528" t="str">
            <v>Business Talk</v>
          </cell>
          <cell r="C528" t="str">
            <v>Martinique 3Bpq Band00</v>
          </cell>
          <cell r="D528" t="str">
            <v>Off-net domestic</v>
          </cell>
          <cell r="E528" t="str">
            <v>minute</v>
          </cell>
          <cell r="F528">
            <v>1</v>
          </cell>
          <cell r="G528">
            <v>1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A529" t="str">
            <v>DOM MTQ MQ301</v>
          </cell>
          <cell r="B529" t="str">
            <v>Business Talk</v>
          </cell>
          <cell r="C529" t="str">
            <v>Martinique 3Bpq Band01</v>
          </cell>
          <cell r="D529" t="str">
            <v>Off-net domestic</v>
          </cell>
          <cell r="E529" t="str">
            <v>minute</v>
          </cell>
          <cell r="F529">
            <v>1</v>
          </cell>
          <cell r="G529">
            <v>1</v>
          </cell>
          <cell r="H529">
            <v>0</v>
          </cell>
          <cell r="I529">
            <v>0</v>
          </cell>
          <cell r="J529">
            <v>5.04E-2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 t="str">
            <v>DOM MTQ MQ302</v>
          </cell>
          <cell r="B530" t="str">
            <v>Business Talk</v>
          </cell>
          <cell r="C530" t="str">
            <v>Martinique 3Bpq Band02</v>
          </cell>
          <cell r="D530" t="str">
            <v>Off-net domestic</v>
          </cell>
          <cell r="E530" t="str">
            <v>minute</v>
          </cell>
          <cell r="F530">
            <v>1</v>
          </cell>
          <cell r="G530">
            <v>1</v>
          </cell>
          <cell r="H530">
            <v>0</v>
          </cell>
          <cell r="I530">
            <v>0</v>
          </cell>
          <cell r="J530">
            <v>5.9400000000000001E-2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</row>
        <row r="531">
          <cell r="A531" t="str">
            <v>DOM MTQ MQ303</v>
          </cell>
          <cell r="B531" t="str">
            <v>Business Talk</v>
          </cell>
          <cell r="C531" t="str">
            <v>Martinique 3Bpq Band03</v>
          </cell>
          <cell r="D531" t="str">
            <v>Off-net domestic</v>
          </cell>
          <cell r="E531" t="str">
            <v>minute</v>
          </cell>
          <cell r="F531">
            <v>1</v>
          </cell>
          <cell r="G531">
            <v>1</v>
          </cell>
          <cell r="H531">
            <v>0</v>
          </cell>
          <cell r="I531">
            <v>0</v>
          </cell>
          <cell r="J531">
            <v>9.4E-2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</row>
        <row r="532">
          <cell r="A532" t="str">
            <v>DOM MTQ MQ304</v>
          </cell>
          <cell r="B532" t="str">
            <v>Business Talk</v>
          </cell>
          <cell r="C532" t="str">
            <v>Martinique 3Bpq Band04</v>
          </cell>
          <cell r="D532" t="str">
            <v>Off-net domestic</v>
          </cell>
          <cell r="E532" t="str">
            <v>minute</v>
          </cell>
          <cell r="F532">
            <v>1</v>
          </cell>
          <cell r="G532">
            <v>1</v>
          </cell>
          <cell r="H532">
            <v>0</v>
          </cell>
          <cell r="I532">
            <v>0</v>
          </cell>
          <cell r="J532">
            <v>0.125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</row>
        <row r="533">
          <cell r="A533" t="str">
            <v>DOM MTQ MQ305</v>
          </cell>
          <cell r="B533" t="str">
            <v>Business Talk</v>
          </cell>
          <cell r="C533" t="str">
            <v>Martinique 3Bpq Band05</v>
          </cell>
          <cell r="D533" t="str">
            <v>Off-net domestic</v>
          </cell>
          <cell r="E533" t="str">
            <v>minute</v>
          </cell>
          <cell r="F533">
            <v>1</v>
          </cell>
          <cell r="G533">
            <v>1</v>
          </cell>
          <cell r="H533">
            <v>0</v>
          </cell>
          <cell r="I533">
            <v>0</v>
          </cell>
          <cell r="J533">
            <v>0.17630000000000001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A534" t="str">
            <v>DOM MTQ MQ306</v>
          </cell>
          <cell r="B534" t="str">
            <v>Business Talk</v>
          </cell>
          <cell r="C534" t="str">
            <v>Martinique 3Bpq Band06</v>
          </cell>
          <cell r="D534" t="str">
            <v>Off-net domestic</v>
          </cell>
          <cell r="E534" t="str">
            <v>minute</v>
          </cell>
          <cell r="F534">
            <v>1</v>
          </cell>
          <cell r="G534">
            <v>1</v>
          </cell>
          <cell r="H534">
            <v>0</v>
          </cell>
          <cell r="I534">
            <v>0</v>
          </cell>
          <cell r="J534">
            <v>0.188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</row>
        <row r="535">
          <cell r="A535" t="str">
            <v>DOM MTQ MQ307</v>
          </cell>
          <cell r="B535" t="str">
            <v>Business Talk</v>
          </cell>
          <cell r="C535" t="str">
            <v>Martinique 3Bpq Band07</v>
          </cell>
          <cell r="D535" t="str">
            <v>Off-net domestic</v>
          </cell>
          <cell r="E535" t="str">
            <v>minute</v>
          </cell>
          <cell r="F535">
            <v>1</v>
          </cell>
          <cell r="G535">
            <v>1</v>
          </cell>
          <cell r="H535">
            <v>0</v>
          </cell>
          <cell r="I535">
            <v>0</v>
          </cell>
          <cell r="J535">
            <v>0.28100000000000003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</row>
        <row r="536">
          <cell r="A536" t="str">
            <v>DOM MTQ MQ308</v>
          </cell>
          <cell r="B536" t="str">
            <v>Business Talk</v>
          </cell>
          <cell r="C536" t="str">
            <v>Martinique 3Bpq Band08</v>
          </cell>
          <cell r="D536" t="str">
            <v>Off-net domestic</v>
          </cell>
          <cell r="E536" t="str">
            <v>minute</v>
          </cell>
          <cell r="F536">
            <v>1</v>
          </cell>
          <cell r="G536">
            <v>1</v>
          </cell>
          <cell r="H536">
            <v>0</v>
          </cell>
          <cell r="I536">
            <v>0</v>
          </cell>
          <cell r="J536">
            <v>0.29680000000000001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 t="str">
            <v>DOM MTQ MQ309</v>
          </cell>
          <cell r="B537" t="str">
            <v>Business Talk</v>
          </cell>
          <cell r="C537" t="str">
            <v>Martinique 3Bpq Band09</v>
          </cell>
          <cell r="D537" t="str">
            <v>Off-net domestic</v>
          </cell>
          <cell r="E537" t="str">
            <v>minute</v>
          </cell>
          <cell r="F537">
            <v>1</v>
          </cell>
          <cell r="G537">
            <v>1</v>
          </cell>
          <cell r="H537">
            <v>0</v>
          </cell>
          <cell r="I537">
            <v>0</v>
          </cell>
          <cell r="J537">
            <v>0.34499999999999997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</row>
        <row r="538">
          <cell r="A538" t="str">
            <v>DOM MTQ MQ310</v>
          </cell>
          <cell r="B538" t="str">
            <v>Business Talk</v>
          </cell>
          <cell r="C538" t="str">
            <v>Martinique 3Bpq Band10</v>
          </cell>
          <cell r="D538" t="str">
            <v>Off-net domestic</v>
          </cell>
          <cell r="E538" t="str">
            <v>minute</v>
          </cell>
          <cell r="F538">
            <v>1</v>
          </cell>
          <cell r="G538">
            <v>1</v>
          </cell>
          <cell r="H538">
            <v>0</v>
          </cell>
          <cell r="I538">
            <v>0</v>
          </cell>
          <cell r="J538">
            <v>0.72309999999999997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DOM MTQ MQ311</v>
          </cell>
          <cell r="B539" t="str">
            <v>Business Talk</v>
          </cell>
          <cell r="C539" t="str">
            <v>Martinique 3Bpq Band11</v>
          </cell>
          <cell r="D539" t="str">
            <v>Off-net domestic</v>
          </cell>
          <cell r="E539" t="str">
            <v>minute</v>
          </cell>
          <cell r="F539">
            <v>1</v>
          </cell>
          <cell r="G539">
            <v>1</v>
          </cell>
          <cell r="H539">
            <v>0</v>
          </cell>
          <cell r="I539">
            <v>0</v>
          </cell>
          <cell r="J539">
            <v>1.1279999999999999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</row>
        <row r="540">
          <cell r="A540" t="str">
            <v>DOM MTQ MQ312</v>
          </cell>
          <cell r="B540" t="str">
            <v>Business Talk</v>
          </cell>
          <cell r="C540" t="str">
            <v>Martinique 3Bpq Band12</v>
          </cell>
          <cell r="D540" t="str">
            <v>Off-net domestic</v>
          </cell>
          <cell r="E540" t="str">
            <v>minute &amp; call</v>
          </cell>
          <cell r="F540">
            <v>1</v>
          </cell>
          <cell r="G540">
            <v>1</v>
          </cell>
          <cell r="H540">
            <v>0</v>
          </cell>
          <cell r="I540">
            <v>0</v>
          </cell>
          <cell r="J540">
            <v>9.9000000000000005E-2</v>
          </cell>
          <cell r="K540">
            <v>0</v>
          </cell>
          <cell r="L540">
            <v>2E-3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</row>
        <row r="541">
          <cell r="A541" t="str">
            <v>DOM MTQ MQ313</v>
          </cell>
          <cell r="B541" t="str">
            <v>Business Talk</v>
          </cell>
          <cell r="C541" t="str">
            <v>Martinique 3Bpq Band13</v>
          </cell>
          <cell r="D541" t="str">
            <v>Off-net domestic</v>
          </cell>
          <cell r="E541" t="str">
            <v>minute &amp; call</v>
          </cell>
          <cell r="F541">
            <v>1</v>
          </cell>
          <cell r="G541">
            <v>1</v>
          </cell>
          <cell r="H541">
            <v>0</v>
          </cell>
          <cell r="I541">
            <v>0</v>
          </cell>
          <cell r="J541">
            <v>6.7100000000000007E-2</v>
          </cell>
          <cell r="K541">
            <v>0</v>
          </cell>
          <cell r="L541">
            <v>1.7000000000000001E-2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</row>
        <row r="542">
          <cell r="A542" t="str">
            <v>DOM MTQ MQ314</v>
          </cell>
          <cell r="B542" t="str">
            <v>Business Talk</v>
          </cell>
          <cell r="C542" t="str">
            <v>Martinique 3Bpq Band14</v>
          </cell>
          <cell r="D542" t="str">
            <v>Off-net domestic</v>
          </cell>
          <cell r="E542" t="str">
            <v>minute &amp; call</v>
          </cell>
          <cell r="F542">
            <v>1</v>
          </cell>
          <cell r="G542">
            <v>1</v>
          </cell>
          <cell r="H542">
            <v>0</v>
          </cell>
          <cell r="I542">
            <v>0</v>
          </cell>
          <cell r="J542">
            <v>7.4999999999999997E-2</v>
          </cell>
          <cell r="K542">
            <v>0</v>
          </cell>
          <cell r="L542">
            <v>2.4E-2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</row>
        <row r="543">
          <cell r="A543" t="str">
            <v>DOM MTQ MQ315</v>
          </cell>
          <cell r="B543" t="str">
            <v>Business Talk</v>
          </cell>
          <cell r="C543" t="str">
            <v>Martinique 3Bpq Band15</v>
          </cell>
          <cell r="D543" t="str">
            <v>Off-net domestic</v>
          </cell>
          <cell r="E543" t="str">
            <v>minute &amp; call</v>
          </cell>
          <cell r="F543">
            <v>1</v>
          </cell>
          <cell r="G543">
            <v>1</v>
          </cell>
          <cell r="H543">
            <v>0</v>
          </cell>
          <cell r="I543">
            <v>0</v>
          </cell>
          <cell r="J543">
            <v>5.0999999999999997E-2</v>
          </cell>
          <cell r="K543">
            <v>0</v>
          </cell>
          <cell r="L543">
            <v>4.2999999999999997E-2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</row>
        <row r="544">
          <cell r="A544" t="str">
            <v>DOM MTQ MQ316</v>
          </cell>
          <cell r="B544" t="str">
            <v>Business Talk</v>
          </cell>
          <cell r="C544" t="str">
            <v>Martinique 3Bpq Band16</v>
          </cell>
          <cell r="D544" t="str">
            <v>Off-net domestic</v>
          </cell>
          <cell r="E544" t="str">
            <v>minute &amp; call</v>
          </cell>
          <cell r="F544">
            <v>1</v>
          </cell>
          <cell r="G544">
            <v>1</v>
          </cell>
          <cell r="H544">
            <v>0</v>
          </cell>
          <cell r="I544">
            <v>0</v>
          </cell>
          <cell r="J544">
            <v>2.3E-2</v>
          </cell>
          <cell r="K544">
            <v>0</v>
          </cell>
          <cell r="L544">
            <v>6.5000000000000002E-2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</row>
        <row r="545">
          <cell r="A545" t="str">
            <v>DOM MTQ MQ317</v>
          </cell>
          <cell r="B545" t="str">
            <v>Business Talk</v>
          </cell>
          <cell r="C545" t="str">
            <v>Martinique 3Bpq Band17</v>
          </cell>
          <cell r="D545" t="str">
            <v>Off-net domestic</v>
          </cell>
          <cell r="E545" t="str">
            <v>minute &amp; call</v>
          </cell>
          <cell r="F545">
            <v>1</v>
          </cell>
          <cell r="G545">
            <v>1</v>
          </cell>
          <cell r="H545">
            <v>0</v>
          </cell>
          <cell r="I545">
            <v>0</v>
          </cell>
          <cell r="J545">
            <v>2.4E-2</v>
          </cell>
          <cell r="K545">
            <v>0</v>
          </cell>
          <cell r="L545">
            <v>7.5999999999999998E-2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</row>
        <row r="546">
          <cell r="A546" t="str">
            <v>DOM MTQ MQ318</v>
          </cell>
          <cell r="B546" t="str">
            <v>Business Talk</v>
          </cell>
          <cell r="C546" t="str">
            <v>Martinique 3Bpq Band18</v>
          </cell>
          <cell r="D546" t="str">
            <v>Off-net domestic</v>
          </cell>
          <cell r="E546" t="str">
            <v>call</v>
          </cell>
          <cell r="F546">
            <v>1</v>
          </cell>
          <cell r="G546">
            <v>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9.4E-2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A547" t="str">
            <v>DOM MTQ MQ319</v>
          </cell>
          <cell r="B547" t="str">
            <v>Business Talk</v>
          </cell>
          <cell r="C547" t="str">
            <v>Martinique 3Bpq Band19</v>
          </cell>
          <cell r="D547" t="str">
            <v>Off-net domestic</v>
          </cell>
          <cell r="E547" t="str">
            <v>minute &amp; call</v>
          </cell>
          <cell r="F547">
            <v>1</v>
          </cell>
          <cell r="G547">
            <v>1</v>
          </cell>
          <cell r="H547">
            <v>0</v>
          </cell>
          <cell r="I547">
            <v>0</v>
          </cell>
          <cell r="J547">
            <v>0.125</v>
          </cell>
          <cell r="K547">
            <v>0</v>
          </cell>
          <cell r="L547">
            <v>9.4E-2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</row>
        <row r="548">
          <cell r="A548" t="str">
            <v>DOM MTQ MQ320</v>
          </cell>
          <cell r="B548" t="str">
            <v>Business Talk</v>
          </cell>
          <cell r="C548" t="str">
            <v>Martinique 3Bpq Band20</v>
          </cell>
          <cell r="D548" t="str">
            <v>Off-net domestic</v>
          </cell>
          <cell r="E548" t="str">
            <v>minute &amp; call</v>
          </cell>
          <cell r="F548">
            <v>1</v>
          </cell>
          <cell r="G548">
            <v>1</v>
          </cell>
          <cell r="H548">
            <v>0</v>
          </cell>
          <cell r="I548">
            <v>0</v>
          </cell>
          <cell r="J548">
            <v>4.7E-2</v>
          </cell>
          <cell r="K548">
            <v>0</v>
          </cell>
          <cell r="L548">
            <v>0.14099999999999999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</row>
        <row r="549">
          <cell r="A549" t="str">
            <v>DOM MTQ MQ321</v>
          </cell>
          <cell r="B549" t="str">
            <v>Business Talk</v>
          </cell>
          <cell r="C549" t="str">
            <v>Martinique 3Bpq Band21</v>
          </cell>
          <cell r="D549" t="str">
            <v>Off-net domestic</v>
          </cell>
          <cell r="E549" t="str">
            <v>call</v>
          </cell>
          <cell r="F549">
            <v>1</v>
          </cell>
          <cell r="G549">
            <v>1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0.47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</row>
        <row r="550">
          <cell r="A550" t="str">
            <v>DOM MTQ MQVAS</v>
          </cell>
          <cell r="B550" t="str">
            <v>Business Talk</v>
          </cell>
          <cell r="C550" t="str">
            <v>Martinique 3Bpq Band22</v>
          </cell>
          <cell r="D550" t="str">
            <v>Off-net domestic</v>
          </cell>
          <cell r="E550" t="str">
            <v>minute &amp; call</v>
          </cell>
          <cell r="F550">
            <v>1</v>
          </cell>
          <cell r="G550">
            <v>1</v>
          </cell>
          <cell r="H550">
            <v>0</v>
          </cell>
          <cell r="I550">
            <v>0</v>
          </cell>
          <cell r="J550">
            <v>0.28100000000000003</v>
          </cell>
          <cell r="K550">
            <v>0</v>
          </cell>
          <cell r="L550">
            <v>1.1297999999999999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A551" t="str">
            <v>DOM MTQ MQSOS</v>
          </cell>
          <cell r="B551" t="str">
            <v>Business Talk</v>
          </cell>
          <cell r="C551" t="str">
            <v>Martinique Emerg Short Nr</v>
          </cell>
          <cell r="D551" t="str">
            <v>Off-net domestic</v>
          </cell>
          <cell r="E551" t="str">
            <v>minute</v>
          </cell>
          <cell r="F551">
            <v>1</v>
          </cell>
          <cell r="G551">
            <v>1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</row>
        <row r="552">
          <cell r="A552" t="str">
            <v>DOM MTQ MQ860</v>
          </cell>
          <cell r="B552" t="str">
            <v>Business Talk</v>
          </cell>
          <cell r="C552" t="str">
            <v>Martinique Internet Dial Up</v>
          </cell>
          <cell r="D552" t="str">
            <v>Off-net domestic</v>
          </cell>
          <cell r="E552" t="str">
            <v>minute</v>
          </cell>
          <cell r="F552">
            <v>1</v>
          </cell>
          <cell r="G552">
            <v>1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</row>
        <row r="553">
          <cell r="A553" t="str">
            <v>DOM MTQ MQ82H</v>
          </cell>
          <cell r="B553" t="str">
            <v>Business Talk</v>
          </cell>
          <cell r="C553" t="str">
            <v>Martinique Premium 820 High</v>
          </cell>
          <cell r="D553" t="str">
            <v>Off-net domestic</v>
          </cell>
          <cell r="E553" t="str">
            <v>minute &amp; call</v>
          </cell>
          <cell r="F553">
            <v>1</v>
          </cell>
          <cell r="G553">
            <v>1</v>
          </cell>
          <cell r="H553">
            <v>0</v>
          </cell>
          <cell r="I553">
            <v>0</v>
          </cell>
          <cell r="J553">
            <v>9.9000000000000005E-2</v>
          </cell>
          <cell r="K553">
            <v>0</v>
          </cell>
          <cell r="L553">
            <v>9.4E-2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</row>
        <row r="554">
          <cell r="A554" t="str">
            <v>DOM MTQ MQ82L</v>
          </cell>
          <cell r="B554" t="str">
            <v>Business Talk</v>
          </cell>
          <cell r="C554" t="str">
            <v>Martinique Premium 820 Low</v>
          </cell>
          <cell r="D554" t="str">
            <v>Off-net domestic</v>
          </cell>
          <cell r="E554" t="str">
            <v>minute &amp; call</v>
          </cell>
          <cell r="F554">
            <v>1</v>
          </cell>
          <cell r="G554">
            <v>1</v>
          </cell>
          <cell r="H554">
            <v>0</v>
          </cell>
          <cell r="I554">
            <v>0</v>
          </cell>
          <cell r="J554">
            <v>7.4999999999999997E-2</v>
          </cell>
          <cell r="K554">
            <v>0</v>
          </cell>
          <cell r="L554">
            <v>9.4E-2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</row>
        <row r="555">
          <cell r="A555" t="str">
            <v>DOM MTQ MQ825</v>
          </cell>
          <cell r="B555" t="str">
            <v>Business Talk</v>
          </cell>
          <cell r="C555" t="str">
            <v>Martinique Premium 825</v>
          </cell>
          <cell r="D555" t="str">
            <v>Off-net domestic</v>
          </cell>
          <cell r="E555" t="str">
            <v>minute</v>
          </cell>
          <cell r="F555">
            <v>1</v>
          </cell>
          <cell r="G555">
            <v>1</v>
          </cell>
          <cell r="H555">
            <v>0</v>
          </cell>
          <cell r="I555">
            <v>0</v>
          </cell>
          <cell r="J555">
            <v>0.12529999999999999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DOM MTQ MQ89H</v>
          </cell>
          <cell r="B556" t="str">
            <v>Business Talk</v>
          </cell>
          <cell r="C556" t="str">
            <v>Martinique Premium 890 High</v>
          </cell>
          <cell r="D556" t="str">
            <v>Off-net domestic</v>
          </cell>
          <cell r="E556" t="str">
            <v>minute</v>
          </cell>
          <cell r="F556">
            <v>1</v>
          </cell>
          <cell r="G556">
            <v>1</v>
          </cell>
          <cell r="H556">
            <v>0</v>
          </cell>
          <cell r="I556">
            <v>0</v>
          </cell>
          <cell r="J556">
            <v>0.12529999999999999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</row>
        <row r="557">
          <cell r="A557" t="str">
            <v>DOM MTQ MQ89L</v>
          </cell>
          <cell r="B557" t="str">
            <v>Business Talk</v>
          </cell>
          <cell r="C557" t="str">
            <v>Martinique Premium 890 Low</v>
          </cell>
          <cell r="D557" t="str">
            <v>Off-net domestic</v>
          </cell>
          <cell r="E557" t="str">
            <v>minute</v>
          </cell>
          <cell r="F557">
            <v>1</v>
          </cell>
          <cell r="G557">
            <v>1</v>
          </cell>
          <cell r="H557">
            <v>0</v>
          </cell>
          <cell r="I557">
            <v>0</v>
          </cell>
          <cell r="J557">
            <v>9.4E-2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A558" t="str">
            <v>DOM MTQ MQ891</v>
          </cell>
          <cell r="B558" t="str">
            <v>Business Talk</v>
          </cell>
          <cell r="C558" t="str">
            <v>Martinique Premium 891</v>
          </cell>
          <cell r="D558" t="str">
            <v>Off-net domestic</v>
          </cell>
          <cell r="E558" t="str">
            <v>minute</v>
          </cell>
          <cell r="F558">
            <v>1</v>
          </cell>
          <cell r="G558">
            <v>1</v>
          </cell>
          <cell r="H558">
            <v>0</v>
          </cell>
          <cell r="I558">
            <v>0</v>
          </cell>
          <cell r="J558">
            <v>0.188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</row>
        <row r="559">
          <cell r="A559" t="str">
            <v>DOM MTQ MQ892</v>
          </cell>
          <cell r="B559" t="str">
            <v>Business Talk</v>
          </cell>
          <cell r="C559" t="str">
            <v>Martinique Premium 892</v>
          </cell>
          <cell r="D559" t="str">
            <v>Off-net domestic</v>
          </cell>
          <cell r="E559" t="str">
            <v>minute</v>
          </cell>
          <cell r="F559">
            <v>1</v>
          </cell>
          <cell r="G559">
            <v>1</v>
          </cell>
          <cell r="H559">
            <v>0</v>
          </cell>
          <cell r="I559">
            <v>0</v>
          </cell>
          <cell r="J559">
            <v>0.28199999999999997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A560" t="str">
            <v>DOM MTQ MQ897</v>
          </cell>
          <cell r="B560" t="str">
            <v>Business Talk</v>
          </cell>
          <cell r="C560" t="str">
            <v>Martinique Premium 897</v>
          </cell>
          <cell r="D560" t="str">
            <v>Off-net domestic</v>
          </cell>
          <cell r="E560" t="str">
            <v>call</v>
          </cell>
          <cell r="F560">
            <v>1</v>
          </cell>
          <cell r="G560">
            <v>1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0.47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A561" t="str">
            <v>DOM MTQ MQ899</v>
          </cell>
          <cell r="B561" t="str">
            <v>Business Talk</v>
          </cell>
          <cell r="C561" t="str">
            <v>Martinique Premium 899</v>
          </cell>
          <cell r="D561" t="str">
            <v>Off-net domestic</v>
          </cell>
          <cell r="E561" t="str">
            <v>minute &amp; call</v>
          </cell>
          <cell r="F561">
            <v>1</v>
          </cell>
          <cell r="G561">
            <v>1</v>
          </cell>
          <cell r="H561">
            <v>0</v>
          </cell>
          <cell r="I561">
            <v>0</v>
          </cell>
          <cell r="J561">
            <v>0.28199999999999997</v>
          </cell>
          <cell r="K561">
            <v>0</v>
          </cell>
          <cell r="L561">
            <v>1.1276999999999999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</row>
        <row r="562">
          <cell r="A562" t="str">
            <v>DOM MTQ MQ006</v>
          </cell>
          <cell r="B562" t="str">
            <v>Business Talk</v>
          </cell>
          <cell r="C562" t="str">
            <v>Martinique Tel. Info. 118006</v>
          </cell>
          <cell r="D562" t="str">
            <v>Off-net domestic</v>
          </cell>
          <cell r="E562" t="str">
            <v>minute &amp; call</v>
          </cell>
          <cell r="F562">
            <v>1</v>
          </cell>
          <cell r="G562">
            <v>1</v>
          </cell>
          <cell r="H562">
            <v>0</v>
          </cell>
          <cell r="I562">
            <v>0</v>
          </cell>
          <cell r="J562">
            <v>0.28199999999999997</v>
          </cell>
          <cell r="K562">
            <v>0</v>
          </cell>
          <cell r="L562">
            <v>1.1279999999999999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</row>
        <row r="563">
          <cell r="A563" t="str">
            <v>DOM MTQ MQ218</v>
          </cell>
          <cell r="B563" t="str">
            <v>Business Talk</v>
          </cell>
          <cell r="C563" t="str">
            <v>Martinique Tel. Info. 118218</v>
          </cell>
          <cell r="D563" t="str">
            <v>Off-net domestic</v>
          </cell>
          <cell r="E563" t="str">
            <v>minute &amp; call</v>
          </cell>
          <cell r="F563">
            <v>1</v>
          </cell>
          <cell r="G563">
            <v>1</v>
          </cell>
          <cell r="H563">
            <v>0</v>
          </cell>
          <cell r="I563">
            <v>0</v>
          </cell>
          <cell r="J563">
            <v>0.752</v>
          </cell>
          <cell r="K563">
            <v>0</v>
          </cell>
          <cell r="L563">
            <v>0.752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</row>
        <row r="564">
          <cell r="A564" t="str">
            <v>DOM MTQ MQ222</v>
          </cell>
          <cell r="B564" t="str">
            <v>Business Talk</v>
          </cell>
          <cell r="C564" t="str">
            <v>Martinique Tel. Info. 118222</v>
          </cell>
          <cell r="D564" t="str">
            <v>Off-net domestic</v>
          </cell>
          <cell r="E564" t="str">
            <v>minute &amp; call</v>
          </cell>
          <cell r="F564">
            <v>1</v>
          </cell>
          <cell r="G564">
            <v>1</v>
          </cell>
          <cell r="H564">
            <v>0</v>
          </cell>
          <cell r="I564">
            <v>0</v>
          </cell>
          <cell r="J564">
            <v>0.188</v>
          </cell>
          <cell r="K564">
            <v>0</v>
          </cell>
          <cell r="L564">
            <v>1.1279999999999999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</row>
        <row r="565">
          <cell r="A565" t="str">
            <v>DOM MTQ MQ700</v>
          </cell>
          <cell r="B565" t="str">
            <v>Business Talk</v>
          </cell>
          <cell r="C565" t="str">
            <v>Martinique Tel. Info. 118700</v>
          </cell>
          <cell r="D565" t="str">
            <v>Off-net domestic</v>
          </cell>
          <cell r="E565" t="str">
            <v>call</v>
          </cell>
          <cell r="F565">
            <v>1</v>
          </cell>
          <cell r="G565">
            <v>1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2.5099999999999998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A566" t="str">
            <v>DOM MTQ MQ710</v>
          </cell>
          <cell r="B566" t="str">
            <v>Business Talk</v>
          </cell>
          <cell r="C566" t="str">
            <v>Martinique Tel. Info. 118710</v>
          </cell>
          <cell r="D566" t="str">
            <v>Off-net domestic</v>
          </cell>
          <cell r="E566" t="str">
            <v>minute</v>
          </cell>
          <cell r="F566">
            <v>1</v>
          </cell>
          <cell r="G566">
            <v>1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</row>
        <row r="567">
          <cell r="A567" t="str">
            <v>DOM MTQ MQ711</v>
          </cell>
          <cell r="B567" t="str">
            <v>Business Talk</v>
          </cell>
          <cell r="C567" t="str">
            <v>Martinique Tel. Info. 118711</v>
          </cell>
          <cell r="D567" t="str">
            <v>Off-net domestic</v>
          </cell>
          <cell r="E567" t="str">
            <v>minute &amp; call</v>
          </cell>
          <cell r="F567">
            <v>1</v>
          </cell>
          <cell r="G567">
            <v>1</v>
          </cell>
          <cell r="H567">
            <v>0</v>
          </cell>
          <cell r="I567">
            <v>0</v>
          </cell>
          <cell r="J567">
            <v>0.28199999999999997</v>
          </cell>
          <cell r="K567">
            <v>0</v>
          </cell>
          <cell r="L567">
            <v>0.65800000000000003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</row>
        <row r="568">
          <cell r="A568" t="str">
            <v>DOM MTQ MQ712</v>
          </cell>
          <cell r="B568" t="str">
            <v>Business Talk</v>
          </cell>
          <cell r="C568" t="str">
            <v>Martinique Tel. Info. 118712</v>
          </cell>
          <cell r="D568" t="str">
            <v>Off-net domestic</v>
          </cell>
          <cell r="E568" t="str">
            <v>minute &amp; call</v>
          </cell>
          <cell r="F568">
            <v>1</v>
          </cell>
          <cell r="G568">
            <v>1</v>
          </cell>
          <cell r="H568">
            <v>0</v>
          </cell>
          <cell r="I568">
            <v>0</v>
          </cell>
          <cell r="J568">
            <v>0.376</v>
          </cell>
          <cell r="K568">
            <v>0</v>
          </cell>
          <cell r="L568">
            <v>1.222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</row>
        <row r="569">
          <cell r="A569" t="str">
            <v>DOM MTQ MQ888</v>
          </cell>
          <cell r="B569" t="str">
            <v>Business Talk</v>
          </cell>
          <cell r="C569" t="str">
            <v>Martinique Tel. Info. 118888</v>
          </cell>
          <cell r="D569" t="str">
            <v>Off-net domestic</v>
          </cell>
          <cell r="E569" t="str">
            <v>minute &amp; call</v>
          </cell>
          <cell r="F569">
            <v>1</v>
          </cell>
          <cell r="G569">
            <v>1</v>
          </cell>
          <cell r="H569">
            <v>0</v>
          </cell>
          <cell r="I569">
            <v>0</v>
          </cell>
          <cell r="J569">
            <v>9.4E-2</v>
          </cell>
          <cell r="K569">
            <v>0</v>
          </cell>
          <cell r="L569">
            <v>0.94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A570" t="str">
            <v>DOM MTQ MQFRE</v>
          </cell>
          <cell r="B570" t="str">
            <v>Business Talk</v>
          </cell>
          <cell r="C570" t="str">
            <v>Martinique Toll Free</v>
          </cell>
          <cell r="D570" t="str">
            <v>Off-net domestic</v>
          </cell>
          <cell r="E570" t="str">
            <v>minute</v>
          </cell>
          <cell r="F570">
            <v>1</v>
          </cell>
          <cell r="G570">
            <v>1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</row>
        <row r="571">
          <cell r="A571" t="str">
            <v>DOM MTQ MQ810</v>
          </cell>
          <cell r="B571" t="str">
            <v>Business Talk</v>
          </cell>
          <cell r="C571" t="str">
            <v>Martinique Toll Share</v>
          </cell>
          <cell r="D571" t="str">
            <v>Off-net domestic</v>
          </cell>
          <cell r="E571" t="str">
            <v>minute &amp; call</v>
          </cell>
          <cell r="F571">
            <v>1</v>
          </cell>
          <cell r="G571">
            <v>1</v>
          </cell>
          <cell r="H571">
            <v>0</v>
          </cell>
          <cell r="I571">
            <v>0</v>
          </cell>
          <cell r="J571">
            <v>2.3E-2</v>
          </cell>
          <cell r="K571">
            <v>0</v>
          </cell>
          <cell r="L571">
            <v>6.5000000000000002E-2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</row>
        <row r="572">
          <cell r="A572" t="str">
            <v>DOM MAY YTFIX</v>
          </cell>
          <cell r="B572" t="str">
            <v>Business Talk</v>
          </cell>
          <cell r="C572" t="str">
            <v>Mayotte National</v>
          </cell>
          <cell r="D572" t="str">
            <v>Off-net domestic</v>
          </cell>
          <cell r="E572" t="str">
            <v>minute</v>
          </cell>
          <cell r="F572">
            <v>1</v>
          </cell>
          <cell r="G572">
            <v>1</v>
          </cell>
          <cell r="H572">
            <v>0</v>
          </cell>
          <cell r="I572">
            <v>0</v>
          </cell>
          <cell r="J572">
            <v>5.16E-2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</row>
        <row r="573">
          <cell r="A573" t="str">
            <v>DOM MAY YTMOB</v>
          </cell>
          <cell r="B573" t="str">
            <v>Business Talk</v>
          </cell>
          <cell r="C573" t="str">
            <v>Mayotte Mobile</v>
          </cell>
          <cell r="D573" t="str">
            <v>Off-net domestic</v>
          </cell>
          <cell r="E573" t="str">
            <v>minute</v>
          </cell>
          <cell r="F573">
            <v>1</v>
          </cell>
          <cell r="G573">
            <v>1</v>
          </cell>
          <cell r="H573">
            <v>0</v>
          </cell>
          <cell r="I573">
            <v>0</v>
          </cell>
          <cell r="J573">
            <v>6.2100000000000002E-2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</row>
        <row r="574">
          <cell r="A574" t="str">
            <v>DOM MAY MY1FR</v>
          </cell>
          <cell r="B574" t="str">
            <v>Business Talk</v>
          </cell>
          <cell r="C574" t="str">
            <v>Mayotte 10Xy Toll Free</v>
          </cell>
          <cell r="D574" t="str">
            <v>Off-net domestic</v>
          </cell>
          <cell r="E574" t="str">
            <v>minute</v>
          </cell>
          <cell r="F574">
            <v>1</v>
          </cell>
          <cell r="G574">
            <v>1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</row>
        <row r="575">
          <cell r="A575" t="str">
            <v>DOM MAY MY1TS</v>
          </cell>
          <cell r="B575" t="str">
            <v>Business Talk</v>
          </cell>
          <cell r="C575" t="str">
            <v>Mayotte 10Xy Toll Share</v>
          </cell>
          <cell r="D575" t="str">
            <v>Off-net domestic</v>
          </cell>
          <cell r="E575" t="str">
            <v>minute &amp; call</v>
          </cell>
          <cell r="F575">
            <v>1</v>
          </cell>
          <cell r="G575">
            <v>1</v>
          </cell>
          <cell r="H575">
            <v>0</v>
          </cell>
          <cell r="I575">
            <v>0</v>
          </cell>
          <cell r="J575">
            <v>2.3E-2</v>
          </cell>
          <cell r="K575">
            <v>0</v>
          </cell>
          <cell r="L575">
            <v>6.5000000000000002E-2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</row>
        <row r="576">
          <cell r="A576" t="str">
            <v>DOM MAY MY300</v>
          </cell>
          <cell r="B576" t="str">
            <v>Business Talk</v>
          </cell>
          <cell r="C576" t="str">
            <v>Mayotte 3Bpq Band00</v>
          </cell>
          <cell r="D576" t="str">
            <v>Off-net domestic</v>
          </cell>
          <cell r="E576" t="str">
            <v>minute</v>
          </cell>
          <cell r="F576">
            <v>1</v>
          </cell>
          <cell r="G576">
            <v>1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</row>
        <row r="577">
          <cell r="A577" t="str">
            <v>DOM MAY MY301</v>
          </cell>
          <cell r="B577" t="str">
            <v>Business Talk</v>
          </cell>
          <cell r="C577" t="str">
            <v>Mayotte 3Bpq Band01</v>
          </cell>
          <cell r="D577" t="str">
            <v>Off-net domestic</v>
          </cell>
          <cell r="E577" t="str">
            <v>minute</v>
          </cell>
          <cell r="F577">
            <v>1</v>
          </cell>
          <cell r="G577">
            <v>1</v>
          </cell>
          <cell r="H577">
            <v>0</v>
          </cell>
          <cell r="I577">
            <v>0</v>
          </cell>
          <cell r="J577">
            <v>5.04E-2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</row>
        <row r="578">
          <cell r="A578" t="str">
            <v>DOM MAY MY302</v>
          </cell>
          <cell r="B578" t="str">
            <v>Business Talk</v>
          </cell>
          <cell r="C578" t="str">
            <v>Mayotte 3Bpq Band02</v>
          </cell>
          <cell r="D578" t="str">
            <v>Off-net domestic</v>
          </cell>
          <cell r="E578" t="str">
            <v>minute</v>
          </cell>
          <cell r="F578">
            <v>1</v>
          </cell>
          <cell r="G578">
            <v>1</v>
          </cell>
          <cell r="H578">
            <v>0</v>
          </cell>
          <cell r="I578">
            <v>0</v>
          </cell>
          <cell r="J578">
            <v>5.9400000000000001E-2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  <row r="579">
          <cell r="A579" t="str">
            <v>DOM MAY MY303</v>
          </cell>
          <cell r="B579" t="str">
            <v>Business Talk</v>
          </cell>
          <cell r="C579" t="str">
            <v>Mayotte 3Bpq Band03</v>
          </cell>
          <cell r="D579" t="str">
            <v>Off-net domestic</v>
          </cell>
          <cell r="E579" t="str">
            <v>minute</v>
          </cell>
          <cell r="F579">
            <v>1</v>
          </cell>
          <cell r="G579">
            <v>1</v>
          </cell>
          <cell r="H579">
            <v>0</v>
          </cell>
          <cell r="I579">
            <v>0</v>
          </cell>
          <cell r="J579">
            <v>9.4E-2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</row>
        <row r="580">
          <cell r="A580" t="str">
            <v>DOM MAY MY304</v>
          </cell>
          <cell r="B580" t="str">
            <v>Business Talk</v>
          </cell>
          <cell r="C580" t="str">
            <v>Mayotte 3Bpq Band04</v>
          </cell>
          <cell r="D580" t="str">
            <v>Off-net domestic</v>
          </cell>
          <cell r="E580" t="str">
            <v>minute</v>
          </cell>
          <cell r="F580">
            <v>1</v>
          </cell>
          <cell r="G580">
            <v>1</v>
          </cell>
          <cell r="H580">
            <v>0</v>
          </cell>
          <cell r="I580">
            <v>0</v>
          </cell>
          <cell r="J580">
            <v>0.125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</row>
        <row r="581">
          <cell r="A581" t="str">
            <v>DOM MAY MY305</v>
          </cell>
          <cell r="B581" t="str">
            <v>Business Talk</v>
          </cell>
          <cell r="C581" t="str">
            <v>Mayotte 3Bpq Band05</v>
          </cell>
          <cell r="D581" t="str">
            <v>Off-net domestic</v>
          </cell>
          <cell r="E581" t="str">
            <v>minute</v>
          </cell>
          <cell r="F581">
            <v>1</v>
          </cell>
          <cell r="G581">
            <v>1</v>
          </cell>
          <cell r="H581">
            <v>0</v>
          </cell>
          <cell r="I581">
            <v>0</v>
          </cell>
          <cell r="J581">
            <v>0.17630000000000001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</row>
        <row r="582">
          <cell r="A582" t="str">
            <v>DOM MAY MY306</v>
          </cell>
          <cell r="B582" t="str">
            <v>Business Talk</v>
          </cell>
          <cell r="C582" t="str">
            <v>Mayotte 3Bpq Band06</v>
          </cell>
          <cell r="D582" t="str">
            <v>Off-net domestic</v>
          </cell>
          <cell r="E582" t="str">
            <v>minute</v>
          </cell>
          <cell r="F582">
            <v>1</v>
          </cell>
          <cell r="G582">
            <v>1</v>
          </cell>
          <cell r="H582">
            <v>0</v>
          </cell>
          <cell r="I582">
            <v>0</v>
          </cell>
          <cell r="J582">
            <v>0.188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</row>
        <row r="583">
          <cell r="A583" t="str">
            <v>DOM MAY MY307</v>
          </cell>
          <cell r="B583" t="str">
            <v>Business Talk</v>
          </cell>
          <cell r="C583" t="str">
            <v>Mayotte 3Bpq Band07</v>
          </cell>
          <cell r="D583" t="str">
            <v>Off-net domestic</v>
          </cell>
          <cell r="E583" t="str">
            <v>minute</v>
          </cell>
          <cell r="F583">
            <v>1</v>
          </cell>
          <cell r="G583">
            <v>1</v>
          </cell>
          <cell r="H583">
            <v>0</v>
          </cell>
          <cell r="I583">
            <v>0</v>
          </cell>
          <cell r="J583">
            <v>0.28100000000000003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A584" t="str">
            <v>DOM MAY MY308</v>
          </cell>
          <cell r="B584" t="str">
            <v>Business Talk</v>
          </cell>
          <cell r="C584" t="str">
            <v>Mayotte 3Bpq Band08</v>
          </cell>
          <cell r="D584" t="str">
            <v>Off-net domestic</v>
          </cell>
          <cell r="E584" t="str">
            <v>minute</v>
          </cell>
          <cell r="F584">
            <v>1</v>
          </cell>
          <cell r="G584">
            <v>1</v>
          </cell>
          <cell r="H584">
            <v>0</v>
          </cell>
          <cell r="I584">
            <v>0</v>
          </cell>
          <cell r="J584">
            <v>0.29680000000000001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</row>
        <row r="585">
          <cell r="A585" t="str">
            <v>DOM MAY MY309</v>
          </cell>
          <cell r="B585" t="str">
            <v>Business Talk</v>
          </cell>
          <cell r="C585" t="str">
            <v>Mayotte 3Bpq Band09</v>
          </cell>
          <cell r="D585" t="str">
            <v>Off-net domestic</v>
          </cell>
          <cell r="E585" t="str">
            <v>minute</v>
          </cell>
          <cell r="F585">
            <v>1</v>
          </cell>
          <cell r="G585">
            <v>1</v>
          </cell>
          <cell r="H585">
            <v>0</v>
          </cell>
          <cell r="I585">
            <v>0</v>
          </cell>
          <cell r="J585">
            <v>0.34499999999999997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A586" t="str">
            <v>DOM MAY MY310</v>
          </cell>
          <cell r="B586" t="str">
            <v>Business Talk</v>
          </cell>
          <cell r="C586" t="str">
            <v>Mayotte 3Bpq Band10</v>
          </cell>
          <cell r="D586" t="str">
            <v>Off-net domestic</v>
          </cell>
          <cell r="E586" t="str">
            <v>minute</v>
          </cell>
          <cell r="F586">
            <v>1</v>
          </cell>
          <cell r="G586">
            <v>1</v>
          </cell>
          <cell r="H586">
            <v>0</v>
          </cell>
          <cell r="I586">
            <v>0</v>
          </cell>
          <cell r="J586">
            <v>0.72309999999999997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</row>
        <row r="587">
          <cell r="A587" t="str">
            <v>DOM MAY MY311</v>
          </cell>
          <cell r="B587" t="str">
            <v>Business Talk</v>
          </cell>
          <cell r="C587" t="str">
            <v>Mayotte 3Bpq Band11</v>
          </cell>
          <cell r="D587" t="str">
            <v>Off-net domestic</v>
          </cell>
          <cell r="E587" t="str">
            <v>minute</v>
          </cell>
          <cell r="F587">
            <v>1</v>
          </cell>
          <cell r="G587">
            <v>1</v>
          </cell>
          <cell r="H587">
            <v>0</v>
          </cell>
          <cell r="I587">
            <v>0</v>
          </cell>
          <cell r="J587">
            <v>1.1279999999999999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</row>
        <row r="588">
          <cell r="A588" t="str">
            <v>DOM MAY MY312</v>
          </cell>
          <cell r="B588" t="str">
            <v>Business Talk</v>
          </cell>
          <cell r="C588" t="str">
            <v>Mayotte 3Bpq Band12</v>
          </cell>
          <cell r="D588" t="str">
            <v>Off-net domestic</v>
          </cell>
          <cell r="E588" t="str">
            <v>minute &amp; call</v>
          </cell>
          <cell r="F588">
            <v>1</v>
          </cell>
          <cell r="G588">
            <v>1</v>
          </cell>
          <cell r="H588">
            <v>0</v>
          </cell>
          <cell r="I588">
            <v>0</v>
          </cell>
          <cell r="J588">
            <v>9.9000000000000005E-2</v>
          </cell>
          <cell r="K588">
            <v>0</v>
          </cell>
          <cell r="L588">
            <v>2E-3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</row>
        <row r="589">
          <cell r="A589" t="str">
            <v>DOM MAY MY313</v>
          </cell>
          <cell r="B589" t="str">
            <v>Business Talk</v>
          </cell>
          <cell r="C589" t="str">
            <v>Mayotte 3Bpq Band13</v>
          </cell>
          <cell r="D589" t="str">
            <v>Off-net domestic</v>
          </cell>
          <cell r="E589" t="str">
            <v>minute &amp; call</v>
          </cell>
          <cell r="F589">
            <v>1</v>
          </cell>
          <cell r="G589">
            <v>1</v>
          </cell>
          <cell r="H589">
            <v>0</v>
          </cell>
          <cell r="I589">
            <v>0</v>
          </cell>
          <cell r="J589">
            <v>6.7100000000000007E-2</v>
          </cell>
          <cell r="K589">
            <v>0</v>
          </cell>
          <cell r="L589">
            <v>1.7000000000000001E-2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</row>
        <row r="590">
          <cell r="A590" t="str">
            <v>DOM MAY MY314</v>
          </cell>
          <cell r="B590" t="str">
            <v>Business Talk</v>
          </cell>
          <cell r="C590" t="str">
            <v>Mayotte 3Bpq Band14</v>
          </cell>
          <cell r="D590" t="str">
            <v>Off-net domestic</v>
          </cell>
          <cell r="E590" t="str">
            <v>minute &amp; call</v>
          </cell>
          <cell r="F590">
            <v>1</v>
          </cell>
          <cell r="G590">
            <v>1</v>
          </cell>
          <cell r="H590">
            <v>0</v>
          </cell>
          <cell r="I590">
            <v>0</v>
          </cell>
          <cell r="J590">
            <v>7.4999999999999997E-2</v>
          </cell>
          <cell r="K590">
            <v>0</v>
          </cell>
          <cell r="L590">
            <v>2.4E-2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</row>
        <row r="591">
          <cell r="A591" t="str">
            <v>DOM MAY MY315</v>
          </cell>
          <cell r="B591" t="str">
            <v>Business Talk</v>
          </cell>
          <cell r="C591" t="str">
            <v>Mayotte 3Bpq Band15</v>
          </cell>
          <cell r="D591" t="str">
            <v>Off-net domestic</v>
          </cell>
          <cell r="E591" t="str">
            <v>minute &amp; call</v>
          </cell>
          <cell r="F591">
            <v>1</v>
          </cell>
          <cell r="G591">
            <v>1</v>
          </cell>
          <cell r="H591">
            <v>0</v>
          </cell>
          <cell r="I591">
            <v>0</v>
          </cell>
          <cell r="J591">
            <v>5.0999999999999997E-2</v>
          </cell>
          <cell r="K591">
            <v>0</v>
          </cell>
          <cell r="L591">
            <v>4.2999999999999997E-2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A592" t="str">
            <v>DOM MAY MY316</v>
          </cell>
          <cell r="B592" t="str">
            <v>Business Talk</v>
          </cell>
          <cell r="C592" t="str">
            <v>Mayotte 3Bpq Band16</v>
          </cell>
          <cell r="D592" t="str">
            <v>Off-net domestic</v>
          </cell>
          <cell r="E592" t="str">
            <v>minute &amp; call</v>
          </cell>
          <cell r="F592">
            <v>1</v>
          </cell>
          <cell r="G592">
            <v>1</v>
          </cell>
          <cell r="H592">
            <v>0</v>
          </cell>
          <cell r="I592">
            <v>0</v>
          </cell>
          <cell r="J592">
            <v>2.3E-2</v>
          </cell>
          <cell r="K592">
            <v>0</v>
          </cell>
          <cell r="L592">
            <v>6.5000000000000002E-2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</row>
        <row r="593">
          <cell r="A593" t="str">
            <v>DOM MAY MY317</v>
          </cell>
          <cell r="B593" t="str">
            <v>Business Talk</v>
          </cell>
          <cell r="C593" t="str">
            <v>Mayotte 3Bpq Band17</v>
          </cell>
          <cell r="D593" t="str">
            <v>Off-net domestic</v>
          </cell>
          <cell r="E593" t="str">
            <v>minute &amp; call</v>
          </cell>
          <cell r="F593">
            <v>1</v>
          </cell>
          <cell r="G593">
            <v>1</v>
          </cell>
          <cell r="H593">
            <v>0</v>
          </cell>
          <cell r="I593">
            <v>0</v>
          </cell>
          <cell r="J593">
            <v>2.4E-2</v>
          </cell>
          <cell r="K593">
            <v>0</v>
          </cell>
          <cell r="L593">
            <v>7.5999999999999998E-2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</row>
        <row r="594">
          <cell r="A594" t="str">
            <v>DOM MAY MY318</v>
          </cell>
          <cell r="B594" t="str">
            <v>Business Talk</v>
          </cell>
          <cell r="C594" t="str">
            <v>Mayotte 3Bpq Band18</v>
          </cell>
          <cell r="D594" t="str">
            <v>Off-net domestic</v>
          </cell>
          <cell r="E594" t="str">
            <v>call</v>
          </cell>
          <cell r="F594">
            <v>1</v>
          </cell>
          <cell r="G594">
            <v>1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9.4E-2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</row>
        <row r="595">
          <cell r="A595" t="str">
            <v>DOM MAY MY319</v>
          </cell>
          <cell r="B595" t="str">
            <v>Business Talk</v>
          </cell>
          <cell r="C595" t="str">
            <v>Mayotte 3Bpq Band19</v>
          </cell>
          <cell r="D595" t="str">
            <v>Off-net domestic</v>
          </cell>
          <cell r="E595" t="str">
            <v>minute &amp; call</v>
          </cell>
          <cell r="F595">
            <v>1</v>
          </cell>
          <cell r="G595">
            <v>1</v>
          </cell>
          <cell r="H595">
            <v>0</v>
          </cell>
          <cell r="I595">
            <v>0</v>
          </cell>
          <cell r="J595">
            <v>0.125</v>
          </cell>
          <cell r="K595">
            <v>0</v>
          </cell>
          <cell r="L595">
            <v>9.4E-2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</row>
        <row r="596">
          <cell r="A596" t="str">
            <v>DOM MAY MY320</v>
          </cell>
          <cell r="B596" t="str">
            <v>Business Talk</v>
          </cell>
          <cell r="C596" t="str">
            <v>Mayotte 3Bpq Band20</v>
          </cell>
          <cell r="D596" t="str">
            <v>Off-net domestic</v>
          </cell>
          <cell r="E596" t="str">
            <v>minute &amp; call</v>
          </cell>
          <cell r="F596">
            <v>1</v>
          </cell>
          <cell r="G596">
            <v>1</v>
          </cell>
          <cell r="H596">
            <v>0</v>
          </cell>
          <cell r="I596">
            <v>0</v>
          </cell>
          <cell r="J596">
            <v>4.7E-2</v>
          </cell>
          <cell r="K596">
            <v>0</v>
          </cell>
          <cell r="L596">
            <v>0.14099999999999999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A597" t="str">
            <v>DOM MAY MY321</v>
          </cell>
          <cell r="B597" t="str">
            <v>Business Talk</v>
          </cell>
          <cell r="C597" t="str">
            <v>Mayotte 3Bpq Band21</v>
          </cell>
          <cell r="D597" t="str">
            <v>Off-net domestic</v>
          </cell>
          <cell r="E597" t="str">
            <v>call</v>
          </cell>
          <cell r="F597">
            <v>1</v>
          </cell>
          <cell r="G597">
            <v>1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0.47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A598" t="str">
            <v>DOM MAY MYVAS</v>
          </cell>
          <cell r="B598" t="str">
            <v>Business Talk</v>
          </cell>
          <cell r="C598" t="str">
            <v>Mayotte 3Bpq Band22</v>
          </cell>
          <cell r="D598" t="str">
            <v>Off-net domestic</v>
          </cell>
          <cell r="E598" t="str">
            <v>minute &amp; call</v>
          </cell>
          <cell r="F598">
            <v>1</v>
          </cell>
          <cell r="G598">
            <v>1</v>
          </cell>
          <cell r="H598">
            <v>0</v>
          </cell>
          <cell r="I598">
            <v>0</v>
          </cell>
          <cell r="J598">
            <v>0.28100000000000003</v>
          </cell>
          <cell r="K598">
            <v>0</v>
          </cell>
          <cell r="L598">
            <v>1.1297999999999999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A599" t="str">
            <v>DOM MAY MYSOS</v>
          </cell>
          <cell r="B599" t="str">
            <v>Business Talk</v>
          </cell>
          <cell r="C599" t="str">
            <v>Mayotte Emerg Short Nr</v>
          </cell>
          <cell r="D599" t="str">
            <v>Off-net domestic</v>
          </cell>
          <cell r="E599" t="str">
            <v>minute</v>
          </cell>
          <cell r="F599">
            <v>1</v>
          </cell>
          <cell r="G599">
            <v>1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</row>
        <row r="600">
          <cell r="A600" t="str">
            <v>DOM MAY MY860</v>
          </cell>
          <cell r="B600" t="str">
            <v>Business Talk</v>
          </cell>
          <cell r="C600" t="str">
            <v>Mayotte Internet Dial Up</v>
          </cell>
          <cell r="D600" t="str">
            <v>Off-net domestic</v>
          </cell>
          <cell r="E600" t="str">
            <v>minute</v>
          </cell>
          <cell r="F600">
            <v>1</v>
          </cell>
          <cell r="G600">
            <v>1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A601" t="str">
            <v>DOM MAY MY82H</v>
          </cell>
          <cell r="B601" t="str">
            <v>Business Talk</v>
          </cell>
          <cell r="C601" t="str">
            <v>Mayotte Premium 820 High</v>
          </cell>
          <cell r="D601" t="str">
            <v>Off-net domestic</v>
          </cell>
          <cell r="E601" t="str">
            <v>minute &amp; call</v>
          </cell>
          <cell r="F601">
            <v>1</v>
          </cell>
          <cell r="G601">
            <v>1</v>
          </cell>
          <cell r="H601">
            <v>0</v>
          </cell>
          <cell r="I601">
            <v>0</v>
          </cell>
          <cell r="J601">
            <v>9.9000000000000005E-2</v>
          </cell>
          <cell r="K601">
            <v>0</v>
          </cell>
          <cell r="L601">
            <v>9.4E-2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</row>
        <row r="602">
          <cell r="A602" t="str">
            <v>DOM MAY MY82L</v>
          </cell>
          <cell r="B602" t="str">
            <v>Business Talk</v>
          </cell>
          <cell r="C602" t="str">
            <v>Mayotte Premium 820 Low</v>
          </cell>
          <cell r="D602" t="str">
            <v>Off-net domestic</v>
          </cell>
          <cell r="E602" t="str">
            <v>minute &amp; call</v>
          </cell>
          <cell r="F602">
            <v>1</v>
          </cell>
          <cell r="G602">
            <v>1</v>
          </cell>
          <cell r="H602">
            <v>0</v>
          </cell>
          <cell r="I602">
            <v>0</v>
          </cell>
          <cell r="J602">
            <v>7.4999999999999997E-2</v>
          </cell>
          <cell r="K602">
            <v>0</v>
          </cell>
          <cell r="L602">
            <v>9.4E-2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A603" t="str">
            <v>DOM MAY MY825</v>
          </cell>
          <cell r="B603" t="str">
            <v>Business Talk</v>
          </cell>
          <cell r="C603" t="str">
            <v>Mayotte Premium 825</v>
          </cell>
          <cell r="D603" t="str">
            <v>Off-net domestic</v>
          </cell>
          <cell r="E603" t="str">
            <v>minute</v>
          </cell>
          <cell r="F603">
            <v>1</v>
          </cell>
          <cell r="G603">
            <v>1</v>
          </cell>
          <cell r="H603">
            <v>0</v>
          </cell>
          <cell r="I603">
            <v>0</v>
          </cell>
          <cell r="J603">
            <v>0.12529999999999999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</row>
        <row r="604">
          <cell r="A604" t="str">
            <v>DOM MAY MY89H</v>
          </cell>
          <cell r="B604" t="str">
            <v>Business Talk</v>
          </cell>
          <cell r="C604" t="str">
            <v>Mayotte Premium 890 High</v>
          </cell>
          <cell r="D604" t="str">
            <v>Off-net domestic</v>
          </cell>
          <cell r="E604" t="str">
            <v>minute</v>
          </cell>
          <cell r="F604">
            <v>1</v>
          </cell>
          <cell r="G604">
            <v>1</v>
          </cell>
          <cell r="H604">
            <v>0</v>
          </cell>
          <cell r="I604">
            <v>0</v>
          </cell>
          <cell r="J604">
            <v>0.12529999999999999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</row>
        <row r="605">
          <cell r="A605" t="str">
            <v>DOM MAY MY89L</v>
          </cell>
          <cell r="B605" t="str">
            <v>Business Talk</v>
          </cell>
          <cell r="C605" t="str">
            <v>Mayotte Premium 890 Low</v>
          </cell>
          <cell r="D605" t="str">
            <v>Off-net domestic</v>
          </cell>
          <cell r="E605" t="str">
            <v>minute</v>
          </cell>
          <cell r="F605">
            <v>1</v>
          </cell>
          <cell r="G605">
            <v>1</v>
          </cell>
          <cell r="H605">
            <v>0</v>
          </cell>
          <cell r="I605">
            <v>0</v>
          </cell>
          <cell r="J605">
            <v>9.4E-2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A606" t="str">
            <v>DOM MAY MY891</v>
          </cell>
          <cell r="B606" t="str">
            <v>Business Talk</v>
          </cell>
          <cell r="C606" t="str">
            <v>Mayotte Premium 891</v>
          </cell>
          <cell r="D606" t="str">
            <v>Off-net domestic</v>
          </cell>
          <cell r="E606" t="str">
            <v>minute</v>
          </cell>
          <cell r="F606">
            <v>1</v>
          </cell>
          <cell r="G606">
            <v>1</v>
          </cell>
          <cell r="H606">
            <v>0</v>
          </cell>
          <cell r="I606">
            <v>0</v>
          </cell>
          <cell r="J606">
            <v>0.188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</row>
        <row r="607">
          <cell r="A607" t="str">
            <v>DOM MAY MY892</v>
          </cell>
          <cell r="B607" t="str">
            <v>Business Talk</v>
          </cell>
          <cell r="C607" t="str">
            <v>Mayotte Premium 892</v>
          </cell>
          <cell r="D607" t="str">
            <v>Off-net domestic</v>
          </cell>
          <cell r="E607" t="str">
            <v>minute</v>
          </cell>
          <cell r="F607">
            <v>1</v>
          </cell>
          <cell r="G607">
            <v>1</v>
          </cell>
          <cell r="H607">
            <v>0</v>
          </cell>
          <cell r="I607">
            <v>0</v>
          </cell>
          <cell r="J607">
            <v>0.28199999999999997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</row>
        <row r="608">
          <cell r="A608" t="str">
            <v>DOM MAY MY897</v>
          </cell>
          <cell r="B608" t="str">
            <v>Business Talk</v>
          </cell>
          <cell r="C608" t="str">
            <v>Mayotte Premium 897</v>
          </cell>
          <cell r="D608" t="str">
            <v>Off-net domestic</v>
          </cell>
          <cell r="E608" t="str">
            <v>call</v>
          </cell>
          <cell r="F608">
            <v>1</v>
          </cell>
          <cell r="G608">
            <v>1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0.47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</row>
        <row r="609">
          <cell r="A609" t="str">
            <v>DOM MAY MY899</v>
          </cell>
          <cell r="B609" t="str">
            <v>Business Talk</v>
          </cell>
          <cell r="C609" t="str">
            <v>Mayotte Premium 899</v>
          </cell>
          <cell r="D609" t="str">
            <v>Off-net domestic</v>
          </cell>
          <cell r="E609" t="str">
            <v>minute &amp; call</v>
          </cell>
          <cell r="F609">
            <v>1</v>
          </cell>
          <cell r="G609">
            <v>1</v>
          </cell>
          <cell r="H609">
            <v>0</v>
          </cell>
          <cell r="I609">
            <v>0</v>
          </cell>
          <cell r="J609">
            <v>0.28199999999999997</v>
          </cell>
          <cell r="K609">
            <v>0</v>
          </cell>
          <cell r="L609">
            <v>1.1276999999999999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</row>
        <row r="610">
          <cell r="A610" t="str">
            <v>DOM MAY MY006</v>
          </cell>
          <cell r="B610" t="str">
            <v>Business Talk</v>
          </cell>
          <cell r="C610" t="str">
            <v>Mayotte Tel. Info. 118006</v>
          </cell>
          <cell r="D610" t="str">
            <v>Off-net domestic</v>
          </cell>
          <cell r="E610" t="str">
            <v>minute &amp; call</v>
          </cell>
          <cell r="F610">
            <v>1</v>
          </cell>
          <cell r="G610">
            <v>1</v>
          </cell>
          <cell r="H610">
            <v>0</v>
          </cell>
          <cell r="I610">
            <v>0</v>
          </cell>
          <cell r="J610">
            <v>0.28199999999999997</v>
          </cell>
          <cell r="K610">
            <v>0</v>
          </cell>
          <cell r="L610">
            <v>1.1279999999999999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</row>
        <row r="611">
          <cell r="A611" t="str">
            <v>DOM MAY MY218</v>
          </cell>
          <cell r="B611" t="str">
            <v>Business Talk</v>
          </cell>
          <cell r="C611" t="str">
            <v>Mayotte Tel. Info. 118218</v>
          </cell>
          <cell r="D611" t="str">
            <v>Off-net domestic</v>
          </cell>
          <cell r="E611" t="str">
            <v>minute &amp; call</v>
          </cell>
          <cell r="F611">
            <v>1</v>
          </cell>
          <cell r="G611">
            <v>1</v>
          </cell>
          <cell r="H611">
            <v>0</v>
          </cell>
          <cell r="I611">
            <v>0</v>
          </cell>
          <cell r="J611">
            <v>0.752</v>
          </cell>
          <cell r="K611">
            <v>0</v>
          </cell>
          <cell r="L611">
            <v>0.752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</row>
        <row r="612">
          <cell r="A612" t="str">
            <v>DOM MAY MY222</v>
          </cell>
          <cell r="B612" t="str">
            <v>Business Talk</v>
          </cell>
          <cell r="C612" t="str">
            <v>Mayotte Tel. Info. 118222</v>
          </cell>
          <cell r="D612" t="str">
            <v>Off-net domestic</v>
          </cell>
          <cell r="E612" t="str">
            <v>minute &amp; call</v>
          </cell>
          <cell r="F612">
            <v>1</v>
          </cell>
          <cell r="G612">
            <v>1</v>
          </cell>
          <cell r="H612">
            <v>0</v>
          </cell>
          <cell r="I612">
            <v>0</v>
          </cell>
          <cell r="J612">
            <v>0.188</v>
          </cell>
          <cell r="K612">
            <v>0</v>
          </cell>
          <cell r="L612">
            <v>1.1279999999999999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</row>
        <row r="613">
          <cell r="A613" t="str">
            <v>DOM MAY MY700</v>
          </cell>
          <cell r="B613" t="str">
            <v>Business Talk</v>
          </cell>
          <cell r="C613" t="str">
            <v>Mayotte Tel. Info. 118700</v>
          </cell>
          <cell r="D613" t="str">
            <v>Off-net domestic</v>
          </cell>
          <cell r="E613" t="str">
            <v>call</v>
          </cell>
          <cell r="F613">
            <v>1</v>
          </cell>
          <cell r="G613">
            <v>1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2.5099999999999998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</row>
        <row r="614">
          <cell r="A614" t="str">
            <v>DOM MAY MY710</v>
          </cell>
          <cell r="B614" t="str">
            <v>Business Talk</v>
          </cell>
          <cell r="C614" t="str">
            <v>Mayotte Tel. Info. 118710</v>
          </cell>
          <cell r="D614" t="str">
            <v>Off-net domestic</v>
          </cell>
          <cell r="E614" t="str">
            <v>minute</v>
          </cell>
          <cell r="F614">
            <v>1</v>
          </cell>
          <cell r="G614">
            <v>1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</row>
        <row r="615">
          <cell r="A615" t="str">
            <v>DOM MAY MY711</v>
          </cell>
          <cell r="B615" t="str">
            <v>Business Talk</v>
          </cell>
          <cell r="C615" t="str">
            <v>Mayotte Tel. Info. 118711</v>
          </cell>
          <cell r="D615" t="str">
            <v>Off-net domestic</v>
          </cell>
          <cell r="E615" t="str">
            <v>minute &amp; call</v>
          </cell>
          <cell r="F615">
            <v>1</v>
          </cell>
          <cell r="G615">
            <v>1</v>
          </cell>
          <cell r="H615">
            <v>0</v>
          </cell>
          <cell r="I615">
            <v>0</v>
          </cell>
          <cell r="J615">
            <v>0.28199999999999997</v>
          </cell>
          <cell r="K615">
            <v>0</v>
          </cell>
          <cell r="L615">
            <v>0.65800000000000003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</row>
        <row r="616">
          <cell r="A616" t="str">
            <v>DOM MAY MY712</v>
          </cell>
          <cell r="B616" t="str">
            <v>Business Talk</v>
          </cell>
          <cell r="C616" t="str">
            <v>Mayotte Tel. Info. 118712</v>
          </cell>
          <cell r="D616" t="str">
            <v>Off-net domestic</v>
          </cell>
          <cell r="E616" t="str">
            <v>minute &amp; call</v>
          </cell>
          <cell r="F616">
            <v>1</v>
          </cell>
          <cell r="G616">
            <v>1</v>
          </cell>
          <cell r="H616">
            <v>0</v>
          </cell>
          <cell r="I616">
            <v>0</v>
          </cell>
          <cell r="J616">
            <v>0.376</v>
          </cell>
          <cell r="K616">
            <v>0</v>
          </cell>
          <cell r="L616">
            <v>1.222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</row>
        <row r="617">
          <cell r="A617" t="str">
            <v>DOM MAY MY888</v>
          </cell>
          <cell r="B617" t="str">
            <v>Business Talk</v>
          </cell>
          <cell r="C617" t="str">
            <v>Mayotte Tel. Info. 118888</v>
          </cell>
          <cell r="D617" t="str">
            <v>Off-net domestic</v>
          </cell>
          <cell r="E617" t="str">
            <v>minute &amp; call</v>
          </cell>
          <cell r="F617">
            <v>1</v>
          </cell>
          <cell r="G617">
            <v>1</v>
          </cell>
          <cell r="H617">
            <v>0</v>
          </cell>
          <cell r="I617">
            <v>0</v>
          </cell>
          <cell r="J617">
            <v>9.4E-2</v>
          </cell>
          <cell r="K617">
            <v>0</v>
          </cell>
          <cell r="L617">
            <v>0.94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A618" t="str">
            <v>DOM MAY MYFRE</v>
          </cell>
          <cell r="B618" t="str">
            <v>Business Talk</v>
          </cell>
          <cell r="C618" t="str">
            <v>Mayotte Toll Free</v>
          </cell>
          <cell r="D618" t="str">
            <v>Off-net domestic</v>
          </cell>
          <cell r="E618" t="str">
            <v>minute</v>
          </cell>
          <cell r="F618">
            <v>1</v>
          </cell>
          <cell r="G618">
            <v>1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</row>
        <row r="619">
          <cell r="A619" t="str">
            <v>DOM MAY MY810</v>
          </cell>
          <cell r="B619" t="str">
            <v>Business Talk</v>
          </cell>
          <cell r="C619" t="str">
            <v>Mayotte Toll Share</v>
          </cell>
          <cell r="D619" t="str">
            <v>Off-net domestic</v>
          </cell>
          <cell r="E619" t="str">
            <v>minute &amp; call</v>
          </cell>
          <cell r="F619">
            <v>1</v>
          </cell>
          <cell r="G619">
            <v>1</v>
          </cell>
          <cell r="H619">
            <v>0</v>
          </cell>
          <cell r="I619">
            <v>0</v>
          </cell>
          <cell r="J619">
            <v>2.3E-2</v>
          </cell>
          <cell r="K619">
            <v>0</v>
          </cell>
          <cell r="L619">
            <v>6.5000000000000002E-2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A620" t="str">
            <v>DOM NDL OPAR</v>
          </cell>
          <cell r="B620" t="str">
            <v>Business Talk</v>
          </cell>
          <cell r="C620" t="str">
            <v>Netherlands National</v>
          </cell>
          <cell r="D620" t="str">
            <v>Off-net domestic</v>
          </cell>
          <cell r="E620" t="str">
            <v>minute</v>
          </cell>
          <cell r="F620">
            <v>1</v>
          </cell>
          <cell r="G620">
            <v>1</v>
          </cell>
          <cell r="H620">
            <v>0</v>
          </cell>
          <cell r="I620">
            <v>0</v>
          </cell>
          <cell r="J620">
            <v>1.52E-2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A621" t="str">
            <v>DOM NDL NDKPN</v>
          </cell>
          <cell r="B621" t="str">
            <v>Business Talk</v>
          </cell>
          <cell r="C621" t="str">
            <v>Netherlands Mobile Kpn</v>
          </cell>
          <cell r="D621" t="str">
            <v>Off-net domestic</v>
          </cell>
          <cell r="E621" t="str">
            <v>minute</v>
          </cell>
          <cell r="F621">
            <v>1</v>
          </cell>
          <cell r="G621">
            <v>1</v>
          </cell>
          <cell r="H621">
            <v>0</v>
          </cell>
          <cell r="I621">
            <v>0</v>
          </cell>
          <cell r="J621">
            <v>5.45E-2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A622" t="str">
            <v>DOM NDL CNDL3</v>
          </cell>
          <cell r="B622" t="str">
            <v>Business Talk</v>
          </cell>
          <cell r="C622" t="str">
            <v>Netherlands Mobile Other</v>
          </cell>
          <cell r="D622" t="str">
            <v>Off-net domestic</v>
          </cell>
          <cell r="E622" t="str">
            <v>minute</v>
          </cell>
          <cell r="F622">
            <v>1</v>
          </cell>
          <cell r="G622">
            <v>1</v>
          </cell>
          <cell r="H622">
            <v>0</v>
          </cell>
          <cell r="I622">
            <v>0</v>
          </cell>
          <cell r="J622">
            <v>5.45E-2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A623" t="str">
            <v>DOM NDL NDTMO</v>
          </cell>
          <cell r="B623" t="str">
            <v>Business Talk</v>
          </cell>
          <cell r="C623" t="str">
            <v>Netherlands Mobile T-Mobile</v>
          </cell>
          <cell r="D623" t="str">
            <v>Off-net domestic</v>
          </cell>
          <cell r="E623" t="str">
            <v>minute</v>
          </cell>
          <cell r="F623">
            <v>1</v>
          </cell>
          <cell r="G623">
            <v>1</v>
          </cell>
          <cell r="H623">
            <v>0</v>
          </cell>
          <cell r="I623">
            <v>0</v>
          </cell>
          <cell r="J623">
            <v>5.45E-2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</row>
        <row r="624">
          <cell r="A624" t="str">
            <v>DOM NDL NDVOD</v>
          </cell>
          <cell r="B624" t="str">
            <v>Business Talk</v>
          </cell>
          <cell r="C624" t="str">
            <v>Netherlands Mobile Vodafone</v>
          </cell>
          <cell r="D624" t="str">
            <v>Off-net domestic</v>
          </cell>
          <cell r="E624" t="str">
            <v>minute</v>
          </cell>
          <cell r="F624">
            <v>1</v>
          </cell>
          <cell r="G624">
            <v>1</v>
          </cell>
          <cell r="H624">
            <v>0</v>
          </cell>
          <cell r="I624">
            <v>0</v>
          </cell>
          <cell r="J624">
            <v>5.45E-2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A625" t="str">
            <v>DOM NDL NDACC</v>
          </cell>
          <cell r="B625" t="str">
            <v>Business Talk</v>
          </cell>
          <cell r="C625" t="str">
            <v>Netherlands Access Services</v>
          </cell>
          <cell r="D625" t="str">
            <v>Off-net domestic</v>
          </cell>
          <cell r="E625" t="str">
            <v>minute</v>
          </cell>
          <cell r="F625">
            <v>1</v>
          </cell>
          <cell r="G625">
            <v>1</v>
          </cell>
          <cell r="H625">
            <v>0</v>
          </cell>
          <cell r="I625">
            <v>0</v>
          </cell>
          <cell r="J625">
            <v>4.2299999999999997E-2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</row>
        <row r="626">
          <cell r="A626" t="str">
            <v>DOM NDL NDCOR</v>
          </cell>
          <cell r="B626" t="str">
            <v>Business Talk</v>
          </cell>
          <cell r="C626" t="str">
            <v>Netherlands Corporate</v>
          </cell>
          <cell r="D626" t="str">
            <v>Off-net domestic</v>
          </cell>
          <cell r="E626" t="str">
            <v>minute</v>
          </cell>
          <cell r="F626">
            <v>1</v>
          </cell>
          <cell r="G626">
            <v>1</v>
          </cell>
          <cell r="H626">
            <v>0</v>
          </cell>
          <cell r="I626">
            <v>0</v>
          </cell>
          <cell r="J626">
            <v>4.2299999999999997E-2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</row>
        <row r="627">
          <cell r="A627" t="str">
            <v>DOM NDL NDDIR</v>
          </cell>
          <cell r="B627" t="str">
            <v>Business Talk</v>
          </cell>
          <cell r="C627" t="str">
            <v>Netherlands Directory</v>
          </cell>
          <cell r="D627" t="str">
            <v>Off-net domestic</v>
          </cell>
          <cell r="E627" t="str">
            <v>call</v>
          </cell>
          <cell r="F627">
            <v>1</v>
          </cell>
          <cell r="G627">
            <v>1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1.2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</row>
        <row r="628">
          <cell r="A628" t="str">
            <v>DOM NDL NDDI2</v>
          </cell>
          <cell r="B628" t="str">
            <v>Business Talk</v>
          </cell>
          <cell r="C628" t="str">
            <v>Netherlands Directory 2</v>
          </cell>
          <cell r="D628" t="str">
            <v>Off-net domestic</v>
          </cell>
          <cell r="E628" t="str">
            <v>minute</v>
          </cell>
          <cell r="F628">
            <v>1</v>
          </cell>
          <cell r="G628">
            <v>1</v>
          </cell>
          <cell r="H628">
            <v>0</v>
          </cell>
          <cell r="I628">
            <v>0</v>
          </cell>
          <cell r="J628">
            <v>0.08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</row>
        <row r="629">
          <cell r="A629" t="str">
            <v>DOM NDL NDDI3</v>
          </cell>
          <cell r="B629" t="str">
            <v>Business Talk</v>
          </cell>
          <cell r="C629" t="str">
            <v>Netherlands Directory 3</v>
          </cell>
          <cell r="D629" t="str">
            <v>Off-net domestic</v>
          </cell>
          <cell r="E629" t="str">
            <v>minute</v>
          </cell>
          <cell r="F629">
            <v>1</v>
          </cell>
          <cell r="G629">
            <v>1</v>
          </cell>
          <cell r="H629">
            <v>0</v>
          </cell>
          <cell r="I629">
            <v>0</v>
          </cell>
          <cell r="J629">
            <v>7.0000000000000007E-2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</row>
        <row r="630">
          <cell r="A630" t="str">
            <v>DOM NDL NDDI4</v>
          </cell>
          <cell r="B630" t="str">
            <v>Business Talk</v>
          </cell>
          <cell r="C630" t="str">
            <v>Netherlands Directory 4</v>
          </cell>
          <cell r="D630" t="str">
            <v>Off-net domestic</v>
          </cell>
          <cell r="E630" t="str">
            <v>minute</v>
          </cell>
          <cell r="F630">
            <v>1</v>
          </cell>
          <cell r="G630">
            <v>1</v>
          </cell>
          <cell r="H630">
            <v>0</v>
          </cell>
          <cell r="I630">
            <v>0</v>
          </cell>
          <cell r="J630">
            <v>0.05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A631" t="str">
            <v>DOM NDL NDDI5</v>
          </cell>
          <cell r="B631" t="str">
            <v>Business Talk</v>
          </cell>
          <cell r="C631" t="str">
            <v>Netherlands Directory 5</v>
          </cell>
          <cell r="D631" t="str">
            <v>Off-net domestic</v>
          </cell>
          <cell r="E631" t="str">
            <v>minute</v>
          </cell>
          <cell r="F631">
            <v>1</v>
          </cell>
          <cell r="G631">
            <v>1</v>
          </cell>
          <cell r="H631">
            <v>0</v>
          </cell>
          <cell r="I631">
            <v>0</v>
          </cell>
          <cell r="J631">
            <v>0.06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A632" t="str">
            <v>DOM NDL NDDI6</v>
          </cell>
          <cell r="B632" t="str">
            <v>Business Talk</v>
          </cell>
          <cell r="C632" t="str">
            <v>Netherlands Directory 6</v>
          </cell>
          <cell r="D632" t="str">
            <v>Off-net domestic</v>
          </cell>
          <cell r="E632" t="str">
            <v>call</v>
          </cell>
          <cell r="F632">
            <v>1</v>
          </cell>
          <cell r="G632">
            <v>1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1.2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</row>
        <row r="633">
          <cell r="A633" t="str">
            <v>DOM NDL NDDI7</v>
          </cell>
          <cell r="B633" t="str">
            <v>Business Talk</v>
          </cell>
          <cell r="C633" t="str">
            <v>Netherlands Directory 7</v>
          </cell>
          <cell r="D633" t="str">
            <v>Off-net domestic</v>
          </cell>
          <cell r="E633" t="str">
            <v>call</v>
          </cell>
          <cell r="F633">
            <v>1</v>
          </cell>
          <cell r="G633">
            <v>1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0.8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</row>
        <row r="634">
          <cell r="A634" t="str">
            <v>DOM NDL NDSOS</v>
          </cell>
          <cell r="B634" t="str">
            <v>Business Talk</v>
          </cell>
          <cell r="C634" t="str">
            <v>Netherlands Emergency</v>
          </cell>
          <cell r="D634" t="str">
            <v>Off-net domestic</v>
          </cell>
          <cell r="E634" t="str">
            <v>minute</v>
          </cell>
          <cell r="F634">
            <v>1</v>
          </cell>
          <cell r="G634">
            <v>1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</row>
        <row r="635">
          <cell r="A635" t="str">
            <v>DOM NDL NDHLP</v>
          </cell>
          <cell r="B635" t="str">
            <v>Business Talk</v>
          </cell>
          <cell r="C635" t="str">
            <v>Netherlands Eu Helpline Servis</v>
          </cell>
          <cell r="D635" t="str">
            <v>Off-net domestic</v>
          </cell>
          <cell r="E635" t="str">
            <v>minute</v>
          </cell>
          <cell r="F635">
            <v>1</v>
          </cell>
          <cell r="G635">
            <v>1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A636" t="str">
            <v>DOM NDL NDI10</v>
          </cell>
          <cell r="B636" t="str">
            <v>Business Talk</v>
          </cell>
          <cell r="C636" t="str">
            <v>Netherlands Internet Prov 10</v>
          </cell>
          <cell r="D636" t="str">
            <v>Off-net domestic</v>
          </cell>
          <cell r="E636" t="str">
            <v>minute</v>
          </cell>
          <cell r="F636">
            <v>1</v>
          </cell>
          <cell r="G636">
            <v>1</v>
          </cell>
          <cell r="H636">
            <v>0</v>
          </cell>
          <cell r="I636">
            <v>0</v>
          </cell>
          <cell r="J636">
            <v>3.0800000000000001E-2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</row>
        <row r="637">
          <cell r="A637" t="str">
            <v>DOM NDL NDI11</v>
          </cell>
          <cell r="B637" t="str">
            <v>Business Talk</v>
          </cell>
          <cell r="C637" t="str">
            <v>Netherlands Internet Prov 11</v>
          </cell>
          <cell r="D637" t="str">
            <v>Off-net domestic</v>
          </cell>
          <cell r="E637" t="str">
            <v>minute</v>
          </cell>
          <cell r="F637">
            <v>1</v>
          </cell>
          <cell r="G637">
            <v>1</v>
          </cell>
          <cell r="H637">
            <v>0</v>
          </cell>
          <cell r="I637">
            <v>0</v>
          </cell>
          <cell r="J637">
            <v>3.4099999999999998E-2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</row>
        <row r="638">
          <cell r="A638" t="str">
            <v>DOM NDL NDI12</v>
          </cell>
          <cell r="B638" t="str">
            <v>Business Talk</v>
          </cell>
          <cell r="C638" t="str">
            <v>Netherlands Internet Prov 12</v>
          </cell>
          <cell r="D638" t="str">
            <v>Off-net domestic</v>
          </cell>
          <cell r="E638" t="str">
            <v>minute</v>
          </cell>
          <cell r="F638">
            <v>1</v>
          </cell>
          <cell r="G638">
            <v>1</v>
          </cell>
          <cell r="H638">
            <v>0</v>
          </cell>
          <cell r="I638">
            <v>0</v>
          </cell>
          <cell r="J638">
            <v>4.0800000000000003E-2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</row>
        <row r="639">
          <cell r="A639" t="str">
            <v>DOM NDL NDI13</v>
          </cell>
          <cell r="B639" t="str">
            <v>Business Talk</v>
          </cell>
          <cell r="C639" t="str">
            <v>Netherlands Internet Prov 13</v>
          </cell>
          <cell r="D639" t="str">
            <v>Off-net domestic</v>
          </cell>
          <cell r="E639" t="str">
            <v>minute</v>
          </cell>
          <cell r="F639">
            <v>1</v>
          </cell>
          <cell r="G639">
            <v>1</v>
          </cell>
          <cell r="H639">
            <v>0</v>
          </cell>
          <cell r="I639">
            <v>0</v>
          </cell>
          <cell r="J639">
            <v>2.87E-2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</row>
        <row r="640">
          <cell r="A640" t="str">
            <v>DOM NDL NDI14</v>
          </cell>
          <cell r="B640" t="str">
            <v>Business Talk</v>
          </cell>
          <cell r="C640" t="str">
            <v>Netherlands Internet Prov 14</v>
          </cell>
          <cell r="D640" t="str">
            <v>Off-net domestic</v>
          </cell>
          <cell r="E640" t="str">
            <v>minute</v>
          </cell>
          <cell r="F640">
            <v>1</v>
          </cell>
          <cell r="G640">
            <v>1</v>
          </cell>
          <cell r="H640">
            <v>0</v>
          </cell>
          <cell r="I640">
            <v>0</v>
          </cell>
          <cell r="J640">
            <v>2.7699999999999999E-2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</row>
        <row r="641">
          <cell r="A641" t="str">
            <v>DOM NDL NDI15</v>
          </cell>
          <cell r="B641" t="str">
            <v>Business Talk</v>
          </cell>
          <cell r="C641" t="str">
            <v>Netherlands Internet Prov 15</v>
          </cell>
          <cell r="D641" t="str">
            <v>Off-net domestic</v>
          </cell>
          <cell r="E641" t="str">
            <v>minute</v>
          </cell>
          <cell r="F641">
            <v>1</v>
          </cell>
          <cell r="G641">
            <v>1</v>
          </cell>
          <cell r="H641">
            <v>0</v>
          </cell>
          <cell r="I641">
            <v>0</v>
          </cell>
          <cell r="J641">
            <v>2.98E-2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</row>
        <row r="642">
          <cell r="A642" t="str">
            <v>DOM NDL NDI16</v>
          </cell>
          <cell r="B642" t="str">
            <v>Business Talk</v>
          </cell>
          <cell r="C642" t="str">
            <v>Netherlands Internet Prov 16</v>
          </cell>
          <cell r="D642" t="str">
            <v>Off-net domestic</v>
          </cell>
          <cell r="E642" t="str">
            <v>minute</v>
          </cell>
          <cell r="F642">
            <v>1</v>
          </cell>
          <cell r="G642">
            <v>1</v>
          </cell>
          <cell r="H642">
            <v>0</v>
          </cell>
          <cell r="I642">
            <v>0</v>
          </cell>
          <cell r="J642">
            <v>2.1600000000000001E-2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</row>
        <row r="643">
          <cell r="A643" t="str">
            <v>DOM NDL NDI17</v>
          </cell>
          <cell r="B643" t="str">
            <v>Business Talk</v>
          </cell>
          <cell r="C643" t="str">
            <v>Netherlands Internet Prov 17</v>
          </cell>
          <cell r="D643" t="str">
            <v>Off-net domestic</v>
          </cell>
          <cell r="E643" t="str">
            <v>minute</v>
          </cell>
          <cell r="F643">
            <v>1</v>
          </cell>
          <cell r="G643">
            <v>1</v>
          </cell>
          <cell r="H643">
            <v>0</v>
          </cell>
          <cell r="I643">
            <v>0</v>
          </cell>
          <cell r="J643">
            <v>1.8499999999999999E-2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</row>
        <row r="644">
          <cell r="A644" t="str">
            <v>DOM NDL NDI18</v>
          </cell>
          <cell r="B644" t="str">
            <v>Business Talk</v>
          </cell>
          <cell r="C644" t="str">
            <v>Netherlands Internet Prov 18</v>
          </cell>
          <cell r="D644" t="str">
            <v>Off-net domestic</v>
          </cell>
          <cell r="E644" t="str">
            <v>minute</v>
          </cell>
          <cell r="F644">
            <v>1</v>
          </cell>
          <cell r="G644">
            <v>1</v>
          </cell>
          <cell r="H644">
            <v>0</v>
          </cell>
          <cell r="I644">
            <v>0</v>
          </cell>
          <cell r="J644">
            <v>2.01E-2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</row>
        <row r="645">
          <cell r="A645" t="str">
            <v>DOM NDL NDI19</v>
          </cell>
          <cell r="B645" t="str">
            <v>Business Talk</v>
          </cell>
          <cell r="C645" t="str">
            <v>Netherlands Internet Prov 19</v>
          </cell>
          <cell r="D645" t="str">
            <v>Off-net domestic</v>
          </cell>
          <cell r="E645" t="str">
            <v>minute</v>
          </cell>
          <cell r="F645">
            <v>1</v>
          </cell>
          <cell r="G645">
            <v>1</v>
          </cell>
          <cell r="H645">
            <v>0</v>
          </cell>
          <cell r="I645">
            <v>0</v>
          </cell>
          <cell r="J645">
            <v>3.39E-2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</row>
        <row r="646">
          <cell r="A646" t="str">
            <v>DOM NDL NDI20</v>
          </cell>
          <cell r="B646" t="str">
            <v>Business Talk</v>
          </cell>
          <cell r="C646" t="str">
            <v>Netherlands Internet Prov 20</v>
          </cell>
          <cell r="D646" t="str">
            <v>Off-net domestic</v>
          </cell>
          <cell r="E646" t="str">
            <v>minute</v>
          </cell>
          <cell r="F646">
            <v>1</v>
          </cell>
          <cell r="G646">
            <v>1</v>
          </cell>
          <cell r="H646">
            <v>0</v>
          </cell>
          <cell r="I646">
            <v>0</v>
          </cell>
          <cell r="J646">
            <v>2.6700000000000002E-2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</row>
        <row r="647">
          <cell r="A647" t="str">
            <v>DOM NDL NDI21</v>
          </cell>
          <cell r="B647" t="str">
            <v>Business Talk</v>
          </cell>
          <cell r="C647" t="str">
            <v>Netherlands Internet Prov 21</v>
          </cell>
          <cell r="D647" t="str">
            <v>Off-net domestic</v>
          </cell>
          <cell r="E647" t="str">
            <v>minute</v>
          </cell>
          <cell r="F647">
            <v>1</v>
          </cell>
          <cell r="G647">
            <v>1</v>
          </cell>
          <cell r="H647">
            <v>0</v>
          </cell>
          <cell r="I647">
            <v>0</v>
          </cell>
          <cell r="J647">
            <v>3.2899999999999999E-2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</row>
        <row r="648">
          <cell r="A648" t="str">
            <v>DOM NDL NDI22</v>
          </cell>
          <cell r="B648" t="str">
            <v>Business Talk</v>
          </cell>
          <cell r="C648" t="str">
            <v>Netherlands Internet Prov 22</v>
          </cell>
          <cell r="D648" t="str">
            <v>Off-net domestic</v>
          </cell>
          <cell r="E648" t="str">
            <v>minute</v>
          </cell>
          <cell r="F648">
            <v>1</v>
          </cell>
          <cell r="G648">
            <v>1</v>
          </cell>
          <cell r="H648">
            <v>0</v>
          </cell>
          <cell r="I648">
            <v>0</v>
          </cell>
          <cell r="J648">
            <v>3.5499999999999997E-2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</row>
        <row r="649">
          <cell r="A649" t="str">
            <v>DOM NDL NDI23</v>
          </cell>
          <cell r="B649" t="str">
            <v>Business Talk</v>
          </cell>
          <cell r="C649" t="str">
            <v>Netherlands Internet Prov 23</v>
          </cell>
          <cell r="D649" t="str">
            <v>Off-net domestic</v>
          </cell>
          <cell r="E649" t="str">
            <v>minute</v>
          </cell>
          <cell r="F649">
            <v>1</v>
          </cell>
          <cell r="G649">
            <v>1</v>
          </cell>
          <cell r="H649">
            <v>0</v>
          </cell>
          <cell r="I649">
            <v>0</v>
          </cell>
          <cell r="J649">
            <v>2.7699999999999999E-2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</row>
        <row r="650">
          <cell r="A650" t="str">
            <v>DOM NDL NDI24</v>
          </cell>
          <cell r="B650" t="str">
            <v>Business Talk</v>
          </cell>
          <cell r="C650" t="str">
            <v>Netherlands Internet Prov 24</v>
          </cell>
          <cell r="D650" t="str">
            <v>Off-net domestic</v>
          </cell>
          <cell r="E650" t="str">
            <v>minute</v>
          </cell>
          <cell r="F650">
            <v>1</v>
          </cell>
          <cell r="G650">
            <v>1</v>
          </cell>
          <cell r="H650">
            <v>0</v>
          </cell>
          <cell r="I650">
            <v>0</v>
          </cell>
          <cell r="J650">
            <v>3.6600000000000001E-2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</row>
        <row r="651">
          <cell r="A651" t="str">
            <v>DOM NDL NDI25</v>
          </cell>
          <cell r="B651" t="str">
            <v>Business Talk</v>
          </cell>
          <cell r="C651" t="str">
            <v>Netherlands Internet Prov 25</v>
          </cell>
          <cell r="D651" t="str">
            <v>Off-net domestic</v>
          </cell>
          <cell r="E651" t="str">
            <v>minute</v>
          </cell>
          <cell r="F651">
            <v>1</v>
          </cell>
          <cell r="G651">
            <v>1</v>
          </cell>
          <cell r="H651">
            <v>0</v>
          </cell>
          <cell r="I651">
            <v>0</v>
          </cell>
          <cell r="J651">
            <v>3.6600000000000001E-2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</row>
        <row r="652">
          <cell r="A652" t="str">
            <v>DOM NDL NDI26</v>
          </cell>
          <cell r="B652" t="str">
            <v>Business Talk</v>
          </cell>
          <cell r="C652" t="str">
            <v>Netherlands Internet Prov 26</v>
          </cell>
          <cell r="D652" t="str">
            <v>Off-net domestic</v>
          </cell>
          <cell r="E652" t="str">
            <v>minute</v>
          </cell>
          <cell r="F652">
            <v>1</v>
          </cell>
          <cell r="G652">
            <v>1</v>
          </cell>
          <cell r="H652">
            <v>0</v>
          </cell>
          <cell r="I652">
            <v>0</v>
          </cell>
          <cell r="J652">
            <v>3.8899999999999997E-2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</row>
        <row r="653">
          <cell r="A653" t="str">
            <v>DOM NDL NDI27</v>
          </cell>
          <cell r="B653" t="str">
            <v>Business Talk</v>
          </cell>
          <cell r="C653" t="str">
            <v>Netherlands Internet Prov 27</v>
          </cell>
          <cell r="D653" t="str">
            <v>Off-net domestic</v>
          </cell>
          <cell r="E653" t="str">
            <v>minute</v>
          </cell>
          <cell r="F653">
            <v>1</v>
          </cell>
          <cell r="G653">
            <v>1</v>
          </cell>
          <cell r="H653">
            <v>0</v>
          </cell>
          <cell r="I653">
            <v>0</v>
          </cell>
          <cell r="J653">
            <v>2.9700000000000001E-2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</row>
        <row r="654">
          <cell r="A654" t="str">
            <v>DOM NDL NDI28</v>
          </cell>
          <cell r="B654" t="str">
            <v>Business Talk</v>
          </cell>
          <cell r="C654" t="str">
            <v>Netherlands Internet Prov 28</v>
          </cell>
          <cell r="D654" t="str">
            <v>Off-net domestic</v>
          </cell>
          <cell r="E654" t="str">
            <v>minute</v>
          </cell>
          <cell r="F654">
            <v>1</v>
          </cell>
          <cell r="G654">
            <v>1</v>
          </cell>
          <cell r="H654">
            <v>0</v>
          </cell>
          <cell r="I654">
            <v>0</v>
          </cell>
          <cell r="J654">
            <v>4.02E-2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</row>
        <row r="655">
          <cell r="A655" t="str">
            <v>DOM NDL NDI29</v>
          </cell>
          <cell r="B655" t="str">
            <v>Business Talk</v>
          </cell>
          <cell r="C655" t="str">
            <v>Netherlands Internet Prov 29</v>
          </cell>
          <cell r="D655" t="str">
            <v>Off-net domestic</v>
          </cell>
          <cell r="E655" t="str">
            <v>minute</v>
          </cell>
          <cell r="F655">
            <v>1</v>
          </cell>
          <cell r="G655">
            <v>1</v>
          </cell>
          <cell r="H655">
            <v>0</v>
          </cell>
          <cell r="I655">
            <v>0</v>
          </cell>
          <cell r="J655">
            <v>3.8100000000000002E-2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</row>
        <row r="656">
          <cell r="A656" t="str">
            <v>DOM NDL NDI30</v>
          </cell>
          <cell r="B656" t="str">
            <v>Business Talk</v>
          </cell>
          <cell r="C656" t="str">
            <v>Netherlands Internet Prov 30</v>
          </cell>
          <cell r="D656" t="str">
            <v>Off-net domestic</v>
          </cell>
          <cell r="E656" t="str">
            <v>minute</v>
          </cell>
          <cell r="F656">
            <v>1</v>
          </cell>
          <cell r="G656">
            <v>1</v>
          </cell>
          <cell r="H656">
            <v>0</v>
          </cell>
          <cell r="I656">
            <v>0</v>
          </cell>
          <cell r="J656">
            <v>4.0399999999999998E-2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</row>
        <row r="657">
          <cell r="A657" t="str">
            <v>DOM NDL NDI31</v>
          </cell>
          <cell r="B657" t="str">
            <v>Business Talk</v>
          </cell>
          <cell r="C657" t="str">
            <v>Netherlands Internet Prov 31</v>
          </cell>
          <cell r="D657" t="str">
            <v>Off-net domestic</v>
          </cell>
          <cell r="E657" t="str">
            <v>minute</v>
          </cell>
          <cell r="F657">
            <v>1</v>
          </cell>
          <cell r="G657">
            <v>1</v>
          </cell>
          <cell r="H657">
            <v>0</v>
          </cell>
          <cell r="I657">
            <v>0</v>
          </cell>
          <cell r="J657">
            <v>4.02E-2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</row>
        <row r="658">
          <cell r="A658" t="str">
            <v>DOM NDL NDI32</v>
          </cell>
          <cell r="B658" t="str">
            <v>Business Talk</v>
          </cell>
          <cell r="C658" t="str">
            <v>Netherlands Internet Prov 32</v>
          </cell>
          <cell r="D658" t="str">
            <v>Off-net domestic</v>
          </cell>
          <cell r="E658" t="str">
            <v>minute</v>
          </cell>
          <cell r="F658">
            <v>1</v>
          </cell>
          <cell r="G658">
            <v>1</v>
          </cell>
          <cell r="H658">
            <v>0</v>
          </cell>
          <cell r="I658">
            <v>0</v>
          </cell>
          <cell r="J658">
            <v>4.1399999999999999E-2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</row>
        <row r="659">
          <cell r="A659" t="str">
            <v>DOM NDL NDI33</v>
          </cell>
          <cell r="B659" t="str">
            <v>Business Talk</v>
          </cell>
          <cell r="C659" t="str">
            <v>Netherlands Internet Prov 33</v>
          </cell>
          <cell r="D659" t="str">
            <v>Off-net domestic</v>
          </cell>
          <cell r="E659" t="str">
            <v>minute</v>
          </cell>
          <cell r="F659">
            <v>1</v>
          </cell>
          <cell r="G659">
            <v>1</v>
          </cell>
          <cell r="H659">
            <v>0</v>
          </cell>
          <cell r="I659">
            <v>0</v>
          </cell>
          <cell r="J659">
            <v>4.2700000000000002E-2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</row>
        <row r="660">
          <cell r="A660" t="str">
            <v>DOM NDL NDI34</v>
          </cell>
          <cell r="B660" t="str">
            <v>Business Talk</v>
          </cell>
          <cell r="C660" t="str">
            <v>Netherlands Internet Prov 34</v>
          </cell>
          <cell r="D660" t="str">
            <v>Off-net domestic</v>
          </cell>
          <cell r="E660" t="str">
            <v>minute</v>
          </cell>
          <cell r="F660">
            <v>1</v>
          </cell>
          <cell r="G660">
            <v>1</v>
          </cell>
          <cell r="H660">
            <v>0</v>
          </cell>
          <cell r="I660">
            <v>0</v>
          </cell>
          <cell r="J660">
            <v>3.2399999999999998E-2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A661" t="str">
            <v>DOM NDL NDI35</v>
          </cell>
          <cell r="B661" t="str">
            <v>Business Talk</v>
          </cell>
          <cell r="C661" t="str">
            <v>Netherlands Internet Prov 35</v>
          </cell>
          <cell r="D661" t="str">
            <v>Off-net domestic</v>
          </cell>
          <cell r="E661" t="str">
            <v>minute</v>
          </cell>
          <cell r="F661">
            <v>1</v>
          </cell>
          <cell r="G661">
            <v>1</v>
          </cell>
          <cell r="H661">
            <v>0</v>
          </cell>
          <cell r="I661">
            <v>0</v>
          </cell>
          <cell r="J661">
            <v>3.5799999999999998E-2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</row>
        <row r="662">
          <cell r="A662" t="str">
            <v>DOM NDL NDI36</v>
          </cell>
          <cell r="B662" t="str">
            <v>Business Talk</v>
          </cell>
          <cell r="C662" t="str">
            <v>Netherlands Internet Prov 36</v>
          </cell>
          <cell r="D662" t="str">
            <v>Off-net domestic</v>
          </cell>
          <cell r="E662" t="str">
            <v>minute</v>
          </cell>
          <cell r="F662">
            <v>1</v>
          </cell>
          <cell r="G662">
            <v>1</v>
          </cell>
          <cell r="H662">
            <v>0</v>
          </cell>
          <cell r="I662">
            <v>0</v>
          </cell>
          <cell r="J662">
            <v>4.2500000000000003E-2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</row>
        <row r="663">
          <cell r="A663" t="str">
            <v>DOM NDL NDI37</v>
          </cell>
          <cell r="B663" t="str">
            <v>Business Talk</v>
          </cell>
          <cell r="C663" t="str">
            <v>Netherlands Internet Prov 37</v>
          </cell>
          <cell r="D663" t="str">
            <v>Off-net domestic</v>
          </cell>
          <cell r="E663" t="str">
            <v>minute</v>
          </cell>
          <cell r="F663">
            <v>1</v>
          </cell>
          <cell r="G663">
            <v>1</v>
          </cell>
          <cell r="H663">
            <v>0</v>
          </cell>
          <cell r="I663">
            <v>0</v>
          </cell>
          <cell r="J663">
            <v>3.04E-2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</row>
        <row r="664">
          <cell r="A664" t="str">
            <v>DOM NDL NDI38</v>
          </cell>
          <cell r="B664" t="str">
            <v>Business Talk</v>
          </cell>
          <cell r="C664" t="str">
            <v>Netherlands Internet Prov 38</v>
          </cell>
          <cell r="D664" t="str">
            <v>Off-net domestic</v>
          </cell>
          <cell r="E664" t="str">
            <v>minute</v>
          </cell>
          <cell r="F664">
            <v>1</v>
          </cell>
          <cell r="G664">
            <v>1</v>
          </cell>
          <cell r="H664">
            <v>0</v>
          </cell>
          <cell r="I664">
            <v>0</v>
          </cell>
          <cell r="J664">
            <v>2.3099999999999999E-2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</row>
        <row r="665">
          <cell r="A665" t="str">
            <v>DOM NDL NDI39</v>
          </cell>
          <cell r="B665" t="str">
            <v>Business Talk</v>
          </cell>
          <cell r="C665" t="str">
            <v>Netherlands Internet Prov 39</v>
          </cell>
          <cell r="D665" t="str">
            <v>Off-net domestic</v>
          </cell>
          <cell r="E665" t="str">
            <v>minute</v>
          </cell>
          <cell r="F665">
            <v>1</v>
          </cell>
          <cell r="G665">
            <v>1</v>
          </cell>
          <cell r="H665">
            <v>0</v>
          </cell>
          <cell r="I665">
            <v>0</v>
          </cell>
          <cell r="J665">
            <v>2.01E-2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</row>
        <row r="666">
          <cell r="A666" t="str">
            <v>DOM NDL NDI40</v>
          </cell>
          <cell r="B666" t="str">
            <v>Business Talk</v>
          </cell>
          <cell r="C666" t="str">
            <v>Netherlands Internet Prov 40</v>
          </cell>
          <cell r="D666" t="str">
            <v>Off-net domestic</v>
          </cell>
          <cell r="E666" t="str">
            <v>minute</v>
          </cell>
          <cell r="F666">
            <v>1</v>
          </cell>
          <cell r="G666">
            <v>1</v>
          </cell>
          <cell r="H666">
            <v>0</v>
          </cell>
          <cell r="I666">
            <v>0</v>
          </cell>
          <cell r="J666">
            <v>4.3099999999999999E-2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A667" t="str">
            <v>DOM NDL NDI60</v>
          </cell>
          <cell r="B667" t="str">
            <v>Business Talk</v>
          </cell>
          <cell r="C667" t="str">
            <v>Netherlands Internet Prov 60</v>
          </cell>
          <cell r="D667" t="str">
            <v>Off-net domestic</v>
          </cell>
          <cell r="E667" t="str">
            <v>minute</v>
          </cell>
          <cell r="F667">
            <v>1</v>
          </cell>
          <cell r="G667">
            <v>1</v>
          </cell>
          <cell r="H667">
            <v>0</v>
          </cell>
          <cell r="I667">
            <v>0</v>
          </cell>
          <cell r="J667">
            <v>2.8500000000000001E-2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A668" t="str">
            <v>DOM NDL NDI61</v>
          </cell>
          <cell r="B668" t="str">
            <v>Business Talk</v>
          </cell>
          <cell r="C668" t="str">
            <v>Netherlands Internet Prov 61</v>
          </cell>
          <cell r="D668" t="str">
            <v>Off-net domestic</v>
          </cell>
          <cell r="E668" t="str">
            <v>minute</v>
          </cell>
          <cell r="F668">
            <v>1</v>
          </cell>
          <cell r="G668">
            <v>1</v>
          </cell>
          <cell r="H668">
            <v>0</v>
          </cell>
          <cell r="I668">
            <v>0</v>
          </cell>
          <cell r="J668">
            <v>3.1699999999999999E-2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</row>
        <row r="669">
          <cell r="A669" t="str">
            <v>DOM NDL NDI62</v>
          </cell>
          <cell r="B669" t="str">
            <v>Business Talk</v>
          </cell>
          <cell r="C669" t="str">
            <v>Netherlands Internet Prov 62</v>
          </cell>
          <cell r="D669" t="str">
            <v>Off-net domestic</v>
          </cell>
          <cell r="E669" t="str">
            <v>minute</v>
          </cell>
          <cell r="F669">
            <v>1</v>
          </cell>
          <cell r="G669">
            <v>1</v>
          </cell>
          <cell r="H669">
            <v>0</v>
          </cell>
          <cell r="I669">
            <v>0</v>
          </cell>
          <cell r="J669">
            <v>3.8100000000000002E-2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</row>
        <row r="670">
          <cell r="A670" t="str">
            <v>DOM NDL NDI63</v>
          </cell>
          <cell r="B670" t="str">
            <v>Business Talk</v>
          </cell>
          <cell r="C670" t="str">
            <v>Netherlands Internet Prov 63</v>
          </cell>
          <cell r="D670" t="str">
            <v>Off-net domestic</v>
          </cell>
          <cell r="E670" t="str">
            <v>minute</v>
          </cell>
          <cell r="F670">
            <v>1</v>
          </cell>
          <cell r="G670">
            <v>1</v>
          </cell>
          <cell r="H670">
            <v>0</v>
          </cell>
          <cell r="I670">
            <v>0</v>
          </cell>
          <cell r="J670">
            <v>2.64E-2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</row>
        <row r="671">
          <cell r="A671" t="str">
            <v>DOM NDL NDI64</v>
          </cell>
          <cell r="B671" t="str">
            <v>Business Talk</v>
          </cell>
          <cell r="C671" t="str">
            <v>Netherlands Internet Prov 64</v>
          </cell>
          <cell r="D671" t="str">
            <v>Off-net domestic</v>
          </cell>
          <cell r="E671" t="str">
            <v>minute</v>
          </cell>
          <cell r="F671">
            <v>1</v>
          </cell>
          <cell r="G671">
            <v>1</v>
          </cell>
          <cell r="H671">
            <v>0</v>
          </cell>
          <cell r="I671">
            <v>0</v>
          </cell>
          <cell r="J671">
            <v>2.5600000000000001E-2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</row>
        <row r="672">
          <cell r="A672" t="str">
            <v>DOM NDL NDI65</v>
          </cell>
          <cell r="B672" t="str">
            <v>Business Talk</v>
          </cell>
          <cell r="C672" t="str">
            <v>Netherlands Internet Prov 65</v>
          </cell>
          <cell r="D672" t="str">
            <v>Off-net domestic</v>
          </cell>
          <cell r="E672" t="str">
            <v>minute</v>
          </cell>
          <cell r="F672">
            <v>1</v>
          </cell>
          <cell r="G672">
            <v>1</v>
          </cell>
          <cell r="H672">
            <v>0</v>
          </cell>
          <cell r="I672">
            <v>0</v>
          </cell>
          <cell r="J672">
            <v>3.2199999999999999E-2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</row>
        <row r="673">
          <cell r="A673" t="str">
            <v>DOM NDL NDI66</v>
          </cell>
          <cell r="B673" t="str">
            <v>Business Talk</v>
          </cell>
          <cell r="C673" t="str">
            <v>Netherlands Internet Prov 66</v>
          </cell>
          <cell r="D673" t="str">
            <v>Off-net domestic</v>
          </cell>
          <cell r="E673" t="str">
            <v>minute</v>
          </cell>
          <cell r="F673">
            <v>1</v>
          </cell>
          <cell r="G673">
            <v>1</v>
          </cell>
          <cell r="H673">
            <v>0</v>
          </cell>
          <cell r="I673">
            <v>0</v>
          </cell>
          <cell r="J673">
            <v>3.5499999999999997E-2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</row>
        <row r="674">
          <cell r="A674" t="str">
            <v>DOM NDL NDI67</v>
          </cell>
          <cell r="B674" t="str">
            <v>Business Talk</v>
          </cell>
          <cell r="C674" t="str">
            <v>Netherlands Internet Prov 67</v>
          </cell>
          <cell r="D674" t="str">
            <v>Off-net domestic</v>
          </cell>
          <cell r="E674" t="str">
            <v>minute</v>
          </cell>
          <cell r="F674">
            <v>1</v>
          </cell>
          <cell r="G674">
            <v>1</v>
          </cell>
          <cell r="H674">
            <v>0</v>
          </cell>
          <cell r="I674">
            <v>0</v>
          </cell>
          <cell r="J674">
            <v>4.2200000000000001E-2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</row>
        <row r="675">
          <cell r="A675" t="str">
            <v>DOM NDL NDI68</v>
          </cell>
          <cell r="B675" t="str">
            <v>Business Talk</v>
          </cell>
          <cell r="C675" t="str">
            <v>Netherlands Internet Prov 68</v>
          </cell>
          <cell r="D675" t="str">
            <v>Off-net domestic</v>
          </cell>
          <cell r="E675" t="str">
            <v>minute</v>
          </cell>
          <cell r="F675">
            <v>1</v>
          </cell>
          <cell r="G675">
            <v>1</v>
          </cell>
          <cell r="H675">
            <v>0</v>
          </cell>
          <cell r="I675">
            <v>0</v>
          </cell>
          <cell r="J675">
            <v>3.0200000000000001E-2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</row>
        <row r="676">
          <cell r="A676" t="str">
            <v>DOM NDL NDI69</v>
          </cell>
          <cell r="B676" t="str">
            <v>Business Talk</v>
          </cell>
          <cell r="C676" t="str">
            <v>Netherlands Internet Prov 69</v>
          </cell>
          <cell r="D676" t="str">
            <v>Off-net domestic</v>
          </cell>
          <cell r="E676" t="str">
            <v>minute</v>
          </cell>
          <cell r="F676">
            <v>1</v>
          </cell>
          <cell r="G676">
            <v>1</v>
          </cell>
          <cell r="H676">
            <v>0</v>
          </cell>
          <cell r="I676">
            <v>0</v>
          </cell>
          <cell r="J676">
            <v>2.92E-2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</row>
        <row r="677">
          <cell r="A677" t="str">
            <v>DOM NDL NDI70</v>
          </cell>
          <cell r="B677" t="str">
            <v>Business Talk</v>
          </cell>
          <cell r="C677" t="str">
            <v>Netherlands Internet Prov 70</v>
          </cell>
          <cell r="D677" t="str">
            <v>Off-net domestic</v>
          </cell>
          <cell r="E677" t="str">
            <v>minute</v>
          </cell>
          <cell r="F677">
            <v>1</v>
          </cell>
          <cell r="G677">
            <v>1</v>
          </cell>
          <cell r="H677">
            <v>0</v>
          </cell>
          <cell r="I677">
            <v>0</v>
          </cell>
          <cell r="J677">
            <v>3.1099999999999999E-2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</row>
        <row r="678">
          <cell r="A678" t="str">
            <v>DOM NDL NDI71</v>
          </cell>
          <cell r="B678" t="str">
            <v>Business Talk</v>
          </cell>
          <cell r="C678" t="str">
            <v>Netherlands Internet Prov 71</v>
          </cell>
          <cell r="D678" t="str">
            <v>Off-net domestic</v>
          </cell>
          <cell r="E678" t="str">
            <v>minute</v>
          </cell>
          <cell r="F678">
            <v>1</v>
          </cell>
          <cell r="G678">
            <v>1</v>
          </cell>
          <cell r="H678">
            <v>0</v>
          </cell>
          <cell r="I678">
            <v>0</v>
          </cell>
          <cell r="J678">
            <v>2.3099999999999999E-2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</row>
        <row r="679">
          <cell r="A679" t="str">
            <v>DOM NDL NDI72</v>
          </cell>
          <cell r="B679" t="str">
            <v>Business Talk</v>
          </cell>
          <cell r="C679" t="str">
            <v>Netherlands Internet Prov 72</v>
          </cell>
          <cell r="D679" t="str">
            <v>Off-net domestic</v>
          </cell>
          <cell r="E679" t="str">
            <v>minute</v>
          </cell>
          <cell r="F679">
            <v>1</v>
          </cell>
          <cell r="G679">
            <v>1</v>
          </cell>
          <cell r="H679">
            <v>0</v>
          </cell>
          <cell r="I679">
            <v>0</v>
          </cell>
          <cell r="J679">
            <v>2.01E-2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</row>
        <row r="680">
          <cell r="A680" t="str">
            <v>DOM NDL NDI73</v>
          </cell>
          <cell r="B680" t="str">
            <v>Business Talk</v>
          </cell>
          <cell r="C680" t="str">
            <v>Netherlands Internet Prov 73</v>
          </cell>
          <cell r="D680" t="str">
            <v>Off-net domestic</v>
          </cell>
          <cell r="E680" t="str">
            <v>minute</v>
          </cell>
          <cell r="F680">
            <v>1</v>
          </cell>
          <cell r="G680">
            <v>1</v>
          </cell>
          <cell r="H680">
            <v>0</v>
          </cell>
          <cell r="I680">
            <v>0</v>
          </cell>
          <cell r="J680">
            <v>2.1600000000000001E-2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</row>
        <row r="681">
          <cell r="A681" t="str">
            <v>DOM NDL NDI74</v>
          </cell>
          <cell r="B681" t="str">
            <v>Business Talk</v>
          </cell>
          <cell r="C681" t="str">
            <v>Netherlands Internet Prov 74</v>
          </cell>
          <cell r="D681" t="str">
            <v>Off-net domestic</v>
          </cell>
          <cell r="E681" t="str">
            <v>minute</v>
          </cell>
          <cell r="F681">
            <v>1</v>
          </cell>
          <cell r="G681">
            <v>1</v>
          </cell>
          <cell r="H681">
            <v>0</v>
          </cell>
          <cell r="I681">
            <v>0</v>
          </cell>
          <cell r="J681">
            <v>3.5299999999999998E-2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A682" t="str">
            <v>DOM NDL NDI75</v>
          </cell>
          <cell r="B682" t="str">
            <v>Business Talk</v>
          </cell>
          <cell r="C682" t="str">
            <v>Netherlands Internet Prov 75</v>
          </cell>
          <cell r="D682" t="str">
            <v>Off-net domestic</v>
          </cell>
          <cell r="E682" t="str">
            <v>minute</v>
          </cell>
          <cell r="F682">
            <v>1</v>
          </cell>
          <cell r="G682">
            <v>1</v>
          </cell>
          <cell r="H682">
            <v>0</v>
          </cell>
          <cell r="I682">
            <v>0</v>
          </cell>
          <cell r="J682">
            <v>2.81E-2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</row>
        <row r="683">
          <cell r="A683" t="str">
            <v>DOM NDL NDI76</v>
          </cell>
          <cell r="B683" t="str">
            <v>Business Talk</v>
          </cell>
          <cell r="C683" t="str">
            <v>Netherlands Internet Prov 76</v>
          </cell>
          <cell r="D683" t="str">
            <v>Off-net domestic</v>
          </cell>
          <cell r="E683" t="str">
            <v>minute</v>
          </cell>
          <cell r="F683">
            <v>1</v>
          </cell>
          <cell r="G683">
            <v>1</v>
          </cell>
          <cell r="H683">
            <v>0</v>
          </cell>
          <cell r="I683">
            <v>0</v>
          </cell>
          <cell r="J683">
            <v>3.4299999999999997E-2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</row>
        <row r="684">
          <cell r="A684" t="str">
            <v>DOM NDL NDI77</v>
          </cell>
          <cell r="B684" t="str">
            <v>Business Talk</v>
          </cell>
          <cell r="C684" t="str">
            <v>Netherlands Internet Prov 77</v>
          </cell>
          <cell r="D684" t="str">
            <v>Off-net domestic</v>
          </cell>
          <cell r="E684" t="str">
            <v>minute</v>
          </cell>
          <cell r="F684">
            <v>1</v>
          </cell>
          <cell r="G684">
            <v>1</v>
          </cell>
          <cell r="H684">
            <v>0</v>
          </cell>
          <cell r="I684">
            <v>0</v>
          </cell>
          <cell r="J684">
            <v>3.6799999999999999E-2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</row>
        <row r="685">
          <cell r="A685" t="str">
            <v>DOM NDL NDI78</v>
          </cell>
          <cell r="B685" t="str">
            <v>Business Talk</v>
          </cell>
          <cell r="C685" t="str">
            <v>Netherlands Internet Prov 78</v>
          </cell>
          <cell r="D685" t="str">
            <v>Off-net domestic</v>
          </cell>
          <cell r="E685" t="str">
            <v>minute</v>
          </cell>
          <cell r="F685">
            <v>1</v>
          </cell>
          <cell r="G685">
            <v>1</v>
          </cell>
          <cell r="H685">
            <v>0</v>
          </cell>
          <cell r="I685">
            <v>0</v>
          </cell>
          <cell r="J685">
            <v>2.92E-2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</row>
        <row r="686">
          <cell r="A686" t="str">
            <v>DOM NDL NDI79</v>
          </cell>
          <cell r="B686" t="str">
            <v>Business Talk</v>
          </cell>
          <cell r="C686" t="str">
            <v>Netherlands Internet Prov 79</v>
          </cell>
          <cell r="D686" t="str">
            <v>Off-net domestic</v>
          </cell>
          <cell r="E686" t="str">
            <v>minute</v>
          </cell>
          <cell r="F686">
            <v>1</v>
          </cell>
          <cell r="G686">
            <v>1</v>
          </cell>
          <cell r="H686">
            <v>0</v>
          </cell>
          <cell r="I686">
            <v>0</v>
          </cell>
          <cell r="J686">
            <v>3.7900000000000003E-2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</row>
        <row r="687">
          <cell r="A687" t="str">
            <v>DOM NDL NDI80</v>
          </cell>
          <cell r="B687" t="str">
            <v>Business Talk</v>
          </cell>
          <cell r="C687" t="str">
            <v>Netherlands Internet Prov 80</v>
          </cell>
          <cell r="D687" t="str">
            <v>Off-net domestic</v>
          </cell>
          <cell r="E687" t="str">
            <v>minute</v>
          </cell>
          <cell r="F687">
            <v>1</v>
          </cell>
          <cell r="G687">
            <v>1</v>
          </cell>
          <cell r="H687">
            <v>0</v>
          </cell>
          <cell r="I687">
            <v>0</v>
          </cell>
          <cell r="J687">
            <v>3.9E-2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</row>
        <row r="688">
          <cell r="A688" t="str">
            <v>DOM NDL NDI81</v>
          </cell>
          <cell r="B688" t="str">
            <v>Business Talk</v>
          </cell>
          <cell r="C688" t="str">
            <v>Netherlands Internet Prov 81</v>
          </cell>
          <cell r="D688" t="str">
            <v>Off-net domestic</v>
          </cell>
          <cell r="E688" t="str">
            <v>minute</v>
          </cell>
          <cell r="F688">
            <v>1</v>
          </cell>
          <cell r="G688">
            <v>1</v>
          </cell>
          <cell r="H688">
            <v>0</v>
          </cell>
          <cell r="I688">
            <v>0</v>
          </cell>
          <cell r="J688">
            <v>4.02E-2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</row>
        <row r="689">
          <cell r="A689" t="str">
            <v>DOM NDL NDI82</v>
          </cell>
          <cell r="B689" t="str">
            <v>Business Talk</v>
          </cell>
          <cell r="C689" t="str">
            <v>Netherlands Internet Prov 82</v>
          </cell>
          <cell r="D689" t="str">
            <v>Off-net domestic</v>
          </cell>
          <cell r="E689" t="str">
            <v>minute</v>
          </cell>
          <cell r="F689">
            <v>1</v>
          </cell>
          <cell r="G689">
            <v>1</v>
          </cell>
          <cell r="H689">
            <v>0</v>
          </cell>
          <cell r="I689">
            <v>0</v>
          </cell>
          <cell r="J689">
            <v>3.1199999999999999E-2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</row>
        <row r="690">
          <cell r="A690" t="str">
            <v>DOM NDL NDI83</v>
          </cell>
          <cell r="B690" t="str">
            <v>Business Talk</v>
          </cell>
          <cell r="C690" t="str">
            <v>Netherlands Internet Prov 83</v>
          </cell>
          <cell r="D690" t="str">
            <v>Off-net domestic</v>
          </cell>
          <cell r="E690" t="str">
            <v>minute</v>
          </cell>
          <cell r="F690">
            <v>1</v>
          </cell>
          <cell r="G690">
            <v>1</v>
          </cell>
          <cell r="H690">
            <v>0</v>
          </cell>
          <cell r="I690">
            <v>0</v>
          </cell>
          <cell r="J690">
            <v>4.1500000000000002E-2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</row>
        <row r="691">
          <cell r="A691" t="str">
            <v>DOM NDL NDIPN</v>
          </cell>
          <cell r="B691" t="str">
            <v>Business Talk</v>
          </cell>
          <cell r="C691" t="str">
            <v>Netherlands Ip Nomadic</v>
          </cell>
          <cell r="D691" t="str">
            <v>Off-net domestic</v>
          </cell>
          <cell r="E691" t="str">
            <v>minute</v>
          </cell>
          <cell r="F691">
            <v>1</v>
          </cell>
          <cell r="G691">
            <v>1</v>
          </cell>
          <cell r="H691">
            <v>0</v>
          </cell>
          <cell r="I691">
            <v>0</v>
          </cell>
          <cell r="J691">
            <v>4.2299999999999997E-2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</row>
        <row r="692">
          <cell r="A692" t="str">
            <v>DOM NDL NDPGC</v>
          </cell>
          <cell r="B692" t="str">
            <v>Business Talk</v>
          </cell>
          <cell r="C692" t="str">
            <v>Netherlands Pagers Per Call</v>
          </cell>
          <cell r="D692" t="str">
            <v>Off-net domestic</v>
          </cell>
          <cell r="E692" t="str">
            <v>call</v>
          </cell>
          <cell r="F692">
            <v>1</v>
          </cell>
          <cell r="G692">
            <v>1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1.43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</row>
        <row r="693">
          <cell r="A693" t="str">
            <v>DOM NDL NDPGM</v>
          </cell>
          <cell r="B693" t="str">
            <v>Business Talk</v>
          </cell>
          <cell r="C693" t="str">
            <v>Netherlands Pagers Per Min</v>
          </cell>
          <cell r="D693" t="str">
            <v>Off-net domestic</v>
          </cell>
          <cell r="E693" t="str">
            <v>minute</v>
          </cell>
          <cell r="F693">
            <v>1</v>
          </cell>
          <cell r="G693">
            <v>1</v>
          </cell>
          <cell r="H693">
            <v>0</v>
          </cell>
          <cell r="I693">
            <v>0</v>
          </cell>
          <cell r="J693">
            <v>0.87390000000000001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A694" t="str">
            <v>DOM NDL NDG01</v>
          </cell>
          <cell r="B694" t="str">
            <v>Business Talk</v>
          </cell>
          <cell r="C694" t="str">
            <v>Netherlands Pers/Pag 1</v>
          </cell>
          <cell r="D694" t="str">
            <v>Off-net domestic</v>
          </cell>
          <cell r="E694" t="str">
            <v>minute</v>
          </cell>
          <cell r="F694">
            <v>1</v>
          </cell>
          <cell r="G694">
            <v>1</v>
          </cell>
          <cell r="H694">
            <v>0</v>
          </cell>
          <cell r="I694">
            <v>0</v>
          </cell>
          <cell r="J694">
            <v>4.6600000000000003E-2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</row>
        <row r="695">
          <cell r="A695" t="str">
            <v>DOM NDL NDG10</v>
          </cell>
          <cell r="B695" t="str">
            <v>Business Talk</v>
          </cell>
          <cell r="C695" t="str">
            <v>Netherlands Pers/Pag 10</v>
          </cell>
          <cell r="D695" t="str">
            <v>Off-net domestic</v>
          </cell>
          <cell r="E695" t="str">
            <v>minute</v>
          </cell>
          <cell r="F695">
            <v>1</v>
          </cell>
          <cell r="G695">
            <v>1</v>
          </cell>
          <cell r="H695">
            <v>0</v>
          </cell>
          <cell r="I695">
            <v>0</v>
          </cell>
          <cell r="J695">
            <v>0.10539999999999999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</row>
        <row r="696">
          <cell r="A696" t="str">
            <v>DOM NDL NDG11</v>
          </cell>
          <cell r="B696" t="str">
            <v>Business Talk</v>
          </cell>
          <cell r="C696" t="str">
            <v>Netherlands Pers/Pag 11</v>
          </cell>
          <cell r="D696" t="str">
            <v>Off-net domestic</v>
          </cell>
          <cell r="E696" t="str">
            <v>minute</v>
          </cell>
          <cell r="F696">
            <v>1</v>
          </cell>
          <cell r="G696">
            <v>1</v>
          </cell>
          <cell r="H696">
            <v>0</v>
          </cell>
          <cell r="I696">
            <v>0</v>
          </cell>
          <cell r="J696">
            <v>0.1138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</row>
        <row r="697">
          <cell r="A697" t="str">
            <v>DOM NDL NDG12</v>
          </cell>
          <cell r="B697" t="str">
            <v>Business Talk</v>
          </cell>
          <cell r="C697" t="str">
            <v>Netherlands Pers/Pag 12</v>
          </cell>
          <cell r="D697" t="str">
            <v>Off-net domestic</v>
          </cell>
          <cell r="E697" t="str">
            <v>minute</v>
          </cell>
          <cell r="F697">
            <v>1</v>
          </cell>
          <cell r="G697">
            <v>1</v>
          </cell>
          <cell r="H697">
            <v>0</v>
          </cell>
          <cell r="I697">
            <v>0</v>
          </cell>
          <cell r="J697">
            <v>0.1222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</row>
        <row r="698">
          <cell r="A698" t="str">
            <v>DOM NDL NDG13</v>
          </cell>
          <cell r="B698" t="str">
            <v>Business Talk</v>
          </cell>
          <cell r="C698" t="str">
            <v>Netherlands Pers/Pag 13</v>
          </cell>
          <cell r="D698" t="str">
            <v>Off-net domestic</v>
          </cell>
          <cell r="E698" t="str">
            <v>minute</v>
          </cell>
          <cell r="F698">
            <v>1</v>
          </cell>
          <cell r="G698">
            <v>1</v>
          </cell>
          <cell r="H698">
            <v>0</v>
          </cell>
          <cell r="I698">
            <v>0</v>
          </cell>
          <cell r="J698">
            <v>0.1474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</row>
        <row r="699">
          <cell r="A699" t="str">
            <v>DOM NDL NDG14</v>
          </cell>
          <cell r="B699" t="str">
            <v>Business Talk</v>
          </cell>
          <cell r="C699" t="str">
            <v>Netherlands Pers/Pag 14</v>
          </cell>
          <cell r="D699" t="str">
            <v>Off-net domestic</v>
          </cell>
          <cell r="E699" t="str">
            <v>minute</v>
          </cell>
          <cell r="F699">
            <v>1</v>
          </cell>
          <cell r="G699">
            <v>1</v>
          </cell>
          <cell r="H699">
            <v>0</v>
          </cell>
          <cell r="I699">
            <v>0</v>
          </cell>
          <cell r="J699">
            <v>0.16420000000000001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</row>
        <row r="700">
          <cell r="A700" t="str">
            <v>DOM NDL NDG15</v>
          </cell>
          <cell r="B700" t="str">
            <v>Business Talk</v>
          </cell>
          <cell r="C700" t="str">
            <v>Netherlands Pers/Pag 15</v>
          </cell>
          <cell r="D700" t="str">
            <v>Off-net domestic</v>
          </cell>
          <cell r="E700" t="str">
            <v>minute</v>
          </cell>
          <cell r="F700">
            <v>1</v>
          </cell>
          <cell r="G700">
            <v>1</v>
          </cell>
          <cell r="H700">
            <v>0</v>
          </cell>
          <cell r="I700">
            <v>0</v>
          </cell>
          <cell r="J700">
            <v>0.18940000000000001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</row>
        <row r="701">
          <cell r="A701" t="str">
            <v>DOM NDL NDG16</v>
          </cell>
          <cell r="B701" t="str">
            <v>Business Talk</v>
          </cell>
          <cell r="C701" t="str">
            <v>Netherlands Pers/Pag 16</v>
          </cell>
          <cell r="D701" t="str">
            <v>Off-net domestic</v>
          </cell>
          <cell r="E701" t="str">
            <v>minute</v>
          </cell>
          <cell r="F701">
            <v>1</v>
          </cell>
          <cell r="G701">
            <v>1</v>
          </cell>
          <cell r="H701">
            <v>0</v>
          </cell>
          <cell r="I701">
            <v>0</v>
          </cell>
          <cell r="J701">
            <v>0.20619999999999999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</row>
        <row r="702">
          <cell r="A702" t="str">
            <v>DOM NDL NDG17</v>
          </cell>
          <cell r="B702" t="str">
            <v>Business Talk</v>
          </cell>
          <cell r="C702" t="str">
            <v>Netherlands Pers/Pag 17</v>
          </cell>
          <cell r="D702" t="str">
            <v>Off-net domestic</v>
          </cell>
          <cell r="E702" t="str">
            <v>minute</v>
          </cell>
          <cell r="F702">
            <v>1</v>
          </cell>
          <cell r="G702">
            <v>1</v>
          </cell>
          <cell r="H702">
            <v>0</v>
          </cell>
          <cell r="I702">
            <v>0</v>
          </cell>
          <cell r="J702">
            <v>0.2482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</row>
        <row r="703">
          <cell r="A703" t="str">
            <v>DOM NDL NDG18</v>
          </cell>
          <cell r="B703" t="str">
            <v>Business Talk</v>
          </cell>
          <cell r="C703" t="str">
            <v>Netherlands Pers/Pag 18</v>
          </cell>
          <cell r="D703" t="str">
            <v>Off-net domestic</v>
          </cell>
          <cell r="E703" t="str">
            <v>minute</v>
          </cell>
          <cell r="F703">
            <v>1</v>
          </cell>
          <cell r="G703">
            <v>1</v>
          </cell>
          <cell r="H703">
            <v>0</v>
          </cell>
          <cell r="I703">
            <v>0</v>
          </cell>
          <cell r="J703">
            <v>0.2903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</row>
        <row r="704">
          <cell r="A704" t="str">
            <v>DOM NDL NDG19</v>
          </cell>
          <cell r="B704" t="str">
            <v>Business Talk</v>
          </cell>
          <cell r="C704" t="str">
            <v>Netherlands Pers/Pag 19</v>
          </cell>
          <cell r="D704" t="str">
            <v>Off-net domestic</v>
          </cell>
          <cell r="E704" t="str">
            <v>minute</v>
          </cell>
          <cell r="F704">
            <v>1</v>
          </cell>
          <cell r="G704">
            <v>1</v>
          </cell>
          <cell r="H704">
            <v>0</v>
          </cell>
          <cell r="I704">
            <v>0</v>
          </cell>
          <cell r="J704">
            <v>0.33229999999999998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</row>
        <row r="705">
          <cell r="A705" t="str">
            <v>DOM NDL NDG02</v>
          </cell>
          <cell r="B705" t="str">
            <v>Business Talk</v>
          </cell>
          <cell r="C705" t="str">
            <v>Netherlands Pers/Pag 2</v>
          </cell>
          <cell r="D705" t="str">
            <v>Off-net domestic</v>
          </cell>
          <cell r="E705" t="str">
            <v>minute</v>
          </cell>
          <cell r="F705">
            <v>1</v>
          </cell>
          <cell r="G705">
            <v>1</v>
          </cell>
          <cell r="H705">
            <v>0</v>
          </cell>
          <cell r="I705">
            <v>0</v>
          </cell>
          <cell r="J705">
            <v>5.5E-2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</row>
        <row r="706">
          <cell r="A706" t="str">
            <v>DOM NDL NDG20</v>
          </cell>
          <cell r="B706" t="str">
            <v>Business Talk</v>
          </cell>
          <cell r="C706" t="str">
            <v>Netherlands Pers/Pag 20</v>
          </cell>
          <cell r="D706" t="str">
            <v>Off-net domestic</v>
          </cell>
          <cell r="E706" t="str">
            <v>minute</v>
          </cell>
          <cell r="F706">
            <v>1</v>
          </cell>
          <cell r="G706">
            <v>1</v>
          </cell>
          <cell r="H706">
            <v>0</v>
          </cell>
          <cell r="I706">
            <v>0</v>
          </cell>
          <cell r="J706">
            <v>0.37430000000000002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</row>
        <row r="707">
          <cell r="A707" t="str">
            <v>DOM NDL NDG21</v>
          </cell>
          <cell r="B707" t="str">
            <v>Business Talk</v>
          </cell>
          <cell r="C707" t="str">
            <v>Netherlands Pers/Pag 21</v>
          </cell>
          <cell r="D707" t="str">
            <v>Off-net domestic</v>
          </cell>
          <cell r="E707" t="str">
            <v>minute</v>
          </cell>
          <cell r="F707">
            <v>1</v>
          </cell>
          <cell r="G707">
            <v>1</v>
          </cell>
          <cell r="H707">
            <v>0</v>
          </cell>
          <cell r="I707">
            <v>0</v>
          </cell>
          <cell r="J707">
            <v>0.4163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</row>
        <row r="708">
          <cell r="A708" t="str">
            <v>DOM NDL NDG22</v>
          </cell>
          <cell r="B708" t="str">
            <v>Business Talk</v>
          </cell>
          <cell r="C708" t="str">
            <v>Netherlands Pers/Pag 22</v>
          </cell>
          <cell r="D708" t="str">
            <v>Off-net domestic</v>
          </cell>
          <cell r="E708" t="str">
            <v>minute</v>
          </cell>
          <cell r="F708">
            <v>1</v>
          </cell>
          <cell r="G708">
            <v>1</v>
          </cell>
          <cell r="H708">
            <v>0</v>
          </cell>
          <cell r="I708">
            <v>0</v>
          </cell>
          <cell r="J708">
            <v>0.45829999999999999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</row>
        <row r="709">
          <cell r="A709" t="str">
            <v>DOM NDL NDG23</v>
          </cell>
          <cell r="B709" t="str">
            <v>Business Talk</v>
          </cell>
          <cell r="C709" t="str">
            <v>Netherlands Pers/Pag 23</v>
          </cell>
          <cell r="D709" t="str">
            <v>Off-net domestic</v>
          </cell>
          <cell r="E709" t="str">
            <v>minute</v>
          </cell>
          <cell r="F709">
            <v>1</v>
          </cell>
          <cell r="G709">
            <v>1</v>
          </cell>
          <cell r="H709">
            <v>0</v>
          </cell>
          <cell r="I709">
            <v>0</v>
          </cell>
          <cell r="J709">
            <v>0.50019999999999998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</row>
        <row r="710">
          <cell r="A710" t="str">
            <v>DOM NDL NDG24</v>
          </cell>
          <cell r="B710" t="str">
            <v>Business Talk</v>
          </cell>
          <cell r="C710" t="str">
            <v>Netherlands Pers/Pag 24</v>
          </cell>
          <cell r="D710" t="str">
            <v>Off-net domestic</v>
          </cell>
          <cell r="E710" t="str">
            <v>minute</v>
          </cell>
          <cell r="F710">
            <v>1</v>
          </cell>
          <cell r="G710">
            <v>1</v>
          </cell>
          <cell r="H710">
            <v>0</v>
          </cell>
          <cell r="I710">
            <v>0</v>
          </cell>
          <cell r="J710">
            <v>0.54239999999999999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</row>
        <row r="711">
          <cell r="A711" t="str">
            <v>DOM NDL NDG25</v>
          </cell>
          <cell r="B711" t="str">
            <v>Business Talk</v>
          </cell>
          <cell r="C711" t="str">
            <v>Netherlands Pers/Pag 25</v>
          </cell>
          <cell r="D711" t="str">
            <v>Off-net domestic</v>
          </cell>
          <cell r="E711" t="str">
            <v>minute</v>
          </cell>
          <cell r="F711">
            <v>1</v>
          </cell>
          <cell r="G711">
            <v>1</v>
          </cell>
          <cell r="H711">
            <v>0</v>
          </cell>
          <cell r="I711">
            <v>0</v>
          </cell>
          <cell r="J711">
            <v>0.58440000000000003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</row>
        <row r="712">
          <cell r="A712" t="str">
            <v>DOM NDL NDG26</v>
          </cell>
          <cell r="B712" t="str">
            <v>Business Talk</v>
          </cell>
          <cell r="C712" t="str">
            <v>Netherlands Pers/Pag 26</v>
          </cell>
          <cell r="D712" t="str">
            <v>Off-net domestic</v>
          </cell>
          <cell r="E712" t="str">
            <v>minute</v>
          </cell>
          <cell r="F712">
            <v>1</v>
          </cell>
          <cell r="G712">
            <v>1</v>
          </cell>
          <cell r="H712">
            <v>0</v>
          </cell>
          <cell r="I712">
            <v>0</v>
          </cell>
          <cell r="J712">
            <v>0.62639999999999996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A713" t="str">
            <v>DOM NDL NDG27</v>
          </cell>
          <cell r="B713" t="str">
            <v>Business Talk</v>
          </cell>
          <cell r="C713" t="str">
            <v>Netherlands Pers/Pag 27</v>
          </cell>
          <cell r="D713" t="str">
            <v>Off-net domestic</v>
          </cell>
          <cell r="E713" t="str">
            <v>minute</v>
          </cell>
          <cell r="F713">
            <v>1</v>
          </cell>
          <cell r="G713">
            <v>1</v>
          </cell>
          <cell r="H713">
            <v>0</v>
          </cell>
          <cell r="I713">
            <v>0</v>
          </cell>
          <cell r="J713">
            <v>0.71040000000000003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</row>
        <row r="714">
          <cell r="A714" t="str">
            <v>DOM NDL NDG28</v>
          </cell>
          <cell r="B714" t="str">
            <v>Business Talk</v>
          </cell>
          <cell r="C714" t="str">
            <v>Netherlands Pers/Pag 28</v>
          </cell>
          <cell r="D714" t="str">
            <v>Off-net domestic</v>
          </cell>
          <cell r="E714" t="str">
            <v>call</v>
          </cell>
          <cell r="F714">
            <v>1</v>
          </cell>
          <cell r="G714">
            <v>1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6.3E-2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</row>
        <row r="715">
          <cell r="A715" t="str">
            <v>DOM NDL NDG29</v>
          </cell>
          <cell r="B715" t="str">
            <v>Business Talk</v>
          </cell>
          <cell r="C715" t="str">
            <v>Netherlands Pers/Pag 29</v>
          </cell>
          <cell r="D715" t="str">
            <v>Off-net domestic</v>
          </cell>
          <cell r="E715" t="str">
            <v>call</v>
          </cell>
          <cell r="F715">
            <v>1</v>
          </cell>
          <cell r="G715">
            <v>1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0.18490000000000001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</row>
        <row r="716">
          <cell r="A716" t="str">
            <v>DOM NDL NDG03</v>
          </cell>
          <cell r="B716" t="str">
            <v>Business Talk</v>
          </cell>
          <cell r="C716" t="str">
            <v>Netherlands Pers/Pag 3</v>
          </cell>
          <cell r="D716" t="str">
            <v>Off-net domestic</v>
          </cell>
          <cell r="E716" t="str">
            <v>minute</v>
          </cell>
          <cell r="F716">
            <v>1</v>
          </cell>
          <cell r="G716">
            <v>1</v>
          </cell>
          <cell r="H716">
            <v>0</v>
          </cell>
          <cell r="I716">
            <v>0</v>
          </cell>
          <cell r="J716">
            <v>5.9200000000000003E-2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</row>
        <row r="717">
          <cell r="A717" t="str">
            <v>DOM NDL NDG30</v>
          </cell>
          <cell r="B717" t="str">
            <v>Business Talk</v>
          </cell>
          <cell r="C717" t="str">
            <v>Netherlands Pers/Pag 30</v>
          </cell>
          <cell r="D717" t="str">
            <v>Off-net domestic</v>
          </cell>
          <cell r="E717" t="str">
            <v>call</v>
          </cell>
          <cell r="F717">
            <v>1</v>
          </cell>
          <cell r="G717">
            <v>1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0.29409999999999997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</row>
        <row r="718">
          <cell r="A718" t="str">
            <v>DOM NDL NDG31</v>
          </cell>
          <cell r="B718" t="str">
            <v>Business Talk</v>
          </cell>
          <cell r="C718" t="str">
            <v>Netherlands Pers/Pag 31</v>
          </cell>
          <cell r="D718" t="str">
            <v>Off-net domestic</v>
          </cell>
          <cell r="E718" t="str">
            <v>call</v>
          </cell>
          <cell r="F718">
            <v>1</v>
          </cell>
          <cell r="G718">
            <v>1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0.37819999999999998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</row>
        <row r="719">
          <cell r="A719" t="str">
            <v>DOM NDL NDG32</v>
          </cell>
          <cell r="B719" t="str">
            <v>Business Talk</v>
          </cell>
          <cell r="C719" t="str">
            <v>Netherlands Pers/Pag 32</v>
          </cell>
          <cell r="D719" t="str">
            <v>Off-net domestic</v>
          </cell>
          <cell r="E719" t="str">
            <v>call</v>
          </cell>
          <cell r="F719">
            <v>1</v>
          </cell>
          <cell r="G719">
            <v>1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0.42020000000000002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</row>
        <row r="720">
          <cell r="A720" t="str">
            <v>DOM NDL NDG33</v>
          </cell>
          <cell r="B720" t="str">
            <v>Business Talk</v>
          </cell>
          <cell r="C720" t="str">
            <v>Netherlands Pers/Pag 33</v>
          </cell>
          <cell r="D720" t="str">
            <v>Off-net domestic</v>
          </cell>
          <cell r="E720" t="str">
            <v>call</v>
          </cell>
          <cell r="F720">
            <v>1</v>
          </cell>
          <cell r="G720">
            <v>1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0.4622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</row>
        <row r="721">
          <cell r="A721" t="str">
            <v>DOM NDL NDG34</v>
          </cell>
          <cell r="B721" t="str">
            <v>Business Talk</v>
          </cell>
          <cell r="C721" t="str">
            <v>Netherlands Pers/Pag 34</v>
          </cell>
          <cell r="D721" t="str">
            <v>Off-net domestic</v>
          </cell>
          <cell r="E721" t="str">
            <v>call</v>
          </cell>
          <cell r="F721">
            <v>1</v>
          </cell>
          <cell r="G721">
            <v>1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0.50419999999999998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A722" t="str">
            <v>DOM NDL NDG35</v>
          </cell>
          <cell r="B722" t="str">
            <v>Business Talk</v>
          </cell>
          <cell r="C722" t="str">
            <v>Netherlands Pers/Pag 35</v>
          </cell>
          <cell r="D722" t="str">
            <v>Off-net domestic</v>
          </cell>
          <cell r="E722" t="str">
            <v>call</v>
          </cell>
          <cell r="F722">
            <v>1</v>
          </cell>
          <cell r="G722">
            <v>1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0.55459999999999998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</row>
        <row r="723">
          <cell r="A723" t="str">
            <v>DOM NDL NDG36</v>
          </cell>
          <cell r="B723" t="str">
            <v>Business Talk</v>
          </cell>
          <cell r="C723" t="str">
            <v>Netherlands Pers/Pag 36</v>
          </cell>
          <cell r="D723" t="str">
            <v>Off-net domestic</v>
          </cell>
          <cell r="E723" t="str">
            <v>call</v>
          </cell>
          <cell r="F723">
            <v>1</v>
          </cell>
          <cell r="G723">
            <v>1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0.58819999999999995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A724" t="str">
            <v>DOM NDL NDG37</v>
          </cell>
          <cell r="B724" t="str">
            <v>Business Talk</v>
          </cell>
          <cell r="C724" t="str">
            <v>Netherlands Pers/Pag 37</v>
          </cell>
          <cell r="D724" t="str">
            <v>Off-net domestic</v>
          </cell>
          <cell r="E724" t="str">
            <v>call</v>
          </cell>
          <cell r="F724">
            <v>1</v>
          </cell>
          <cell r="G724">
            <v>1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0.63029999999999997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</row>
        <row r="725">
          <cell r="A725" t="str">
            <v>DOM NDL NDG38</v>
          </cell>
          <cell r="B725" t="str">
            <v>Business Talk</v>
          </cell>
          <cell r="C725" t="str">
            <v>Netherlands Pers/Pag 38</v>
          </cell>
          <cell r="D725" t="str">
            <v>Off-net domestic</v>
          </cell>
          <cell r="E725" t="str">
            <v>call</v>
          </cell>
          <cell r="F725">
            <v>1</v>
          </cell>
          <cell r="G725">
            <v>1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0.67230000000000001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</row>
        <row r="726">
          <cell r="A726" t="str">
            <v>DOM NDL NDG39</v>
          </cell>
          <cell r="B726" t="str">
            <v>Business Talk</v>
          </cell>
          <cell r="C726" t="str">
            <v>Netherlands Pers/Pag 39</v>
          </cell>
          <cell r="D726" t="str">
            <v>Off-net domestic</v>
          </cell>
          <cell r="E726" t="str">
            <v>call</v>
          </cell>
          <cell r="F726">
            <v>1</v>
          </cell>
          <cell r="G726">
            <v>1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0.75629999999999997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</row>
        <row r="727">
          <cell r="A727" t="str">
            <v>DOM NDL NDG04</v>
          </cell>
          <cell r="B727" t="str">
            <v>Business Talk</v>
          </cell>
          <cell r="C727" t="str">
            <v>Netherlands Pers/Pag 4</v>
          </cell>
          <cell r="D727" t="str">
            <v>Off-net domestic</v>
          </cell>
          <cell r="E727" t="str">
            <v>minute</v>
          </cell>
          <cell r="F727">
            <v>1</v>
          </cell>
          <cell r="G727">
            <v>1</v>
          </cell>
          <cell r="H727">
            <v>0</v>
          </cell>
          <cell r="I727">
            <v>0</v>
          </cell>
          <cell r="J727">
            <v>6.3399999999999998E-2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</row>
        <row r="728">
          <cell r="A728" t="str">
            <v>DOM NDL NDG40</v>
          </cell>
          <cell r="B728" t="str">
            <v>Business Talk</v>
          </cell>
          <cell r="C728" t="str">
            <v>Netherlands Pers/Pag 40</v>
          </cell>
          <cell r="D728" t="str">
            <v>Off-net domestic</v>
          </cell>
          <cell r="E728" t="str">
            <v>call</v>
          </cell>
          <cell r="F728">
            <v>1</v>
          </cell>
          <cell r="G728">
            <v>1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0.77310000000000001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</row>
        <row r="729">
          <cell r="A729" t="str">
            <v>DOM NDL NDG41</v>
          </cell>
          <cell r="B729" t="str">
            <v>Business Talk</v>
          </cell>
          <cell r="C729" t="str">
            <v>Netherlands Pers/Pag 41</v>
          </cell>
          <cell r="D729" t="str">
            <v>Off-net domestic</v>
          </cell>
          <cell r="E729" t="str">
            <v>call</v>
          </cell>
          <cell r="F729">
            <v>1</v>
          </cell>
          <cell r="G729">
            <v>1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0.83189999999999997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</row>
        <row r="730">
          <cell r="A730" t="str">
            <v>DOM NDL NDG42</v>
          </cell>
          <cell r="B730" t="str">
            <v>Business Talk</v>
          </cell>
          <cell r="C730" t="str">
            <v>Netherlands Pers/Pag 42</v>
          </cell>
          <cell r="D730" t="str">
            <v>Off-net domestic</v>
          </cell>
          <cell r="E730" t="str">
            <v>call</v>
          </cell>
          <cell r="F730">
            <v>1</v>
          </cell>
          <cell r="G730">
            <v>1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0.84030000000000005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</row>
        <row r="731">
          <cell r="A731" t="str">
            <v>DOM NDL NDG43</v>
          </cell>
          <cell r="B731" t="str">
            <v>Business Talk</v>
          </cell>
          <cell r="C731" t="str">
            <v>Netherlands Pers/Pag 43</v>
          </cell>
          <cell r="D731" t="str">
            <v>Off-net domestic</v>
          </cell>
          <cell r="E731" t="str">
            <v>call</v>
          </cell>
          <cell r="F731">
            <v>1</v>
          </cell>
          <cell r="G731">
            <v>1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0.91600000000000004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</row>
        <row r="732">
          <cell r="A732" t="str">
            <v>DOM NDL NDG44</v>
          </cell>
          <cell r="B732" t="str">
            <v>Business Talk</v>
          </cell>
          <cell r="C732" t="str">
            <v>Netherlands Pers/Pag 44</v>
          </cell>
          <cell r="D732" t="str">
            <v>Off-net domestic</v>
          </cell>
          <cell r="E732" t="str">
            <v>call</v>
          </cell>
          <cell r="F732">
            <v>1</v>
          </cell>
          <cell r="G732">
            <v>1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0.96640000000000004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</row>
        <row r="733">
          <cell r="A733" t="str">
            <v>DOM NDL NDG45</v>
          </cell>
          <cell r="B733" t="str">
            <v>Business Talk</v>
          </cell>
          <cell r="C733" t="str">
            <v>Netherlands Pers/Pag 45</v>
          </cell>
          <cell r="D733" t="str">
            <v>Off-net domestic</v>
          </cell>
          <cell r="E733" t="str">
            <v>call</v>
          </cell>
          <cell r="F733">
            <v>1</v>
          </cell>
          <cell r="G733">
            <v>1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1.0084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</row>
        <row r="734">
          <cell r="A734" t="str">
            <v>DOM NDL NDG46</v>
          </cell>
          <cell r="B734" t="str">
            <v>Business Talk</v>
          </cell>
          <cell r="C734" t="str">
            <v>Netherlands Pers/Pag 46</v>
          </cell>
          <cell r="D734" t="str">
            <v>Off-net domestic</v>
          </cell>
          <cell r="E734" t="str">
            <v>call</v>
          </cell>
          <cell r="F734">
            <v>1</v>
          </cell>
          <cell r="G734">
            <v>1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1.0924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</row>
        <row r="735">
          <cell r="A735" t="str">
            <v>DOM NDL NDG05</v>
          </cell>
          <cell r="B735" t="str">
            <v>Business Talk</v>
          </cell>
          <cell r="C735" t="str">
            <v>Netherlands Pers/Pag 5</v>
          </cell>
          <cell r="D735" t="str">
            <v>Off-net domestic</v>
          </cell>
          <cell r="E735" t="str">
            <v>minute</v>
          </cell>
          <cell r="F735">
            <v>1</v>
          </cell>
          <cell r="G735">
            <v>1</v>
          </cell>
          <cell r="H735">
            <v>0</v>
          </cell>
          <cell r="I735">
            <v>0</v>
          </cell>
          <cell r="J735">
            <v>7.1800000000000003E-2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</row>
        <row r="736">
          <cell r="A736" t="str">
            <v>DOM NDL NDG06</v>
          </cell>
          <cell r="B736" t="str">
            <v>Business Talk</v>
          </cell>
          <cell r="C736" t="str">
            <v>Netherlands Pers/Pag 6</v>
          </cell>
          <cell r="D736" t="str">
            <v>Off-net domestic</v>
          </cell>
          <cell r="E736" t="str">
            <v>minute</v>
          </cell>
          <cell r="F736">
            <v>1</v>
          </cell>
          <cell r="G736">
            <v>1</v>
          </cell>
          <cell r="H736">
            <v>0</v>
          </cell>
          <cell r="I736">
            <v>0</v>
          </cell>
          <cell r="J736">
            <v>7.5999999999999998E-2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</row>
        <row r="737">
          <cell r="A737" t="str">
            <v>DOM NDL NDG07</v>
          </cell>
          <cell r="B737" t="str">
            <v>Business Talk</v>
          </cell>
          <cell r="C737" t="str">
            <v>Netherlands Pers/Pag 7</v>
          </cell>
          <cell r="D737" t="str">
            <v>Off-net domestic</v>
          </cell>
          <cell r="E737" t="str">
            <v>minute</v>
          </cell>
          <cell r="F737">
            <v>1</v>
          </cell>
          <cell r="G737">
            <v>1</v>
          </cell>
          <cell r="H737">
            <v>0</v>
          </cell>
          <cell r="I737">
            <v>0</v>
          </cell>
          <cell r="J737">
            <v>8.0199999999999994E-2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</row>
        <row r="738">
          <cell r="A738" t="str">
            <v>DOM NDL NDG08</v>
          </cell>
          <cell r="B738" t="str">
            <v>Business Talk</v>
          </cell>
          <cell r="C738" t="str">
            <v>Netherlands Pers/Pag 8</v>
          </cell>
          <cell r="D738" t="str">
            <v>Off-net domestic</v>
          </cell>
          <cell r="E738" t="str">
            <v>minute</v>
          </cell>
          <cell r="F738">
            <v>1</v>
          </cell>
          <cell r="G738">
            <v>1</v>
          </cell>
          <cell r="H738">
            <v>0</v>
          </cell>
          <cell r="I738">
            <v>0</v>
          </cell>
          <cell r="J738">
            <v>8.8599999999999998E-2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</row>
        <row r="739">
          <cell r="A739" t="str">
            <v>DOM NDL NDG09</v>
          </cell>
          <cell r="B739" t="str">
            <v>Business Talk</v>
          </cell>
          <cell r="C739" t="str">
            <v>Netherlands Pers/Pag 9</v>
          </cell>
          <cell r="D739" t="str">
            <v>Off-net domestic</v>
          </cell>
          <cell r="E739" t="str">
            <v>minute</v>
          </cell>
          <cell r="F739">
            <v>1</v>
          </cell>
          <cell r="G739">
            <v>1</v>
          </cell>
          <cell r="H739">
            <v>0</v>
          </cell>
          <cell r="I739">
            <v>0</v>
          </cell>
          <cell r="J739">
            <v>9.7000000000000003E-2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</row>
        <row r="740">
          <cell r="A740" t="str">
            <v>DOM NDL NDG91</v>
          </cell>
          <cell r="B740" t="str">
            <v>Business Talk</v>
          </cell>
          <cell r="C740" t="str">
            <v>Netherlands Pers/Pag 91</v>
          </cell>
          <cell r="D740" t="str">
            <v>Off-net domestic</v>
          </cell>
          <cell r="E740" t="str">
            <v>minute</v>
          </cell>
          <cell r="F740">
            <v>1</v>
          </cell>
          <cell r="G740">
            <v>1</v>
          </cell>
          <cell r="H740">
            <v>0</v>
          </cell>
          <cell r="I740">
            <v>0</v>
          </cell>
          <cell r="J740">
            <v>4.82E-2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</row>
        <row r="741">
          <cell r="A741" t="str">
            <v>DOM NDL NDG92</v>
          </cell>
          <cell r="B741" t="str">
            <v>Business Talk</v>
          </cell>
          <cell r="C741" t="str">
            <v>Netherlands Pers/Pag 92</v>
          </cell>
          <cell r="D741" t="str">
            <v>Off-net domestic</v>
          </cell>
          <cell r="E741" t="str">
            <v>minute</v>
          </cell>
          <cell r="F741">
            <v>1</v>
          </cell>
          <cell r="G741">
            <v>1</v>
          </cell>
          <cell r="H741">
            <v>0</v>
          </cell>
          <cell r="I741">
            <v>0</v>
          </cell>
          <cell r="J741">
            <v>4.82E-2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A742" t="str">
            <v>DOM NDL NDG93</v>
          </cell>
          <cell r="B742" t="str">
            <v>Business Talk</v>
          </cell>
          <cell r="C742" t="str">
            <v>Netherlands Pers/Pag 93</v>
          </cell>
          <cell r="D742" t="str">
            <v>Off-net domestic</v>
          </cell>
          <cell r="E742" t="str">
            <v>minute</v>
          </cell>
          <cell r="F742">
            <v>1</v>
          </cell>
          <cell r="G742">
            <v>1</v>
          </cell>
          <cell r="H742">
            <v>0</v>
          </cell>
          <cell r="I742">
            <v>0</v>
          </cell>
          <cell r="J742">
            <v>4.82E-2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</row>
        <row r="743">
          <cell r="A743" t="str">
            <v>DOM NDL NDR01</v>
          </cell>
          <cell r="B743" t="str">
            <v>Business Talk</v>
          </cell>
          <cell r="C743" t="str">
            <v>Netherlands Premium Rate 1</v>
          </cell>
          <cell r="D743" t="str">
            <v>Off-net domestic</v>
          </cell>
          <cell r="E743" t="str">
            <v>minute</v>
          </cell>
          <cell r="F743">
            <v>1</v>
          </cell>
          <cell r="G743">
            <v>1</v>
          </cell>
          <cell r="H743">
            <v>0</v>
          </cell>
          <cell r="I743">
            <v>0</v>
          </cell>
          <cell r="J743">
            <v>4.6600000000000003E-2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</row>
        <row r="744">
          <cell r="A744" t="str">
            <v>DOM NDL NDR10</v>
          </cell>
          <cell r="B744" t="str">
            <v>Business Talk</v>
          </cell>
          <cell r="C744" t="str">
            <v>Netherlands Premium Rate 10</v>
          </cell>
          <cell r="D744" t="str">
            <v>Off-net domestic</v>
          </cell>
          <cell r="E744" t="str">
            <v>minute</v>
          </cell>
          <cell r="F744">
            <v>1</v>
          </cell>
          <cell r="G744">
            <v>1</v>
          </cell>
          <cell r="H744">
            <v>0</v>
          </cell>
          <cell r="I744">
            <v>0</v>
          </cell>
          <cell r="J744">
            <v>0.10539999999999999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</row>
        <row r="745">
          <cell r="A745" t="str">
            <v>DOM NDL NDR11</v>
          </cell>
          <cell r="B745" t="str">
            <v>Business Talk</v>
          </cell>
          <cell r="C745" t="str">
            <v>Netherlands Premium Rate 11</v>
          </cell>
          <cell r="D745" t="str">
            <v>Off-net domestic</v>
          </cell>
          <cell r="E745" t="str">
            <v>minute</v>
          </cell>
          <cell r="F745">
            <v>1</v>
          </cell>
          <cell r="G745">
            <v>1</v>
          </cell>
          <cell r="H745">
            <v>0</v>
          </cell>
          <cell r="I745">
            <v>0</v>
          </cell>
          <cell r="J745">
            <v>0.1138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</row>
        <row r="746">
          <cell r="A746" t="str">
            <v>DOM NDL NDR12</v>
          </cell>
          <cell r="B746" t="str">
            <v>Business Talk</v>
          </cell>
          <cell r="C746" t="str">
            <v>Netherlands Premium Rate 12</v>
          </cell>
          <cell r="D746" t="str">
            <v>Off-net domestic</v>
          </cell>
          <cell r="E746" t="str">
            <v>minute</v>
          </cell>
          <cell r="F746">
            <v>1</v>
          </cell>
          <cell r="G746">
            <v>1</v>
          </cell>
          <cell r="H746">
            <v>0</v>
          </cell>
          <cell r="I746">
            <v>0</v>
          </cell>
          <cell r="J746">
            <v>0.1222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</row>
        <row r="747">
          <cell r="A747" t="str">
            <v>DOM NDL NDR13</v>
          </cell>
          <cell r="B747" t="str">
            <v>Business Talk</v>
          </cell>
          <cell r="C747" t="str">
            <v>Netherlands Premium Rate 13</v>
          </cell>
          <cell r="D747" t="str">
            <v>Off-net domestic</v>
          </cell>
          <cell r="E747" t="str">
            <v>minute</v>
          </cell>
          <cell r="F747">
            <v>1</v>
          </cell>
          <cell r="G747">
            <v>1</v>
          </cell>
          <cell r="H747">
            <v>0</v>
          </cell>
          <cell r="I747">
            <v>0</v>
          </cell>
          <cell r="J747">
            <v>0.1474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</row>
        <row r="748">
          <cell r="A748" t="str">
            <v>DOM NDL NDR14</v>
          </cell>
          <cell r="B748" t="str">
            <v>Business Talk</v>
          </cell>
          <cell r="C748" t="str">
            <v>Netherlands Premium Rate 14</v>
          </cell>
          <cell r="D748" t="str">
            <v>Off-net domestic</v>
          </cell>
          <cell r="E748" t="str">
            <v>minute</v>
          </cell>
          <cell r="F748">
            <v>1</v>
          </cell>
          <cell r="G748">
            <v>1</v>
          </cell>
          <cell r="H748">
            <v>0</v>
          </cell>
          <cell r="I748">
            <v>0</v>
          </cell>
          <cell r="J748">
            <v>0.16420000000000001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</row>
        <row r="749">
          <cell r="A749" t="str">
            <v>DOM NDL NDR15</v>
          </cell>
          <cell r="B749" t="str">
            <v>Business Talk</v>
          </cell>
          <cell r="C749" t="str">
            <v>Netherlands Premium Rate 15</v>
          </cell>
          <cell r="D749" t="str">
            <v>Off-net domestic</v>
          </cell>
          <cell r="E749" t="str">
            <v>minute</v>
          </cell>
          <cell r="F749">
            <v>1</v>
          </cell>
          <cell r="G749">
            <v>1</v>
          </cell>
          <cell r="H749">
            <v>0</v>
          </cell>
          <cell r="I749">
            <v>0</v>
          </cell>
          <cell r="J749">
            <v>0.18940000000000001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</row>
        <row r="750">
          <cell r="A750" t="str">
            <v>DOM NDL NDR16</v>
          </cell>
          <cell r="B750" t="str">
            <v>Business Talk</v>
          </cell>
          <cell r="C750" t="str">
            <v>Netherlands Premium Rate 16</v>
          </cell>
          <cell r="D750" t="str">
            <v>Off-net domestic</v>
          </cell>
          <cell r="E750" t="str">
            <v>minute</v>
          </cell>
          <cell r="F750">
            <v>1</v>
          </cell>
          <cell r="G750">
            <v>1</v>
          </cell>
          <cell r="H750">
            <v>0</v>
          </cell>
          <cell r="I750">
            <v>0</v>
          </cell>
          <cell r="J750">
            <v>0.20619999999999999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</row>
        <row r="751">
          <cell r="A751" t="str">
            <v>DOM NDL NDR17</v>
          </cell>
          <cell r="B751" t="str">
            <v>Business Talk</v>
          </cell>
          <cell r="C751" t="str">
            <v>Netherlands Premium Rate 17</v>
          </cell>
          <cell r="D751" t="str">
            <v>Off-net domestic</v>
          </cell>
          <cell r="E751" t="str">
            <v>minute</v>
          </cell>
          <cell r="F751">
            <v>1</v>
          </cell>
          <cell r="G751">
            <v>1</v>
          </cell>
          <cell r="H751">
            <v>0</v>
          </cell>
          <cell r="I751">
            <v>0</v>
          </cell>
          <cell r="J751">
            <v>0.2482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</row>
        <row r="752">
          <cell r="A752" t="str">
            <v>DOM NDL NDR18</v>
          </cell>
          <cell r="B752" t="str">
            <v>Business Talk</v>
          </cell>
          <cell r="C752" t="str">
            <v>Netherlands Premium Rate 18</v>
          </cell>
          <cell r="D752" t="str">
            <v>Off-net domestic</v>
          </cell>
          <cell r="E752" t="str">
            <v>minute</v>
          </cell>
          <cell r="F752">
            <v>1</v>
          </cell>
          <cell r="G752">
            <v>1</v>
          </cell>
          <cell r="H752">
            <v>0</v>
          </cell>
          <cell r="I752">
            <v>0</v>
          </cell>
          <cell r="J752">
            <v>0.2903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</row>
        <row r="753">
          <cell r="A753" t="str">
            <v>DOM NDL NDR19</v>
          </cell>
          <cell r="B753" t="str">
            <v>Business Talk</v>
          </cell>
          <cell r="C753" t="str">
            <v>Netherlands Premium Rate 19</v>
          </cell>
          <cell r="D753" t="str">
            <v>Off-net domestic</v>
          </cell>
          <cell r="E753" t="str">
            <v>minute</v>
          </cell>
          <cell r="F753">
            <v>1</v>
          </cell>
          <cell r="G753">
            <v>1</v>
          </cell>
          <cell r="H753">
            <v>0</v>
          </cell>
          <cell r="I753">
            <v>0</v>
          </cell>
          <cell r="J753">
            <v>0.33229999999999998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</row>
        <row r="754">
          <cell r="A754" t="str">
            <v>DOM NDL NDR02</v>
          </cell>
          <cell r="B754" t="str">
            <v>Business Talk</v>
          </cell>
          <cell r="C754" t="str">
            <v>Netherlands Premium Rate 2</v>
          </cell>
          <cell r="D754" t="str">
            <v>Off-net domestic</v>
          </cell>
          <cell r="E754" t="str">
            <v>minute</v>
          </cell>
          <cell r="F754">
            <v>1</v>
          </cell>
          <cell r="G754">
            <v>1</v>
          </cell>
          <cell r="H754">
            <v>0</v>
          </cell>
          <cell r="I754">
            <v>0</v>
          </cell>
          <cell r="J754">
            <v>5.5E-2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A755" t="str">
            <v>DOM NDL NDR20</v>
          </cell>
          <cell r="B755" t="str">
            <v>Business Talk</v>
          </cell>
          <cell r="C755" t="str">
            <v>Netherlands Premium Rate 20</v>
          </cell>
          <cell r="D755" t="str">
            <v>Off-net domestic</v>
          </cell>
          <cell r="E755" t="str">
            <v>minute</v>
          </cell>
          <cell r="F755">
            <v>1</v>
          </cell>
          <cell r="G755">
            <v>1</v>
          </cell>
          <cell r="H755">
            <v>0</v>
          </cell>
          <cell r="I755">
            <v>0</v>
          </cell>
          <cell r="J755">
            <v>0.37430000000000002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</row>
        <row r="756">
          <cell r="A756" t="str">
            <v>DOM NDL NDR21</v>
          </cell>
          <cell r="B756" t="str">
            <v>Business Talk</v>
          </cell>
          <cell r="C756" t="str">
            <v>Netherlands Premium Rate 21</v>
          </cell>
          <cell r="D756" t="str">
            <v>Off-net domestic</v>
          </cell>
          <cell r="E756" t="str">
            <v>minute</v>
          </cell>
          <cell r="F756">
            <v>1</v>
          </cell>
          <cell r="G756">
            <v>1</v>
          </cell>
          <cell r="H756">
            <v>0</v>
          </cell>
          <cell r="I756">
            <v>0</v>
          </cell>
          <cell r="J756">
            <v>0.4163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</row>
        <row r="757">
          <cell r="A757" t="str">
            <v>DOM NDL NDR22</v>
          </cell>
          <cell r="B757" t="str">
            <v>Business Talk</v>
          </cell>
          <cell r="C757" t="str">
            <v>Netherlands Premium Rate 22</v>
          </cell>
          <cell r="D757" t="str">
            <v>Off-net domestic</v>
          </cell>
          <cell r="E757" t="str">
            <v>minute</v>
          </cell>
          <cell r="F757">
            <v>1</v>
          </cell>
          <cell r="G757">
            <v>1</v>
          </cell>
          <cell r="H757">
            <v>0</v>
          </cell>
          <cell r="I757">
            <v>0</v>
          </cell>
          <cell r="J757">
            <v>0.45829999999999999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</row>
        <row r="758">
          <cell r="A758" t="str">
            <v>DOM NDL NDR23</v>
          </cell>
          <cell r="B758" t="str">
            <v>Business Talk</v>
          </cell>
          <cell r="C758" t="str">
            <v>Netherlands Premium Rate 23</v>
          </cell>
          <cell r="D758" t="str">
            <v>Off-net domestic</v>
          </cell>
          <cell r="E758" t="str">
            <v>minute</v>
          </cell>
          <cell r="F758">
            <v>1</v>
          </cell>
          <cell r="G758">
            <v>1</v>
          </cell>
          <cell r="H758">
            <v>0</v>
          </cell>
          <cell r="I758">
            <v>0</v>
          </cell>
          <cell r="J758">
            <v>0.50019999999999998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A759" t="str">
            <v>DOM NDL NDR24</v>
          </cell>
          <cell r="B759" t="str">
            <v>Business Talk</v>
          </cell>
          <cell r="C759" t="str">
            <v>Netherlands Premium Rate 24</v>
          </cell>
          <cell r="D759" t="str">
            <v>Off-net domestic</v>
          </cell>
          <cell r="E759" t="str">
            <v>minute</v>
          </cell>
          <cell r="F759">
            <v>1</v>
          </cell>
          <cell r="G759">
            <v>1</v>
          </cell>
          <cell r="H759">
            <v>0</v>
          </cell>
          <cell r="I759">
            <v>0</v>
          </cell>
          <cell r="J759">
            <v>0.54239999999999999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</row>
        <row r="760">
          <cell r="A760" t="str">
            <v>DOM NDL NDR25</v>
          </cell>
          <cell r="B760" t="str">
            <v>Business Talk</v>
          </cell>
          <cell r="C760" t="str">
            <v>Netherlands Premium Rate 25</v>
          </cell>
          <cell r="D760" t="str">
            <v>Off-net domestic</v>
          </cell>
          <cell r="E760" t="str">
            <v>minute</v>
          </cell>
          <cell r="F760">
            <v>1</v>
          </cell>
          <cell r="G760">
            <v>1</v>
          </cell>
          <cell r="H760">
            <v>0</v>
          </cell>
          <cell r="I760">
            <v>0</v>
          </cell>
          <cell r="J760">
            <v>0.58440000000000003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A761" t="str">
            <v>DOM NDL NDR26</v>
          </cell>
          <cell r="B761" t="str">
            <v>Business Talk</v>
          </cell>
          <cell r="C761" t="str">
            <v>Netherlands Premium Rate 26</v>
          </cell>
          <cell r="D761" t="str">
            <v>Off-net domestic</v>
          </cell>
          <cell r="E761" t="str">
            <v>minute</v>
          </cell>
          <cell r="F761">
            <v>1</v>
          </cell>
          <cell r="G761">
            <v>1</v>
          </cell>
          <cell r="H761">
            <v>0</v>
          </cell>
          <cell r="I761">
            <v>0</v>
          </cell>
          <cell r="J761">
            <v>0.62639999999999996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</row>
        <row r="762">
          <cell r="A762" t="str">
            <v>DOM NDL NDR27</v>
          </cell>
          <cell r="B762" t="str">
            <v>Business Talk</v>
          </cell>
          <cell r="C762" t="str">
            <v>Netherlands Premium Rate 27</v>
          </cell>
          <cell r="D762" t="str">
            <v>Off-net domestic</v>
          </cell>
          <cell r="E762" t="str">
            <v>minute</v>
          </cell>
          <cell r="F762">
            <v>1</v>
          </cell>
          <cell r="G762">
            <v>1</v>
          </cell>
          <cell r="H762">
            <v>0</v>
          </cell>
          <cell r="I762">
            <v>0</v>
          </cell>
          <cell r="J762">
            <v>0.71040000000000003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</row>
        <row r="763">
          <cell r="A763" t="str">
            <v>DOM NDL NDR28</v>
          </cell>
          <cell r="B763" t="str">
            <v>Business Talk</v>
          </cell>
          <cell r="C763" t="str">
            <v>Netherlands Premium Rate 28</v>
          </cell>
          <cell r="D763" t="str">
            <v>Off-net domestic</v>
          </cell>
          <cell r="E763" t="str">
            <v>call</v>
          </cell>
          <cell r="F763">
            <v>1</v>
          </cell>
          <cell r="G763">
            <v>1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6.3E-2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A764" t="str">
            <v>DOM NDL NDR29</v>
          </cell>
          <cell r="B764" t="str">
            <v>Business Talk</v>
          </cell>
          <cell r="C764" t="str">
            <v>Netherlands Premium Rate 29</v>
          </cell>
          <cell r="D764" t="str">
            <v>Off-net domestic</v>
          </cell>
          <cell r="E764" t="str">
            <v>call</v>
          </cell>
          <cell r="F764">
            <v>1</v>
          </cell>
          <cell r="G764">
            <v>1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0.18490000000000001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</row>
        <row r="765">
          <cell r="A765" t="str">
            <v>DOM NDL NDR03</v>
          </cell>
          <cell r="B765" t="str">
            <v>Business Talk</v>
          </cell>
          <cell r="C765" t="str">
            <v>Netherlands Premium Rate 3</v>
          </cell>
          <cell r="D765" t="str">
            <v>Off-net domestic</v>
          </cell>
          <cell r="E765" t="str">
            <v>minute</v>
          </cell>
          <cell r="F765">
            <v>1</v>
          </cell>
          <cell r="G765">
            <v>1</v>
          </cell>
          <cell r="H765">
            <v>0</v>
          </cell>
          <cell r="I765">
            <v>0</v>
          </cell>
          <cell r="J765">
            <v>5.9200000000000003E-2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</row>
        <row r="766">
          <cell r="A766" t="str">
            <v>DOM NDL NDR30</v>
          </cell>
          <cell r="B766" t="str">
            <v>Business Talk</v>
          </cell>
          <cell r="C766" t="str">
            <v>Netherlands Premium Rate 30</v>
          </cell>
          <cell r="D766" t="str">
            <v>Off-net domestic</v>
          </cell>
          <cell r="E766" t="str">
            <v>call</v>
          </cell>
          <cell r="F766">
            <v>1</v>
          </cell>
          <cell r="G766">
            <v>1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0.29409999999999997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</row>
        <row r="767">
          <cell r="A767" t="str">
            <v>DOM NDL NDR31</v>
          </cell>
          <cell r="B767" t="str">
            <v>Business Talk</v>
          </cell>
          <cell r="C767" t="str">
            <v>Netherlands Premium Rate 31</v>
          </cell>
          <cell r="D767" t="str">
            <v>Off-net domestic</v>
          </cell>
          <cell r="E767" t="str">
            <v>call</v>
          </cell>
          <cell r="F767">
            <v>1</v>
          </cell>
          <cell r="G767">
            <v>1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0.37819999999999998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</row>
        <row r="768">
          <cell r="A768" t="str">
            <v>DOM NDL NDR32</v>
          </cell>
          <cell r="B768" t="str">
            <v>Business Talk</v>
          </cell>
          <cell r="C768" t="str">
            <v>Netherlands Premium Rate 32</v>
          </cell>
          <cell r="D768" t="str">
            <v>Off-net domestic</v>
          </cell>
          <cell r="E768" t="str">
            <v>call</v>
          </cell>
          <cell r="F768">
            <v>1</v>
          </cell>
          <cell r="G768">
            <v>1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0.42020000000000002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</row>
        <row r="769">
          <cell r="A769" t="str">
            <v>DOM NDL NDR33</v>
          </cell>
          <cell r="B769" t="str">
            <v>Business Talk</v>
          </cell>
          <cell r="C769" t="str">
            <v>Netherlands Premium Rate 33</v>
          </cell>
          <cell r="D769" t="str">
            <v>Off-net domestic</v>
          </cell>
          <cell r="E769" t="str">
            <v>call</v>
          </cell>
          <cell r="F769">
            <v>1</v>
          </cell>
          <cell r="G769">
            <v>1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0.4622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</row>
        <row r="770">
          <cell r="A770" t="str">
            <v>DOM NDL NDR34</v>
          </cell>
          <cell r="B770" t="str">
            <v>Business Talk</v>
          </cell>
          <cell r="C770" t="str">
            <v>Netherlands Premium Rate 34</v>
          </cell>
          <cell r="D770" t="str">
            <v>Off-net domestic</v>
          </cell>
          <cell r="E770" t="str">
            <v>call</v>
          </cell>
          <cell r="F770">
            <v>1</v>
          </cell>
          <cell r="G770">
            <v>1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0.50419999999999998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</row>
        <row r="771">
          <cell r="A771" t="str">
            <v>DOM NDL NDR35</v>
          </cell>
          <cell r="B771" t="str">
            <v>Business Talk</v>
          </cell>
          <cell r="C771" t="str">
            <v>Netherlands Premium Rate 35</v>
          </cell>
          <cell r="D771" t="str">
            <v>Off-net domestic</v>
          </cell>
          <cell r="E771" t="str">
            <v>call</v>
          </cell>
          <cell r="F771">
            <v>1</v>
          </cell>
          <cell r="G771">
            <v>1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0.55459999999999998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</row>
        <row r="772">
          <cell r="A772" t="str">
            <v>DOM NDL NDR36</v>
          </cell>
          <cell r="B772" t="str">
            <v>Business Talk</v>
          </cell>
          <cell r="C772" t="str">
            <v>Netherlands Premium Rate 36</v>
          </cell>
          <cell r="D772" t="str">
            <v>Off-net domestic</v>
          </cell>
          <cell r="E772" t="str">
            <v>call</v>
          </cell>
          <cell r="F772">
            <v>1</v>
          </cell>
          <cell r="G772">
            <v>1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0.58819999999999995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</row>
        <row r="773">
          <cell r="A773" t="str">
            <v>DOM NDL NDR37</v>
          </cell>
          <cell r="B773" t="str">
            <v>Business Talk</v>
          </cell>
          <cell r="C773" t="str">
            <v>Netherlands Premium Rate 37</v>
          </cell>
          <cell r="D773" t="str">
            <v>Off-net domestic</v>
          </cell>
          <cell r="E773" t="str">
            <v>call</v>
          </cell>
          <cell r="F773">
            <v>1</v>
          </cell>
          <cell r="G773">
            <v>1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0.63029999999999997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</row>
        <row r="774">
          <cell r="A774" t="str">
            <v>DOM NDL NDR38</v>
          </cell>
          <cell r="B774" t="str">
            <v>Business Talk</v>
          </cell>
          <cell r="C774" t="str">
            <v>Netherlands Premium Rate 38</v>
          </cell>
          <cell r="D774" t="str">
            <v>Off-net domestic</v>
          </cell>
          <cell r="E774" t="str">
            <v>call</v>
          </cell>
          <cell r="F774">
            <v>1</v>
          </cell>
          <cell r="G774">
            <v>1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0.67230000000000001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</row>
        <row r="775">
          <cell r="A775" t="str">
            <v>DOM NDL NDR39</v>
          </cell>
          <cell r="B775" t="str">
            <v>Business Talk</v>
          </cell>
          <cell r="C775" t="str">
            <v>Netherlands Premium Rate 39</v>
          </cell>
          <cell r="D775" t="str">
            <v>Off-net domestic</v>
          </cell>
          <cell r="E775" t="str">
            <v>call</v>
          </cell>
          <cell r="F775">
            <v>1</v>
          </cell>
          <cell r="G775">
            <v>1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0.75629999999999997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</row>
        <row r="776">
          <cell r="A776" t="str">
            <v>DOM NDL NDR04</v>
          </cell>
          <cell r="B776" t="str">
            <v>Business Talk</v>
          </cell>
          <cell r="C776" t="str">
            <v>Netherlands Premium Rate 4</v>
          </cell>
          <cell r="D776" t="str">
            <v>Off-net domestic</v>
          </cell>
          <cell r="E776" t="str">
            <v>minute</v>
          </cell>
          <cell r="F776">
            <v>1</v>
          </cell>
          <cell r="G776">
            <v>1</v>
          </cell>
          <cell r="H776">
            <v>0</v>
          </cell>
          <cell r="I776">
            <v>0</v>
          </cell>
          <cell r="J776">
            <v>6.3399999999999998E-2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</row>
        <row r="777">
          <cell r="A777" t="str">
            <v>DOM NDL NDR40</v>
          </cell>
          <cell r="B777" t="str">
            <v>Business Talk</v>
          </cell>
          <cell r="C777" t="str">
            <v>Netherlands Premium Rate 40</v>
          </cell>
          <cell r="D777" t="str">
            <v>Off-net domestic</v>
          </cell>
          <cell r="E777" t="str">
            <v>call</v>
          </cell>
          <cell r="F777">
            <v>1</v>
          </cell>
          <cell r="G777">
            <v>1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0.77310000000000001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</row>
        <row r="778">
          <cell r="A778" t="str">
            <v>DOM NDL NDR41</v>
          </cell>
          <cell r="B778" t="str">
            <v>Business Talk</v>
          </cell>
          <cell r="C778" t="str">
            <v>Netherlands Premium Rate 41</v>
          </cell>
          <cell r="D778" t="str">
            <v>Off-net domestic</v>
          </cell>
          <cell r="E778" t="str">
            <v>call</v>
          </cell>
          <cell r="F778">
            <v>1</v>
          </cell>
          <cell r="G778">
            <v>1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0.83189999999999997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</row>
        <row r="779">
          <cell r="A779" t="str">
            <v>DOM NDL NDR42</v>
          </cell>
          <cell r="B779" t="str">
            <v>Business Talk</v>
          </cell>
          <cell r="C779" t="str">
            <v>Netherlands Premium Rate 42</v>
          </cell>
          <cell r="D779" t="str">
            <v>Off-net domestic</v>
          </cell>
          <cell r="E779" t="str">
            <v>call</v>
          </cell>
          <cell r="F779">
            <v>1</v>
          </cell>
          <cell r="G779">
            <v>1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0.84030000000000005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</row>
        <row r="780">
          <cell r="A780" t="str">
            <v>DOM NDL NDR43</v>
          </cell>
          <cell r="B780" t="str">
            <v>Business Talk</v>
          </cell>
          <cell r="C780" t="str">
            <v>Netherlands Premium Rate 43</v>
          </cell>
          <cell r="D780" t="str">
            <v>Off-net domestic</v>
          </cell>
          <cell r="E780" t="str">
            <v>call</v>
          </cell>
          <cell r="F780">
            <v>1</v>
          </cell>
          <cell r="G780">
            <v>1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0.91600000000000004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</row>
        <row r="781">
          <cell r="A781" t="str">
            <v>DOM NDL NDR44</v>
          </cell>
          <cell r="B781" t="str">
            <v>Business Talk</v>
          </cell>
          <cell r="C781" t="str">
            <v>Netherlands Premium Rate 44</v>
          </cell>
          <cell r="D781" t="str">
            <v>Off-net domestic</v>
          </cell>
          <cell r="E781" t="str">
            <v>call</v>
          </cell>
          <cell r="F781">
            <v>1</v>
          </cell>
          <cell r="G781">
            <v>1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0.96640000000000004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</row>
        <row r="782">
          <cell r="A782" t="str">
            <v>DOM NDL NDR45</v>
          </cell>
          <cell r="B782" t="str">
            <v>Business Talk</v>
          </cell>
          <cell r="C782" t="str">
            <v>Netherlands Premium Rate 45</v>
          </cell>
          <cell r="D782" t="str">
            <v>Off-net domestic</v>
          </cell>
          <cell r="E782" t="str">
            <v>call</v>
          </cell>
          <cell r="F782">
            <v>1</v>
          </cell>
          <cell r="G782">
            <v>1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1.0084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</row>
        <row r="783">
          <cell r="A783" t="str">
            <v>DOM NDL NDR46</v>
          </cell>
          <cell r="B783" t="str">
            <v>Business Talk</v>
          </cell>
          <cell r="C783" t="str">
            <v>Netherlands Premium Rate 46</v>
          </cell>
          <cell r="D783" t="str">
            <v>Off-net domestic</v>
          </cell>
          <cell r="E783" t="str">
            <v>call</v>
          </cell>
          <cell r="F783">
            <v>1</v>
          </cell>
          <cell r="G783">
            <v>1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1.0924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</row>
        <row r="784">
          <cell r="A784" t="str">
            <v>DOM NDL NDR05</v>
          </cell>
          <cell r="B784" t="str">
            <v>Business Talk</v>
          </cell>
          <cell r="C784" t="str">
            <v>Netherlands Premium Rate 5</v>
          </cell>
          <cell r="D784" t="str">
            <v>Off-net domestic</v>
          </cell>
          <cell r="E784" t="str">
            <v>minute</v>
          </cell>
          <cell r="F784">
            <v>1</v>
          </cell>
          <cell r="G784">
            <v>1</v>
          </cell>
          <cell r="H784">
            <v>0</v>
          </cell>
          <cell r="I784">
            <v>0</v>
          </cell>
          <cell r="J784">
            <v>7.1800000000000003E-2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</row>
        <row r="785">
          <cell r="A785" t="str">
            <v>DOM NDL NDR06</v>
          </cell>
          <cell r="B785" t="str">
            <v>Business Talk</v>
          </cell>
          <cell r="C785" t="str">
            <v>Netherlands Premium Rate 6</v>
          </cell>
          <cell r="D785" t="str">
            <v>Off-net domestic</v>
          </cell>
          <cell r="E785" t="str">
            <v>minute</v>
          </cell>
          <cell r="F785">
            <v>1</v>
          </cell>
          <cell r="G785">
            <v>1</v>
          </cell>
          <cell r="H785">
            <v>0</v>
          </cell>
          <cell r="I785">
            <v>0</v>
          </cell>
          <cell r="J785">
            <v>7.5999999999999998E-2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</row>
        <row r="786">
          <cell r="A786" t="str">
            <v>DOM NDL NDR07</v>
          </cell>
          <cell r="B786" t="str">
            <v>Business Talk</v>
          </cell>
          <cell r="C786" t="str">
            <v>Netherlands Premium Rate 7</v>
          </cell>
          <cell r="D786" t="str">
            <v>Off-net domestic</v>
          </cell>
          <cell r="E786" t="str">
            <v>minute</v>
          </cell>
          <cell r="F786">
            <v>1</v>
          </cell>
          <cell r="G786">
            <v>1</v>
          </cell>
          <cell r="H786">
            <v>0</v>
          </cell>
          <cell r="I786">
            <v>0</v>
          </cell>
          <cell r="J786">
            <v>8.0199999999999994E-2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A787" t="str">
            <v>DOM NDL NDR08</v>
          </cell>
          <cell r="B787" t="str">
            <v>Business Talk</v>
          </cell>
          <cell r="C787" t="str">
            <v>Netherlands Premium Rate 8</v>
          </cell>
          <cell r="D787" t="str">
            <v>Off-net domestic</v>
          </cell>
          <cell r="E787" t="str">
            <v>minute</v>
          </cell>
          <cell r="F787">
            <v>1</v>
          </cell>
          <cell r="G787">
            <v>1</v>
          </cell>
          <cell r="H787">
            <v>0</v>
          </cell>
          <cell r="I787">
            <v>0</v>
          </cell>
          <cell r="J787">
            <v>8.8599999999999998E-2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</row>
        <row r="788">
          <cell r="A788" t="str">
            <v>DOM NDL NDR09</v>
          </cell>
          <cell r="B788" t="str">
            <v>Business Talk</v>
          </cell>
          <cell r="C788" t="str">
            <v>Netherlands Premium Rate 9</v>
          </cell>
          <cell r="D788" t="str">
            <v>Off-net domestic</v>
          </cell>
          <cell r="E788" t="str">
            <v>minute</v>
          </cell>
          <cell r="F788">
            <v>1</v>
          </cell>
          <cell r="G788">
            <v>1</v>
          </cell>
          <cell r="H788">
            <v>0</v>
          </cell>
          <cell r="I788">
            <v>0</v>
          </cell>
          <cell r="J788">
            <v>9.7000000000000003E-2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</row>
        <row r="789">
          <cell r="A789" t="str">
            <v>DOM NDL NDFRE</v>
          </cell>
          <cell r="B789" t="str">
            <v>Business Talk</v>
          </cell>
          <cell r="C789" t="str">
            <v>Netherlands Toll Free</v>
          </cell>
          <cell r="D789" t="str">
            <v>Off-net domestic</v>
          </cell>
          <cell r="E789" t="str">
            <v>minute</v>
          </cell>
          <cell r="F789">
            <v>1</v>
          </cell>
          <cell r="G789">
            <v>1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</row>
        <row r="790">
          <cell r="A790" t="str">
            <v>DOM NDL NDVPN</v>
          </cell>
          <cell r="B790" t="str">
            <v>Business Talk</v>
          </cell>
          <cell r="C790" t="str">
            <v>Netherlands Virtual Private Nk</v>
          </cell>
          <cell r="D790" t="str">
            <v>Off-net domestic</v>
          </cell>
          <cell r="E790" t="str">
            <v>minute</v>
          </cell>
          <cell r="F790">
            <v>1</v>
          </cell>
          <cell r="G790">
            <v>1</v>
          </cell>
          <cell r="H790">
            <v>0</v>
          </cell>
          <cell r="I790">
            <v>0</v>
          </cell>
          <cell r="J790">
            <v>2.0299999999999999E-2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A791" t="str">
            <v>DOM NZL NZDRN</v>
          </cell>
          <cell r="B791" t="str">
            <v>Business Talk</v>
          </cell>
          <cell r="C791" t="str">
            <v>New Zealand Directory National</v>
          </cell>
          <cell r="D791" t="str">
            <v>Off-net domestic</v>
          </cell>
          <cell r="E791" t="str">
            <v>minute</v>
          </cell>
          <cell r="F791">
            <v>1</v>
          </cell>
          <cell r="G791">
            <v>1</v>
          </cell>
          <cell r="H791">
            <v>0</v>
          </cell>
          <cell r="I791">
            <v>0</v>
          </cell>
          <cell r="J791">
            <v>0.53</v>
          </cell>
          <cell r="K791">
            <v>0</v>
          </cell>
          <cell r="L791">
            <v>0.88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A792" t="str">
            <v>DOM NZL AREA3</v>
          </cell>
          <cell r="B792" t="str">
            <v>Business Talk</v>
          </cell>
          <cell r="C792" t="str">
            <v>New Zealand Mobile</v>
          </cell>
          <cell r="D792" t="str">
            <v>Off-net domestic</v>
          </cell>
          <cell r="E792" t="str">
            <v>minute</v>
          </cell>
          <cell r="F792">
            <v>1</v>
          </cell>
          <cell r="G792">
            <v>1</v>
          </cell>
          <cell r="H792">
            <v>0</v>
          </cell>
          <cell r="I792">
            <v>0</v>
          </cell>
          <cell r="J792">
            <v>0.08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</row>
        <row r="793">
          <cell r="A793" t="str">
            <v>DOM NZL AREA2</v>
          </cell>
          <cell r="B793" t="str">
            <v>Business Talk</v>
          </cell>
          <cell r="C793" t="str">
            <v>New Zealand</v>
          </cell>
          <cell r="D793" t="str">
            <v>Off-net domestic</v>
          </cell>
          <cell r="E793" t="str">
            <v>minute</v>
          </cell>
          <cell r="F793">
            <v>1</v>
          </cell>
          <cell r="G793">
            <v>1</v>
          </cell>
          <cell r="H793">
            <v>0</v>
          </cell>
          <cell r="I793">
            <v>0</v>
          </cell>
          <cell r="J793">
            <v>0.03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</row>
        <row r="794">
          <cell r="A794" t="str">
            <v>DOM NZL NZDRI</v>
          </cell>
          <cell r="B794" t="str">
            <v>Business Talk</v>
          </cell>
          <cell r="C794" t="str">
            <v>New Zealand Directory Inter</v>
          </cell>
          <cell r="D794" t="str">
            <v>Off-net domestic</v>
          </cell>
          <cell r="E794" t="str">
            <v>minute</v>
          </cell>
          <cell r="F794">
            <v>1</v>
          </cell>
          <cell r="G794">
            <v>1</v>
          </cell>
          <cell r="H794">
            <v>0</v>
          </cell>
          <cell r="I794">
            <v>0</v>
          </cell>
          <cell r="J794">
            <v>0.53</v>
          </cell>
          <cell r="K794">
            <v>0</v>
          </cell>
          <cell r="L794">
            <v>1.77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</row>
        <row r="795">
          <cell r="A795" t="str">
            <v>DOM NZL NZSOS</v>
          </cell>
          <cell r="B795" t="str">
            <v>Business Talk</v>
          </cell>
          <cell r="C795" t="str">
            <v>New Zealand Freephone</v>
          </cell>
          <cell r="D795" t="str">
            <v>Off-net domestic</v>
          </cell>
          <cell r="E795" t="str">
            <v>minute</v>
          </cell>
          <cell r="F795">
            <v>1</v>
          </cell>
          <cell r="G795">
            <v>1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</row>
        <row r="796">
          <cell r="A796" t="str">
            <v>DOM NZL NZFRE</v>
          </cell>
          <cell r="B796" t="str">
            <v>Business Talk</v>
          </cell>
          <cell r="C796" t="str">
            <v>New Zealand Freephone</v>
          </cell>
          <cell r="D796" t="str">
            <v>Off-net domestic</v>
          </cell>
          <cell r="E796" t="str">
            <v>minute</v>
          </cell>
          <cell r="F796">
            <v>1</v>
          </cell>
          <cell r="G796">
            <v>1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</row>
        <row r="797">
          <cell r="A797" t="str">
            <v>DOM MNP FIX</v>
          </cell>
          <cell r="B797" t="str">
            <v>Business Talk</v>
          </cell>
          <cell r="C797" t="str">
            <v>Northern Mariana Is</v>
          </cell>
          <cell r="D797" t="str">
            <v>Off-net domestic</v>
          </cell>
          <cell r="E797" t="str">
            <v>minute</v>
          </cell>
          <cell r="F797">
            <v>1</v>
          </cell>
          <cell r="G797">
            <v>1</v>
          </cell>
          <cell r="H797">
            <v>0</v>
          </cell>
          <cell r="I797">
            <v>0</v>
          </cell>
          <cell r="J797">
            <v>3.1399999999999997E-2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</row>
        <row r="798">
          <cell r="A798" t="str">
            <v>DOM NOR AREA2</v>
          </cell>
          <cell r="B798" t="str">
            <v>Business Talk</v>
          </cell>
          <cell r="C798" t="str">
            <v>Norway National</v>
          </cell>
          <cell r="D798" t="str">
            <v>Off-net domestic</v>
          </cell>
          <cell r="E798" t="str">
            <v>minute</v>
          </cell>
          <cell r="F798">
            <v>1</v>
          </cell>
          <cell r="G798">
            <v>1</v>
          </cell>
          <cell r="H798">
            <v>0</v>
          </cell>
          <cell r="I798">
            <v>0</v>
          </cell>
          <cell r="J798">
            <v>1.29E-2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</row>
        <row r="799">
          <cell r="A799" t="str">
            <v>DOM NOR AREA4</v>
          </cell>
          <cell r="B799" t="str">
            <v>Business Talk</v>
          </cell>
          <cell r="C799" t="str">
            <v>Norway Mobile Netcom</v>
          </cell>
          <cell r="D799" t="str">
            <v>Off-net domestic</v>
          </cell>
          <cell r="E799" t="str">
            <v>minute</v>
          </cell>
          <cell r="F799">
            <v>1</v>
          </cell>
          <cell r="G799">
            <v>1</v>
          </cell>
          <cell r="H799">
            <v>0</v>
          </cell>
          <cell r="I799">
            <v>0</v>
          </cell>
          <cell r="J799">
            <v>3.7600000000000001E-2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</row>
        <row r="800">
          <cell r="A800" t="str">
            <v>DOM NOR AREA3</v>
          </cell>
          <cell r="B800" t="str">
            <v>Business Talk</v>
          </cell>
          <cell r="C800" t="str">
            <v>Norway Mobile Other</v>
          </cell>
          <cell r="D800" t="str">
            <v>Off-net domestic</v>
          </cell>
          <cell r="E800" t="str">
            <v>minute</v>
          </cell>
          <cell r="F800">
            <v>1</v>
          </cell>
          <cell r="G800">
            <v>1</v>
          </cell>
          <cell r="H800">
            <v>0</v>
          </cell>
          <cell r="I800">
            <v>0</v>
          </cell>
          <cell r="J800">
            <v>3.7600000000000001E-2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</row>
        <row r="801">
          <cell r="A801" t="str">
            <v>DOM NOR AREA5</v>
          </cell>
          <cell r="B801" t="str">
            <v>Business Talk</v>
          </cell>
          <cell r="C801" t="str">
            <v>Norway Mobile Telenor</v>
          </cell>
          <cell r="D801" t="str">
            <v>Off-net domestic</v>
          </cell>
          <cell r="E801" t="str">
            <v>minute</v>
          </cell>
          <cell r="F801">
            <v>1</v>
          </cell>
          <cell r="G801">
            <v>1</v>
          </cell>
          <cell r="H801">
            <v>0</v>
          </cell>
          <cell r="I801">
            <v>0</v>
          </cell>
          <cell r="J801">
            <v>3.7600000000000001E-2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</row>
        <row r="802">
          <cell r="A802" t="str">
            <v>DOM NOR NOREN</v>
          </cell>
          <cell r="B802" t="str">
            <v>Business Talk</v>
          </cell>
          <cell r="C802" t="str">
            <v>Norway Directory Enquiry</v>
          </cell>
          <cell r="D802" t="str">
            <v>Off-net domestic</v>
          </cell>
          <cell r="E802" t="str">
            <v>minute &amp; call</v>
          </cell>
          <cell r="F802">
            <v>1</v>
          </cell>
          <cell r="G802">
            <v>1</v>
          </cell>
          <cell r="H802">
            <v>0</v>
          </cell>
          <cell r="I802">
            <v>0</v>
          </cell>
          <cell r="J802">
            <v>1.5422</v>
          </cell>
          <cell r="K802">
            <v>0</v>
          </cell>
          <cell r="L802">
            <v>0.55079999999999996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</row>
        <row r="803">
          <cell r="A803" t="str">
            <v>DOM NOR NEM1N</v>
          </cell>
          <cell r="B803" t="str">
            <v>Business Talk</v>
          </cell>
          <cell r="C803" t="str">
            <v>Norway Emergency Numbers 1</v>
          </cell>
          <cell r="D803" t="str">
            <v>Off-net domestic</v>
          </cell>
          <cell r="E803" t="str">
            <v>minute</v>
          </cell>
          <cell r="F803">
            <v>1</v>
          </cell>
          <cell r="G803">
            <v>1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</row>
        <row r="804">
          <cell r="A804" t="str">
            <v>DOM NOR NEM2N</v>
          </cell>
          <cell r="B804" t="str">
            <v>Business Talk</v>
          </cell>
          <cell r="C804" t="str">
            <v>Norway Emergency Numbers 2</v>
          </cell>
          <cell r="D804" t="str">
            <v>Off-net domestic</v>
          </cell>
          <cell r="E804" t="str">
            <v>minute</v>
          </cell>
          <cell r="F804">
            <v>1</v>
          </cell>
          <cell r="G804">
            <v>1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</row>
        <row r="805">
          <cell r="A805" t="str">
            <v>DOM NOR NORPN</v>
          </cell>
          <cell r="B805" t="str">
            <v>Business Talk</v>
          </cell>
          <cell r="C805" t="str">
            <v>Norway Personal Numbers</v>
          </cell>
          <cell r="D805" t="str">
            <v>Off-net domestic</v>
          </cell>
          <cell r="E805" t="str">
            <v>minute &amp; call</v>
          </cell>
          <cell r="F805">
            <v>1</v>
          </cell>
          <cell r="G805">
            <v>1</v>
          </cell>
          <cell r="H805">
            <v>0</v>
          </cell>
          <cell r="I805">
            <v>0</v>
          </cell>
          <cell r="J805">
            <v>1.21E-2</v>
          </cell>
          <cell r="K805">
            <v>0</v>
          </cell>
          <cell r="L805">
            <v>6.5000000000000002E-2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</row>
        <row r="806">
          <cell r="A806" t="str">
            <v>DOM NOR NOR1A</v>
          </cell>
          <cell r="B806" t="str">
            <v>Business Talk</v>
          </cell>
          <cell r="C806" t="str">
            <v>Norway Premium Rate Cat1A</v>
          </cell>
          <cell r="D806" t="str">
            <v>Off-net domestic</v>
          </cell>
          <cell r="E806" t="str">
            <v>minute &amp; call</v>
          </cell>
          <cell r="F806">
            <v>1</v>
          </cell>
          <cell r="G806">
            <v>1</v>
          </cell>
          <cell r="H806">
            <v>0</v>
          </cell>
          <cell r="I806">
            <v>0</v>
          </cell>
          <cell r="J806">
            <v>0.39660000000000001</v>
          </cell>
          <cell r="K806">
            <v>0</v>
          </cell>
          <cell r="L806">
            <v>6.5000000000000002E-2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</row>
        <row r="807">
          <cell r="A807" t="str">
            <v>DOM NOR NOR1B</v>
          </cell>
          <cell r="B807" t="str">
            <v>Business Talk</v>
          </cell>
          <cell r="C807" t="str">
            <v>Norway Premium Rate Cat1B</v>
          </cell>
          <cell r="D807" t="str">
            <v>Off-net domestic</v>
          </cell>
          <cell r="E807" t="str">
            <v>minute &amp; call</v>
          </cell>
          <cell r="F807">
            <v>1</v>
          </cell>
          <cell r="G807">
            <v>1</v>
          </cell>
          <cell r="H807">
            <v>0</v>
          </cell>
          <cell r="I807">
            <v>0</v>
          </cell>
          <cell r="J807">
            <v>0.17630000000000001</v>
          </cell>
          <cell r="K807">
            <v>0</v>
          </cell>
          <cell r="L807">
            <v>6.5000000000000002E-2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</row>
        <row r="808">
          <cell r="A808" t="str">
            <v>DOM NOR NOR1C</v>
          </cell>
          <cell r="B808" t="str">
            <v>Business Talk</v>
          </cell>
          <cell r="C808" t="str">
            <v>Norway Premium Rate Cat1C</v>
          </cell>
          <cell r="D808" t="str">
            <v>Off-net domestic</v>
          </cell>
          <cell r="E808" t="str">
            <v>minute &amp; call</v>
          </cell>
          <cell r="F808">
            <v>1</v>
          </cell>
          <cell r="G808">
            <v>1</v>
          </cell>
          <cell r="H808">
            <v>0</v>
          </cell>
          <cell r="I808">
            <v>0</v>
          </cell>
          <cell r="J808">
            <v>0.17630000000000001</v>
          </cell>
          <cell r="K808">
            <v>0</v>
          </cell>
          <cell r="L808">
            <v>6.5000000000000002E-2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</row>
        <row r="809">
          <cell r="A809" t="str">
            <v>DOM NOR NOR1D</v>
          </cell>
          <cell r="B809" t="str">
            <v>Business Talk</v>
          </cell>
          <cell r="C809" t="str">
            <v>Norway Premium Rate Cat1D</v>
          </cell>
          <cell r="D809" t="str">
            <v>Off-net domestic</v>
          </cell>
          <cell r="E809" t="str">
            <v>minute &amp; call</v>
          </cell>
          <cell r="F809">
            <v>1</v>
          </cell>
          <cell r="G809">
            <v>1</v>
          </cell>
          <cell r="H809">
            <v>0</v>
          </cell>
          <cell r="I809">
            <v>0</v>
          </cell>
          <cell r="J809">
            <v>0.92530000000000001</v>
          </cell>
          <cell r="K809">
            <v>0</v>
          </cell>
          <cell r="L809">
            <v>6.5000000000000002E-2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0">
          <cell r="A810" t="str">
            <v>DOM NOR NOR1E</v>
          </cell>
          <cell r="B810" t="str">
            <v>Business Talk</v>
          </cell>
          <cell r="C810" t="str">
            <v>Norway Premium Rate Cat1E</v>
          </cell>
          <cell r="D810" t="str">
            <v>Off-net domestic</v>
          </cell>
          <cell r="E810" t="str">
            <v>minute &amp; call</v>
          </cell>
          <cell r="F810">
            <v>1</v>
          </cell>
          <cell r="G810">
            <v>1</v>
          </cell>
          <cell r="H810">
            <v>0</v>
          </cell>
          <cell r="I810">
            <v>0</v>
          </cell>
          <cell r="J810">
            <v>0.92530000000000001</v>
          </cell>
          <cell r="K810">
            <v>0</v>
          </cell>
          <cell r="L810">
            <v>6.5000000000000002E-2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A811" t="str">
            <v>DOM NOR NOR1F</v>
          </cell>
          <cell r="B811" t="str">
            <v>Business Talk</v>
          </cell>
          <cell r="C811" t="str">
            <v>Norway Premium Rate Cat1F</v>
          </cell>
          <cell r="D811" t="str">
            <v>Off-net domestic</v>
          </cell>
          <cell r="E811" t="str">
            <v>minute &amp; call</v>
          </cell>
          <cell r="F811">
            <v>1</v>
          </cell>
          <cell r="G811">
            <v>1</v>
          </cell>
          <cell r="H811">
            <v>0</v>
          </cell>
          <cell r="I811">
            <v>0</v>
          </cell>
          <cell r="J811">
            <v>0.30840000000000001</v>
          </cell>
          <cell r="K811">
            <v>0</v>
          </cell>
          <cell r="L811">
            <v>6.5000000000000002E-2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</row>
        <row r="812">
          <cell r="A812" t="str">
            <v>DOM NOR NOR1G</v>
          </cell>
          <cell r="B812" t="str">
            <v>Business Talk</v>
          </cell>
          <cell r="C812" t="str">
            <v>Norway Premium Rate Cat1G</v>
          </cell>
          <cell r="D812" t="str">
            <v>Off-net domestic</v>
          </cell>
          <cell r="E812" t="str">
            <v>minute &amp; call</v>
          </cell>
          <cell r="F812">
            <v>1</v>
          </cell>
          <cell r="G812">
            <v>1</v>
          </cell>
          <cell r="H812">
            <v>0</v>
          </cell>
          <cell r="I812">
            <v>0</v>
          </cell>
          <cell r="J812">
            <v>0.52880000000000005</v>
          </cell>
          <cell r="K812">
            <v>0</v>
          </cell>
          <cell r="L812">
            <v>6.5000000000000002E-2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</row>
        <row r="813">
          <cell r="A813" t="str">
            <v>DOM NOR NOR1H</v>
          </cell>
          <cell r="B813" t="str">
            <v>Business Talk</v>
          </cell>
          <cell r="C813" t="str">
            <v>Norway Premium Rate Cat1H</v>
          </cell>
          <cell r="D813" t="str">
            <v>Off-net domestic</v>
          </cell>
          <cell r="E813" t="str">
            <v>minute &amp; call</v>
          </cell>
          <cell r="F813">
            <v>1</v>
          </cell>
          <cell r="G813">
            <v>1</v>
          </cell>
          <cell r="H813">
            <v>0</v>
          </cell>
          <cell r="I813">
            <v>0</v>
          </cell>
          <cell r="J813">
            <v>0.92530000000000001</v>
          </cell>
          <cell r="K813">
            <v>0</v>
          </cell>
          <cell r="L813">
            <v>6.5000000000000002E-2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</row>
        <row r="814">
          <cell r="A814" t="str">
            <v>DOM NOR NOR1I</v>
          </cell>
          <cell r="B814" t="str">
            <v>Business Talk</v>
          </cell>
          <cell r="C814" t="str">
            <v>Norway Premium Rate Cat1I</v>
          </cell>
          <cell r="D814" t="str">
            <v>Off-net domestic</v>
          </cell>
          <cell r="E814" t="str">
            <v>minute &amp; call</v>
          </cell>
          <cell r="F814">
            <v>1</v>
          </cell>
          <cell r="G814">
            <v>1</v>
          </cell>
          <cell r="H814">
            <v>0</v>
          </cell>
          <cell r="I814">
            <v>0</v>
          </cell>
          <cell r="J814">
            <v>1.2338</v>
          </cell>
          <cell r="K814">
            <v>0</v>
          </cell>
          <cell r="L814">
            <v>6.5000000000000002E-2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</row>
        <row r="815">
          <cell r="A815" t="str">
            <v>DOM NOR NOR1J</v>
          </cell>
          <cell r="B815" t="str">
            <v>Business Talk</v>
          </cell>
          <cell r="C815" t="str">
            <v>Norway Premium Rate Cat1J</v>
          </cell>
          <cell r="D815" t="str">
            <v>Off-net domestic</v>
          </cell>
          <cell r="E815" t="str">
            <v>minute &amp; call</v>
          </cell>
          <cell r="F815">
            <v>1</v>
          </cell>
          <cell r="G815">
            <v>1</v>
          </cell>
          <cell r="H815">
            <v>0</v>
          </cell>
          <cell r="I815">
            <v>0</v>
          </cell>
          <cell r="J815">
            <v>2.2894000000000001</v>
          </cell>
          <cell r="K815">
            <v>0</v>
          </cell>
          <cell r="L815">
            <v>6.5000000000000002E-2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</row>
        <row r="816">
          <cell r="A816" t="str">
            <v>DOM NOR NOR1K</v>
          </cell>
          <cell r="B816" t="str">
            <v>Business Talk</v>
          </cell>
          <cell r="C816" t="str">
            <v>Norway Premium Rate Cat1K</v>
          </cell>
          <cell r="D816" t="str">
            <v>Off-net domestic</v>
          </cell>
          <cell r="E816" t="str">
            <v>minute &amp; call</v>
          </cell>
          <cell r="F816">
            <v>1</v>
          </cell>
          <cell r="G816">
            <v>1</v>
          </cell>
          <cell r="H816">
            <v>0</v>
          </cell>
          <cell r="I816">
            <v>0</v>
          </cell>
          <cell r="J816">
            <v>2.2894000000000001</v>
          </cell>
          <cell r="K816">
            <v>0</v>
          </cell>
          <cell r="L816">
            <v>6.5000000000000002E-2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</row>
        <row r="817">
          <cell r="A817" t="str">
            <v>DOM NOR NOR2A</v>
          </cell>
          <cell r="B817" t="str">
            <v>Business Talk</v>
          </cell>
          <cell r="C817" t="str">
            <v>Norway Premium Rate Cat2A</v>
          </cell>
          <cell r="D817" t="str">
            <v>Off-net domestic</v>
          </cell>
          <cell r="E817" t="str">
            <v>minute &amp; call</v>
          </cell>
          <cell r="F817">
            <v>1</v>
          </cell>
          <cell r="G817">
            <v>1</v>
          </cell>
          <cell r="H817">
            <v>0</v>
          </cell>
          <cell r="I817">
            <v>0</v>
          </cell>
          <cell r="J817">
            <v>0.39660000000000001</v>
          </cell>
          <cell r="K817">
            <v>0</v>
          </cell>
          <cell r="L817">
            <v>6.5000000000000002E-2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</row>
        <row r="818">
          <cell r="A818" t="str">
            <v>DOM NOR NOR2B</v>
          </cell>
          <cell r="B818" t="str">
            <v>Business Talk</v>
          </cell>
          <cell r="C818" t="str">
            <v>Norway Premium Rate Cat2B</v>
          </cell>
          <cell r="D818" t="str">
            <v>Off-net domestic</v>
          </cell>
          <cell r="E818" t="str">
            <v>minute &amp; call</v>
          </cell>
          <cell r="F818">
            <v>1</v>
          </cell>
          <cell r="G818">
            <v>1</v>
          </cell>
          <cell r="H818">
            <v>0</v>
          </cell>
          <cell r="I818">
            <v>0</v>
          </cell>
          <cell r="J818">
            <v>0.17630000000000001</v>
          </cell>
          <cell r="K818">
            <v>0</v>
          </cell>
          <cell r="L818">
            <v>6.5000000000000002E-2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</row>
        <row r="819">
          <cell r="A819" t="str">
            <v>DOM NOR NOR2C</v>
          </cell>
          <cell r="B819" t="str">
            <v>Business Talk</v>
          </cell>
          <cell r="C819" t="str">
            <v>Norway Premium Rate Cat2C</v>
          </cell>
          <cell r="D819" t="str">
            <v>Off-net domestic</v>
          </cell>
          <cell r="E819" t="str">
            <v>minute &amp; call</v>
          </cell>
          <cell r="F819">
            <v>1</v>
          </cell>
          <cell r="G819">
            <v>1</v>
          </cell>
          <cell r="H819">
            <v>0</v>
          </cell>
          <cell r="I819">
            <v>0</v>
          </cell>
          <cell r="J819">
            <v>0.17630000000000001</v>
          </cell>
          <cell r="K819">
            <v>0</v>
          </cell>
          <cell r="L819">
            <v>6.5000000000000002E-2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</row>
        <row r="820">
          <cell r="A820" t="str">
            <v>DOM NOR NOR2D</v>
          </cell>
          <cell r="B820" t="str">
            <v>Business Talk</v>
          </cell>
          <cell r="C820" t="str">
            <v>Norway Premium Rate Cat2D</v>
          </cell>
          <cell r="D820" t="str">
            <v>Off-net domestic</v>
          </cell>
          <cell r="E820" t="str">
            <v>minute &amp; call</v>
          </cell>
          <cell r="F820">
            <v>1</v>
          </cell>
          <cell r="G820">
            <v>1</v>
          </cell>
          <cell r="H820">
            <v>0</v>
          </cell>
          <cell r="I820">
            <v>0</v>
          </cell>
          <cell r="J820">
            <v>0.92530000000000001</v>
          </cell>
          <cell r="K820">
            <v>0</v>
          </cell>
          <cell r="L820">
            <v>6.5000000000000002E-2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</row>
        <row r="821">
          <cell r="A821" t="str">
            <v>DOM NOR NOR2E</v>
          </cell>
          <cell r="B821" t="str">
            <v>Business Talk</v>
          </cell>
          <cell r="C821" t="str">
            <v>Norway Premium Rate Cat2E</v>
          </cell>
          <cell r="D821" t="str">
            <v>Off-net domestic</v>
          </cell>
          <cell r="E821" t="str">
            <v>minute &amp; call</v>
          </cell>
          <cell r="F821">
            <v>1</v>
          </cell>
          <cell r="G821">
            <v>1</v>
          </cell>
          <cell r="H821">
            <v>0</v>
          </cell>
          <cell r="I821">
            <v>0</v>
          </cell>
          <cell r="J821">
            <v>0.92530000000000001</v>
          </cell>
          <cell r="K821">
            <v>0</v>
          </cell>
          <cell r="L821">
            <v>6.5000000000000002E-2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</row>
        <row r="822">
          <cell r="A822" t="str">
            <v>DOM NOR NOR2F</v>
          </cell>
          <cell r="B822" t="str">
            <v>Business Talk</v>
          </cell>
          <cell r="C822" t="str">
            <v>Norway Premium Rate Cat2F</v>
          </cell>
          <cell r="D822" t="str">
            <v>Off-net domestic</v>
          </cell>
          <cell r="E822" t="str">
            <v>minute &amp; call</v>
          </cell>
          <cell r="F822">
            <v>1</v>
          </cell>
          <cell r="G822">
            <v>1</v>
          </cell>
          <cell r="H822">
            <v>0</v>
          </cell>
          <cell r="I822">
            <v>0</v>
          </cell>
          <cell r="J822">
            <v>0.30840000000000001</v>
          </cell>
          <cell r="K822">
            <v>0</v>
          </cell>
          <cell r="L822">
            <v>6.5000000000000002E-2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</row>
        <row r="823">
          <cell r="A823" t="str">
            <v>DOM NOR NOR2G</v>
          </cell>
          <cell r="B823" t="str">
            <v>Business Talk</v>
          </cell>
          <cell r="C823" t="str">
            <v>Norway Premium Rate Cat2G</v>
          </cell>
          <cell r="D823" t="str">
            <v>Off-net domestic</v>
          </cell>
          <cell r="E823" t="str">
            <v>minute &amp; call</v>
          </cell>
          <cell r="F823">
            <v>1</v>
          </cell>
          <cell r="G823">
            <v>1</v>
          </cell>
          <cell r="H823">
            <v>0</v>
          </cell>
          <cell r="I823">
            <v>0</v>
          </cell>
          <cell r="J823">
            <v>0.52880000000000005</v>
          </cell>
          <cell r="K823">
            <v>0</v>
          </cell>
          <cell r="L823">
            <v>6.5000000000000002E-2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</row>
        <row r="824">
          <cell r="A824" t="str">
            <v>DOM NOR NOR2H</v>
          </cell>
          <cell r="B824" t="str">
            <v>Business Talk</v>
          </cell>
          <cell r="C824" t="str">
            <v>Norway Premium Rate Cat2H</v>
          </cell>
          <cell r="D824" t="str">
            <v>Off-net domestic</v>
          </cell>
          <cell r="E824" t="str">
            <v>minute &amp; call</v>
          </cell>
          <cell r="F824">
            <v>1</v>
          </cell>
          <cell r="G824">
            <v>1</v>
          </cell>
          <cell r="H824">
            <v>0</v>
          </cell>
          <cell r="I824">
            <v>0</v>
          </cell>
          <cell r="J824">
            <v>0.92530000000000001</v>
          </cell>
          <cell r="K824">
            <v>0</v>
          </cell>
          <cell r="L824">
            <v>6.5000000000000002E-2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</row>
        <row r="825">
          <cell r="A825" t="str">
            <v>DOM NOR NOR2I</v>
          </cell>
          <cell r="B825" t="str">
            <v>Business Talk</v>
          </cell>
          <cell r="C825" t="str">
            <v>Norway Premium Rate Cat2I</v>
          </cell>
          <cell r="D825" t="str">
            <v>Off-net domestic</v>
          </cell>
          <cell r="E825" t="str">
            <v>minute &amp; call</v>
          </cell>
          <cell r="F825">
            <v>1</v>
          </cell>
          <cell r="G825">
            <v>1</v>
          </cell>
          <cell r="H825">
            <v>0</v>
          </cell>
          <cell r="I825">
            <v>0</v>
          </cell>
          <cell r="J825">
            <v>1.2338</v>
          </cell>
          <cell r="K825">
            <v>0</v>
          </cell>
          <cell r="L825">
            <v>6.5000000000000002E-2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</row>
        <row r="826">
          <cell r="A826" t="str">
            <v>DOM NOR NOR2J</v>
          </cell>
          <cell r="B826" t="str">
            <v>Business Talk</v>
          </cell>
          <cell r="C826" t="str">
            <v>Norway Premium Rate Cat2J</v>
          </cell>
          <cell r="D826" t="str">
            <v>Off-net domestic</v>
          </cell>
          <cell r="E826" t="str">
            <v>minute &amp; call</v>
          </cell>
          <cell r="F826">
            <v>1</v>
          </cell>
          <cell r="G826">
            <v>1</v>
          </cell>
          <cell r="H826">
            <v>0</v>
          </cell>
          <cell r="I826">
            <v>0</v>
          </cell>
          <cell r="J826">
            <v>2.2894000000000001</v>
          </cell>
          <cell r="K826">
            <v>0</v>
          </cell>
          <cell r="L826">
            <v>6.5000000000000002E-2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</row>
        <row r="827">
          <cell r="A827" t="str">
            <v>DOM NOR NOR2K</v>
          </cell>
          <cell r="B827" t="str">
            <v>Business Talk</v>
          </cell>
          <cell r="C827" t="str">
            <v>Norway Premium Rate Cat2K</v>
          </cell>
          <cell r="D827" t="str">
            <v>Off-net domestic</v>
          </cell>
          <cell r="E827" t="str">
            <v>minute &amp; call</v>
          </cell>
          <cell r="F827">
            <v>1</v>
          </cell>
          <cell r="G827">
            <v>1</v>
          </cell>
          <cell r="H827">
            <v>0</v>
          </cell>
          <cell r="I827">
            <v>0</v>
          </cell>
          <cell r="J827">
            <v>2.2894000000000001</v>
          </cell>
          <cell r="K827">
            <v>0</v>
          </cell>
          <cell r="L827">
            <v>6.5000000000000002E-2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</row>
        <row r="828">
          <cell r="A828" t="str">
            <v>DOM NOR NOR3A</v>
          </cell>
          <cell r="B828" t="str">
            <v>Business Talk</v>
          </cell>
          <cell r="C828" t="str">
            <v>Norway Premium Rate Cat3A</v>
          </cell>
          <cell r="D828" t="str">
            <v>Off-net domestic</v>
          </cell>
          <cell r="E828" t="str">
            <v>minute &amp; call</v>
          </cell>
          <cell r="F828">
            <v>1</v>
          </cell>
          <cell r="G828">
            <v>1</v>
          </cell>
          <cell r="H828">
            <v>0</v>
          </cell>
          <cell r="I828">
            <v>0</v>
          </cell>
          <cell r="J828">
            <v>5.8200000000000002E-2</v>
          </cell>
          <cell r="K828">
            <v>0</v>
          </cell>
          <cell r="L828">
            <v>2.2031000000000001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</row>
        <row r="829">
          <cell r="A829" t="str">
            <v>DOM NOR NOR3B</v>
          </cell>
          <cell r="B829" t="str">
            <v>Business Talk</v>
          </cell>
          <cell r="C829" t="str">
            <v>Norway Premium Rate Cat3B</v>
          </cell>
          <cell r="D829" t="str">
            <v>Off-net domestic</v>
          </cell>
          <cell r="E829" t="str">
            <v>minute &amp; call</v>
          </cell>
          <cell r="F829">
            <v>1</v>
          </cell>
          <cell r="G829">
            <v>1</v>
          </cell>
          <cell r="H829">
            <v>0</v>
          </cell>
          <cell r="I829">
            <v>0</v>
          </cell>
          <cell r="J829">
            <v>5.8200000000000002E-2</v>
          </cell>
          <cell r="K829">
            <v>0</v>
          </cell>
          <cell r="L829">
            <v>4.4062000000000001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</row>
        <row r="830">
          <cell r="A830" t="str">
            <v>DOM NOR NOR3C</v>
          </cell>
          <cell r="B830" t="str">
            <v>Business Talk</v>
          </cell>
          <cell r="C830" t="str">
            <v>Norway Premium Rate Cat3C</v>
          </cell>
          <cell r="D830" t="str">
            <v>Off-net domestic</v>
          </cell>
          <cell r="E830" t="str">
            <v>minute &amp; call</v>
          </cell>
          <cell r="F830">
            <v>1</v>
          </cell>
          <cell r="G830">
            <v>1</v>
          </cell>
          <cell r="H830">
            <v>0</v>
          </cell>
          <cell r="I830">
            <v>0</v>
          </cell>
          <cell r="J830">
            <v>5.8200000000000002E-2</v>
          </cell>
          <cell r="K830">
            <v>0</v>
          </cell>
          <cell r="L830">
            <v>6.6093999999999999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</row>
        <row r="831">
          <cell r="A831" t="str">
            <v>DOM NOR NOR3D</v>
          </cell>
          <cell r="B831" t="str">
            <v>Business Talk</v>
          </cell>
          <cell r="C831" t="str">
            <v>Norway Premium Rate Cat3D</v>
          </cell>
          <cell r="D831" t="str">
            <v>Off-net domestic</v>
          </cell>
          <cell r="E831" t="str">
            <v>minute &amp; call</v>
          </cell>
          <cell r="F831">
            <v>1</v>
          </cell>
          <cell r="G831">
            <v>1</v>
          </cell>
          <cell r="H831">
            <v>0</v>
          </cell>
          <cell r="I831">
            <v>0</v>
          </cell>
          <cell r="J831">
            <v>5.8200000000000002E-2</v>
          </cell>
          <cell r="K831">
            <v>0</v>
          </cell>
          <cell r="L831">
            <v>8.8125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</row>
        <row r="832">
          <cell r="A832" t="str">
            <v>DOM NOR NOR3E</v>
          </cell>
          <cell r="B832" t="str">
            <v>Business Talk</v>
          </cell>
          <cell r="C832" t="str">
            <v>Norway Premium Rate Cat3E</v>
          </cell>
          <cell r="D832" t="str">
            <v>Off-net domestic</v>
          </cell>
          <cell r="E832" t="str">
            <v>minute &amp; call</v>
          </cell>
          <cell r="F832">
            <v>1</v>
          </cell>
          <cell r="G832">
            <v>1</v>
          </cell>
          <cell r="H832">
            <v>0</v>
          </cell>
          <cell r="I832">
            <v>0</v>
          </cell>
          <cell r="J832">
            <v>5.8200000000000002E-2</v>
          </cell>
          <cell r="K832">
            <v>0</v>
          </cell>
          <cell r="L832">
            <v>15.421900000000001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</row>
        <row r="833">
          <cell r="A833" t="str">
            <v>DOM NOR NOR3F</v>
          </cell>
          <cell r="B833" t="str">
            <v>Business Talk</v>
          </cell>
          <cell r="C833" t="str">
            <v>Norway Premium Rate Cat3F</v>
          </cell>
          <cell r="D833" t="str">
            <v>Off-net domestic</v>
          </cell>
          <cell r="E833" t="str">
            <v>minute &amp; call</v>
          </cell>
          <cell r="F833">
            <v>1</v>
          </cell>
          <cell r="G833">
            <v>1</v>
          </cell>
          <cell r="H833">
            <v>0</v>
          </cell>
          <cell r="I833">
            <v>0</v>
          </cell>
          <cell r="J833">
            <v>5.8200000000000002E-2</v>
          </cell>
          <cell r="K833">
            <v>0</v>
          </cell>
          <cell r="L833">
            <v>2.6438000000000001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</row>
        <row r="834">
          <cell r="A834" t="str">
            <v>DOM NOR NOR3G</v>
          </cell>
          <cell r="B834" t="str">
            <v>Business Talk</v>
          </cell>
          <cell r="C834" t="str">
            <v>Norway Premium Rate Cat3G</v>
          </cell>
          <cell r="D834" t="str">
            <v>Off-net domestic</v>
          </cell>
          <cell r="E834" t="str">
            <v>minute &amp; call</v>
          </cell>
          <cell r="F834">
            <v>1</v>
          </cell>
          <cell r="G834">
            <v>1</v>
          </cell>
          <cell r="H834">
            <v>0</v>
          </cell>
          <cell r="I834">
            <v>0</v>
          </cell>
          <cell r="J834">
            <v>5.8200000000000002E-2</v>
          </cell>
          <cell r="K834">
            <v>0</v>
          </cell>
          <cell r="L834">
            <v>5.2873000000000001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</row>
        <row r="835">
          <cell r="A835" t="str">
            <v>DOM NOR NOR3H</v>
          </cell>
          <cell r="B835" t="str">
            <v>Business Talk</v>
          </cell>
          <cell r="C835" t="str">
            <v>Norway Premium Rate Cat3H</v>
          </cell>
          <cell r="D835" t="str">
            <v>Off-net domestic</v>
          </cell>
          <cell r="E835" t="str">
            <v>minute &amp; call</v>
          </cell>
          <cell r="F835">
            <v>1</v>
          </cell>
          <cell r="G835">
            <v>1</v>
          </cell>
          <cell r="H835">
            <v>0</v>
          </cell>
          <cell r="I835">
            <v>0</v>
          </cell>
          <cell r="J835">
            <v>5.7299999999999997E-2</v>
          </cell>
          <cell r="K835">
            <v>0</v>
          </cell>
          <cell r="L835">
            <v>0.19919999999999999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</row>
        <row r="836">
          <cell r="A836" t="str">
            <v>DOM NOR NOR3I</v>
          </cell>
          <cell r="B836" t="str">
            <v>Business Talk</v>
          </cell>
          <cell r="C836" t="str">
            <v>Norway Premium Rate Cat3I</v>
          </cell>
          <cell r="D836" t="str">
            <v>Off-net domestic</v>
          </cell>
          <cell r="E836" t="str">
            <v>call</v>
          </cell>
          <cell r="F836">
            <v>1</v>
          </cell>
          <cell r="G836">
            <v>1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0.44059999999999999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</row>
        <row r="837">
          <cell r="A837" t="str">
            <v>DOM NOR NORT1</v>
          </cell>
          <cell r="B837" t="str">
            <v>Business Talk</v>
          </cell>
          <cell r="C837" t="str">
            <v>Norway Shared</v>
          </cell>
          <cell r="D837" t="str">
            <v>Off-net domestic</v>
          </cell>
          <cell r="E837" t="str">
            <v>minute &amp; call</v>
          </cell>
          <cell r="F837">
            <v>1</v>
          </cell>
          <cell r="G837">
            <v>1</v>
          </cell>
          <cell r="H837">
            <v>0</v>
          </cell>
          <cell r="I837">
            <v>0</v>
          </cell>
          <cell r="J837">
            <v>2.12E-2</v>
          </cell>
          <cell r="K837">
            <v>0</v>
          </cell>
          <cell r="L837">
            <v>6.5000000000000002E-2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A838" t="str">
            <v>DOM NOR NORT3</v>
          </cell>
          <cell r="B838" t="str">
            <v>Business Talk</v>
          </cell>
          <cell r="C838" t="str">
            <v>Norway Shared (5 Digit)</v>
          </cell>
          <cell r="D838" t="str">
            <v>Off-net domestic</v>
          </cell>
          <cell r="E838" t="str">
            <v>minute &amp; call</v>
          </cell>
          <cell r="F838">
            <v>1</v>
          </cell>
          <cell r="G838">
            <v>1</v>
          </cell>
          <cell r="H838">
            <v>0</v>
          </cell>
          <cell r="I838">
            <v>0</v>
          </cell>
          <cell r="J838">
            <v>3.44E-2</v>
          </cell>
          <cell r="K838">
            <v>0</v>
          </cell>
          <cell r="L838">
            <v>6.5000000000000002E-2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</row>
        <row r="839">
          <cell r="A839" t="str">
            <v>DOM NOR NORT2</v>
          </cell>
          <cell r="B839" t="str">
            <v>Business Talk</v>
          </cell>
          <cell r="C839" t="str">
            <v>Norway Shared (Long Distance)</v>
          </cell>
          <cell r="D839" t="str">
            <v>Off-net domestic</v>
          </cell>
          <cell r="E839" t="str">
            <v>minute &amp; call</v>
          </cell>
          <cell r="F839">
            <v>1</v>
          </cell>
          <cell r="G839">
            <v>1</v>
          </cell>
          <cell r="H839">
            <v>0</v>
          </cell>
          <cell r="I839">
            <v>0</v>
          </cell>
          <cell r="J839">
            <v>5.1999999999999998E-2</v>
          </cell>
          <cell r="K839">
            <v>0</v>
          </cell>
          <cell r="L839">
            <v>6.5000000000000002E-2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A840" t="str">
            <v>DOM NOR NORTF</v>
          </cell>
          <cell r="B840" t="str">
            <v>Business Talk</v>
          </cell>
          <cell r="C840" t="str">
            <v>Norway Toll Free</v>
          </cell>
          <cell r="D840" t="str">
            <v>Off-net domestic</v>
          </cell>
          <cell r="E840" t="str">
            <v>minute</v>
          </cell>
          <cell r="F840">
            <v>1</v>
          </cell>
          <cell r="G840">
            <v>1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</row>
        <row r="841">
          <cell r="A841" t="str">
            <v>DOM POL MOBPL</v>
          </cell>
          <cell r="B841" t="str">
            <v>Business Talk</v>
          </cell>
          <cell r="C841" t="str">
            <v>Poland Mobile</v>
          </cell>
          <cell r="D841" t="str">
            <v>Off-net domestic</v>
          </cell>
          <cell r="E841" t="str">
            <v>minute</v>
          </cell>
          <cell r="F841">
            <v>1</v>
          </cell>
          <cell r="G841">
            <v>1</v>
          </cell>
          <cell r="H841">
            <v>0</v>
          </cell>
          <cell r="I841">
            <v>0</v>
          </cell>
          <cell r="J841">
            <v>3.09E-2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A842" t="str">
            <v>DOM POL PLMOR</v>
          </cell>
          <cell r="B842" t="str">
            <v>Business Talk</v>
          </cell>
          <cell r="C842" t="str">
            <v>Poland Mobile Orange</v>
          </cell>
          <cell r="D842" t="str">
            <v>Off-net domestic</v>
          </cell>
          <cell r="E842" t="str">
            <v>minute</v>
          </cell>
          <cell r="F842">
            <v>1</v>
          </cell>
          <cell r="G842">
            <v>1</v>
          </cell>
          <cell r="H842">
            <v>0</v>
          </cell>
          <cell r="I842">
            <v>0</v>
          </cell>
          <cell r="J842">
            <v>3.09E-2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</row>
        <row r="843">
          <cell r="A843" t="str">
            <v>DOM POL POL</v>
          </cell>
          <cell r="B843" t="str">
            <v>Business Talk</v>
          </cell>
          <cell r="C843" t="str">
            <v>Poland</v>
          </cell>
          <cell r="D843" t="str">
            <v>Off-net domestic</v>
          </cell>
          <cell r="E843" t="str">
            <v>minute</v>
          </cell>
          <cell r="F843">
            <v>1</v>
          </cell>
          <cell r="G843">
            <v>1</v>
          </cell>
          <cell r="H843">
            <v>0</v>
          </cell>
          <cell r="I843">
            <v>0</v>
          </cell>
          <cell r="J843">
            <v>2.3800000000000002E-2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</row>
        <row r="844">
          <cell r="A844" t="str">
            <v>DOM PRT PTDSM</v>
          </cell>
          <cell r="B844" t="str">
            <v>Business Talk</v>
          </cell>
          <cell r="C844" t="str">
            <v>Portugal Data Serv Mobile</v>
          </cell>
          <cell r="D844" t="str">
            <v>Off-net domestic</v>
          </cell>
          <cell r="E844" t="str">
            <v>minute &amp; call</v>
          </cell>
          <cell r="F844">
            <v>1</v>
          </cell>
          <cell r="G844">
            <v>1</v>
          </cell>
          <cell r="H844">
            <v>0</v>
          </cell>
          <cell r="I844">
            <v>0</v>
          </cell>
          <cell r="J844">
            <v>0.5</v>
          </cell>
          <cell r="K844">
            <v>0</v>
          </cell>
          <cell r="L844">
            <v>0.5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</row>
        <row r="845">
          <cell r="A845" t="str">
            <v>DOM PRT PTFSM</v>
          </cell>
          <cell r="B845" t="str">
            <v>Business Talk</v>
          </cell>
          <cell r="C845" t="str">
            <v>Portugal Fax Serv &amp; Mobile</v>
          </cell>
          <cell r="D845" t="str">
            <v>Off-net domestic</v>
          </cell>
          <cell r="E845" t="str">
            <v>minute &amp; call</v>
          </cell>
          <cell r="F845">
            <v>1</v>
          </cell>
          <cell r="G845">
            <v>1</v>
          </cell>
          <cell r="H845">
            <v>0</v>
          </cell>
          <cell r="I845">
            <v>0</v>
          </cell>
          <cell r="J845">
            <v>0.5</v>
          </cell>
          <cell r="K845">
            <v>0</v>
          </cell>
          <cell r="L845">
            <v>0.5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</row>
        <row r="846">
          <cell r="A846" t="str">
            <v>DOM PRT ZPOR5</v>
          </cell>
          <cell r="B846" t="str">
            <v>Business Talk</v>
          </cell>
          <cell r="C846" t="str">
            <v>Portugal Mobile</v>
          </cell>
          <cell r="D846" t="str">
            <v>Off-net domestic</v>
          </cell>
          <cell r="E846" t="str">
            <v>minute</v>
          </cell>
          <cell r="F846">
            <v>1</v>
          </cell>
          <cell r="G846">
            <v>1</v>
          </cell>
          <cell r="H846">
            <v>0</v>
          </cell>
          <cell r="I846">
            <v>0</v>
          </cell>
          <cell r="J846">
            <v>3.9600000000000003E-2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A847" t="str">
            <v>DOM PRT ZPOR1</v>
          </cell>
          <cell r="B847" t="str">
            <v>Business Talk</v>
          </cell>
          <cell r="C847" t="str">
            <v>Portugal</v>
          </cell>
          <cell r="D847" t="str">
            <v>Off-net domestic</v>
          </cell>
          <cell r="E847" t="str">
            <v>minute</v>
          </cell>
          <cell r="F847">
            <v>1</v>
          </cell>
          <cell r="G847">
            <v>1</v>
          </cell>
          <cell r="H847">
            <v>0</v>
          </cell>
          <cell r="I847">
            <v>0</v>
          </cell>
          <cell r="J847">
            <v>1.2800000000000001E-2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</row>
        <row r="848">
          <cell r="A848" t="str">
            <v>DOM PRT PTBN</v>
          </cell>
          <cell r="B848" t="str">
            <v>Business Talk</v>
          </cell>
          <cell r="C848" t="str">
            <v>Portugal Blue Numbers</v>
          </cell>
          <cell r="D848" t="str">
            <v>Off-net domestic</v>
          </cell>
          <cell r="E848" t="str">
            <v>minute &amp; call</v>
          </cell>
          <cell r="F848">
            <v>1</v>
          </cell>
          <cell r="G848">
            <v>1</v>
          </cell>
          <cell r="H848">
            <v>0</v>
          </cell>
          <cell r="I848">
            <v>0</v>
          </cell>
          <cell r="J848">
            <v>2.58E-2</v>
          </cell>
          <cell r="K848">
            <v>0</v>
          </cell>
          <cell r="L848">
            <v>7.0000000000000007E-2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</row>
        <row r="849">
          <cell r="A849" t="str">
            <v>DOM PRT PTCUS</v>
          </cell>
          <cell r="B849" t="str">
            <v>Business Talk</v>
          </cell>
          <cell r="C849" t="str">
            <v>Portugal Character Utility Srv</v>
          </cell>
          <cell r="D849" t="str">
            <v>Off-net domestic</v>
          </cell>
          <cell r="E849" t="str">
            <v>minute</v>
          </cell>
          <cell r="F849">
            <v>1</v>
          </cell>
          <cell r="G849">
            <v>1</v>
          </cell>
          <cell r="H849">
            <v>0</v>
          </cell>
          <cell r="I849">
            <v>0</v>
          </cell>
          <cell r="J849">
            <v>1.2699999999999999E-2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</row>
        <row r="850">
          <cell r="A850" t="str">
            <v>DOM PRT PTCSP</v>
          </cell>
          <cell r="B850" t="str">
            <v>Business Talk</v>
          </cell>
          <cell r="C850" t="str">
            <v>Portugal Customer Support</v>
          </cell>
          <cell r="D850" t="str">
            <v>Off-net domestic</v>
          </cell>
          <cell r="E850" t="str">
            <v>minute</v>
          </cell>
          <cell r="F850">
            <v>1</v>
          </cell>
          <cell r="G850">
            <v>1</v>
          </cell>
          <cell r="H850">
            <v>0</v>
          </cell>
          <cell r="I850">
            <v>0</v>
          </cell>
          <cell r="J850">
            <v>0.38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</row>
        <row r="851">
          <cell r="A851" t="str">
            <v>DOM PRT PTDE</v>
          </cell>
          <cell r="B851" t="str">
            <v>Business Talk</v>
          </cell>
          <cell r="C851" t="str">
            <v>Portugal Directory Enquiries</v>
          </cell>
          <cell r="D851" t="str">
            <v>Off-net domestic</v>
          </cell>
          <cell r="E851" t="str">
            <v>call</v>
          </cell>
          <cell r="F851">
            <v>1</v>
          </cell>
          <cell r="G851">
            <v>1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0.56100000000000005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</row>
        <row r="852">
          <cell r="A852" t="str">
            <v>DOM PRT PTSOS</v>
          </cell>
          <cell r="B852" t="str">
            <v>Business Talk</v>
          </cell>
          <cell r="C852" t="str">
            <v>Portugal Emergency &amp; Short Nr</v>
          </cell>
          <cell r="D852" t="str">
            <v>Off-net domestic</v>
          </cell>
          <cell r="E852" t="str">
            <v>minute</v>
          </cell>
          <cell r="F852">
            <v>1</v>
          </cell>
          <cell r="G852">
            <v>1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A853" t="str">
            <v>DOM PRT PTFIC</v>
          </cell>
          <cell r="B853" t="str">
            <v>Business Talk</v>
          </cell>
          <cell r="C853" t="str">
            <v>Portugal Free Int Calls</v>
          </cell>
          <cell r="D853" t="str">
            <v>Off-net domestic</v>
          </cell>
          <cell r="E853" t="str">
            <v>minute &amp; call</v>
          </cell>
          <cell r="F853">
            <v>1</v>
          </cell>
          <cell r="G853">
            <v>1</v>
          </cell>
          <cell r="H853">
            <v>0</v>
          </cell>
          <cell r="I853">
            <v>0</v>
          </cell>
          <cell r="J853">
            <v>4.99E-2</v>
          </cell>
          <cell r="K853">
            <v>0</v>
          </cell>
          <cell r="L853">
            <v>4.99E-2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</row>
        <row r="854">
          <cell r="A854" t="str">
            <v>DOM PRT PTGAS</v>
          </cell>
          <cell r="B854" t="str">
            <v>Business Talk</v>
          </cell>
          <cell r="C854" t="str">
            <v>Portugal General Audiotext</v>
          </cell>
          <cell r="D854" t="str">
            <v>Off-net domestic</v>
          </cell>
          <cell r="E854" t="str">
            <v>minute</v>
          </cell>
          <cell r="F854">
            <v>1</v>
          </cell>
          <cell r="G854">
            <v>1</v>
          </cell>
          <cell r="H854">
            <v>0</v>
          </cell>
          <cell r="I854">
            <v>0</v>
          </cell>
          <cell r="J854">
            <v>4.99E-2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</row>
        <row r="855">
          <cell r="A855" t="str">
            <v>DOM PRT PTMC</v>
          </cell>
          <cell r="B855" t="str">
            <v>Business Talk</v>
          </cell>
          <cell r="C855" t="str">
            <v>Portugal Mailbox Consultation</v>
          </cell>
          <cell r="D855" t="str">
            <v>Off-net domestic</v>
          </cell>
          <cell r="E855" t="str">
            <v>minute &amp; call</v>
          </cell>
          <cell r="F855">
            <v>1</v>
          </cell>
          <cell r="G855">
            <v>1</v>
          </cell>
          <cell r="H855">
            <v>0</v>
          </cell>
          <cell r="I855">
            <v>0</v>
          </cell>
          <cell r="J855">
            <v>0.5</v>
          </cell>
          <cell r="K855">
            <v>0</v>
          </cell>
          <cell r="L855">
            <v>0.5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</row>
        <row r="856">
          <cell r="A856" t="str">
            <v>DOM PRT PTPN</v>
          </cell>
          <cell r="B856" t="str">
            <v>Business Talk</v>
          </cell>
          <cell r="C856" t="str">
            <v>Portugal Personal Number</v>
          </cell>
          <cell r="D856" t="str">
            <v>Off-net domestic</v>
          </cell>
          <cell r="E856" t="str">
            <v>minute</v>
          </cell>
          <cell r="F856">
            <v>1</v>
          </cell>
          <cell r="G856">
            <v>1</v>
          </cell>
          <cell r="H856">
            <v>0</v>
          </cell>
          <cell r="I856">
            <v>0</v>
          </cell>
          <cell r="J856">
            <v>3.5400000000000001E-2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</row>
        <row r="857">
          <cell r="A857" t="str">
            <v>DOM PRT PTSC0</v>
          </cell>
          <cell r="B857" t="str">
            <v>Business Talk</v>
          </cell>
          <cell r="C857" t="str">
            <v>Portugal Serv Call Rate 0,60E</v>
          </cell>
          <cell r="D857" t="str">
            <v>Off-net domestic</v>
          </cell>
          <cell r="E857" t="str">
            <v>call</v>
          </cell>
          <cell r="F857">
            <v>1</v>
          </cell>
          <cell r="G857">
            <v>1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0.6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</row>
        <row r="858">
          <cell r="A858" t="str">
            <v>DOM PRT PTSC1</v>
          </cell>
          <cell r="B858" t="str">
            <v>Business Talk</v>
          </cell>
          <cell r="C858" t="str">
            <v>Portugal Serv Call Rate 1 Eur</v>
          </cell>
          <cell r="D858" t="str">
            <v>Off-net domestic</v>
          </cell>
          <cell r="E858" t="str">
            <v>call</v>
          </cell>
          <cell r="F858">
            <v>1</v>
          </cell>
          <cell r="G858">
            <v>1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1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</row>
        <row r="859">
          <cell r="A859" t="str">
            <v>DOM PRT PTSC2</v>
          </cell>
          <cell r="B859" t="str">
            <v>Business Talk</v>
          </cell>
          <cell r="C859" t="str">
            <v>Portugal Serv Call Rate 2 Eur</v>
          </cell>
          <cell r="D859" t="str">
            <v>Off-net domestic</v>
          </cell>
          <cell r="E859" t="str">
            <v>call</v>
          </cell>
          <cell r="F859">
            <v>1</v>
          </cell>
          <cell r="G859">
            <v>1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2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</row>
        <row r="860">
          <cell r="A860" t="str">
            <v>DOM PRT PTSI</v>
          </cell>
          <cell r="B860" t="str">
            <v>Business Talk</v>
          </cell>
          <cell r="C860" t="str">
            <v>Portugal Service Information</v>
          </cell>
          <cell r="D860" t="str">
            <v>Off-net domestic</v>
          </cell>
          <cell r="E860" t="str">
            <v>minute &amp; call</v>
          </cell>
          <cell r="F860">
            <v>1</v>
          </cell>
          <cell r="G860">
            <v>1</v>
          </cell>
          <cell r="H860">
            <v>0</v>
          </cell>
          <cell r="I860">
            <v>0</v>
          </cell>
          <cell r="J860">
            <v>0.77</v>
          </cell>
          <cell r="K860">
            <v>0</v>
          </cell>
          <cell r="L860">
            <v>0.77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</row>
        <row r="861">
          <cell r="A861" t="str">
            <v>DOM PRT PTSCS</v>
          </cell>
          <cell r="B861" t="str">
            <v>Business Talk</v>
          </cell>
          <cell r="C861" t="str">
            <v>Portugal Shared Cost Serv</v>
          </cell>
          <cell r="D861" t="str">
            <v>Off-net domestic</v>
          </cell>
          <cell r="E861" t="str">
            <v>minute &amp; call</v>
          </cell>
          <cell r="F861">
            <v>1</v>
          </cell>
          <cell r="G861">
            <v>1</v>
          </cell>
          <cell r="H861">
            <v>0</v>
          </cell>
          <cell r="I861">
            <v>0</v>
          </cell>
          <cell r="J861">
            <v>2.58E-2</v>
          </cell>
          <cell r="K861">
            <v>0</v>
          </cell>
          <cell r="L861">
            <v>2.58E-2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</row>
        <row r="862">
          <cell r="A862" t="str">
            <v>DOM PRT PTTT</v>
          </cell>
          <cell r="B862" t="str">
            <v>Business Talk</v>
          </cell>
          <cell r="C862" t="str">
            <v>Portugal Telegram Telephony</v>
          </cell>
          <cell r="D862" t="str">
            <v>Off-net domestic</v>
          </cell>
          <cell r="E862" t="str">
            <v>call</v>
          </cell>
          <cell r="F862">
            <v>1</v>
          </cell>
          <cell r="G862">
            <v>1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1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</row>
        <row r="863">
          <cell r="A863" t="str">
            <v>DOM PRT PTFRE</v>
          </cell>
          <cell r="B863" t="str">
            <v>Business Talk</v>
          </cell>
          <cell r="C863" t="str">
            <v>Portugal Toll Free</v>
          </cell>
          <cell r="D863" t="str">
            <v>Off-net domestic</v>
          </cell>
          <cell r="E863" t="str">
            <v>minute</v>
          </cell>
          <cell r="F863">
            <v>1</v>
          </cell>
          <cell r="G863">
            <v>1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</row>
        <row r="864">
          <cell r="A864" t="str">
            <v>DOM PRT PTVCS</v>
          </cell>
          <cell r="B864" t="str">
            <v>Business Talk</v>
          </cell>
          <cell r="C864" t="str">
            <v>Portugal Virtual Card Serv</v>
          </cell>
          <cell r="D864" t="str">
            <v>Off-net domestic</v>
          </cell>
          <cell r="E864" t="str">
            <v>minute</v>
          </cell>
          <cell r="F864">
            <v>1</v>
          </cell>
          <cell r="G864">
            <v>1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</row>
        <row r="865">
          <cell r="A865" t="str">
            <v>DOM PRT PTVPN</v>
          </cell>
          <cell r="B865" t="str">
            <v>Business Talk</v>
          </cell>
          <cell r="C865" t="str">
            <v>Portugal Virtual Private Ntw</v>
          </cell>
          <cell r="D865" t="str">
            <v>Off-net domestic</v>
          </cell>
          <cell r="E865" t="str">
            <v>minute &amp; call</v>
          </cell>
          <cell r="F865">
            <v>1</v>
          </cell>
          <cell r="G865">
            <v>1</v>
          </cell>
          <cell r="H865">
            <v>0</v>
          </cell>
          <cell r="I865">
            <v>0</v>
          </cell>
          <cell r="J865">
            <v>0.1</v>
          </cell>
          <cell r="K865">
            <v>0</v>
          </cell>
          <cell r="L865">
            <v>0.1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</row>
        <row r="866">
          <cell r="A866" t="str">
            <v>DOM PRT PTVMS</v>
          </cell>
          <cell r="B866" t="str">
            <v>Business Talk</v>
          </cell>
          <cell r="C866" t="str">
            <v>Portugal Voice Mail Service</v>
          </cell>
          <cell r="D866" t="str">
            <v>Off-net domestic</v>
          </cell>
          <cell r="E866" t="str">
            <v>minute &amp; call</v>
          </cell>
          <cell r="F866">
            <v>1</v>
          </cell>
          <cell r="G866">
            <v>1</v>
          </cell>
          <cell r="H866">
            <v>0</v>
          </cell>
          <cell r="I866">
            <v>0</v>
          </cell>
          <cell r="J866">
            <v>0.3</v>
          </cell>
          <cell r="K866">
            <v>0</v>
          </cell>
          <cell r="L866">
            <v>0.8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</row>
        <row r="867">
          <cell r="A867" t="str">
            <v>DOM PRT PTVNS</v>
          </cell>
          <cell r="B867" t="str">
            <v>Business Talk</v>
          </cell>
          <cell r="C867" t="str">
            <v>Portugal Voip Nomadic Service</v>
          </cell>
          <cell r="D867" t="str">
            <v>Off-net domestic</v>
          </cell>
          <cell r="E867" t="str">
            <v>minute &amp; call</v>
          </cell>
          <cell r="F867">
            <v>1</v>
          </cell>
          <cell r="G867">
            <v>1</v>
          </cell>
          <cell r="H867">
            <v>0</v>
          </cell>
          <cell r="I867">
            <v>0</v>
          </cell>
          <cell r="J867">
            <v>4.3200000000000002E-2</v>
          </cell>
          <cell r="K867">
            <v>0</v>
          </cell>
          <cell r="L867">
            <v>8.6099999999999996E-2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</row>
        <row r="868">
          <cell r="A868" t="str">
            <v>DOM PRI FIX</v>
          </cell>
          <cell r="B868" t="str">
            <v>Business Talk</v>
          </cell>
          <cell r="C868" t="str">
            <v>Puerto Rico</v>
          </cell>
          <cell r="D868" t="str">
            <v>Off-net domestic</v>
          </cell>
          <cell r="E868" t="str">
            <v>minute</v>
          </cell>
          <cell r="F868">
            <v>1</v>
          </cell>
          <cell r="G868">
            <v>1</v>
          </cell>
          <cell r="H868">
            <v>0</v>
          </cell>
          <cell r="I868">
            <v>0</v>
          </cell>
          <cell r="J868">
            <v>2.1700000000000001E-2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</row>
        <row r="869">
          <cell r="A869" t="str">
            <v>DOM REU MOB</v>
          </cell>
          <cell r="B869" t="str">
            <v>Business Talk</v>
          </cell>
          <cell r="C869" t="str">
            <v>Reunion Is Mobile</v>
          </cell>
          <cell r="D869" t="str">
            <v>Off-net domestic</v>
          </cell>
          <cell r="E869" t="str">
            <v>minute</v>
          </cell>
          <cell r="F869">
            <v>1</v>
          </cell>
          <cell r="G869">
            <v>1</v>
          </cell>
          <cell r="H869">
            <v>0</v>
          </cell>
          <cell r="I869">
            <v>0</v>
          </cell>
          <cell r="J869">
            <v>3.7699999999999997E-2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</row>
        <row r="870">
          <cell r="A870" t="str">
            <v>DOM REU FIX</v>
          </cell>
          <cell r="B870" t="str">
            <v>Business Talk</v>
          </cell>
          <cell r="C870" t="str">
            <v>Reunion Is</v>
          </cell>
          <cell r="D870" t="str">
            <v>Off-net domestic</v>
          </cell>
          <cell r="E870" t="str">
            <v>minute</v>
          </cell>
          <cell r="F870">
            <v>1</v>
          </cell>
          <cell r="G870">
            <v>1</v>
          </cell>
          <cell r="H870">
            <v>0</v>
          </cell>
          <cell r="I870">
            <v>0</v>
          </cell>
          <cell r="J870">
            <v>1.7999999999999999E-2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</row>
        <row r="871">
          <cell r="A871" t="str">
            <v>DOM REU RE1FR</v>
          </cell>
          <cell r="B871" t="str">
            <v>Business Talk</v>
          </cell>
          <cell r="C871" t="str">
            <v>Reunion Is 10Xy Toll Free</v>
          </cell>
          <cell r="D871" t="str">
            <v>Off-net domestic</v>
          </cell>
          <cell r="E871" t="str">
            <v>minute</v>
          </cell>
          <cell r="F871">
            <v>1</v>
          </cell>
          <cell r="G871">
            <v>1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</row>
        <row r="872">
          <cell r="A872" t="str">
            <v>DOM REU RE1TS</v>
          </cell>
          <cell r="B872" t="str">
            <v>Business Talk</v>
          </cell>
          <cell r="C872" t="str">
            <v>Reunion Is 10Xy Toll Share</v>
          </cell>
          <cell r="D872" t="str">
            <v>Off-net domestic</v>
          </cell>
          <cell r="E872" t="str">
            <v>minute &amp; call</v>
          </cell>
          <cell r="F872">
            <v>1</v>
          </cell>
          <cell r="G872">
            <v>1</v>
          </cell>
          <cell r="H872">
            <v>0</v>
          </cell>
          <cell r="I872">
            <v>0</v>
          </cell>
          <cell r="J872">
            <v>2.3E-2</v>
          </cell>
          <cell r="K872">
            <v>0</v>
          </cell>
          <cell r="L872">
            <v>6.5000000000000002E-2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</row>
        <row r="873">
          <cell r="A873" t="str">
            <v>DOM REU RE300</v>
          </cell>
          <cell r="B873" t="str">
            <v>Business Talk</v>
          </cell>
          <cell r="C873" t="str">
            <v>Reunion Is 3Bpq Band00</v>
          </cell>
          <cell r="D873" t="str">
            <v>Off-net domestic</v>
          </cell>
          <cell r="E873" t="str">
            <v>minute</v>
          </cell>
          <cell r="F873">
            <v>1</v>
          </cell>
          <cell r="G873">
            <v>1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</row>
        <row r="874">
          <cell r="A874" t="str">
            <v>DOM REU RE301</v>
          </cell>
          <cell r="B874" t="str">
            <v>Business Talk</v>
          </cell>
          <cell r="C874" t="str">
            <v>Reunion Is 3Bpq Band01</v>
          </cell>
          <cell r="D874" t="str">
            <v>Off-net domestic</v>
          </cell>
          <cell r="E874" t="str">
            <v>minute</v>
          </cell>
          <cell r="F874">
            <v>1</v>
          </cell>
          <cell r="G874">
            <v>1</v>
          </cell>
          <cell r="H874">
            <v>0</v>
          </cell>
          <cell r="I874">
            <v>0</v>
          </cell>
          <cell r="J874">
            <v>5.04E-2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</row>
        <row r="875">
          <cell r="A875" t="str">
            <v>DOM REU RE302</v>
          </cell>
          <cell r="B875" t="str">
            <v>Business Talk</v>
          </cell>
          <cell r="C875" t="str">
            <v>Reunion Is 3Bpq Band02</v>
          </cell>
          <cell r="D875" t="str">
            <v>Off-net domestic</v>
          </cell>
          <cell r="E875" t="str">
            <v>minute</v>
          </cell>
          <cell r="F875">
            <v>1</v>
          </cell>
          <cell r="G875">
            <v>1</v>
          </cell>
          <cell r="H875">
            <v>0</v>
          </cell>
          <cell r="I875">
            <v>0</v>
          </cell>
          <cell r="J875">
            <v>5.9400000000000001E-2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</row>
        <row r="876">
          <cell r="A876" t="str">
            <v>DOM REU RE303</v>
          </cell>
          <cell r="B876" t="str">
            <v>Business Talk</v>
          </cell>
          <cell r="C876" t="str">
            <v>Reunion Is 3Bpq Band03</v>
          </cell>
          <cell r="D876" t="str">
            <v>Off-net domestic</v>
          </cell>
          <cell r="E876" t="str">
            <v>minute</v>
          </cell>
          <cell r="F876">
            <v>1</v>
          </cell>
          <cell r="G876">
            <v>1</v>
          </cell>
          <cell r="H876">
            <v>0</v>
          </cell>
          <cell r="I876">
            <v>0</v>
          </cell>
          <cell r="J876">
            <v>9.4E-2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</row>
        <row r="877">
          <cell r="A877" t="str">
            <v>DOM REU RE304</v>
          </cell>
          <cell r="B877" t="str">
            <v>Business Talk</v>
          </cell>
          <cell r="C877" t="str">
            <v>Reunion Is 3Bpq Band04</v>
          </cell>
          <cell r="D877" t="str">
            <v>Off-net domestic</v>
          </cell>
          <cell r="E877" t="str">
            <v>minute</v>
          </cell>
          <cell r="F877">
            <v>1</v>
          </cell>
          <cell r="G877">
            <v>1</v>
          </cell>
          <cell r="H877">
            <v>0</v>
          </cell>
          <cell r="I877">
            <v>0</v>
          </cell>
          <cell r="J877">
            <v>0.125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</row>
        <row r="878">
          <cell r="A878" t="str">
            <v>DOM REU RE305</v>
          </cell>
          <cell r="B878" t="str">
            <v>Business Talk</v>
          </cell>
          <cell r="C878" t="str">
            <v>Reunion Is 3Bpq Band05</v>
          </cell>
          <cell r="D878" t="str">
            <v>Off-net domestic</v>
          </cell>
          <cell r="E878" t="str">
            <v>minute</v>
          </cell>
          <cell r="F878">
            <v>1</v>
          </cell>
          <cell r="G878">
            <v>1</v>
          </cell>
          <cell r="H878">
            <v>0</v>
          </cell>
          <cell r="I878">
            <v>0</v>
          </cell>
          <cell r="J878">
            <v>0.17630000000000001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</row>
        <row r="879">
          <cell r="A879" t="str">
            <v>DOM REU RE306</v>
          </cell>
          <cell r="B879" t="str">
            <v>Business Talk</v>
          </cell>
          <cell r="C879" t="str">
            <v>Reunion Is 3Bpq Band06</v>
          </cell>
          <cell r="D879" t="str">
            <v>Off-net domestic</v>
          </cell>
          <cell r="E879" t="str">
            <v>minute</v>
          </cell>
          <cell r="F879">
            <v>1</v>
          </cell>
          <cell r="G879">
            <v>1</v>
          </cell>
          <cell r="H879">
            <v>0</v>
          </cell>
          <cell r="I879">
            <v>0</v>
          </cell>
          <cell r="J879">
            <v>0.188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880">
          <cell r="A880" t="str">
            <v>DOM REU RE307</v>
          </cell>
          <cell r="B880" t="str">
            <v>Business Talk</v>
          </cell>
          <cell r="C880" t="str">
            <v>Reunion Is 3Bpq Band07</v>
          </cell>
          <cell r="D880" t="str">
            <v>Off-net domestic</v>
          </cell>
          <cell r="E880" t="str">
            <v>minute</v>
          </cell>
          <cell r="F880">
            <v>1</v>
          </cell>
          <cell r="G880">
            <v>1</v>
          </cell>
          <cell r="H880">
            <v>0</v>
          </cell>
          <cell r="I880">
            <v>0</v>
          </cell>
          <cell r="J880">
            <v>0.28100000000000003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A881" t="str">
            <v>DOM REU RE308</v>
          </cell>
          <cell r="B881" t="str">
            <v>Business Talk</v>
          </cell>
          <cell r="C881" t="str">
            <v>Reunion Is 3Bpq Band08</v>
          </cell>
          <cell r="D881" t="str">
            <v>Off-net domestic</v>
          </cell>
          <cell r="E881" t="str">
            <v>minute</v>
          </cell>
          <cell r="F881">
            <v>1</v>
          </cell>
          <cell r="G881">
            <v>1</v>
          </cell>
          <cell r="H881">
            <v>0</v>
          </cell>
          <cell r="I881">
            <v>0</v>
          </cell>
          <cell r="J881">
            <v>0.29680000000000001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</row>
        <row r="882">
          <cell r="A882" t="str">
            <v>DOM REU RE309</v>
          </cell>
          <cell r="B882" t="str">
            <v>Business Talk</v>
          </cell>
          <cell r="C882" t="str">
            <v>Reunion Is 3Bpq Band09</v>
          </cell>
          <cell r="D882" t="str">
            <v>Off-net domestic</v>
          </cell>
          <cell r="E882" t="str">
            <v>minute</v>
          </cell>
          <cell r="F882">
            <v>1</v>
          </cell>
          <cell r="G882">
            <v>1</v>
          </cell>
          <cell r="H882">
            <v>0</v>
          </cell>
          <cell r="I882">
            <v>0</v>
          </cell>
          <cell r="J882">
            <v>0.34499999999999997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</row>
        <row r="883">
          <cell r="A883" t="str">
            <v>DOM REU RE310</v>
          </cell>
          <cell r="B883" t="str">
            <v>Business Talk</v>
          </cell>
          <cell r="C883" t="str">
            <v>Reunion Is 3Bpq Band10</v>
          </cell>
          <cell r="D883" t="str">
            <v>Off-net domestic</v>
          </cell>
          <cell r="E883" t="str">
            <v>minute</v>
          </cell>
          <cell r="F883">
            <v>1</v>
          </cell>
          <cell r="G883">
            <v>1</v>
          </cell>
          <cell r="H883">
            <v>0</v>
          </cell>
          <cell r="I883">
            <v>0</v>
          </cell>
          <cell r="J883">
            <v>0.72309999999999997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</row>
        <row r="884">
          <cell r="A884" t="str">
            <v>DOM REU RE311</v>
          </cell>
          <cell r="B884" t="str">
            <v>Business Talk</v>
          </cell>
          <cell r="C884" t="str">
            <v>Reunion Is 3Bpq Band11</v>
          </cell>
          <cell r="D884" t="str">
            <v>Off-net domestic</v>
          </cell>
          <cell r="E884" t="str">
            <v>minute</v>
          </cell>
          <cell r="F884">
            <v>1</v>
          </cell>
          <cell r="G884">
            <v>1</v>
          </cell>
          <cell r="H884">
            <v>0</v>
          </cell>
          <cell r="I884">
            <v>0</v>
          </cell>
          <cell r="J884">
            <v>1.1279999999999999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</row>
        <row r="885">
          <cell r="A885" t="str">
            <v>DOM REU RE312</v>
          </cell>
          <cell r="B885" t="str">
            <v>Business Talk</v>
          </cell>
          <cell r="C885" t="str">
            <v>Reunion Is 3Bpq Band12</v>
          </cell>
          <cell r="D885" t="str">
            <v>Off-net domestic</v>
          </cell>
          <cell r="E885" t="str">
            <v>minute &amp; call</v>
          </cell>
          <cell r="F885">
            <v>1</v>
          </cell>
          <cell r="G885">
            <v>1</v>
          </cell>
          <cell r="H885">
            <v>0</v>
          </cell>
          <cell r="I885">
            <v>0</v>
          </cell>
          <cell r="J885">
            <v>9.9000000000000005E-2</v>
          </cell>
          <cell r="K885">
            <v>0</v>
          </cell>
          <cell r="L885">
            <v>2E-3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A886" t="str">
            <v>DOM REU RE313</v>
          </cell>
          <cell r="B886" t="str">
            <v>Business Talk</v>
          </cell>
          <cell r="C886" t="str">
            <v>Reunion Is 3Bpq Band13</v>
          </cell>
          <cell r="D886" t="str">
            <v>Off-net domestic</v>
          </cell>
          <cell r="E886" t="str">
            <v>minute &amp; call</v>
          </cell>
          <cell r="F886">
            <v>1</v>
          </cell>
          <cell r="G886">
            <v>1</v>
          </cell>
          <cell r="H886">
            <v>0</v>
          </cell>
          <cell r="I886">
            <v>0</v>
          </cell>
          <cell r="J886">
            <v>6.7100000000000007E-2</v>
          </cell>
          <cell r="K886">
            <v>0</v>
          </cell>
          <cell r="L886">
            <v>1.7000000000000001E-2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</row>
        <row r="887">
          <cell r="A887" t="str">
            <v>DOM REU RE314</v>
          </cell>
          <cell r="B887" t="str">
            <v>Business Talk</v>
          </cell>
          <cell r="C887" t="str">
            <v>Reunion Is 3Bpq Band14</v>
          </cell>
          <cell r="D887" t="str">
            <v>Off-net domestic</v>
          </cell>
          <cell r="E887" t="str">
            <v>minute &amp; call</v>
          </cell>
          <cell r="F887">
            <v>1</v>
          </cell>
          <cell r="G887">
            <v>1</v>
          </cell>
          <cell r="H887">
            <v>0</v>
          </cell>
          <cell r="I887">
            <v>0</v>
          </cell>
          <cell r="J887">
            <v>7.4999999999999997E-2</v>
          </cell>
          <cell r="K887">
            <v>0</v>
          </cell>
          <cell r="L887">
            <v>2.4E-2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</row>
        <row r="888">
          <cell r="A888" t="str">
            <v>DOM REU RE315</v>
          </cell>
          <cell r="B888" t="str">
            <v>Business Talk</v>
          </cell>
          <cell r="C888" t="str">
            <v>Reunion Is 3Bpq Band15</v>
          </cell>
          <cell r="D888" t="str">
            <v>Off-net domestic</v>
          </cell>
          <cell r="E888" t="str">
            <v>minute &amp; call</v>
          </cell>
          <cell r="F888">
            <v>1</v>
          </cell>
          <cell r="G888">
            <v>1</v>
          </cell>
          <cell r="H888">
            <v>0</v>
          </cell>
          <cell r="I888">
            <v>0</v>
          </cell>
          <cell r="J888">
            <v>5.0999999999999997E-2</v>
          </cell>
          <cell r="K888">
            <v>0</v>
          </cell>
          <cell r="L888">
            <v>4.2999999999999997E-2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</row>
        <row r="889">
          <cell r="A889" t="str">
            <v>DOM REU RE316</v>
          </cell>
          <cell r="B889" t="str">
            <v>Business Talk</v>
          </cell>
          <cell r="C889" t="str">
            <v>Reunion Is 3Bpq Band16</v>
          </cell>
          <cell r="D889" t="str">
            <v>Off-net domestic</v>
          </cell>
          <cell r="E889" t="str">
            <v>minute &amp; call</v>
          </cell>
          <cell r="F889">
            <v>1</v>
          </cell>
          <cell r="G889">
            <v>1</v>
          </cell>
          <cell r="H889">
            <v>0</v>
          </cell>
          <cell r="I889">
            <v>0</v>
          </cell>
          <cell r="J889">
            <v>2.3E-2</v>
          </cell>
          <cell r="K889">
            <v>0</v>
          </cell>
          <cell r="L889">
            <v>6.5000000000000002E-2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A890" t="str">
            <v>DOM REU RE317</v>
          </cell>
          <cell r="B890" t="str">
            <v>Business Talk</v>
          </cell>
          <cell r="C890" t="str">
            <v>Reunion Is 3Bpq Band17</v>
          </cell>
          <cell r="D890" t="str">
            <v>Off-net domestic</v>
          </cell>
          <cell r="E890" t="str">
            <v>minute &amp; call</v>
          </cell>
          <cell r="F890">
            <v>1</v>
          </cell>
          <cell r="G890">
            <v>1</v>
          </cell>
          <cell r="H890">
            <v>0</v>
          </cell>
          <cell r="I890">
            <v>0</v>
          </cell>
          <cell r="J890">
            <v>2.4E-2</v>
          </cell>
          <cell r="K890">
            <v>0</v>
          </cell>
          <cell r="L890">
            <v>7.5999999999999998E-2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</row>
        <row r="891">
          <cell r="A891" t="str">
            <v>DOM REU RE318</v>
          </cell>
          <cell r="B891" t="str">
            <v>Business Talk</v>
          </cell>
          <cell r="C891" t="str">
            <v>Reunion Is 3Bpq Band18</v>
          </cell>
          <cell r="D891" t="str">
            <v>Off-net domestic</v>
          </cell>
          <cell r="E891" t="str">
            <v>call</v>
          </cell>
          <cell r="F891">
            <v>1</v>
          </cell>
          <cell r="G891">
            <v>1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9.4E-2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</row>
        <row r="892">
          <cell r="A892" t="str">
            <v>DOM REU RE319</v>
          </cell>
          <cell r="B892" t="str">
            <v>Business Talk</v>
          </cell>
          <cell r="C892" t="str">
            <v>Reunion Is 3Bpq Band19</v>
          </cell>
          <cell r="D892" t="str">
            <v>Off-net domestic</v>
          </cell>
          <cell r="E892" t="str">
            <v>minute &amp; call</v>
          </cell>
          <cell r="F892">
            <v>1</v>
          </cell>
          <cell r="G892">
            <v>1</v>
          </cell>
          <cell r="H892">
            <v>0</v>
          </cell>
          <cell r="I892">
            <v>0</v>
          </cell>
          <cell r="J892">
            <v>0.125</v>
          </cell>
          <cell r="K892">
            <v>0</v>
          </cell>
          <cell r="L892">
            <v>9.4E-2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</row>
        <row r="893">
          <cell r="A893" t="str">
            <v>DOM REU RE320</v>
          </cell>
          <cell r="B893" t="str">
            <v>Business Talk</v>
          </cell>
          <cell r="C893" t="str">
            <v>Reunion Is 3Bpq Band20</v>
          </cell>
          <cell r="D893" t="str">
            <v>Off-net domestic</v>
          </cell>
          <cell r="E893" t="str">
            <v>minute &amp; call</v>
          </cell>
          <cell r="F893">
            <v>1</v>
          </cell>
          <cell r="G893">
            <v>1</v>
          </cell>
          <cell r="H893">
            <v>0</v>
          </cell>
          <cell r="I893">
            <v>0</v>
          </cell>
          <cell r="J893">
            <v>4.7E-2</v>
          </cell>
          <cell r="K893">
            <v>0</v>
          </cell>
          <cell r="L893">
            <v>0.14099999999999999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</row>
        <row r="894">
          <cell r="A894" t="str">
            <v>DOM REU RE321</v>
          </cell>
          <cell r="B894" t="str">
            <v>Business Talk</v>
          </cell>
          <cell r="C894" t="str">
            <v>Reunion Is 3Bpq Band21</v>
          </cell>
          <cell r="D894" t="str">
            <v>Off-net domestic</v>
          </cell>
          <cell r="E894" t="str">
            <v>call</v>
          </cell>
          <cell r="F894">
            <v>1</v>
          </cell>
          <cell r="G894">
            <v>1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0.47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</row>
        <row r="895">
          <cell r="A895" t="str">
            <v>DOM REU REVAS</v>
          </cell>
          <cell r="B895" t="str">
            <v>Business Talk</v>
          </cell>
          <cell r="C895" t="str">
            <v>Reunion Is 3Bpq Band22</v>
          </cell>
          <cell r="D895" t="str">
            <v>Off-net domestic</v>
          </cell>
          <cell r="E895" t="str">
            <v>minute &amp; call</v>
          </cell>
          <cell r="F895">
            <v>1</v>
          </cell>
          <cell r="G895">
            <v>1</v>
          </cell>
          <cell r="H895">
            <v>0</v>
          </cell>
          <cell r="I895">
            <v>0</v>
          </cell>
          <cell r="J895">
            <v>0.28100000000000003</v>
          </cell>
          <cell r="K895">
            <v>0</v>
          </cell>
          <cell r="L895">
            <v>1.1297999999999999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A896" t="str">
            <v>DOM REU RESOS</v>
          </cell>
          <cell r="B896" t="str">
            <v>Business Talk</v>
          </cell>
          <cell r="C896" t="str">
            <v>Reunion Is Emerg Short Nr</v>
          </cell>
          <cell r="D896" t="str">
            <v>Off-net domestic</v>
          </cell>
          <cell r="E896" t="str">
            <v>minute</v>
          </cell>
          <cell r="F896">
            <v>1</v>
          </cell>
          <cell r="G896">
            <v>1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</row>
        <row r="897">
          <cell r="A897" t="str">
            <v>DOM REU RE860</v>
          </cell>
          <cell r="B897" t="str">
            <v>Business Talk</v>
          </cell>
          <cell r="C897" t="str">
            <v>Reunion Is Internet Dial Up</v>
          </cell>
          <cell r="D897" t="str">
            <v>Off-net domestic</v>
          </cell>
          <cell r="E897" t="str">
            <v>minute</v>
          </cell>
          <cell r="F897">
            <v>1</v>
          </cell>
          <cell r="G897">
            <v>1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</row>
        <row r="898">
          <cell r="A898" t="str">
            <v>DOM REU RE82H</v>
          </cell>
          <cell r="B898" t="str">
            <v>Business Talk</v>
          </cell>
          <cell r="C898" t="str">
            <v>Reunion Is Premium 820 High</v>
          </cell>
          <cell r="D898" t="str">
            <v>Off-net domestic</v>
          </cell>
          <cell r="E898" t="str">
            <v>minute &amp; call</v>
          </cell>
          <cell r="F898">
            <v>1</v>
          </cell>
          <cell r="G898">
            <v>1</v>
          </cell>
          <cell r="H898">
            <v>0</v>
          </cell>
          <cell r="I898">
            <v>0</v>
          </cell>
          <cell r="J898">
            <v>9.9000000000000005E-2</v>
          </cell>
          <cell r="K898">
            <v>0</v>
          </cell>
          <cell r="L898">
            <v>9.4E-2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A899" t="str">
            <v>DOM REU RE82L</v>
          </cell>
          <cell r="B899" t="str">
            <v>Business Talk</v>
          </cell>
          <cell r="C899" t="str">
            <v>Reunion Is Premium 820 Low</v>
          </cell>
          <cell r="D899" t="str">
            <v>Off-net domestic</v>
          </cell>
          <cell r="E899" t="str">
            <v>minute &amp; call</v>
          </cell>
          <cell r="F899">
            <v>1</v>
          </cell>
          <cell r="G899">
            <v>1</v>
          </cell>
          <cell r="H899">
            <v>0</v>
          </cell>
          <cell r="I899">
            <v>0</v>
          </cell>
          <cell r="J899">
            <v>7.4999999999999997E-2</v>
          </cell>
          <cell r="K899">
            <v>0</v>
          </cell>
          <cell r="L899">
            <v>9.4E-2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</row>
        <row r="900">
          <cell r="A900" t="str">
            <v>DOM REU RE825</v>
          </cell>
          <cell r="B900" t="str">
            <v>Business Talk</v>
          </cell>
          <cell r="C900" t="str">
            <v>Reunion Is Premium 825</v>
          </cell>
          <cell r="D900" t="str">
            <v>Off-net domestic</v>
          </cell>
          <cell r="E900" t="str">
            <v>minute</v>
          </cell>
          <cell r="F900">
            <v>1</v>
          </cell>
          <cell r="G900">
            <v>1</v>
          </cell>
          <cell r="H900">
            <v>0</v>
          </cell>
          <cell r="I900">
            <v>0</v>
          </cell>
          <cell r="J900">
            <v>0.12529999999999999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</row>
        <row r="901">
          <cell r="A901" t="str">
            <v>DOM REU RE89H</v>
          </cell>
          <cell r="B901" t="str">
            <v>Business Talk</v>
          </cell>
          <cell r="C901" t="str">
            <v>Reunion Is Premium 890 High</v>
          </cell>
          <cell r="D901" t="str">
            <v>Off-net domestic</v>
          </cell>
          <cell r="E901" t="str">
            <v>minute</v>
          </cell>
          <cell r="F901">
            <v>1</v>
          </cell>
          <cell r="G901">
            <v>1</v>
          </cell>
          <cell r="H901">
            <v>0</v>
          </cell>
          <cell r="I901">
            <v>0</v>
          </cell>
          <cell r="J901">
            <v>0.12529999999999999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</row>
        <row r="902">
          <cell r="A902" t="str">
            <v>DOM REU RE89L</v>
          </cell>
          <cell r="B902" t="str">
            <v>Business Talk</v>
          </cell>
          <cell r="C902" t="str">
            <v>Reunion Is Premium 890 Low</v>
          </cell>
          <cell r="D902" t="str">
            <v>Off-net domestic</v>
          </cell>
          <cell r="E902" t="str">
            <v>minute</v>
          </cell>
          <cell r="F902">
            <v>1</v>
          </cell>
          <cell r="G902">
            <v>1</v>
          </cell>
          <cell r="H902">
            <v>0</v>
          </cell>
          <cell r="I902">
            <v>0</v>
          </cell>
          <cell r="J902">
            <v>9.4E-2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</row>
        <row r="903">
          <cell r="A903" t="str">
            <v>DOM REU RE891</v>
          </cell>
          <cell r="B903" t="str">
            <v>Business Talk</v>
          </cell>
          <cell r="C903" t="str">
            <v>Reunion Is Premium 891</v>
          </cell>
          <cell r="D903" t="str">
            <v>Off-net domestic</v>
          </cell>
          <cell r="E903" t="str">
            <v>minute</v>
          </cell>
          <cell r="F903">
            <v>1</v>
          </cell>
          <cell r="G903">
            <v>1</v>
          </cell>
          <cell r="H903">
            <v>0</v>
          </cell>
          <cell r="I903">
            <v>0</v>
          </cell>
          <cell r="J903">
            <v>0.188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</row>
        <row r="904">
          <cell r="A904" t="str">
            <v>DOM REU RE892</v>
          </cell>
          <cell r="B904" t="str">
            <v>Business Talk</v>
          </cell>
          <cell r="C904" t="str">
            <v>Reunion Is Premium 892</v>
          </cell>
          <cell r="D904" t="str">
            <v>Off-net domestic</v>
          </cell>
          <cell r="E904" t="str">
            <v>minute</v>
          </cell>
          <cell r="F904">
            <v>1</v>
          </cell>
          <cell r="G904">
            <v>1</v>
          </cell>
          <cell r="H904">
            <v>0</v>
          </cell>
          <cell r="I904">
            <v>0</v>
          </cell>
          <cell r="J904">
            <v>0.28199999999999997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</row>
        <row r="905">
          <cell r="A905" t="str">
            <v>DOM REU RE897</v>
          </cell>
          <cell r="B905" t="str">
            <v>Business Talk</v>
          </cell>
          <cell r="C905" t="str">
            <v>Reunion Is Premium 897</v>
          </cell>
          <cell r="D905" t="str">
            <v>Off-net domestic</v>
          </cell>
          <cell r="E905" t="str">
            <v>call</v>
          </cell>
          <cell r="F905">
            <v>1</v>
          </cell>
          <cell r="G905">
            <v>1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0.47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</row>
        <row r="906">
          <cell r="A906" t="str">
            <v>DOM REU RE899</v>
          </cell>
          <cell r="B906" t="str">
            <v>Business Talk</v>
          </cell>
          <cell r="C906" t="str">
            <v>Reunion Is Premium 899</v>
          </cell>
          <cell r="D906" t="str">
            <v>Off-net domestic</v>
          </cell>
          <cell r="E906" t="str">
            <v>minute &amp; call</v>
          </cell>
          <cell r="F906">
            <v>1</v>
          </cell>
          <cell r="G906">
            <v>1</v>
          </cell>
          <cell r="H906">
            <v>0</v>
          </cell>
          <cell r="I906">
            <v>0</v>
          </cell>
          <cell r="J906">
            <v>0.28199999999999997</v>
          </cell>
          <cell r="K906">
            <v>0</v>
          </cell>
          <cell r="L906">
            <v>1.1276999999999999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</row>
        <row r="907">
          <cell r="A907" t="str">
            <v>DOM REU RE006</v>
          </cell>
          <cell r="B907" t="str">
            <v>Business Talk</v>
          </cell>
          <cell r="C907" t="str">
            <v>Reunion Is Tel. Info. 118006</v>
          </cell>
          <cell r="D907" t="str">
            <v>Off-net domestic</v>
          </cell>
          <cell r="E907" t="str">
            <v>minute &amp; call</v>
          </cell>
          <cell r="F907">
            <v>1</v>
          </cell>
          <cell r="G907">
            <v>1</v>
          </cell>
          <cell r="H907">
            <v>0</v>
          </cell>
          <cell r="I907">
            <v>0</v>
          </cell>
          <cell r="J907">
            <v>0.28199999999999997</v>
          </cell>
          <cell r="K907">
            <v>0</v>
          </cell>
          <cell r="L907">
            <v>1.1279999999999999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</row>
        <row r="908">
          <cell r="A908" t="str">
            <v>DOM REU RE218</v>
          </cell>
          <cell r="B908" t="str">
            <v>Business Talk</v>
          </cell>
          <cell r="C908" t="str">
            <v>Reunion Is Tel. Info. 118218</v>
          </cell>
          <cell r="D908" t="str">
            <v>Off-net domestic</v>
          </cell>
          <cell r="E908" t="str">
            <v>minute &amp; call</v>
          </cell>
          <cell r="F908">
            <v>1</v>
          </cell>
          <cell r="G908">
            <v>1</v>
          </cell>
          <cell r="H908">
            <v>0</v>
          </cell>
          <cell r="I908">
            <v>0</v>
          </cell>
          <cell r="J908">
            <v>0.752</v>
          </cell>
          <cell r="K908">
            <v>0</v>
          </cell>
          <cell r="L908">
            <v>0.752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A909" t="str">
            <v>DOM REU RE222</v>
          </cell>
          <cell r="B909" t="str">
            <v>Business Talk</v>
          </cell>
          <cell r="C909" t="str">
            <v>Reunion Is Tel. Info. 118222</v>
          </cell>
          <cell r="D909" t="str">
            <v>Off-net domestic</v>
          </cell>
          <cell r="E909" t="str">
            <v>minute &amp; call</v>
          </cell>
          <cell r="F909">
            <v>1</v>
          </cell>
          <cell r="G909">
            <v>1</v>
          </cell>
          <cell r="H909">
            <v>0</v>
          </cell>
          <cell r="I909">
            <v>0</v>
          </cell>
          <cell r="J909">
            <v>0.188</v>
          </cell>
          <cell r="K909">
            <v>0</v>
          </cell>
          <cell r="L909">
            <v>1.1279999999999999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</row>
        <row r="910">
          <cell r="A910" t="str">
            <v>DOM REU RE700</v>
          </cell>
          <cell r="B910" t="str">
            <v>Business Talk</v>
          </cell>
          <cell r="C910" t="str">
            <v>Reunion Is Tel. Info. 118700</v>
          </cell>
          <cell r="D910" t="str">
            <v>Off-net domestic</v>
          </cell>
          <cell r="E910" t="str">
            <v>call</v>
          </cell>
          <cell r="F910">
            <v>1</v>
          </cell>
          <cell r="G910">
            <v>1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2.5099999999999998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1">
          <cell r="A911" t="str">
            <v>DOM REU RE710</v>
          </cell>
          <cell r="B911" t="str">
            <v>Business Talk</v>
          </cell>
          <cell r="C911" t="str">
            <v>Reunion Is Tel. Info. 118710</v>
          </cell>
          <cell r="D911" t="str">
            <v>Off-net domestic</v>
          </cell>
          <cell r="E911" t="str">
            <v>minute</v>
          </cell>
          <cell r="F911">
            <v>1</v>
          </cell>
          <cell r="G911">
            <v>1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2">
          <cell r="A912" t="str">
            <v>DOM REU RE711</v>
          </cell>
          <cell r="B912" t="str">
            <v>Business Talk</v>
          </cell>
          <cell r="C912" t="str">
            <v>Reunion Is Tel. Info. 118711</v>
          </cell>
          <cell r="D912" t="str">
            <v>Off-net domestic</v>
          </cell>
          <cell r="E912" t="str">
            <v>minute &amp; call</v>
          </cell>
          <cell r="F912">
            <v>1</v>
          </cell>
          <cell r="G912">
            <v>1</v>
          </cell>
          <cell r="H912">
            <v>0</v>
          </cell>
          <cell r="I912">
            <v>0</v>
          </cell>
          <cell r="J912">
            <v>0.28199999999999997</v>
          </cell>
          <cell r="K912">
            <v>0</v>
          </cell>
          <cell r="L912">
            <v>0.65800000000000003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</row>
        <row r="913">
          <cell r="A913" t="str">
            <v>DOM REU RE712</v>
          </cell>
          <cell r="B913" t="str">
            <v>Business Talk</v>
          </cell>
          <cell r="C913" t="str">
            <v>Reunion Is Tel. Info. 118712</v>
          </cell>
          <cell r="D913" t="str">
            <v>Off-net domestic</v>
          </cell>
          <cell r="E913" t="str">
            <v>minute &amp; call</v>
          </cell>
          <cell r="F913">
            <v>1</v>
          </cell>
          <cell r="G913">
            <v>1</v>
          </cell>
          <cell r="H913">
            <v>0</v>
          </cell>
          <cell r="I913">
            <v>0</v>
          </cell>
          <cell r="J913">
            <v>0.376</v>
          </cell>
          <cell r="K913">
            <v>0</v>
          </cell>
          <cell r="L913">
            <v>1.222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4">
          <cell r="A914" t="str">
            <v>DOM REU RE888</v>
          </cell>
          <cell r="B914" t="str">
            <v>Business Talk</v>
          </cell>
          <cell r="C914" t="str">
            <v>Reunion Is Tel. Info. 118888</v>
          </cell>
          <cell r="D914" t="str">
            <v>Off-net domestic</v>
          </cell>
          <cell r="E914" t="str">
            <v>minute &amp; call</v>
          </cell>
          <cell r="F914">
            <v>1</v>
          </cell>
          <cell r="G914">
            <v>1</v>
          </cell>
          <cell r="H914">
            <v>0</v>
          </cell>
          <cell r="I914">
            <v>0</v>
          </cell>
          <cell r="J914">
            <v>9.4E-2</v>
          </cell>
          <cell r="K914">
            <v>0</v>
          </cell>
          <cell r="L914">
            <v>0.94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</row>
        <row r="915">
          <cell r="A915" t="str">
            <v>DOM REU REFRE</v>
          </cell>
          <cell r="B915" t="str">
            <v>Business Talk</v>
          </cell>
          <cell r="C915" t="str">
            <v>Reunion Is Toll Free</v>
          </cell>
          <cell r="D915" t="str">
            <v>Off-net domestic</v>
          </cell>
          <cell r="E915" t="str">
            <v>minute</v>
          </cell>
          <cell r="F915">
            <v>1</v>
          </cell>
          <cell r="G915">
            <v>1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A916" t="str">
            <v>DOM REU RE810</v>
          </cell>
          <cell r="B916" t="str">
            <v>Business Talk</v>
          </cell>
          <cell r="C916" t="str">
            <v>Reunion Is Toll Share</v>
          </cell>
          <cell r="D916" t="str">
            <v>Off-net domestic</v>
          </cell>
          <cell r="E916" t="str">
            <v>minute &amp; call</v>
          </cell>
          <cell r="F916">
            <v>1</v>
          </cell>
          <cell r="G916">
            <v>1</v>
          </cell>
          <cell r="H916">
            <v>0</v>
          </cell>
          <cell r="I916">
            <v>0</v>
          </cell>
          <cell r="J916">
            <v>2.3E-2</v>
          </cell>
          <cell r="K916">
            <v>0</v>
          </cell>
          <cell r="L916">
            <v>6.5000000000000002E-2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</row>
        <row r="917">
          <cell r="A917" t="str">
            <v>DOM ROM MOB</v>
          </cell>
          <cell r="B917" t="str">
            <v>Business Talk</v>
          </cell>
          <cell r="C917" t="str">
            <v>Romania Mobile</v>
          </cell>
          <cell r="D917" t="str">
            <v>Off-net domestic</v>
          </cell>
          <cell r="E917" t="str">
            <v>minute</v>
          </cell>
          <cell r="F917">
            <v>1</v>
          </cell>
          <cell r="G917">
            <v>1</v>
          </cell>
          <cell r="H917">
            <v>0</v>
          </cell>
          <cell r="I917">
            <v>0</v>
          </cell>
          <cell r="J917">
            <v>5.3900000000000003E-2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</row>
        <row r="918">
          <cell r="A918" t="str">
            <v>DOM ROM ROMOR</v>
          </cell>
          <cell r="B918" t="str">
            <v>Business Talk</v>
          </cell>
          <cell r="C918" t="str">
            <v>Romania Mobile Orange</v>
          </cell>
          <cell r="D918" t="str">
            <v>Off-net domestic</v>
          </cell>
          <cell r="E918" t="str">
            <v>minute</v>
          </cell>
          <cell r="F918">
            <v>1</v>
          </cell>
          <cell r="G918">
            <v>1</v>
          </cell>
          <cell r="H918">
            <v>0</v>
          </cell>
          <cell r="I918">
            <v>0</v>
          </cell>
          <cell r="J918">
            <v>5.3900000000000003E-2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</row>
        <row r="919">
          <cell r="A919" t="str">
            <v>DOM ROM FIX</v>
          </cell>
          <cell r="B919" t="str">
            <v>Business Talk</v>
          </cell>
          <cell r="C919" t="str">
            <v>Romania</v>
          </cell>
          <cell r="D919" t="str">
            <v>Off-net domestic</v>
          </cell>
          <cell r="E919" t="str">
            <v>minute</v>
          </cell>
          <cell r="F919">
            <v>1</v>
          </cell>
          <cell r="G919">
            <v>1</v>
          </cell>
          <cell r="H919">
            <v>0</v>
          </cell>
          <cell r="I919">
            <v>0</v>
          </cell>
          <cell r="J919">
            <v>1.9599999999999999E-2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20">
          <cell r="A920" t="str">
            <v>DOM SMR MOB</v>
          </cell>
          <cell r="B920" t="str">
            <v>Business Talk</v>
          </cell>
          <cell r="C920" t="str">
            <v>San Marino Mobile</v>
          </cell>
          <cell r="D920" t="str">
            <v>Off-net domestic</v>
          </cell>
          <cell r="E920" t="str">
            <v>minute</v>
          </cell>
          <cell r="F920">
            <v>1</v>
          </cell>
          <cell r="G920">
            <v>1</v>
          </cell>
          <cell r="H920">
            <v>0</v>
          </cell>
          <cell r="I920">
            <v>0</v>
          </cell>
          <cell r="J920">
            <v>0.3846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1">
          <cell r="A921" t="str">
            <v>DOM SMR FIX</v>
          </cell>
          <cell r="B921" t="str">
            <v>Business Talk</v>
          </cell>
          <cell r="C921" t="str">
            <v>San Marino</v>
          </cell>
          <cell r="D921" t="str">
            <v>Off-net domestic</v>
          </cell>
          <cell r="E921" t="str">
            <v>minute</v>
          </cell>
          <cell r="F921">
            <v>1</v>
          </cell>
          <cell r="G921">
            <v>1</v>
          </cell>
          <cell r="H921">
            <v>0</v>
          </cell>
          <cell r="I921">
            <v>0</v>
          </cell>
          <cell r="J921">
            <v>0.2969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2">
          <cell r="A922" t="str">
            <v>DOM SGP MOBSG</v>
          </cell>
          <cell r="B922" t="str">
            <v>Business Talk</v>
          </cell>
          <cell r="C922" t="str">
            <v>Singapore Mobile</v>
          </cell>
          <cell r="D922" t="str">
            <v>Off-net domestic</v>
          </cell>
          <cell r="E922" t="str">
            <v>minute</v>
          </cell>
          <cell r="F922">
            <v>1</v>
          </cell>
          <cell r="G922">
            <v>1</v>
          </cell>
          <cell r="H922">
            <v>0</v>
          </cell>
          <cell r="I922">
            <v>0</v>
          </cell>
          <cell r="J922">
            <v>2.7300000000000001E-2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3">
          <cell r="A923" t="str">
            <v>DOM SGP FIXSG</v>
          </cell>
          <cell r="B923" t="str">
            <v>Business Talk</v>
          </cell>
          <cell r="C923" t="str">
            <v>Singapore</v>
          </cell>
          <cell r="D923" t="str">
            <v>Off-net domestic</v>
          </cell>
          <cell r="E923" t="str">
            <v>minute</v>
          </cell>
          <cell r="F923">
            <v>1</v>
          </cell>
          <cell r="G923">
            <v>1</v>
          </cell>
          <cell r="H923">
            <v>0</v>
          </cell>
          <cell r="I923">
            <v>0</v>
          </cell>
          <cell r="J923">
            <v>2.1000000000000001E-2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4">
          <cell r="A924" t="str">
            <v>DOM SVK SKMOR</v>
          </cell>
          <cell r="B924" t="str">
            <v>Business Talk</v>
          </cell>
          <cell r="C924" t="str">
            <v>Slovak Rep Mobile Orange</v>
          </cell>
          <cell r="D924" t="str">
            <v>Off-net domestic</v>
          </cell>
          <cell r="E924" t="str">
            <v>minute</v>
          </cell>
          <cell r="F924">
            <v>1</v>
          </cell>
          <cell r="G924">
            <v>1</v>
          </cell>
          <cell r="H924">
            <v>0</v>
          </cell>
          <cell r="I924">
            <v>0</v>
          </cell>
          <cell r="J924">
            <v>0.12429999999999999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A925" t="str">
            <v>DOM SVK MOB</v>
          </cell>
          <cell r="B925" t="str">
            <v>Business Talk</v>
          </cell>
          <cell r="C925" t="str">
            <v>Slovakia Mobile</v>
          </cell>
          <cell r="D925" t="str">
            <v>Off-net domestic</v>
          </cell>
          <cell r="E925" t="str">
            <v>minute</v>
          </cell>
          <cell r="F925">
            <v>1</v>
          </cell>
          <cell r="G925">
            <v>1</v>
          </cell>
          <cell r="H925">
            <v>0</v>
          </cell>
          <cell r="I925">
            <v>0</v>
          </cell>
          <cell r="J925">
            <v>0.12429999999999999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</row>
        <row r="926">
          <cell r="A926" t="str">
            <v>DOM SVK FIX</v>
          </cell>
          <cell r="B926" t="str">
            <v>Business Talk</v>
          </cell>
          <cell r="C926" t="str">
            <v>Slovakia</v>
          </cell>
          <cell r="D926" t="str">
            <v>Off-net domestic</v>
          </cell>
          <cell r="E926" t="str">
            <v>minute</v>
          </cell>
          <cell r="F926">
            <v>1</v>
          </cell>
          <cell r="G926">
            <v>1</v>
          </cell>
          <cell r="H926">
            <v>0</v>
          </cell>
          <cell r="I926">
            <v>0</v>
          </cell>
          <cell r="J926">
            <v>2.5600000000000001E-2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</row>
        <row r="927">
          <cell r="A927" t="str">
            <v>DOM SVN MOB</v>
          </cell>
          <cell r="B927" t="str">
            <v>Business Talk</v>
          </cell>
          <cell r="C927" t="str">
            <v>Slovenia Mobile</v>
          </cell>
          <cell r="D927" t="str">
            <v>Off-net domestic</v>
          </cell>
          <cell r="E927" t="str">
            <v>minute</v>
          </cell>
          <cell r="F927">
            <v>1</v>
          </cell>
          <cell r="G927">
            <v>1</v>
          </cell>
          <cell r="H927">
            <v>0</v>
          </cell>
          <cell r="I927">
            <v>0</v>
          </cell>
          <cell r="J927">
            <v>0.49709999999999999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</row>
        <row r="928">
          <cell r="A928" t="str">
            <v>DOM SVN SIMMO</v>
          </cell>
          <cell r="B928" t="str">
            <v>Business Talk</v>
          </cell>
          <cell r="C928" t="str">
            <v>Slovenia Mobile Mobitel</v>
          </cell>
          <cell r="D928" t="str">
            <v>Off-net domestic</v>
          </cell>
          <cell r="E928" t="str">
            <v>minute</v>
          </cell>
          <cell r="F928">
            <v>1</v>
          </cell>
          <cell r="G928">
            <v>1</v>
          </cell>
          <cell r="H928">
            <v>0</v>
          </cell>
          <cell r="I928">
            <v>0</v>
          </cell>
          <cell r="J928">
            <v>0.49709999999999999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</row>
        <row r="929">
          <cell r="A929" t="str">
            <v>DOM SVN FIX</v>
          </cell>
          <cell r="B929" t="str">
            <v>Business Talk</v>
          </cell>
          <cell r="C929" t="str">
            <v>Slovenia</v>
          </cell>
          <cell r="D929" t="str">
            <v>Off-net domestic</v>
          </cell>
          <cell r="E929" t="str">
            <v>minute</v>
          </cell>
          <cell r="F929">
            <v>1</v>
          </cell>
          <cell r="G929">
            <v>1</v>
          </cell>
          <cell r="H929">
            <v>0</v>
          </cell>
          <cell r="I929">
            <v>0</v>
          </cell>
          <cell r="J929">
            <v>2.6499999999999999E-2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A930" t="str">
            <v>DOM ZAF MOB</v>
          </cell>
          <cell r="B930" t="str">
            <v>Business Talk</v>
          </cell>
          <cell r="C930" t="str">
            <v>South Africa Mobile</v>
          </cell>
          <cell r="D930" t="str">
            <v>Off-net domestic</v>
          </cell>
          <cell r="E930" t="str">
            <v>minute</v>
          </cell>
          <cell r="F930">
            <v>1</v>
          </cell>
          <cell r="G930">
            <v>1</v>
          </cell>
          <cell r="H930">
            <v>0</v>
          </cell>
          <cell r="I930">
            <v>0</v>
          </cell>
          <cell r="J930">
            <v>8.0699999999999994E-2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</row>
        <row r="931">
          <cell r="A931" t="str">
            <v>DOM ZAF FIX</v>
          </cell>
          <cell r="B931" t="str">
            <v>Business Talk</v>
          </cell>
          <cell r="C931" t="str">
            <v>South Africa</v>
          </cell>
          <cell r="D931" t="str">
            <v>Off-net domestic</v>
          </cell>
          <cell r="E931" t="str">
            <v>minute</v>
          </cell>
          <cell r="F931">
            <v>1</v>
          </cell>
          <cell r="G931">
            <v>1</v>
          </cell>
          <cell r="H931">
            <v>0</v>
          </cell>
          <cell r="I931">
            <v>0</v>
          </cell>
          <cell r="J931">
            <v>4.7800000000000002E-2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A932" t="str">
            <v>DOM ESP ZESP3</v>
          </cell>
          <cell r="B932" t="str">
            <v>Business Talk</v>
          </cell>
          <cell r="C932" t="str">
            <v>Spain National</v>
          </cell>
          <cell r="D932" t="str">
            <v>Off-net domestic</v>
          </cell>
          <cell r="E932" t="str">
            <v>minute</v>
          </cell>
          <cell r="F932">
            <v>1</v>
          </cell>
          <cell r="G932">
            <v>1</v>
          </cell>
          <cell r="H932">
            <v>0</v>
          </cell>
          <cell r="I932">
            <v>0</v>
          </cell>
          <cell r="J932">
            <v>1.32E-2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</row>
        <row r="933">
          <cell r="A933" t="str">
            <v>DOM ESP SPMAM</v>
          </cell>
          <cell r="B933" t="str">
            <v>Business Talk</v>
          </cell>
          <cell r="C933" t="str">
            <v>Spain Mobile Orange</v>
          </cell>
          <cell r="D933" t="str">
            <v>Off-net domestic</v>
          </cell>
          <cell r="E933" t="str">
            <v>minute</v>
          </cell>
          <cell r="F933">
            <v>1</v>
          </cell>
          <cell r="G933">
            <v>1</v>
          </cell>
          <cell r="H933">
            <v>0</v>
          </cell>
          <cell r="I933">
            <v>0</v>
          </cell>
          <cell r="J933">
            <v>2.5000000000000001E-2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A934" t="str">
            <v>DOM ESP ZESP4</v>
          </cell>
          <cell r="B934" t="str">
            <v>Business Talk</v>
          </cell>
          <cell r="C934" t="str">
            <v>Spain Mobile Other</v>
          </cell>
          <cell r="D934" t="str">
            <v>Off-net domestic</v>
          </cell>
          <cell r="E934" t="str">
            <v>minute</v>
          </cell>
          <cell r="F934">
            <v>1</v>
          </cell>
          <cell r="G934">
            <v>1</v>
          </cell>
          <cell r="H934">
            <v>0</v>
          </cell>
          <cell r="I934">
            <v>0</v>
          </cell>
          <cell r="J934">
            <v>2.5000000000000001E-2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</row>
        <row r="935">
          <cell r="A935" t="str">
            <v>DOM ESP SPMTE</v>
          </cell>
          <cell r="B935" t="str">
            <v>Business Talk</v>
          </cell>
          <cell r="C935" t="str">
            <v>Spain Mobile Telefonica</v>
          </cell>
          <cell r="D935" t="str">
            <v>Off-net domestic</v>
          </cell>
          <cell r="E935" t="str">
            <v>minute</v>
          </cell>
          <cell r="F935">
            <v>1</v>
          </cell>
          <cell r="G935">
            <v>1</v>
          </cell>
          <cell r="H935">
            <v>0</v>
          </cell>
          <cell r="I935">
            <v>0</v>
          </cell>
          <cell r="J935">
            <v>2.5000000000000001E-2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6">
          <cell r="A936" t="str">
            <v>DOM ESP SPMVO</v>
          </cell>
          <cell r="B936" t="str">
            <v>Business Talk</v>
          </cell>
          <cell r="C936" t="str">
            <v>Spain Mobile Vodafone</v>
          </cell>
          <cell r="D936" t="str">
            <v>Off-net domestic</v>
          </cell>
          <cell r="E936" t="str">
            <v>minute</v>
          </cell>
          <cell r="F936">
            <v>1</v>
          </cell>
          <cell r="G936">
            <v>1</v>
          </cell>
          <cell r="H936">
            <v>0</v>
          </cell>
          <cell r="I936">
            <v>0</v>
          </cell>
          <cell r="J936">
            <v>2.5000000000000001E-2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A937" t="str">
            <v>DOM ESP SPADM</v>
          </cell>
          <cell r="B937" t="str">
            <v>Business Talk</v>
          </cell>
          <cell r="C937" t="str">
            <v>Spain Administration Services</v>
          </cell>
          <cell r="D937" t="str">
            <v>Off-net domestic</v>
          </cell>
          <cell r="E937" t="str">
            <v>minute &amp; call</v>
          </cell>
          <cell r="F937">
            <v>1</v>
          </cell>
          <cell r="G937">
            <v>1</v>
          </cell>
          <cell r="H937">
            <v>0</v>
          </cell>
          <cell r="I937">
            <v>0</v>
          </cell>
          <cell r="J937">
            <v>0.08</v>
          </cell>
          <cell r="K937">
            <v>0</v>
          </cell>
          <cell r="L937">
            <v>0.12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8">
          <cell r="A938" t="str">
            <v>DOM ESP SPDIA</v>
          </cell>
          <cell r="B938" t="str">
            <v>Business Talk</v>
          </cell>
          <cell r="C938" t="str">
            <v>Spain Dial Up Internet Access</v>
          </cell>
          <cell r="D938" t="str">
            <v>Off-net domestic</v>
          </cell>
          <cell r="E938" t="str">
            <v>minute</v>
          </cell>
          <cell r="F938">
            <v>1</v>
          </cell>
          <cell r="G938">
            <v>1</v>
          </cell>
          <cell r="H938">
            <v>0</v>
          </cell>
          <cell r="I938">
            <v>0</v>
          </cell>
          <cell r="J938">
            <v>1.1599999999999999E-2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</row>
        <row r="939">
          <cell r="A939" t="str">
            <v>DOM ESP SPDIR</v>
          </cell>
          <cell r="B939" t="str">
            <v>Business Talk</v>
          </cell>
          <cell r="C939" t="str">
            <v>Spain Directory Enquiry</v>
          </cell>
          <cell r="D939" t="str">
            <v>Off-net domestic</v>
          </cell>
          <cell r="E939" t="str">
            <v>minute</v>
          </cell>
          <cell r="F939">
            <v>1</v>
          </cell>
          <cell r="G939">
            <v>1</v>
          </cell>
          <cell r="H939">
            <v>0</v>
          </cell>
          <cell r="I939">
            <v>0</v>
          </cell>
          <cell r="J939">
            <v>0.8367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</row>
        <row r="940">
          <cell r="A940" t="str">
            <v>DOM ESP SPSOS</v>
          </cell>
          <cell r="B940" t="str">
            <v>Business Talk</v>
          </cell>
          <cell r="C940" t="str">
            <v>Spain Emergency Numbers</v>
          </cell>
          <cell r="D940" t="str">
            <v>Off-net domestic</v>
          </cell>
          <cell r="E940" t="str">
            <v>minute</v>
          </cell>
          <cell r="F940">
            <v>1</v>
          </cell>
          <cell r="G940">
            <v>1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A941" t="str">
            <v>DOM ESP SPEUH</v>
          </cell>
          <cell r="B941" t="str">
            <v>Business Talk</v>
          </cell>
          <cell r="C941" t="str">
            <v>Spain Eu Harmonised Number</v>
          </cell>
          <cell r="D941" t="str">
            <v>Off-net domestic</v>
          </cell>
          <cell r="E941" t="str">
            <v>minute</v>
          </cell>
          <cell r="F941">
            <v>1</v>
          </cell>
          <cell r="G941">
            <v>1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</row>
        <row r="942">
          <cell r="A942" t="str">
            <v>DOM ESP SPPNS</v>
          </cell>
          <cell r="B942" t="str">
            <v>Business Talk</v>
          </cell>
          <cell r="C942" t="str">
            <v>Spain Non Geo Nomadic Services</v>
          </cell>
          <cell r="D942" t="str">
            <v>Off-net domestic</v>
          </cell>
          <cell r="E942" t="str">
            <v>minute</v>
          </cell>
          <cell r="F942">
            <v>1</v>
          </cell>
          <cell r="G942">
            <v>1</v>
          </cell>
          <cell r="H942">
            <v>0</v>
          </cell>
          <cell r="I942">
            <v>0</v>
          </cell>
          <cell r="J942">
            <v>0.03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A943" t="str">
            <v>DOM ESP SPOPE</v>
          </cell>
          <cell r="B943" t="str">
            <v>Business Talk</v>
          </cell>
          <cell r="C943" t="str">
            <v>Spain Operator Services</v>
          </cell>
          <cell r="D943" t="str">
            <v>Off-net domestic</v>
          </cell>
          <cell r="E943" t="str">
            <v>minute</v>
          </cell>
          <cell r="F943">
            <v>1</v>
          </cell>
          <cell r="G943">
            <v>1</v>
          </cell>
          <cell r="H943">
            <v>0</v>
          </cell>
          <cell r="I943">
            <v>0</v>
          </cell>
          <cell r="J943">
            <v>1.2699999999999999E-2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A944" t="str">
            <v>DOM ESP SPPRS</v>
          </cell>
          <cell r="B944" t="str">
            <v>Business Talk</v>
          </cell>
          <cell r="C944" t="str">
            <v>Spain Personal Numbers</v>
          </cell>
          <cell r="D944" t="str">
            <v>Off-net domestic</v>
          </cell>
          <cell r="E944" t="str">
            <v>minute &amp; call</v>
          </cell>
          <cell r="F944">
            <v>1</v>
          </cell>
          <cell r="G944">
            <v>1</v>
          </cell>
          <cell r="H944">
            <v>0</v>
          </cell>
          <cell r="I944">
            <v>0</v>
          </cell>
          <cell r="J944">
            <v>4.4200000000000003E-2</v>
          </cell>
          <cell r="K944">
            <v>0</v>
          </cell>
          <cell r="L944">
            <v>8.3299999999999999E-2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A945" t="str">
            <v>DOM ESP SPP01</v>
          </cell>
          <cell r="B945" t="str">
            <v>Business Talk</v>
          </cell>
          <cell r="C945" t="str">
            <v>Spain Premium Serv Band01</v>
          </cell>
          <cell r="D945" t="str">
            <v>Off-net domestic</v>
          </cell>
          <cell r="E945" t="str">
            <v>minute &amp; call</v>
          </cell>
          <cell r="F945">
            <v>1</v>
          </cell>
          <cell r="G945">
            <v>1</v>
          </cell>
          <cell r="H945">
            <v>0</v>
          </cell>
          <cell r="I945">
            <v>0</v>
          </cell>
          <cell r="J945">
            <v>0.02</v>
          </cell>
          <cell r="K945">
            <v>0</v>
          </cell>
          <cell r="L945">
            <v>0.05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A946" t="str">
            <v>DOM ESP SPP02</v>
          </cell>
          <cell r="B946" t="str">
            <v>Business Talk</v>
          </cell>
          <cell r="C946" t="str">
            <v>Spain Premium Serv Band02</v>
          </cell>
          <cell r="D946" t="str">
            <v>Off-net domestic</v>
          </cell>
          <cell r="E946" t="str">
            <v>minute &amp; call</v>
          </cell>
          <cell r="F946">
            <v>1</v>
          </cell>
          <cell r="G946">
            <v>1</v>
          </cell>
          <cell r="H946">
            <v>0</v>
          </cell>
          <cell r="I946">
            <v>0</v>
          </cell>
          <cell r="J946">
            <v>3.5999999999999997E-2</v>
          </cell>
          <cell r="K946">
            <v>0</v>
          </cell>
          <cell r="L946">
            <v>0.05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A947" t="str">
            <v>DOM ESP SPP03</v>
          </cell>
          <cell r="B947" t="str">
            <v>Business Talk</v>
          </cell>
          <cell r="C947" t="str">
            <v>Spain Premium Serv Band03</v>
          </cell>
          <cell r="D947" t="str">
            <v>Off-net domestic</v>
          </cell>
          <cell r="E947" t="str">
            <v>minute &amp; call</v>
          </cell>
          <cell r="F947">
            <v>1</v>
          </cell>
          <cell r="G947">
            <v>1</v>
          </cell>
          <cell r="H947">
            <v>0</v>
          </cell>
          <cell r="I947">
            <v>0</v>
          </cell>
          <cell r="J947">
            <v>0.33500000000000002</v>
          </cell>
          <cell r="K947">
            <v>0</v>
          </cell>
          <cell r="L947">
            <v>9.0200000000000002E-2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</row>
        <row r="948">
          <cell r="A948" t="str">
            <v>DOM ESP SPP04</v>
          </cell>
          <cell r="B948" t="str">
            <v>Business Talk</v>
          </cell>
          <cell r="C948" t="str">
            <v>Spain Premium Serv Band04</v>
          </cell>
          <cell r="D948" t="str">
            <v>Off-net domestic</v>
          </cell>
          <cell r="E948" t="str">
            <v>minute &amp; call</v>
          </cell>
          <cell r="F948">
            <v>1</v>
          </cell>
          <cell r="G948">
            <v>1</v>
          </cell>
          <cell r="H948">
            <v>0</v>
          </cell>
          <cell r="I948">
            <v>0</v>
          </cell>
          <cell r="J948">
            <v>0.73699999999999999</v>
          </cell>
          <cell r="K948">
            <v>0</v>
          </cell>
          <cell r="L948">
            <v>9.0200000000000002E-2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</row>
        <row r="949">
          <cell r="A949" t="str">
            <v>DOM ESP SPP05</v>
          </cell>
          <cell r="B949" t="str">
            <v>Business Talk</v>
          </cell>
          <cell r="C949" t="str">
            <v>Spain Premium Serv Band05</v>
          </cell>
          <cell r="D949" t="str">
            <v>Off-net domestic</v>
          </cell>
          <cell r="E949" t="str">
            <v>minute &amp; call</v>
          </cell>
          <cell r="F949">
            <v>1</v>
          </cell>
          <cell r="G949">
            <v>1</v>
          </cell>
          <cell r="H949">
            <v>0</v>
          </cell>
          <cell r="I949">
            <v>0</v>
          </cell>
          <cell r="J949">
            <v>0.98699999999999999</v>
          </cell>
          <cell r="K949">
            <v>0</v>
          </cell>
          <cell r="L949">
            <v>9.0200000000000002E-2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</row>
        <row r="950">
          <cell r="A950" t="str">
            <v>DOM ESP SPP06</v>
          </cell>
          <cell r="B950" t="str">
            <v>Business Talk</v>
          </cell>
          <cell r="C950" t="str">
            <v>Spain Premium Serv Band06</v>
          </cell>
          <cell r="D950" t="str">
            <v>Off-net domestic</v>
          </cell>
          <cell r="E950" t="str">
            <v>minute &amp; call</v>
          </cell>
          <cell r="F950">
            <v>1</v>
          </cell>
          <cell r="G950">
            <v>1</v>
          </cell>
          <cell r="H950">
            <v>0</v>
          </cell>
          <cell r="I950">
            <v>0</v>
          </cell>
          <cell r="J950">
            <v>1.29</v>
          </cell>
          <cell r="K950">
            <v>0</v>
          </cell>
          <cell r="L950">
            <v>9.0200000000000002E-2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</row>
        <row r="951">
          <cell r="A951" t="str">
            <v>DOM ESP SPP07</v>
          </cell>
          <cell r="B951" t="str">
            <v>Business Talk</v>
          </cell>
          <cell r="C951" t="str">
            <v>Spain Premium Serv Band07</v>
          </cell>
          <cell r="D951" t="str">
            <v>Off-net domestic</v>
          </cell>
          <cell r="E951" t="str">
            <v>minute &amp; call</v>
          </cell>
          <cell r="F951">
            <v>1</v>
          </cell>
          <cell r="G951">
            <v>1</v>
          </cell>
          <cell r="H951">
            <v>0</v>
          </cell>
          <cell r="I951">
            <v>0</v>
          </cell>
          <cell r="J951">
            <v>2.1899000000000002</v>
          </cell>
          <cell r="K951">
            <v>0</v>
          </cell>
          <cell r="L951">
            <v>9.0200000000000002E-2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</row>
        <row r="952">
          <cell r="A952" t="str">
            <v>DOM ESP SPP08</v>
          </cell>
          <cell r="B952" t="str">
            <v>Business Talk</v>
          </cell>
          <cell r="C952" t="str">
            <v>Spain Premium Serv Band08</v>
          </cell>
          <cell r="D952" t="str">
            <v>Off-net domestic</v>
          </cell>
          <cell r="E952" t="str">
            <v>minute &amp; call</v>
          </cell>
          <cell r="F952">
            <v>1</v>
          </cell>
          <cell r="G952">
            <v>1</v>
          </cell>
          <cell r="H952">
            <v>0</v>
          </cell>
          <cell r="I952">
            <v>0</v>
          </cell>
          <cell r="J952">
            <v>3.39</v>
          </cell>
          <cell r="K952">
            <v>0</v>
          </cell>
          <cell r="L952">
            <v>9.0200000000000002E-2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</row>
        <row r="953">
          <cell r="A953" t="str">
            <v>DOM ESP SPP09</v>
          </cell>
          <cell r="B953" t="str">
            <v>Business Talk</v>
          </cell>
          <cell r="C953" t="str">
            <v>Spain Premium Serv Band09</v>
          </cell>
          <cell r="D953" t="str">
            <v>Off-net domestic</v>
          </cell>
          <cell r="E953" t="str">
            <v>minute &amp; call</v>
          </cell>
          <cell r="F953">
            <v>1</v>
          </cell>
          <cell r="G953">
            <v>1</v>
          </cell>
          <cell r="H953">
            <v>0</v>
          </cell>
          <cell r="I953">
            <v>0</v>
          </cell>
          <cell r="J953">
            <v>2.3E-2</v>
          </cell>
          <cell r="K953">
            <v>0</v>
          </cell>
          <cell r="L953">
            <v>0.1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</row>
        <row r="954">
          <cell r="A954" t="str">
            <v>DOM ESP SPP10</v>
          </cell>
          <cell r="B954" t="str">
            <v>Business Talk</v>
          </cell>
          <cell r="C954" t="str">
            <v>Spain Premium Serv Band10</v>
          </cell>
          <cell r="D954" t="str">
            <v>Off-net domestic</v>
          </cell>
          <cell r="E954" t="str">
            <v>minute &amp; call</v>
          </cell>
          <cell r="F954">
            <v>1</v>
          </cell>
          <cell r="G954">
            <v>1</v>
          </cell>
          <cell r="H954">
            <v>0</v>
          </cell>
          <cell r="I954">
            <v>0</v>
          </cell>
          <cell r="J954">
            <v>7.1999999999999995E-2</v>
          </cell>
          <cell r="K954">
            <v>0</v>
          </cell>
          <cell r="L954">
            <v>0.1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</row>
        <row r="955">
          <cell r="A955" t="str">
            <v>DOM ESP SPP11</v>
          </cell>
          <cell r="B955" t="str">
            <v>Business Talk</v>
          </cell>
          <cell r="C955" t="str">
            <v>Spain Premium Serv Band11</v>
          </cell>
          <cell r="D955" t="str">
            <v>Off-net domestic</v>
          </cell>
          <cell r="E955" t="str">
            <v>call</v>
          </cell>
          <cell r="F955">
            <v>1</v>
          </cell>
          <cell r="G955">
            <v>1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0.3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</row>
        <row r="956">
          <cell r="A956" t="str">
            <v>DOM ESP SPP12</v>
          </cell>
          <cell r="B956" t="str">
            <v>Business Talk</v>
          </cell>
          <cell r="C956" t="str">
            <v>Spain Premium Serv Band12</v>
          </cell>
          <cell r="D956" t="str">
            <v>Off-net domestic</v>
          </cell>
          <cell r="E956" t="str">
            <v>call</v>
          </cell>
          <cell r="F956">
            <v>1</v>
          </cell>
          <cell r="G956">
            <v>1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0.5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</row>
        <row r="957">
          <cell r="A957" t="str">
            <v>DOM ESP SPP13</v>
          </cell>
          <cell r="B957" t="str">
            <v>Business Talk</v>
          </cell>
          <cell r="C957" t="str">
            <v>Spain Premium Serv Band13</v>
          </cell>
          <cell r="D957" t="str">
            <v>Off-net domestic</v>
          </cell>
          <cell r="E957" t="str">
            <v>call</v>
          </cell>
          <cell r="F957">
            <v>1</v>
          </cell>
          <cell r="G957">
            <v>1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1.2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A958" t="str">
            <v>DOM ESP SPFRE</v>
          </cell>
          <cell r="B958" t="str">
            <v>Business Talk</v>
          </cell>
          <cell r="C958" t="str">
            <v>Spain Toll Free</v>
          </cell>
          <cell r="D958" t="str">
            <v>Off-net domestic</v>
          </cell>
          <cell r="E958" t="str">
            <v>minute</v>
          </cell>
          <cell r="F958">
            <v>1</v>
          </cell>
          <cell r="G958">
            <v>1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</row>
        <row r="959">
          <cell r="A959" t="str">
            <v>DOM ESP SPVPN</v>
          </cell>
          <cell r="B959" t="str">
            <v>Business Talk</v>
          </cell>
          <cell r="C959" t="str">
            <v>Spain Virtual Private Networks</v>
          </cell>
          <cell r="D959" t="str">
            <v>Off-net domestic</v>
          </cell>
          <cell r="E959" t="str">
            <v>minute</v>
          </cell>
          <cell r="F959">
            <v>1</v>
          </cell>
          <cell r="G959">
            <v>1</v>
          </cell>
          <cell r="H959">
            <v>0</v>
          </cell>
          <cell r="I959">
            <v>0</v>
          </cell>
          <cell r="J959">
            <v>1.2E-2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</row>
        <row r="960">
          <cell r="A960" t="str">
            <v>DOM SPM MOB</v>
          </cell>
          <cell r="B960" t="str">
            <v>Business Talk</v>
          </cell>
          <cell r="C960" t="str">
            <v>St Pierre &amp; Miquelon Mobile</v>
          </cell>
          <cell r="D960" t="str">
            <v>Off-net domestic</v>
          </cell>
          <cell r="E960" t="str">
            <v>minute</v>
          </cell>
          <cell r="F960">
            <v>1</v>
          </cell>
          <cell r="G960">
            <v>1</v>
          </cell>
          <cell r="H960">
            <v>0</v>
          </cell>
          <cell r="I960">
            <v>0</v>
          </cell>
          <cell r="J960">
            <v>0.46129999999999999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</row>
        <row r="961">
          <cell r="A961" t="str">
            <v>DOM SPM FIX</v>
          </cell>
          <cell r="B961" t="str">
            <v>Business Talk</v>
          </cell>
          <cell r="C961" t="str">
            <v>St Pierre &amp; Miquelon</v>
          </cell>
          <cell r="D961" t="str">
            <v>Off-net domestic</v>
          </cell>
          <cell r="E961" t="str">
            <v>minute</v>
          </cell>
          <cell r="F961">
            <v>1</v>
          </cell>
          <cell r="G961">
            <v>1</v>
          </cell>
          <cell r="H961">
            <v>0</v>
          </cell>
          <cell r="I961">
            <v>0</v>
          </cell>
          <cell r="J961">
            <v>0.2167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</row>
        <row r="962">
          <cell r="A962" t="str">
            <v>DOM SWE AREA1</v>
          </cell>
          <cell r="B962" t="str">
            <v>Business Talk</v>
          </cell>
          <cell r="C962" t="str">
            <v>Sweden National</v>
          </cell>
          <cell r="D962" t="str">
            <v>Off-net domestic</v>
          </cell>
          <cell r="E962" t="str">
            <v>minute</v>
          </cell>
          <cell r="F962">
            <v>1</v>
          </cell>
          <cell r="G962">
            <v>1</v>
          </cell>
          <cell r="H962">
            <v>0</v>
          </cell>
          <cell r="I962">
            <v>0</v>
          </cell>
          <cell r="J962">
            <v>9.1000000000000004E-3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</row>
        <row r="963">
          <cell r="A963" t="str">
            <v>DOM SWE SWMO</v>
          </cell>
          <cell r="B963" t="str">
            <v>Business Talk</v>
          </cell>
          <cell r="C963" t="str">
            <v>Sweden Mobile</v>
          </cell>
          <cell r="D963" t="str">
            <v>Off-net domestic</v>
          </cell>
          <cell r="E963" t="str">
            <v>minute</v>
          </cell>
          <cell r="F963">
            <v>1</v>
          </cell>
          <cell r="G963">
            <v>1</v>
          </cell>
          <cell r="H963">
            <v>0</v>
          </cell>
          <cell r="I963">
            <v>0</v>
          </cell>
          <cell r="J963">
            <v>2.3800000000000002E-2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</row>
        <row r="964">
          <cell r="A964" t="str">
            <v>DOM SWE SEMTE</v>
          </cell>
          <cell r="B964" t="str">
            <v>Business Talk</v>
          </cell>
          <cell r="C964" t="str">
            <v>Sweden Mobile Telia</v>
          </cell>
          <cell r="D964" t="str">
            <v>Off-net domestic</v>
          </cell>
          <cell r="E964" t="str">
            <v>minute</v>
          </cell>
          <cell r="F964">
            <v>1</v>
          </cell>
          <cell r="G964">
            <v>1</v>
          </cell>
          <cell r="H964">
            <v>0</v>
          </cell>
          <cell r="I964">
            <v>0</v>
          </cell>
          <cell r="J964">
            <v>1.54E-2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A965" t="str">
            <v>DOM SWE NRINF</v>
          </cell>
          <cell r="B965" t="str">
            <v>Business Talk</v>
          </cell>
          <cell r="C965" t="str">
            <v>Sweden Directory Band 1</v>
          </cell>
          <cell r="D965" t="str">
            <v>Off-net domestic</v>
          </cell>
          <cell r="E965" t="str">
            <v>minute</v>
          </cell>
          <cell r="F965">
            <v>1</v>
          </cell>
          <cell r="G965">
            <v>1</v>
          </cell>
          <cell r="H965">
            <v>0</v>
          </cell>
          <cell r="I965">
            <v>0</v>
          </cell>
          <cell r="J965">
            <v>5.16E-2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</row>
        <row r="966">
          <cell r="A966" t="str">
            <v>DOM SWE NRIN2</v>
          </cell>
          <cell r="B966" t="str">
            <v>Business Talk</v>
          </cell>
          <cell r="C966" t="str">
            <v>Sweden Directory Band 2</v>
          </cell>
          <cell r="D966" t="str">
            <v>Off-net domestic</v>
          </cell>
          <cell r="E966" t="str">
            <v>minute</v>
          </cell>
          <cell r="F966">
            <v>1</v>
          </cell>
          <cell r="G966">
            <v>1</v>
          </cell>
          <cell r="H966">
            <v>0</v>
          </cell>
          <cell r="I966">
            <v>0</v>
          </cell>
          <cell r="J966">
            <v>1.8939999999999999</v>
          </cell>
          <cell r="K966">
            <v>0</v>
          </cell>
          <cell r="L966">
            <v>2.5537000000000001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A967" t="str">
            <v>DOM SWE NRIN3</v>
          </cell>
          <cell r="B967" t="str">
            <v>Business Talk</v>
          </cell>
          <cell r="C967" t="str">
            <v>Sweden Directory Band 3</v>
          </cell>
          <cell r="D967" t="str">
            <v>Off-net domestic</v>
          </cell>
          <cell r="E967" t="str">
            <v>minute</v>
          </cell>
          <cell r="F967">
            <v>1</v>
          </cell>
          <cell r="G967">
            <v>1</v>
          </cell>
          <cell r="H967">
            <v>0</v>
          </cell>
          <cell r="I967">
            <v>0</v>
          </cell>
          <cell r="J967">
            <v>2.6301000000000001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</row>
        <row r="968">
          <cell r="A968" t="str">
            <v>DOM SWE SOS</v>
          </cell>
          <cell r="B968" t="str">
            <v>Business Talk</v>
          </cell>
          <cell r="C968" t="str">
            <v>Sweden Emergency</v>
          </cell>
          <cell r="D968" t="str">
            <v>Off-net domestic</v>
          </cell>
          <cell r="E968" t="str">
            <v>minute</v>
          </cell>
          <cell r="F968">
            <v>1</v>
          </cell>
          <cell r="G968">
            <v>1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A969" t="str">
            <v>DOM SWE SWEUS</v>
          </cell>
          <cell r="B969" t="str">
            <v>Business Talk</v>
          </cell>
          <cell r="C969" t="str">
            <v>Sweden Eu Harmonized Helpline</v>
          </cell>
          <cell r="D969" t="str">
            <v>Off-net domestic</v>
          </cell>
          <cell r="E969" t="str">
            <v>minute</v>
          </cell>
          <cell r="F969">
            <v>1</v>
          </cell>
          <cell r="G969">
            <v>1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</row>
        <row r="970">
          <cell r="A970" t="str">
            <v>DOM SWE SWNM</v>
          </cell>
          <cell r="B970" t="str">
            <v>Business Talk</v>
          </cell>
          <cell r="C970" t="str">
            <v>Sweden Nomadic</v>
          </cell>
          <cell r="D970" t="str">
            <v>Off-net domestic</v>
          </cell>
          <cell r="E970" t="str">
            <v>minute</v>
          </cell>
          <cell r="F970">
            <v>1</v>
          </cell>
          <cell r="G970">
            <v>1</v>
          </cell>
          <cell r="H970">
            <v>0</v>
          </cell>
          <cell r="I970">
            <v>0</v>
          </cell>
          <cell r="J970">
            <v>0.01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</row>
        <row r="971">
          <cell r="A971" t="str">
            <v>DOM SWE PAGER</v>
          </cell>
          <cell r="B971" t="str">
            <v>Business Talk</v>
          </cell>
          <cell r="C971" t="str">
            <v>Sweden Paging Band 1</v>
          </cell>
          <cell r="D971" t="str">
            <v>Off-net domestic</v>
          </cell>
          <cell r="E971" t="str">
            <v>call</v>
          </cell>
          <cell r="F971">
            <v>1</v>
          </cell>
          <cell r="G971">
            <v>1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0.45650000000000002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A972" t="str">
            <v>DOM SWE PAGR2</v>
          </cell>
          <cell r="B972" t="str">
            <v>Business Talk</v>
          </cell>
          <cell r="C972" t="str">
            <v>Sweden Paging Band 2</v>
          </cell>
          <cell r="D972" t="str">
            <v>Off-net domestic</v>
          </cell>
          <cell r="E972" t="str">
            <v>minute</v>
          </cell>
          <cell r="F972">
            <v>1</v>
          </cell>
          <cell r="G972">
            <v>1</v>
          </cell>
          <cell r="H972">
            <v>0</v>
          </cell>
          <cell r="I972">
            <v>0</v>
          </cell>
          <cell r="J972">
            <v>0.54300000000000004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</row>
        <row r="973">
          <cell r="A973" t="str">
            <v>DOM SWE PAGR3</v>
          </cell>
          <cell r="B973" t="str">
            <v>Business Talk</v>
          </cell>
          <cell r="C973" t="str">
            <v>Sweden Paging Band 3</v>
          </cell>
          <cell r="D973" t="str">
            <v>Off-net domestic</v>
          </cell>
          <cell r="E973" t="str">
            <v>minute</v>
          </cell>
          <cell r="F973">
            <v>1</v>
          </cell>
          <cell r="G973">
            <v>1</v>
          </cell>
          <cell r="H973">
            <v>0</v>
          </cell>
          <cell r="I973">
            <v>0</v>
          </cell>
          <cell r="J973">
            <v>1.5528999999999999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A974" t="str">
            <v>DOM SWE SWPSN</v>
          </cell>
          <cell r="B974" t="str">
            <v>Business Talk</v>
          </cell>
          <cell r="C974" t="str">
            <v>Sweden Personal</v>
          </cell>
          <cell r="D974" t="str">
            <v>Off-net domestic</v>
          </cell>
          <cell r="E974" t="str">
            <v>minute</v>
          </cell>
          <cell r="F974">
            <v>1</v>
          </cell>
          <cell r="G974">
            <v>1</v>
          </cell>
          <cell r="H974">
            <v>0</v>
          </cell>
          <cell r="I974">
            <v>0</v>
          </cell>
          <cell r="J974">
            <v>1.67E-2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</row>
        <row r="975">
          <cell r="A975" t="str">
            <v>DOM SWE SWPRM</v>
          </cell>
          <cell r="B975" t="str">
            <v>Business Talk</v>
          </cell>
          <cell r="C975" t="str">
            <v>Sweden Premium Rate</v>
          </cell>
          <cell r="D975" t="str">
            <v>Off-net domestic</v>
          </cell>
          <cell r="E975" t="str">
            <v>minute</v>
          </cell>
          <cell r="F975">
            <v>1</v>
          </cell>
          <cell r="G975">
            <v>1</v>
          </cell>
          <cell r="H975">
            <v>0</v>
          </cell>
          <cell r="I975">
            <v>0</v>
          </cell>
          <cell r="J975">
            <v>38.716200000000001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</row>
        <row r="976">
          <cell r="A976" t="str">
            <v>DOM SWE SCN</v>
          </cell>
          <cell r="B976" t="str">
            <v>Business Talk</v>
          </cell>
          <cell r="C976" t="str">
            <v>Sweden Shared Cost</v>
          </cell>
          <cell r="D976" t="str">
            <v>Off-net domestic</v>
          </cell>
          <cell r="E976" t="str">
            <v>minute</v>
          </cell>
          <cell r="F976">
            <v>1</v>
          </cell>
          <cell r="G976">
            <v>1</v>
          </cell>
          <cell r="H976">
            <v>0</v>
          </cell>
          <cell r="I976">
            <v>0</v>
          </cell>
          <cell r="J976">
            <v>3.3300000000000003E-2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</row>
        <row r="977">
          <cell r="A977" t="str">
            <v>DOM SWE SWTLM</v>
          </cell>
          <cell r="B977" t="str">
            <v>Business Talk</v>
          </cell>
          <cell r="C977" t="str">
            <v>Sweden Telematic Services</v>
          </cell>
          <cell r="D977" t="str">
            <v>Off-net domestic</v>
          </cell>
          <cell r="E977" t="str">
            <v>minute</v>
          </cell>
          <cell r="F977">
            <v>1</v>
          </cell>
          <cell r="G977">
            <v>1</v>
          </cell>
          <cell r="H977">
            <v>0</v>
          </cell>
          <cell r="I977">
            <v>0</v>
          </cell>
          <cell r="J977">
            <v>7.6100000000000001E-2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</row>
        <row r="978">
          <cell r="A978" t="str">
            <v>DOM SWE FREE</v>
          </cell>
          <cell r="B978" t="str">
            <v>Business Talk</v>
          </cell>
          <cell r="C978" t="str">
            <v>Sweden Toll Free</v>
          </cell>
          <cell r="D978" t="str">
            <v>Off-net domestic</v>
          </cell>
          <cell r="E978" t="str">
            <v>minute</v>
          </cell>
          <cell r="F978">
            <v>1</v>
          </cell>
          <cell r="G978">
            <v>1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</row>
        <row r="979">
          <cell r="A979" t="str">
            <v>DOM CHE ZCHEN</v>
          </cell>
          <cell r="B979" t="str">
            <v>Business Talk</v>
          </cell>
          <cell r="C979" t="str">
            <v>Switzerland National</v>
          </cell>
          <cell r="D979" t="str">
            <v>Off-net domestic</v>
          </cell>
          <cell r="E979" t="str">
            <v>minute</v>
          </cell>
          <cell r="F979">
            <v>1</v>
          </cell>
          <cell r="G979">
            <v>1</v>
          </cell>
          <cell r="H979">
            <v>0</v>
          </cell>
          <cell r="I979">
            <v>0</v>
          </cell>
          <cell r="J979">
            <v>1.7299999999999999E-2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</row>
        <row r="980">
          <cell r="A980" t="str">
            <v>DOM CHE ZCHE2</v>
          </cell>
          <cell r="B980" t="str">
            <v>Business Talk</v>
          </cell>
          <cell r="C980" t="str">
            <v>Switzerland Mobile In&amp;Phone</v>
          </cell>
          <cell r="D980" t="str">
            <v>Off-net domestic</v>
          </cell>
          <cell r="E980" t="str">
            <v>minute</v>
          </cell>
          <cell r="F980">
            <v>1</v>
          </cell>
          <cell r="G980">
            <v>1</v>
          </cell>
          <cell r="H980">
            <v>0</v>
          </cell>
          <cell r="I980">
            <v>0</v>
          </cell>
          <cell r="J980">
            <v>0.252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</row>
        <row r="981">
          <cell r="A981" t="str">
            <v>DOM CHE ZCH32</v>
          </cell>
          <cell r="B981" t="str">
            <v>Business Talk</v>
          </cell>
          <cell r="C981" t="str">
            <v>Switzerland Mobile Orange</v>
          </cell>
          <cell r="D981" t="str">
            <v>Off-net domestic</v>
          </cell>
          <cell r="E981" t="str">
            <v>minute</v>
          </cell>
          <cell r="F981">
            <v>1</v>
          </cell>
          <cell r="G981">
            <v>1</v>
          </cell>
          <cell r="H981">
            <v>0</v>
          </cell>
          <cell r="I981">
            <v>0</v>
          </cell>
          <cell r="J981">
            <v>0.13650000000000001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</row>
        <row r="982">
          <cell r="A982" t="str">
            <v>DOM CHE ZCHM5</v>
          </cell>
          <cell r="B982" t="str">
            <v>Business Talk</v>
          </cell>
          <cell r="C982" t="str">
            <v>Switzerland Mobile Others</v>
          </cell>
          <cell r="D982" t="str">
            <v>Off-net domestic</v>
          </cell>
          <cell r="E982" t="str">
            <v>minute</v>
          </cell>
          <cell r="F982">
            <v>1</v>
          </cell>
          <cell r="G982">
            <v>1</v>
          </cell>
          <cell r="H982">
            <v>0</v>
          </cell>
          <cell r="I982">
            <v>0</v>
          </cell>
          <cell r="J982">
            <v>0.252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</row>
        <row r="983">
          <cell r="A983" t="str">
            <v>DOM CHE ZCH33</v>
          </cell>
          <cell r="B983" t="str">
            <v>Business Talk</v>
          </cell>
          <cell r="C983" t="str">
            <v>Switzerland Mobile Sunrise</v>
          </cell>
          <cell r="D983" t="str">
            <v>Off-net domestic</v>
          </cell>
          <cell r="E983" t="str">
            <v>minute</v>
          </cell>
          <cell r="F983">
            <v>1</v>
          </cell>
          <cell r="G983">
            <v>1</v>
          </cell>
          <cell r="H983">
            <v>0</v>
          </cell>
          <cell r="I983">
            <v>0</v>
          </cell>
          <cell r="J983">
            <v>0.1419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</row>
        <row r="984">
          <cell r="A984" t="str">
            <v>DOM CHE ZCH24</v>
          </cell>
          <cell r="B984" t="str">
            <v>Business Talk</v>
          </cell>
          <cell r="C984" t="str">
            <v>Switzerland Mobile Swisscom</v>
          </cell>
          <cell r="D984" t="str">
            <v>Off-net domestic</v>
          </cell>
          <cell r="E984" t="str">
            <v>minute</v>
          </cell>
          <cell r="F984">
            <v>1</v>
          </cell>
          <cell r="G984">
            <v>1</v>
          </cell>
          <cell r="H984">
            <v>0</v>
          </cell>
          <cell r="I984">
            <v>0</v>
          </cell>
          <cell r="J984">
            <v>0.11509999999999999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</row>
        <row r="985">
          <cell r="A985" t="str">
            <v>DOM CHE ZCH29</v>
          </cell>
          <cell r="B985" t="str">
            <v>Business Talk</v>
          </cell>
          <cell r="C985" t="str">
            <v>Switzerland Assistance &amp; Emerg</v>
          </cell>
          <cell r="D985" t="str">
            <v>Off-net domestic</v>
          </cell>
          <cell r="E985" t="str">
            <v>call</v>
          </cell>
          <cell r="F985">
            <v>1</v>
          </cell>
          <cell r="G985">
            <v>1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</row>
        <row r="986">
          <cell r="A986" t="str">
            <v>DOM CHE ZCH30</v>
          </cell>
          <cell r="B986" t="str">
            <v>Business Talk</v>
          </cell>
          <cell r="C986" t="str">
            <v>Switzerland Avalanche Bulletin</v>
          </cell>
          <cell r="D986" t="str">
            <v>Off-net domestic</v>
          </cell>
          <cell r="E986" t="str">
            <v>minute &amp; call</v>
          </cell>
          <cell r="F986">
            <v>1</v>
          </cell>
          <cell r="G986">
            <v>1</v>
          </cell>
          <cell r="H986">
            <v>0</v>
          </cell>
          <cell r="I986">
            <v>0</v>
          </cell>
          <cell r="J986">
            <v>0.68300000000000005</v>
          </cell>
          <cell r="K986">
            <v>0</v>
          </cell>
          <cell r="L986">
            <v>0.68300000000000005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</row>
        <row r="987">
          <cell r="A987" t="str">
            <v>DOM CHE ZCHCA</v>
          </cell>
          <cell r="B987" t="str">
            <v>Business Talk</v>
          </cell>
          <cell r="C987" t="str">
            <v>Switzerland Car Assistance</v>
          </cell>
          <cell r="D987" t="str">
            <v>Off-net domestic</v>
          </cell>
          <cell r="E987" t="str">
            <v>minute</v>
          </cell>
          <cell r="F987">
            <v>1</v>
          </cell>
          <cell r="G987">
            <v>1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</row>
        <row r="988">
          <cell r="A988" t="str">
            <v>DOM CHE ZCHE0</v>
          </cell>
          <cell r="B988" t="str">
            <v>Business Talk</v>
          </cell>
          <cell r="C988" t="str">
            <v>Switzerland Corporate</v>
          </cell>
          <cell r="D988" t="str">
            <v>Off-net domestic</v>
          </cell>
          <cell r="E988" t="str">
            <v>minute</v>
          </cell>
          <cell r="F988">
            <v>1</v>
          </cell>
          <cell r="G988">
            <v>1</v>
          </cell>
          <cell r="H988">
            <v>0</v>
          </cell>
          <cell r="I988">
            <v>0</v>
          </cell>
          <cell r="J988">
            <v>6.0699999999999997E-2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</row>
        <row r="989">
          <cell r="A989" t="str">
            <v>DOM CHE ZCHS7</v>
          </cell>
          <cell r="B989" t="str">
            <v>Business Talk</v>
          </cell>
          <cell r="C989" t="str">
            <v>Switzerland Directory</v>
          </cell>
          <cell r="D989" t="str">
            <v>Off-net domestic</v>
          </cell>
          <cell r="E989" t="str">
            <v>minute &amp; call</v>
          </cell>
          <cell r="F989">
            <v>1</v>
          </cell>
          <cell r="G989">
            <v>1</v>
          </cell>
          <cell r="H989">
            <v>0</v>
          </cell>
          <cell r="I989">
            <v>0</v>
          </cell>
          <cell r="J989">
            <v>5.0548000000000002</v>
          </cell>
          <cell r="K989">
            <v>0</v>
          </cell>
          <cell r="L989">
            <v>3.7947000000000002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</row>
        <row r="990">
          <cell r="A990" t="str">
            <v>DOM CHE ZCHS9</v>
          </cell>
          <cell r="B990" t="str">
            <v>Business Talk</v>
          </cell>
          <cell r="C990" t="str">
            <v>Switzerland Directory Tc 10774</v>
          </cell>
          <cell r="D990" t="str">
            <v>Off-net domestic</v>
          </cell>
          <cell r="E990" t="str">
            <v>minute &amp; call</v>
          </cell>
          <cell r="F990">
            <v>1</v>
          </cell>
          <cell r="G990">
            <v>1</v>
          </cell>
          <cell r="H990">
            <v>0</v>
          </cell>
          <cell r="I990">
            <v>0</v>
          </cell>
          <cell r="J990">
            <v>0.57369999999999999</v>
          </cell>
          <cell r="K990">
            <v>0</v>
          </cell>
          <cell r="L990">
            <v>1.393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A991" t="str">
            <v>DOM CHE ZCHS8</v>
          </cell>
          <cell r="B991" t="str">
            <v>Business Talk</v>
          </cell>
          <cell r="C991" t="str">
            <v>Switzerland Directory Tc 29998</v>
          </cell>
          <cell r="D991" t="str">
            <v>Off-net domestic</v>
          </cell>
          <cell r="E991" t="str">
            <v>minute &amp; call</v>
          </cell>
          <cell r="F991">
            <v>1</v>
          </cell>
          <cell r="G991">
            <v>1</v>
          </cell>
          <cell r="H991">
            <v>0</v>
          </cell>
          <cell r="I991">
            <v>0</v>
          </cell>
          <cell r="J991">
            <v>1.5569999999999999</v>
          </cell>
          <cell r="K991">
            <v>0</v>
          </cell>
          <cell r="L991">
            <v>1.5569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</row>
        <row r="992">
          <cell r="A992" t="str">
            <v>DOM CHE ZCHEU</v>
          </cell>
          <cell r="B992" t="str">
            <v>Business Talk</v>
          </cell>
          <cell r="C992" t="str">
            <v>Switzerland Eu Harmonized Help</v>
          </cell>
          <cell r="D992" t="str">
            <v>Off-net domestic</v>
          </cell>
          <cell r="E992" t="str">
            <v>minute</v>
          </cell>
          <cell r="F992">
            <v>1</v>
          </cell>
          <cell r="G992">
            <v>1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A993" t="str">
            <v>DOM CHE ZCH31</v>
          </cell>
          <cell r="B993" t="str">
            <v>Business Talk</v>
          </cell>
          <cell r="C993" t="str">
            <v>Switzerland Information</v>
          </cell>
          <cell r="D993" t="str">
            <v>Off-net domestic</v>
          </cell>
          <cell r="E993" t="str">
            <v>minute &amp; call</v>
          </cell>
          <cell r="F993">
            <v>1</v>
          </cell>
          <cell r="G993">
            <v>1</v>
          </cell>
          <cell r="H993">
            <v>0</v>
          </cell>
          <cell r="I993">
            <v>0</v>
          </cell>
          <cell r="J993">
            <v>0.68300000000000005</v>
          </cell>
          <cell r="K993">
            <v>0</v>
          </cell>
          <cell r="L993">
            <v>0.68300000000000005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</row>
        <row r="994">
          <cell r="A994" t="str">
            <v>DOM CHE ZCHPG</v>
          </cell>
          <cell r="B994" t="str">
            <v>Business Talk</v>
          </cell>
          <cell r="C994" t="str">
            <v>Switzerland Paging</v>
          </cell>
          <cell r="D994" t="str">
            <v>Off-net domestic</v>
          </cell>
          <cell r="E994" t="str">
            <v>call</v>
          </cell>
          <cell r="F994">
            <v>1</v>
          </cell>
          <cell r="G994">
            <v>1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0.61470000000000002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</row>
        <row r="995">
          <cell r="A995" t="str">
            <v>DOM CHE ZCH27</v>
          </cell>
          <cell r="B995" t="str">
            <v>Business Talk</v>
          </cell>
          <cell r="C995" t="str">
            <v>Switzerland Personal Services</v>
          </cell>
          <cell r="D995" t="str">
            <v>Off-net domestic</v>
          </cell>
          <cell r="E995" t="str">
            <v>minute</v>
          </cell>
          <cell r="F995">
            <v>1</v>
          </cell>
          <cell r="G995">
            <v>1</v>
          </cell>
          <cell r="H995">
            <v>0</v>
          </cell>
          <cell r="I995">
            <v>0</v>
          </cell>
          <cell r="J995">
            <v>6.1400000000000003E-2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</row>
        <row r="996">
          <cell r="A996" t="str">
            <v>DOM CHE ZCH28</v>
          </cell>
          <cell r="B996" t="str">
            <v>Business Talk</v>
          </cell>
          <cell r="C996" t="str">
            <v>Switzerland Premium Rate</v>
          </cell>
          <cell r="D996" t="str">
            <v>Off-net domestic</v>
          </cell>
          <cell r="E996" t="str">
            <v>minute</v>
          </cell>
          <cell r="F996">
            <v>1</v>
          </cell>
          <cell r="G996">
            <v>1</v>
          </cell>
          <cell r="H996">
            <v>0</v>
          </cell>
          <cell r="I996">
            <v>0</v>
          </cell>
          <cell r="J996">
            <v>5.0548000000000002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A997" t="str">
            <v>DOM CHE ZCHSC</v>
          </cell>
          <cell r="B997" t="str">
            <v>Business Talk</v>
          </cell>
          <cell r="C997" t="str">
            <v>Switzerland Speaking Clock</v>
          </cell>
          <cell r="D997" t="str">
            <v>Off-net domestic</v>
          </cell>
          <cell r="E997" t="str">
            <v>call</v>
          </cell>
          <cell r="F997">
            <v>1</v>
          </cell>
          <cell r="G997">
            <v>1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0.37940000000000002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</row>
        <row r="998">
          <cell r="A998" t="str">
            <v>DOM CHE ZCHS6</v>
          </cell>
          <cell r="B998" t="str">
            <v>Business Talk</v>
          </cell>
          <cell r="C998" t="str">
            <v>Switzerland Swisscom Directory</v>
          </cell>
          <cell r="D998" t="str">
            <v>Off-net domestic</v>
          </cell>
          <cell r="E998" t="str">
            <v>minute &amp; call</v>
          </cell>
          <cell r="F998">
            <v>1</v>
          </cell>
          <cell r="G998">
            <v>1</v>
          </cell>
          <cell r="H998">
            <v>0</v>
          </cell>
          <cell r="I998">
            <v>0</v>
          </cell>
          <cell r="J998">
            <v>1.5722</v>
          </cell>
          <cell r="K998">
            <v>0</v>
          </cell>
          <cell r="L998">
            <v>1.01E-2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</row>
        <row r="999">
          <cell r="A999" t="str">
            <v>DOM CHE ZCH25</v>
          </cell>
          <cell r="B999" t="str">
            <v>Business Talk</v>
          </cell>
          <cell r="C999" t="str">
            <v>Switzerland Toll Free</v>
          </cell>
          <cell r="D999" t="str">
            <v>Off-net domestic</v>
          </cell>
          <cell r="E999" t="str">
            <v>minute</v>
          </cell>
          <cell r="F999">
            <v>1</v>
          </cell>
          <cell r="G999">
            <v>1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</row>
        <row r="1000">
          <cell r="A1000" t="str">
            <v>DOM CHE ZCH26</v>
          </cell>
          <cell r="B1000" t="str">
            <v>Business Talk</v>
          </cell>
          <cell r="C1000" t="str">
            <v>Switzerland Toll Shared</v>
          </cell>
          <cell r="D1000" t="str">
            <v>Off-net domestic</v>
          </cell>
          <cell r="E1000" t="str">
            <v>minute</v>
          </cell>
          <cell r="F1000">
            <v>1</v>
          </cell>
          <cell r="G1000">
            <v>1</v>
          </cell>
          <cell r="H1000">
            <v>0</v>
          </cell>
          <cell r="I1000">
            <v>0</v>
          </cell>
          <cell r="J1000">
            <v>6.1400000000000003E-2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</row>
        <row r="1001">
          <cell r="A1001" t="str">
            <v>DOM CHE ZCHTT</v>
          </cell>
          <cell r="B1001" t="str">
            <v>Business Talk</v>
          </cell>
          <cell r="C1001" t="str">
            <v>Switzerland Traffic &amp; Travel</v>
          </cell>
          <cell r="D1001" t="str">
            <v>Off-net domestic</v>
          </cell>
          <cell r="E1001" t="str">
            <v>minute &amp; call</v>
          </cell>
          <cell r="F1001">
            <v>1</v>
          </cell>
          <cell r="G1001">
            <v>1</v>
          </cell>
          <cell r="H1001">
            <v>0</v>
          </cell>
          <cell r="I1001">
            <v>0</v>
          </cell>
          <cell r="J1001">
            <v>0.68300000000000005</v>
          </cell>
          <cell r="K1001">
            <v>0</v>
          </cell>
          <cell r="L1001">
            <v>0.66410000000000002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</row>
        <row r="1002">
          <cell r="A1002" t="str">
            <v>DOM TWN MOB</v>
          </cell>
          <cell r="B1002" t="str">
            <v>Business Talk</v>
          </cell>
          <cell r="C1002" t="str">
            <v>Taiwan Mobile</v>
          </cell>
          <cell r="D1002" t="str">
            <v>Off-net domestic</v>
          </cell>
          <cell r="E1002" t="str">
            <v>minute</v>
          </cell>
          <cell r="F1002">
            <v>1</v>
          </cell>
          <cell r="G1002">
            <v>1</v>
          </cell>
          <cell r="H1002">
            <v>0</v>
          </cell>
          <cell r="I1002">
            <v>0</v>
          </cell>
          <cell r="J1002">
            <v>0.13550000000000001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</row>
        <row r="1003">
          <cell r="A1003" t="str">
            <v>DOM TWN FIX</v>
          </cell>
          <cell r="B1003" t="str">
            <v>Business Talk</v>
          </cell>
          <cell r="C1003" t="str">
            <v>Taiwan</v>
          </cell>
          <cell r="D1003" t="str">
            <v>Off-net domestic</v>
          </cell>
          <cell r="E1003" t="str">
            <v>minute</v>
          </cell>
          <cell r="F1003">
            <v>1</v>
          </cell>
          <cell r="G1003">
            <v>1</v>
          </cell>
          <cell r="H1003">
            <v>0</v>
          </cell>
          <cell r="I1003">
            <v>0</v>
          </cell>
          <cell r="J1003">
            <v>2.63E-2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A1004" t="str">
            <v>DOM TZA TZAMO</v>
          </cell>
          <cell r="B1004" t="str">
            <v>Business Talk</v>
          </cell>
          <cell r="C1004" t="str">
            <v>Tanzania Mobile</v>
          </cell>
          <cell r="D1004" t="str">
            <v>Off-net domestic</v>
          </cell>
          <cell r="E1004" t="str">
            <v>minute</v>
          </cell>
          <cell r="F1004">
            <v>1</v>
          </cell>
          <cell r="G1004">
            <v>1</v>
          </cell>
          <cell r="H1004">
            <v>0</v>
          </cell>
          <cell r="I1004">
            <v>0</v>
          </cell>
          <cell r="J1004">
            <v>0.34339999999999998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</row>
        <row r="1005">
          <cell r="A1005" t="str">
            <v>DOM TZA TZA</v>
          </cell>
          <cell r="B1005" t="str">
            <v>Business Talk</v>
          </cell>
          <cell r="C1005" t="str">
            <v>Tanzania</v>
          </cell>
          <cell r="D1005" t="str">
            <v>Off-net domestic</v>
          </cell>
          <cell r="E1005" t="str">
            <v>minute</v>
          </cell>
          <cell r="F1005">
            <v>1</v>
          </cell>
          <cell r="G1005">
            <v>1</v>
          </cell>
          <cell r="H1005">
            <v>0</v>
          </cell>
          <cell r="I1005">
            <v>0</v>
          </cell>
          <cell r="J1005">
            <v>0.22209999999999999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</row>
        <row r="1006">
          <cell r="A1006" t="str">
            <v>DOM USA TFREE</v>
          </cell>
          <cell r="B1006" t="str">
            <v>Business Talk</v>
          </cell>
          <cell r="C1006" t="str">
            <v>Toll Free</v>
          </cell>
          <cell r="D1006" t="str">
            <v>Off-net domestic</v>
          </cell>
          <cell r="E1006" t="str">
            <v>minute</v>
          </cell>
          <cell r="F1006">
            <v>1</v>
          </cell>
          <cell r="G1006">
            <v>1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</row>
        <row r="1007">
          <cell r="A1007" t="str">
            <v>DOM GBR LDN1</v>
          </cell>
          <cell r="B1007" t="str">
            <v>Business Talk</v>
          </cell>
          <cell r="C1007" t="str">
            <v>United Kingdom National</v>
          </cell>
          <cell r="D1007" t="str">
            <v>Off-net domestic</v>
          </cell>
          <cell r="E1007" t="str">
            <v>minute</v>
          </cell>
          <cell r="F1007">
            <v>1</v>
          </cell>
          <cell r="G1007">
            <v>1</v>
          </cell>
          <cell r="H1007">
            <v>0</v>
          </cell>
          <cell r="I1007">
            <v>0</v>
          </cell>
          <cell r="J1007">
            <v>9.7999999999999997E-3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A1008" t="str">
            <v>DOM GBR UKMO2</v>
          </cell>
          <cell r="B1008" t="str">
            <v>Business Talk</v>
          </cell>
          <cell r="C1008" t="str">
            <v>United Kingdom Mobile</v>
          </cell>
          <cell r="D1008" t="str">
            <v>Off-net domestic</v>
          </cell>
          <cell r="E1008" t="str">
            <v>minute</v>
          </cell>
          <cell r="F1008">
            <v>1</v>
          </cell>
          <cell r="G1008">
            <v>1</v>
          </cell>
          <cell r="H1008">
            <v>0</v>
          </cell>
          <cell r="I1008">
            <v>0</v>
          </cell>
          <cell r="J1008">
            <v>2.6100000000000002E-2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</row>
        <row r="1009">
          <cell r="A1009" t="str">
            <v>DOM GBR UKMOB</v>
          </cell>
          <cell r="B1009" t="str">
            <v>Business Talk</v>
          </cell>
          <cell r="C1009" t="str">
            <v>United Kingdom Mobile Other</v>
          </cell>
          <cell r="D1009" t="str">
            <v>Off-net domestic</v>
          </cell>
          <cell r="E1009" t="str">
            <v>minute</v>
          </cell>
          <cell r="F1009">
            <v>1</v>
          </cell>
          <cell r="G1009">
            <v>1</v>
          </cell>
          <cell r="H1009">
            <v>0</v>
          </cell>
          <cell r="I1009">
            <v>0</v>
          </cell>
          <cell r="J1009">
            <v>2.0799999999999999E-2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</row>
        <row r="1010">
          <cell r="A1010" t="str">
            <v>DOM GBR ZC</v>
          </cell>
          <cell r="B1010" t="str">
            <v>Business Talk</v>
          </cell>
          <cell r="C1010" t="str">
            <v>United Kingdom Corporate</v>
          </cell>
          <cell r="D1010" t="str">
            <v>Off-net domestic</v>
          </cell>
          <cell r="E1010" t="str">
            <v>minute</v>
          </cell>
          <cell r="F1010">
            <v>1</v>
          </cell>
          <cell r="G1010">
            <v>1</v>
          </cell>
          <cell r="H1010">
            <v>0</v>
          </cell>
          <cell r="I1010">
            <v>0</v>
          </cell>
          <cell r="J1010">
            <v>5.4100000000000002E-2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</row>
        <row r="1011">
          <cell r="A1011" t="str">
            <v>DOM GBR ZF</v>
          </cell>
          <cell r="B1011" t="str">
            <v>Business Talk</v>
          </cell>
          <cell r="C1011" t="str">
            <v>United Kingdom Personal</v>
          </cell>
          <cell r="D1011" t="str">
            <v>Off-net domestic</v>
          </cell>
          <cell r="E1011" t="str">
            <v>minute</v>
          </cell>
          <cell r="F1011">
            <v>1</v>
          </cell>
          <cell r="G1011">
            <v>1</v>
          </cell>
          <cell r="H1011">
            <v>0</v>
          </cell>
          <cell r="I1011">
            <v>0</v>
          </cell>
          <cell r="J1011">
            <v>0.62709999999999999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A1012" t="str">
            <v>DOM USA ALFIX</v>
          </cell>
          <cell r="B1012" t="str">
            <v>Business Talk</v>
          </cell>
          <cell r="C1012" t="str">
            <v>Usa Alabama</v>
          </cell>
          <cell r="D1012" t="str">
            <v>Off-net domestic</v>
          </cell>
          <cell r="E1012" t="str">
            <v>minute</v>
          </cell>
          <cell r="F1012">
            <v>1</v>
          </cell>
          <cell r="G1012">
            <v>1</v>
          </cell>
          <cell r="H1012">
            <v>0</v>
          </cell>
          <cell r="I1012">
            <v>0</v>
          </cell>
          <cell r="J1012">
            <v>1.84E-2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</row>
        <row r="1013">
          <cell r="A1013" t="str">
            <v>DOM USA AKFIX</v>
          </cell>
          <cell r="B1013" t="str">
            <v>Business Talk</v>
          </cell>
          <cell r="C1013" t="str">
            <v>Usa Alaska</v>
          </cell>
          <cell r="D1013" t="str">
            <v>Off-net domestic</v>
          </cell>
          <cell r="E1013" t="str">
            <v>minute</v>
          </cell>
          <cell r="F1013">
            <v>1</v>
          </cell>
          <cell r="G1013">
            <v>1</v>
          </cell>
          <cell r="H1013">
            <v>0</v>
          </cell>
          <cell r="I1013">
            <v>0</v>
          </cell>
          <cell r="J1013">
            <v>0.18379999999999999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</row>
        <row r="1014">
          <cell r="A1014" t="str">
            <v>DOM USA AZFIX</v>
          </cell>
          <cell r="B1014" t="str">
            <v>Business Talk</v>
          </cell>
          <cell r="C1014" t="str">
            <v>Usa Arizona</v>
          </cell>
          <cell r="D1014" t="str">
            <v>Off-net domestic</v>
          </cell>
          <cell r="E1014" t="str">
            <v>minute</v>
          </cell>
          <cell r="F1014">
            <v>1</v>
          </cell>
          <cell r="G1014">
            <v>1</v>
          </cell>
          <cell r="H1014">
            <v>0</v>
          </cell>
          <cell r="I1014">
            <v>0</v>
          </cell>
          <cell r="J1014">
            <v>1.84E-2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</row>
        <row r="1015">
          <cell r="A1015" t="str">
            <v>DOM USA ARFIX</v>
          </cell>
          <cell r="B1015" t="str">
            <v>Business Talk</v>
          </cell>
          <cell r="C1015" t="str">
            <v>Usa Arkansas</v>
          </cell>
          <cell r="D1015" t="str">
            <v>Off-net domestic</v>
          </cell>
          <cell r="E1015" t="str">
            <v>minute</v>
          </cell>
          <cell r="F1015">
            <v>1</v>
          </cell>
          <cell r="G1015">
            <v>1</v>
          </cell>
          <cell r="H1015">
            <v>0</v>
          </cell>
          <cell r="I1015">
            <v>0</v>
          </cell>
          <cell r="J1015">
            <v>1.84E-2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</row>
        <row r="1016">
          <cell r="A1016" t="str">
            <v>DOM USA CAFIX</v>
          </cell>
          <cell r="B1016" t="str">
            <v>Business Talk</v>
          </cell>
          <cell r="C1016" t="str">
            <v>Usa California</v>
          </cell>
          <cell r="D1016" t="str">
            <v>Off-net domestic</v>
          </cell>
          <cell r="E1016" t="str">
            <v>minute</v>
          </cell>
          <cell r="F1016">
            <v>1</v>
          </cell>
          <cell r="G1016">
            <v>1</v>
          </cell>
          <cell r="H1016">
            <v>0</v>
          </cell>
          <cell r="I1016">
            <v>0</v>
          </cell>
          <cell r="J1016">
            <v>1.84E-2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</row>
        <row r="1017">
          <cell r="A1017" t="str">
            <v>DOM USA COFIX</v>
          </cell>
          <cell r="B1017" t="str">
            <v>Business Talk</v>
          </cell>
          <cell r="C1017" t="str">
            <v>Usa Colorado</v>
          </cell>
          <cell r="D1017" t="str">
            <v>Off-net domestic</v>
          </cell>
          <cell r="E1017" t="str">
            <v>minute</v>
          </cell>
          <cell r="F1017">
            <v>1</v>
          </cell>
          <cell r="G1017">
            <v>1</v>
          </cell>
          <cell r="H1017">
            <v>0</v>
          </cell>
          <cell r="I1017">
            <v>0</v>
          </cell>
          <cell r="J1017">
            <v>1.84E-2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A1018" t="str">
            <v>DOM USA CTFIX</v>
          </cell>
          <cell r="B1018" t="str">
            <v>Business Talk</v>
          </cell>
          <cell r="C1018" t="str">
            <v>Usa Connecticut</v>
          </cell>
          <cell r="D1018" t="str">
            <v>Off-net domestic</v>
          </cell>
          <cell r="E1018" t="str">
            <v>minute</v>
          </cell>
          <cell r="F1018">
            <v>1</v>
          </cell>
          <cell r="G1018">
            <v>1</v>
          </cell>
          <cell r="H1018">
            <v>0</v>
          </cell>
          <cell r="I1018">
            <v>0</v>
          </cell>
          <cell r="J1018">
            <v>1.84E-2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</row>
        <row r="1019">
          <cell r="A1019" t="str">
            <v>DOM USA DEFIX</v>
          </cell>
          <cell r="B1019" t="str">
            <v>Business Talk</v>
          </cell>
          <cell r="C1019" t="str">
            <v>Usa Delaware</v>
          </cell>
          <cell r="D1019" t="str">
            <v>Off-net domestic</v>
          </cell>
          <cell r="E1019" t="str">
            <v>minute</v>
          </cell>
          <cell r="F1019">
            <v>1</v>
          </cell>
          <cell r="G1019">
            <v>1</v>
          </cell>
          <cell r="H1019">
            <v>0</v>
          </cell>
          <cell r="I1019">
            <v>0</v>
          </cell>
          <cell r="J1019">
            <v>1.84E-2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</row>
        <row r="1020">
          <cell r="A1020" t="str">
            <v>DOM USA FLFIX</v>
          </cell>
          <cell r="B1020" t="str">
            <v>Business Talk</v>
          </cell>
          <cell r="C1020" t="str">
            <v>Usa Florida</v>
          </cell>
          <cell r="D1020" t="str">
            <v>Off-net domestic</v>
          </cell>
          <cell r="E1020" t="str">
            <v>minute</v>
          </cell>
          <cell r="F1020">
            <v>1</v>
          </cell>
          <cell r="G1020">
            <v>1</v>
          </cell>
          <cell r="H1020">
            <v>0</v>
          </cell>
          <cell r="I1020">
            <v>0</v>
          </cell>
          <cell r="J1020">
            <v>1.84E-2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</row>
        <row r="1021">
          <cell r="A1021" t="str">
            <v>DOM USA GAFIX</v>
          </cell>
          <cell r="B1021" t="str">
            <v>Business Talk</v>
          </cell>
          <cell r="C1021" t="str">
            <v>Usa Georgia</v>
          </cell>
          <cell r="D1021" t="str">
            <v>Off-net domestic</v>
          </cell>
          <cell r="E1021" t="str">
            <v>minute</v>
          </cell>
          <cell r="F1021">
            <v>1</v>
          </cell>
          <cell r="G1021">
            <v>1</v>
          </cell>
          <cell r="H1021">
            <v>0</v>
          </cell>
          <cell r="I1021">
            <v>0</v>
          </cell>
          <cell r="J1021">
            <v>1.84E-2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</row>
        <row r="1022">
          <cell r="A1022" t="str">
            <v>DOM USA HIFIX</v>
          </cell>
          <cell r="B1022" t="str">
            <v>Business Talk</v>
          </cell>
          <cell r="C1022" t="str">
            <v>Usa Hawaii</v>
          </cell>
          <cell r="D1022" t="str">
            <v>Off-net domestic</v>
          </cell>
          <cell r="E1022" t="str">
            <v>minute</v>
          </cell>
          <cell r="F1022">
            <v>1</v>
          </cell>
          <cell r="G1022">
            <v>1</v>
          </cell>
          <cell r="H1022">
            <v>0</v>
          </cell>
          <cell r="I1022">
            <v>0</v>
          </cell>
          <cell r="J1022">
            <v>2.3099999999999999E-2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</row>
        <row r="1023">
          <cell r="A1023" t="str">
            <v>DOM USA IDFIX</v>
          </cell>
          <cell r="B1023" t="str">
            <v>Business Talk</v>
          </cell>
          <cell r="C1023" t="str">
            <v>Usa Idaho</v>
          </cell>
          <cell r="D1023" t="str">
            <v>Off-net domestic</v>
          </cell>
          <cell r="E1023" t="str">
            <v>minute</v>
          </cell>
          <cell r="F1023">
            <v>1</v>
          </cell>
          <cell r="G1023">
            <v>1</v>
          </cell>
          <cell r="H1023">
            <v>0</v>
          </cell>
          <cell r="I1023">
            <v>0</v>
          </cell>
          <cell r="J1023">
            <v>1.84E-2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</row>
        <row r="1024">
          <cell r="A1024" t="str">
            <v>DOM USA ILFIX</v>
          </cell>
          <cell r="B1024" t="str">
            <v>Business Talk</v>
          </cell>
          <cell r="C1024" t="str">
            <v>Usa Illinois</v>
          </cell>
          <cell r="D1024" t="str">
            <v>Off-net domestic</v>
          </cell>
          <cell r="E1024" t="str">
            <v>minute</v>
          </cell>
          <cell r="F1024">
            <v>1</v>
          </cell>
          <cell r="G1024">
            <v>1</v>
          </cell>
          <cell r="H1024">
            <v>0</v>
          </cell>
          <cell r="I1024">
            <v>0</v>
          </cell>
          <cell r="J1024">
            <v>1.84E-2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</row>
        <row r="1025">
          <cell r="A1025" t="str">
            <v>DOM USA INFIX</v>
          </cell>
          <cell r="B1025" t="str">
            <v>Business Talk</v>
          </cell>
          <cell r="C1025" t="str">
            <v>Usa Indiana</v>
          </cell>
          <cell r="D1025" t="str">
            <v>Off-net domestic</v>
          </cell>
          <cell r="E1025" t="str">
            <v>minute</v>
          </cell>
          <cell r="F1025">
            <v>1</v>
          </cell>
          <cell r="G1025">
            <v>1</v>
          </cell>
          <cell r="H1025">
            <v>0</v>
          </cell>
          <cell r="I1025">
            <v>0</v>
          </cell>
          <cell r="J1025">
            <v>1.84E-2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</row>
        <row r="1026">
          <cell r="A1026" t="str">
            <v>DOM USA IAFIX</v>
          </cell>
          <cell r="B1026" t="str">
            <v>Business Talk</v>
          </cell>
          <cell r="C1026" t="str">
            <v>Usa Iowa</v>
          </cell>
          <cell r="D1026" t="str">
            <v>Off-net domestic</v>
          </cell>
          <cell r="E1026" t="str">
            <v>minute</v>
          </cell>
          <cell r="F1026">
            <v>1</v>
          </cell>
          <cell r="G1026">
            <v>1</v>
          </cell>
          <cell r="H1026">
            <v>0</v>
          </cell>
          <cell r="I1026">
            <v>0</v>
          </cell>
          <cell r="J1026">
            <v>1.84E-2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</row>
        <row r="1027">
          <cell r="A1027" t="str">
            <v>DOM USA KSFIX</v>
          </cell>
          <cell r="B1027" t="str">
            <v>Business Talk</v>
          </cell>
          <cell r="C1027" t="str">
            <v>Usa Kansas</v>
          </cell>
          <cell r="D1027" t="str">
            <v>Off-net domestic</v>
          </cell>
          <cell r="E1027" t="str">
            <v>minute</v>
          </cell>
          <cell r="F1027">
            <v>1</v>
          </cell>
          <cell r="G1027">
            <v>1</v>
          </cell>
          <cell r="H1027">
            <v>0</v>
          </cell>
          <cell r="I1027">
            <v>0</v>
          </cell>
          <cell r="J1027">
            <v>1.84E-2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</row>
        <row r="1028">
          <cell r="A1028" t="str">
            <v>DOM USA KYFIX</v>
          </cell>
          <cell r="B1028" t="str">
            <v>Business Talk</v>
          </cell>
          <cell r="C1028" t="str">
            <v>Usa Kentucky</v>
          </cell>
          <cell r="D1028" t="str">
            <v>Off-net domestic</v>
          </cell>
          <cell r="E1028" t="str">
            <v>minute</v>
          </cell>
          <cell r="F1028">
            <v>1</v>
          </cell>
          <cell r="G1028">
            <v>1</v>
          </cell>
          <cell r="H1028">
            <v>0</v>
          </cell>
          <cell r="I1028">
            <v>0</v>
          </cell>
          <cell r="J1028">
            <v>1.84E-2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</row>
        <row r="1029">
          <cell r="A1029" t="str">
            <v>DOM USA LAFIX</v>
          </cell>
          <cell r="B1029" t="str">
            <v>Business Talk</v>
          </cell>
          <cell r="C1029" t="str">
            <v>Usa Louisiana</v>
          </cell>
          <cell r="D1029" t="str">
            <v>Off-net domestic</v>
          </cell>
          <cell r="E1029" t="str">
            <v>minute</v>
          </cell>
          <cell r="F1029">
            <v>1</v>
          </cell>
          <cell r="G1029">
            <v>1</v>
          </cell>
          <cell r="H1029">
            <v>0</v>
          </cell>
          <cell r="I1029">
            <v>0</v>
          </cell>
          <cell r="J1029">
            <v>1.84E-2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</row>
        <row r="1030">
          <cell r="A1030" t="str">
            <v>DOM USA MEFIX</v>
          </cell>
          <cell r="B1030" t="str">
            <v>Business Talk</v>
          </cell>
          <cell r="C1030" t="str">
            <v>Usa Maine</v>
          </cell>
          <cell r="D1030" t="str">
            <v>Off-net domestic</v>
          </cell>
          <cell r="E1030" t="str">
            <v>minute</v>
          </cell>
          <cell r="F1030">
            <v>1</v>
          </cell>
          <cell r="G1030">
            <v>1</v>
          </cell>
          <cell r="H1030">
            <v>0</v>
          </cell>
          <cell r="I1030">
            <v>0</v>
          </cell>
          <cell r="J1030">
            <v>1.84E-2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A1031" t="str">
            <v>DOM USA MDFIX</v>
          </cell>
          <cell r="B1031" t="str">
            <v>Business Talk</v>
          </cell>
          <cell r="C1031" t="str">
            <v>Usa Maryland</v>
          </cell>
          <cell r="D1031" t="str">
            <v>Off-net domestic</v>
          </cell>
          <cell r="E1031" t="str">
            <v>minute</v>
          </cell>
          <cell r="F1031">
            <v>1</v>
          </cell>
          <cell r="G1031">
            <v>1</v>
          </cell>
          <cell r="H1031">
            <v>0</v>
          </cell>
          <cell r="I1031">
            <v>0</v>
          </cell>
          <cell r="J1031">
            <v>1.84E-2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A1032" t="str">
            <v>DOM USA MAFIX</v>
          </cell>
          <cell r="B1032" t="str">
            <v>Business Talk</v>
          </cell>
          <cell r="C1032" t="str">
            <v>Usa Massachusetts</v>
          </cell>
          <cell r="D1032" t="str">
            <v>Off-net domestic</v>
          </cell>
          <cell r="E1032" t="str">
            <v>minute</v>
          </cell>
          <cell r="F1032">
            <v>1</v>
          </cell>
          <cell r="G1032">
            <v>1</v>
          </cell>
          <cell r="H1032">
            <v>0</v>
          </cell>
          <cell r="I1032">
            <v>0</v>
          </cell>
          <cell r="J1032">
            <v>1.84E-2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</row>
        <row r="1033">
          <cell r="A1033" t="str">
            <v>DOM USA MIFIX</v>
          </cell>
          <cell r="B1033" t="str">
            <v>Business Talk</v>
          </cell>
          <cell r="C1033" t="str">
            <v>Usa Michigan</v>
          </cell>
          <cell r="D1033" t="str">
            <v>Off-net domestic</v>
          </cell>
          <cell r="E1033" t="str">
            <v>minute</v>
          </cell>
          <cell r="F1033">
            <v>1</v>
          </cell>
          <cell r="G1033">
            <v>1</v>
          </cell>
          <cell r="H1033">
            <v>0</v>
          </cell>
          <cell r="I1033">
            <v>0</v>
          </cell>
          <cell r="J1033">
            <v>1.84E-2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</row>
        <row r="1034">
          <cell r="A1034" t="str">
            <v>DOM USA MNFIX</v>
          </cell>
          <cell r="B1034" t="str">
            <v>Business Talk</v>
          </cell>
          <cell r="C1034" t="str">
            <v>Usa Minnesota</v>
          </cell>
          <cell r="D1034" t="str">
            <v>Off-net domestic</v>
          </cell>
          <cell r="E1034" t="str">
            <v>minute</v>
          </cell>
          <cell r="F1034">
            <v>1</v>
          </cell>
          <cell r="G1034">
            <v>1</v>
          </cell>
          <cell r="H1034">
            <v>0</v>
          </cell>
          <cell r="I1034">
            <v>0</v>
          </cell>
          <cell r="J1034">
            <v>1.84E-2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</row>
        <row r="1035">
          <cell r="A1035" t="str">
            <v>DOM USA MSFIX</v>
          </cell>
          <cell r="B1035" t="str">
            <v>Business Talk</v>
          </cell>
          <cell r="C1035" t="str">
            <v>Usa Mississippi</v>
          </cell>
          <cell r="D1035" t="str">
            <v>Off-net domestic</v>
          </cell>
          <cell r="E1035" t="str">
            <v>minute</v>
          </cell>
          <cell r="F1035">
            <v>1</v>
          </cell>
          <cell r="G1035">
            <v>1</v>
          </cell>
          <cell r="H1035">
            <v>0</v>
          </cell>
          <cell r="I1035">
            <v>0</v>
          </cell>
          <cell r="J1035">
            <v>1.84E-2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</row>
        <row r="1036">
          <cell r="A1036" t="str">
            <v>DOM USA MOFIX</v>
          </cell>
          <cell r="B1036" t="str">
            <v>Business Talk</v>
          </cell>
          <cell r="C1036" t="str">
            <v>Usa Missouri</v>
          </cell>
          <cell r="D1036" t="str">
            <v>Off-net domestic</v>
          </cell>
          <cell r="E1036" t="str">
            <v>minute</v>
          </cell>
          <cell r="F1036">
            <v>1</v>
          </cell>
          <cell r="G1036">
            <v>1</v>
          </cell>
          <cell r="H1036">
            <v>0</v>
          </cell>
          <cell r="I1036">
            <v>0</v>
          </cell>
          <cell r="J1036">
            <v>1.84E-2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</row>
        <row r="1037">
          <cell r="A1037" t="str">
            <v>DOM USA MTFIX</v>
          </cell>
          <cell r="B1037" t="str">
            <v>Business Talk</v>
          </cell>
          <cell r="C1037" t="str">
            <v>Usa Montana</v>
          </cell>
          <cell r="D1037" t="str">
            <v>Off-net domestic</v>
          </cell>
          <cell r="E1037" t="str">
            <v>minute</v>
          </cell>
          <cell r="F1037">
            <v>1</v>
          </cell>
          <cell r="G1037">
            <v>1</v>
          </cell>
          <cell r="H1037">
            <v>0</v>
          </cell>
          <cell r="I1037">
            <v>0</v>
          </cell>
          <cell r="J1037">
            <v>1.84E-2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</row>
        <row r="1038">
          <cell r="A1038" t="str">
            <v>DOM USA NEFIX</v>
          </cell>
          <cell r="B1038" t="str">
            <v>Business Talk</v>
          </cell>
          <cell r="C1038" t="str">
            <v>Usa Nebraska</v>
          </cell>
          <cell r="D1038" t="str">
            <v>Off-net domestic</v>
          </cell>
          <cell r="E1038" t="str">
            <v>minute</v>
          </cell>
          <cell r="F1038">
            <v>1</v>
          </cell>
          <cell r="G1038">
            <v>1</v>
          </cell>
          <cell r="H1038">
            <v>0</v>
          </cell>
          <cell r="I1038">
            <v>0</v>
          </cell>
          <cell r="J1038">
            <v>1.84E-2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</row>
        <row r="1039">
          <cell r="A1039" t="str">
            <v>DOM USA NVFIX</v>
          </cell>
          <cell r="B1039" t="str">
            <v>Business Talk</v>
          </cell>
          <cell r="C1039" t="str">
            <v>Usa Nevada</v>
          </cell>
          <cell r="D1039" t="str">
            <v>Off-net domestic</v>
          </cell>
          <cell r="E1039" t="str">
            <v>minute</v>
          </cell>
          <cell r="F1039">
            <v>1</v>
          </cell>
          <cell r="G1039">
            <v>1</v>
          </cell>
          <cell r="H1039">
            <v>0</v>
          </cell>
          <cell r="I1039">
            <v>0</v>
          </cell>
          <cell r="J1039">
            <v>1.84E-2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</row>
        <row r="1040">
          <cell r="A1040" t="str">
            <v>DOM USA NHFIX</v>
          </cell>
          <cell r="B1040" t="str">
            <v>Business Talk</v>
          </cell>
          <cell r="C1040" t="str">
            <v>Usa New Hampshire</v>
          </cell>
          <cell r="D1040" t="str">
            <v>Off-net domestic</v>
          </cell>
          <cell r="E1040" t="str">
            <v>minute</v>
          </cell>
          <cell r="F1040">
            <v>1</v>
          </cell>
          <cell r="G1040">
            <v>1</v>
          </cell>
          <cell r="H1040">
            <v>0</v>
          </cell>
          <cell r="I1040">
            <v>0</v>
          </cell>
          <cell r="J1040">
            <v>1.84E-2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</row>
        <row r="1041">
          <cell r="A1041" t="str">
            <v>DOM USA NJFIX</v>
          </cell>
          <cell r="B1041" t="str">
            <v>Business Talk</v>
          </cell>
          <cell r="C1041" t="str">
            <v>Usa New Jersey</v>
          </cell>
          <cell r="D1041" t="str">
            <v>Off-net domestic</v>
          </cell>
          <cell r="E1041" t="str">
            <v>minute</v>
          </cell>
          <cell r="F1041">
            <v>1</v>
          </cell>
          <cell r="G1041">
            <v>1</v>
          </cell>
          <cell r="H1041">
            <v>0</v>
          </cell>
          <cell r="I1041">
            <v>0</v>
          </cell>
          <cell r="J1041">
            <v>1.84E-2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</row>
        <row r="1042">
          <cell r="A1042" t="str">
            <v>DOM USA NMFIX</v>
          </cell>
          <cell r="B1042" t="str">
            <v>Business Talk</v>
          </cell>
          <cell r="C1042" t="str">
            <v>Usa New Mexico</v>
          </cell>
          <cell r="D1042" t="str">
            <v>Off-net domestic</v>
          </cell>
          <cell r="E1042" t="str">
            <v>minute</v>
          </cell>
          <cell r="F1042">
            <v>1</v>
          </cell>
          <cell r="G1042">
            <v>1</v>
          </cell>
          <cell r="H1042">
            <v>0</v>
          </cell>
          <cell r="I1042">
            <v>0</v>
          </cell>
          <cell r="J1042">
            <v>1.84E-2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</row>
        <row r="1043">
          <cell r="A1043" t="str">
            <v>DOM USA NYFIX</v>
          </cell>
          <cell r="B1043" t="str">
            <v>Business Talk</v>
          </cell>
          <cell r="C1043" t="str">
            <v>Usa New York</v>
          </cell>
          <cell r="D1043" t="str">
            <v>Off-net domestic</v>
          </cell>
          <cell r="E1043" t="str">
            <v>minute</v>
          </cell>
          <cell r="F1043">
            <v>1</v>
          </cell>
          <cell r="G1043">
            <v>1</v>
          </cell>
          <cell r="H1043">
            <v>0</v>
          </cell>
          <cell r="I1043">
            <v>0</v>
          </cell>
          <cell r="J1043">
            <v>1.84E-2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</row>
        <row r="1044">
          <cell r="A1044" t="str">
            <v>DOM USA NCFIX</v>
          </cell>
          <cell r="B1044" t="str">
            <v>Business Talk</v>
          </cell>
          <cell r="C1044" t="str">
            <v>Usa North Carolina</v>
          </cell>
          <cell r="D1044" t="str">
            <v>Off-net domestic</v>
          </cell>
          <cell r="E1044" t="str">
            <v>minute</v>
          </cell>
          <cell r="F1044">
            <v>1</v>
          </cell>
          <cell r="G1044">
            <v>1</v>
          </cell>
          <cell r="H1044">
            <v>0</v>
          </cell>
          <cell r="I1044">
            <v>0</v>
          </cell>
          <cell r="J1044">
            <v>1.84E-2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</row>
        <row r="1045">
          <cell r="A1045" t="str">
            <v>DOM USA NDFIX</v>
          </cell>
          <cell r="B1045" t="str">
            <v>Business Talk</v>
          </cell>
          <cell r="C1045" t="str">
            <v>Usa North Dakota</v>
          </cell>
          <cell r="D1045" t="str">
            <v>Off-net domestic</v>
          </cell>
          <cell r="E1045" t="str">
            <v>minute</v>
          </cell>
          <cell r="F1045">
            <v>1</v>
          </cell>
          <cell r="G1045">
            <v>1</v>
          </cell>
          <cell r="H1045">
            <v>0</v>
          </cell>
          <cell r="I1045">
            <v>0</v>
          </cell>
          <cell r="J1045">
            <v>1.84E-2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</row>
        <row r="1046">
          <cell r="A1046" t="str">
            <v>DOM USA OHFIX</v>
          </cell>
          <cell r="B1046" t="str">
            <v>Business Talk</v>
          </cell>
          <cell r="C1046" t="str">
            <v>Usa Ohio</v>
          </cell>
          <cell r="D1046" t="str">
            <v>Off-net domestic</v>
          </cell>
          <cell r="E1046" t="str">
            <v>minute</v>
          </cell>
          <cell r="F1046">
            <v>1</v>
          </cell>
          <cell r="G1046">
            <v>1</v>
          </cell>
          <cell r="H1046">
            <v>0</v>
          </cell>
          <cell r="I1046">
            <v>0</v>
          </cell>
          <cell r="J1046">
            <v>1.84E-2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A1047" t="str">
            <v>DOM USA OKFIX</v>
          </cell>
          <cell r="B1047" t="str">
            <v>Business Talk</v>
          </cell>
          <cell r="C1047" t="str">
            <v>Usa Oklahoma</v>
          </cell>
          <cell r="D1047" t="str">
            <v>Off-net domestic</v>
          </cell>
          <cell r="E1047" t="str">
            <v>minute</v>
          </cell>
          <cell r="F1047">
            <v>1</v>
          </cell>
          <cell r="G1047">
            <v>1</v>
          </cell>
          <cell r="H1047">
            <v>0</v>
          </cell>
          <cell r="I1047">
            <v>0</v>
          </cell>
          <cell r="J1047">
            <v>1.84E-2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</row>
        <row r="1048">
          <cell r="A1048" t="str">
            <v>DOM USA ORFIX</v>
          </cell>
          <cell r="B1048" t="str">
            <v>Business Talk</v>
          </cell>
          <cell r="C1048" t="str">
            <v>Usa Oregon</v>
          </cell>
          <cell r="D1048" t="str">
            <v>Off-net domestic</v>
          </cell>
          <cell r="E1048" t="str">
            <v>minute</v>
          </cell>
          <cell r="F1048">
            <v>1</v>
          </cell>
          <cell r="G1048">
            <v>1</v>
          </cell>
          <cell r="H1048">
            <v>0</v>
          </cell>
          <cell r="I1048">
            <v>0</v>
          </cell>
          <cell r="J1048">
            <v>1.84E-2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A1049" t="str">
            <v>DOM USA PAFIX</v>
          </cell>
          <cell r="B1049" t="str">
            <v>Business Talk</v>
          </cell>
          <cell r="C1049" t="str">
            <v>Usa Pennsylvania</v>
          </cell>
          <cell r="D1049" t="str">
            <v>Off-net domestic</v>
          </cell>
          <cell r="E1049" t="str">
            <v>minute</v>
          </cell>
          <cell r="F1049">
            <v>1</v>
          </cell>
          <cell r="G1049">
            <v>1</v>
          </cell>
          <cell r="H1049">
            <v>0</v>
          </cell>
          <cell r="I1049">
            <v>0</v>
          </cell>
          <cell r="J1049">
            <v>1.84E-2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</row>
        <row r="1050">
          <cell r="A1050" t="str">
            <v>DOM USA RIFIX</v>
          </cell>
          <cell r="B1050" t="str">
            <v>Business Talk</v>
          </cell>
          <cell r="C1050" t="str">
            <v>Usa Rhode Island</v>
          </cell>
          <cell r="D1050" t="str">
            <v>Off-net domestic</v>
          </cell>
          <cell r="E1050" t="str">
            <v>minute</v>
          </cell>
          <cell r="F1050">
            <v>1</v>
          </cell>
          <cell r="G1050">
            <v>1</v>
          </cell>
          <cell r="H1050">
            <v>0</v>
          </cell>
          <cell r="I1050">
            <v>0</v>
          </cell>
          <cell r="J1050">
            <v>1.84E-2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</row>
        <row r="1051">
          <cell r="A1051" t="str">
            <v>DOM USA SCFIX</v>
          </cell>
          <cell r="B1051" t="str">
            <v>Business Talk</v>
          </cell>
          <cell r="C1051" t="str">
            <v>Usa South Carolina</v>
          </cell>
          <cell r="D1051" t="str">
            <v>Off-net domestic</v>
          </cell>
          <cell r="E1051" t="str">
            <v>minute</v>
          </cell>
          <cell r="F1051">
            <v>1</v>
          </cell>
          <cell r="G1051">
            <v>1</v>
          </cell>
          <cell r="H1051">
            <v>0</v>
          </cell>
          <cell r="I1051">
            <v>0</v>
          </cell>
          <cell r="J1051">
            <v>1.84E-2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</row>
        <row r="1052">
          <cell r="A1052" t="str">
            <v>DOM USA SDFIX</v>
          </cell>
          <cell r="B1052" t="str">
            <v>Business Talk</v>
          </cell>
          <cell r="C1052" t="str">
            <v>Usa South Dakota</v>
          </cell>
          <cell r="D1052" t="str">
            <v>Off-net domestic</v>
          </cell>
          <cell r="E1052" t="str">
            <v>minute</v>
          </cell>
          <cell r="F1052">
            <v>1</v>
          </cell>
          <cell r="G1052">
            <v>1</v>
          </cell>
          <cell r="H1052">
            <v>0</v>
          </cell>
          <cell r="I1052">
            <v>0</v>
          </cell>
          <cell r="J1052">
            <v>1.84E-2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A1053" t="str">
            <v>DOM USA TNFIX</v>
          </cell>
          <cell r="B1053" t="str">
            <v>Business Talk</v>
          </cell>
          <cell r="C1053" t="str">
            <v>Usa Tennessee</v>
          </cell>
          <cell r="D1053" t="str">
            <v>Off-net domestic</v>
          </cell>
          <cell r="E1053" t="str">
            <v>minute</v>
          </cell>
          <cell r="F1053">
            <v>1</v>
          </cell>
          <cell r="G1053">
            <v>1</v>
          </cell>
          <cell r="H1053">
            <v>0</v>
          </cell>
          <cell r="I1053">
            <v>0</v>
          </cell>
          <cell r="J1053">
            <v>1.84E-2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</row>
        <row r="1054">
          <cell r="A1054" t="str">
            <v>DOM USA TXFIX</v>
          </cell>
          <cell r="B1054" t="str">
            <v>Business Talk</v>
          </cell>
          <cell r="C1054" t="str">
            <v>Usa Texas</v>
          </cell>
          <cell r="D1054" t="str">
            <v>Off-net domestic</v>
          </cell>
          <cell r="E1054" t="str">
            <v>minute</v>
          </cell>
          <cell r="F1054">
            <v>1</v>
          </cell>
          <cell r="G1054">
            <v>1</v>
          </cell>
          <cell r="H1054">
            <v>0</v>
          </cell>
          <cell r="I1054">
            <v>0</v>
          </cell>
          <cell r="J1054">
            <v>1.84E-2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</row>
        <row r="1055">
          <cell r="A1055" t="str">
            <v>DOM USA UTFIX</v>
          </cell>
          <cell r="B1055" t="str">
            <v>Business Talk</v>
          </cell>
          <cell r="C1055" t="str">
            <v>Usa Utah</v>
          </cell>
          <cell r="D1055" t="str">
            <v>Off-net domestic</v>
          </cell>
          <cell r="E1055" t="str">
            <v>minute</v>
          </cell>
          <cell r="F1055">
            <v>1</v>
          </cell>
          <cell r="G1055">
            <v>1</v>
          </cell>
          <cell r="H1055">
            <v>0</v>
          </cell>
          <cell r="I1055">
            <v>0</v>
          </cell>
          <cell r="J1055">
            <v>1.84E-2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</row>
        <row r="1056">
          <cell r="A1056" t="str">
            <v>DOM USA VTFIX</v>
          </cell>
          <cell r="B1056" t="str">
            <v>Business Talk</v>
          </cell>
          <cell r="C1056" t="str">
            <v>Usa Vermont</v>
          </cell>
          <cell r="D1056" t="str">
            <v>Off-net domestic</v>
          </cell>
          <cell r="E1056" t="str">
            <v>minute</v>
          </cell>
          <cell r="F1056">
            <v>1</v>
          </cell>
          <cell r="G1056">
            <v>1</v>
          </cell>
          <cell r="H1056">
            <v>0</v>
          </cell>
          <cell r="I1056">
            <v>0</v>
          </cell>
          <cell r="J1056">
            <v>1.84E-2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A1057" t="str">
            <v>DOM USA VAFIX</v>
          </cell>
          <cell r="B1057" t="str">
            <v>Business Talk</v>
          </cell>
          <cell r="C1057" t="str">
            <v>Usa Virginia</v>
          </cell>
          <cell r="D1057" t="str">
            <v>Off-net domestic</v>
          </cell>
          <cell r="E1057" t="str">
            <v>minute</v>
          </cell>
          <cell r="F1057">
            <v>1</v>
          </cell>
          <cell r="G1057">
            <v>1</v>
          </cell>
          <cell r="H1057">
            <v>0</v>
          </cell>
          <cell r="I1057">
            <v>0</v>
          </cell>
          <cell r="J1057">
            <v>1.84E-2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</row>
        <row r="1058">
          <cell r="A1058" t="str">
            <v>DOM USA WAFIX</v>
          </cell>
          <cell r="B1058" t="str">
            <v>Business Talk</v>
          </cell>
          <cell r="C1058" t="str">
            <v>Usa Washington</v>
          </cell>
          <cell r="D1058" t="str">
            <v>Off-net domestic</v>
          </cell>
          <cell r="E1058" t="str">
            <v>minute</v>
          </cell>
          <cell r="F1058">
            <v>1</v>
          </cell>
          <cell r="G1058">
            <v>1</v>
          </cell>
          <cell r="H1058">
            <v>0</v>
          </cell>
          <cell r="I1058">
            <v>0</v>
          </cell>
          <cell r="J1058">
            <v>1.84E-2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</row>
        <row r="1059">
          <cell r="A1059" t="str">
            <v>DOM USA DCFIX</v>
          </cell>
          <cell r="B1059" t="str">
            <v>Business Talk</v>
          </cell>
          <cell r="C1059" t="str">
            <v>Usa Washington Dc</v>
          </cell>
          <cell r="D1059" t="str">
            <v>Off-net domestic</v>
          </cell>
          <cell r="E1059" t="str">
            <v>minute</v>
          </cell>
          <cell r="F1059">
            <v>1</v>
          </cell>
          <cell r="G1059">
            <v>1</v>
          </cell>
          <cell r="H1059">
            <v>0</v>
          </cell>
          <cell r="I1059">
            <v>0</v>
          </cell>
          <cell r="J1059">
            <v>1.84E-2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</row>
        <row r="1060">
          <cell r="A1060" t="str">
            <v>DOM USA WVFIX</v>
          </cell>
          <cell r="B1060" t="str">
            <v>Business Talk</v>
          </cell>
          <cell r="C1060" t="str">
            <v>Usa West Virginia</v>
          </cell>
          <cell r="D1060" t="str">
            <v>Off-net domestic</v>
          </cell>
          <cell r="E1060" t="str">
            <v>minute</v>
          </cell>
          <cell r="F1060">
            <v>1</v>
          </cell>
          <cell r="G1060">
            <v>1</v>
          </cell>
          <cell r="H1060">
            <v>0</v>
          </cell>
          <cell r="I1060">
            <v>0</v>
          </cell>
          <cell r="J1060">
            <v>1.84E-2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</row>
        <row r="1061">
          <cell r="A1061" t="str">
            <v>DOM USA WIFIX</v>
          </cell>
          <cell r="B1061" t="str">
            <v>Business Talk</v>
          </cell>
          <cell r="C1061" t="str">
            <v>Usa Wisconsin</v>
          </cell>
          <cell r="D1061" t="str">
            <v>Off-net domestic</v>
          </cell>
          <cell r="E1061" t="str">
            <v>minute</v>
          </cell>
          <cell r="F1061">
            <v>1</v>
          </cell>
          <cell r="G1061">
            <v>1</v>
          </cell>
          <cell r="H1061">
            <v>0</v>
          </cell>
          <cell r="I1061">
            <v>0</v>
          </cell>
          <cell r="J1061">
            <v>1.84E-2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</row>
        <row r="1062">
          <cell r="A1062" t="str">
            <v>DOM USA WYFIX</v>
          </cell>
          <cell r="B1062" t="str">
            <v>Business Talk</v>
          </cell>
          <cell r="C1062" t="str">
            <v>Usa Wyoming</v>
          </cell>
          <cell r="D1062" t="str">
            <v>Off-net domestic</v>
          </cell>
          <cell r="E1062" t="str">
            <v>minute</v>
          </cell>
          <cell r="F1062">
            <v>1</v>
          </cell>
          <cell r="G1062">
            <v>1</v>
          </cell>
          <cell r="H1062">
            <v>0</v>
          </cell>
          <cell r="I1062">
            <v>0</v>
          </cell>
          <cell r="J1062">
            <v>1.84E-2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</row>
        <row r="1063">
          <cell r="A1063" t="str">
            <v>DOM VAT VAFIX</v>
          </cell>
          <cell r="B1063" t="str">
            <v>Business Talk</v>
          </cell>
          <cell r="C1063" t="str">
            <v>Vatican City National</v>
          </cell>
          <cell r="D1063" t="str">
            <v>Off-net domestic</v>
          </cell>
          <cell r="E1063" t="str">
            <v>minute</v>
          </cell>
          <cell r="F1063">
            <v>1</v>
          </cell>
          <cell r="G1063">
            <v>1</v>
          </cell>
          <cell r="H1063">
            <v>0</v>
          </cell>
          <cell r="I1063">
            <v>0</v>
          </cell>
          <cell r="J1063">
            <v>2.1000000000000001E-2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</row>
        <row r="1064">
          <cell r="A1064" t="str">
            <v>DOM VAT VAMOB</v>
          </cell>
          <cell r="B1064" t="str">
            <v>Business Talk</v>
          </cell>
          <cell r="C1064" t="str">
            <v>Vatican City Mobile</v>
          </cell>
          <cell r="D1064" t="str">
            <v>Off-net domestic</v>
          </cell>
          <cell r="E1064" t="str">
            <v>minute</v>
          </cell>
          <cell r="F1064">
            <v>1</v>
          </cell>
          <cell r="G1064">
            <v>1</v>
          </cell>
          <cell r="H1064">
            <v>0</v>
          </cell>
          <cell r="I1064">
            <v>0</v>
          </cell>
          <cell r="J1064">
            <v>2.7400000000000001E-2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</row>
        <row r="1065">
          <cell r="A1065" t="str">
            <v>DOM VIR FIX</v>
          </cell>
          <cell r="B1065" t="str">
            <v>Business Talk</v>
          </cell>
          <cell r="C1065" t="str">
            <v>Virgin Is (Us)</v>
          </cell>
          <cell r="D1065" t="str">
            <v>Off-net domestic</v>
          </cell>
          <cell r="E1065" t="str">
            <v>minute</v>
          </cell>
          <cell r="F1065">
            <v>1</v>
          </cell>
          <cell r="G1065">
            <v>1</v>
          </cell>
          <cell r="H1065">
            <v>0</v>
          </cell>
          <cell r="I1065">
            <v>0</v>
          </cell>
          <cell r="J1065">
            <v>0.16400000000000001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</row>
        <row r="1066">
          <cell r="A1066" t="str">
            <v>INT AFG</v>
          </cell>
          <cell r="B1066" t="str">
            <v>Business Talk</v>
          </cell>
          <cell r="C1066" t="str">
            <v>Afghanistan</v>
          </cell>
          <cell r="D1066" t="str">
            <v>Off-net international</v>
          </cell>
          <cell r="E1066" t="str">
            <v>minute</v>
          </cell>
          <cell r="F1066">
            <v>1</v>
          </cell>
          <cell r="G1066">
            <v>1</v>
          </cell>
          <cell r="H1066">
            <v>1</v>
          </cell>
          <cell r="I1066">
            <v>0</v>
          </cell>
          <cell r="J1066">
            <v>0.33939999999999998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</row>
        <row r="1067">
          <cell r="A1067" t="str">
            <v>INT ALB ALBMO</v>
          </cell>
          <cell r="B1067" t="str">
            <v>Business Talk</v>
          </cell>
          <cell r="C1067" t="str">
            <v>Albania Mobile</v>
          </cell>
          <cell r="D1067" t="str">
            <v>Off-net international</v>
          </cell>
          <cell r="E1067" t="str">
            <v>minute</v>
          </cell>
          <cell r="F1067">
            <v>1</v>
          </cell>
          <cell r="G1067">
            <v>1</v>
          </cell>
          <cell r="H1067">
            <v>1</v>
          </cell>
          <cell r="I1067">
            <v>0</v>
          </cell>
          <cell r="J1067">
            <v>0.49990000000000001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A1068" t="str">
            <v>INT ALB</v>
          </cell>
          <cell r="B1068" t="str">
            <v>Business Talk</v>
          </cell>
          <cell r="C1068" t="str">
            <v>Albania</v>
          </cell>
          <cell r="D1068" t="str">
            <v>Off-net international</v>
          </cell>
          <cell r="E1068" t="str">
            <v>minute</v>
          </cell>
          <cell r="F1068">
            <v>1</v>
          </cell>
          <cell r="G1068">
            <v>1</v>
          </cell>
          <cell r="H1068">
            <v>1</v>
          </cell>
          <cell r="I1068">
            <v>0</v>
          </cell>
          <cell r="J1068">
            <v>0.1527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</row>
        <row r="1069">
          <cell r="A1069" t="str">
            <v>INT DZA DZAMO</v>
          </cell>
          <cell r="B1069" t="str">
            <v>Business Talk</v>
          </cell>
          <cell r="C1069" t="str">
            <v>Algeria Mobile</v>
          </cell>
          <cell r="D1069" t="str">
            <v>Off-net international</v>
          </cell>
          <cell r="E1069" t="str">
            <v>minute</v>
          </cell>
          <cell r="F1069">
            <v>1</v>
          </cell>
          <cell r="G1069">
            <v>1</v>
          </cell>
          <cell r="H1069">
            <v>1</v>
          </cell>
          <cell r="I1069">
            <v>0</v>
          </cell>
          <cell r="J1069">
            <v>0.4617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A1070" t="str">
            <v>INT DZA</v>
          </cell>
          <cell r="B1070" t="str">
            <v>Business Talk</v>
          </cell>
          <cell r="C1070" t="str">
            <v>Algeria</v>
          </cell>
          <cell r="D1070" t="str">
            <v>Off-net international</v>
          </cell>
          <cell r="E1070" t="str">
            <v>minute</v>
          </cell>
          <cell r="F1070">
            <v>1</v>
          </cell>
          <cell r="G1070">
            <v>1</v>
          </cell>
          <cell r="H1070">
            <v>1</v>
          </cell>
          <cell r="I1070">
            <v>0</v>
          </cell>
          <cell r="J1070">
            <v>9.3600000000000003E-2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</row>
        <row r="1071">
          <cell r="A1071" t="str">
            <v>INT ASM</v>
          </cell>
          <cell r="B1071" t="str">
            <v>Business Talk</v>
          </cell>
          <cell r="C1071" t="str">
            <v>American Samoa</v>
          </cell>
          <cell r="D1071" t="str">
            <v>Off-net international</v>
          </cell>
          <cell r="E1071" t="str">
            <v>minute</v>
          </cell>
          <cell r="F1071">
            <v>1</v>
          </cell>
          <cell r="G1071">
            <v>1</v>
          </cell>
          <cell r="H1071">
            <v>1</v>
          </cell>
          <cell r="I1071">
            <v>0</v>
          </cell>
          <cell r="J1071">
            <v>7.1800000000000003E-2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</row>
        <row r="1072">
          <cell r="A1072" t="str">
            <v>INT AND ANDMO</v>
          </cell>
          <cell r="B1072" t="str">
            <v>Business Talk</v>
          </cell>
          <cell r="C1072" t="str">
            <v>Andorra Mobile</v>
          </cell>
          <cell r="D1072" t="str">
            <v>Off-net international</v>
          </cell>
          <cell r="E1072" t="str">
            <v>minute</v>
          </cell>
          <cell r="F1072">
            <v>1</v>
          </cell>
          <cell r="G1072">
            <v>1</v>
          </cell>
          <cell r="H1072">
            <v>1</v>
          </cell>
          <cell r="I1072">
            <v>0</v>
          </cell>
          <cell r="J1072">
            <v>0.24709999999999999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</row>
        <row r="1073">
          <cell r="A1073" t="str">
            <v>INT AND</v>
          </cell>
          <cell r="B1073" t="str">
            <v>Business Talk</v>
          </cell>
          <cell r="C1073" t="str">
            <v>Andorra</v>
          </cell>
          <cell r="D1073" t="str">
            <v>Off-net international</v>
          </cell>
          <cell r="E1073" t="str">
            <v>minute</v>
          </cell>
          <cell r="F1073">
            <v>1</v>
          </cell>
          <cell r="G1073">
            <v>1</v>
          </cell>
          <cell r="H1073">
            <v>1</v>
          </cell>
          <cell r="I1073">
            <v>0</v>
          </cell>
          <cell r="J1073">
            <v>3.2399999999999998E-2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A1074" t="str">
            <v>INT AGO AGOMO</v>
          </cell>
          <cell r="B1074" t="str">
            <v>Business Talk</v>
          </cell>
          <cell r="C1074" t="str">
            <v>Angola Mobile</v>
          </cell>
          <cell r="D1074" t="str">
            <v>Off-net international</v>
          </cell>
          <cell r="E1074" t="str">
            <v>minute</v>
          </cell>
          <cell r="F1074">
            <v>1</v>
          </cell>
          <cell r="G1074">
            <v>1</v>
          </cell>
          <cell r="H1074">
            <v>1</v>
          </cell>
          <cell r="I1074">
            <v>0</v>
          </cell>
          <cell r="J1074">
            <v>0.1268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</row>
        <row r="1075">
          <cell r="A1075" t="str">
            <v>INT AGO</v>
          </cell>
          <cell r="B1075" t="str">
            <v>Business Talk</v>
          </cell>
          <cell r="C1075" t="str">
            <v>Angola</v>
          </cell>
          <cell r="D1075" t="str">
            <v>Off-net international</v>
          </cell>
          <cell r="E1075" t="str">
            <v>minute</v>
          </cell>
          <cell r="F1075">
            <v>1</v>
          </cell>
          <cell r="G1075">
            <v>1</v>
          </cell>
          <cell r="H1075">
            <v>1</v>
          </cell>
          <cell r="I1075">
            <v>0</v>
          </cell>
          <cell r="J1075">
            <v>0.1268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</row>
        <row r="1076">
          <cell r="A1076" t="str">
            <v>INT AIA</v>
          </cell>
          <cell r="B1076" t="str">
            <v>Business Talk</v>
          </cell>
          <cell r="C1076" t="str">
            <v>Anguilla</v>
          </cell>
          <cell r="D1076" t="str">
            <v>Off-net international</v>
          </cell>
          <cell r="E1076" t="str">
            <v>minute</v>
          </cell>
          <cell r="F1076">
            <v>1</v>
          </cell>
          <cell r="G1076">
            <v>1</v>
          </cell>
          <cell r="H1076">
            <v>1</v>
          </cell>
          <cell r="I1076">
            <v>0</v>
          </cell>
          <cell r="J1076">
            <v>0.2928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</row>
        <row r="1077">
          <cell r="A1077" t="str">
            <v>INT ATA</v>
          </cell>
          <cell r="B1077" t="str">
            <v>Business Talk</v>
          </cell>
          <cell r="C1077" t="str">
            <v>Antarctica</v>
          </cell>
          <cell r="D1077" t="str">
            <v>Off-net international</v>
          </cell>
          <cell r="E1077" t="str">
            <v>minute</v>
          </cell>
          <cell r="F1077">
            <v>1</v>
          </cell>
          <cell r="G1077">
            <v>1</v>
          </cell>
          <cell r="H1077">
            <v>1</v>
          </cell>
          <cell r="I1077">
            <v>0</v>
          </cell>
          <cell r="J1077">
            <v>1.1901999999999999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</row>
        <row r="1078">
          <cell r="A1078" t="str">
            <v>INT ATG</v>
          </cell>
          <cell r="B1078" t="str">
            <v>Business Talk</v>
          </cell>
          <cell r="C1078" t="str">
            <v>Antigua &amp; Barbuda</v>
          </cell>
          <cell r="D1078" t="str">
            <v>Off-net international</v>
          </cell>
          <cell r="E1078" t="str">
            <v>minute</v>
          </cell>
          <cell r="F1078">
            <v>1</v>
          </cell>
          <cell r="G1078">
            <v>1</v>
          </cell>
          <cell r="H1078">
            <v>1</v>
          </cell>
          <cell r="I1078">
            <v>0</v>
          </cell>
          <cell r="J1078">
            <v>0.39419999999999999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</row>
        <row r="1079">
          <cell r="A1079" t="str">
            <v>INT ARG ARGMO</v>
          </cell>
          <cell r="B1079" t="str">
            <v>Business Talk</v>
          </cell>
          <cell r="C1079" t="str">
            <v>Argentina Mobile</v>
          </cell>
          <cell r="D1079" t="str">
            <v>Off-net international</v>
          </cell>
          <cell r="E1079" t="str">
            <v>minute</v>
          </cell>
          <cell r="F1079">
            <v>1</v>
          </cell>
          <cell r="G1079">
            <v>1</v>
          </cell>
          <cell r="H1079">
            <v>1</v>
          </cell>
          <cell r="I1079">
            <v>0</v>
          </cell>
          <cell r="J1079">
            <v>0.15229999999999999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</row>
        <row r="1080">
          <cell r="A1080" t="str">
            <v>INT ARG</v>
          </cell>
          <cell r="B1080" t="str">
            <v>Business Talk</v>
          </cell>
          <cell r="C1080" t="str">
            <v>Argentina</v>
          </cell>
          <cell r="D1080" t="str">
            <v>Off-net international</v>
          </cell>
          <cell r="E1080" t="str">
            <v>minute</v>
          </cell>
          <cell r="F1080">
            <v>1</v>
          </cell>
          <cell r="G1080">
            <v>1</v>
          </cell>
          <cell r="H1080">
            <v>1</v>
          </cell>
          <cell r="I1080">
            <v>0</v>
          </cell>
          <cell r="J1080">
            <v>2.3E-2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</row>
        <row r="1081">
          <cell r="A1081" t="str">
            <v>INT ARM ARMMO</v>
          </cell>
          <cell r="B1081" t="str">
            <v>Business Talk</v>
          </cell>
          <cell r="C1081" t="str">
            <v>Armenia Mobile</v>
          </cell>
          <cell r="D1081" t="str">
            <v>Off-net international</v>
          </cell>
          <cell r="E1081" t="str">
            <v>minute</v>
          </cell>
          <cell r="F1081">
            <v>1</v>
          </cell>
          <cell r="G1081">
            <v>1</v>
          </cell>
          <cell r="H1081">
            <v>1</v>
          </cell>
          <cell r="I1081">
            <v>0</v>
          </cell>
          <cell r="J1081">
            <v>0.245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A1082" t="str">
            <v>INT ARM</v>
          </cell>
          <cell r="B1082" t="str">
            <v>Business Talk</v>
          </cell>
          <cell r="C1082" t="str">
            <v>Armenia</v>
          </cell>
          <cell r="D1082" t="str">
            <v>Off-net international</v>
          </cell>
          <cell r="E1082" t="str">
            <v>minute</v>
          </cell>
          <cell r="F1082">
            <v>1</v>
          </cell>
          <cell r="G1082">
            <v>1</v>
          </cell>
          <cell r="H1082">
            <v>1</v>
          </cell>
          <cell r="I1082">
            <v>0</v>
          </cell>
          <cell r="J1082">
            <v>0.16009999999999999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</row>
        <row r="1083">
          <cell r="A1083" t="str">
            <v>INT ABW ABWMO</v>
          </cell>
          <cell r="B1083" t="str">
            <v>Business Talk</v>
          </cell>
          <cell r="C1083" t="str">
            <v>Aruba Mobile</v>
          </cell>
          <cell r="D1083" t="str">
            <v>Off-net international</v>
          </cell>
          <cell r="E1083" t="str">
            <v>minute</v>
          </cell>
          <cell r="F1083">
            <v>1</v>
          </cell>
          <cell r="G1083">
            <v>1</v>
          </cell>
          <cell r="H1083">
            <v>1</v>
          </cell>
          <cell r="I1083">
            <v>0</v>
          </cell>
          <cell r="J1083">
            <v>0.31109999999999999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</row>
        <row r="1084">
          <cell r="A1084" t="str">
            <v>INT ABW</v>
          </cell>
          <cell r="B1084" t="str">
            <v>Business Talk</v>
          </cell>
          <cell r="C1084" t="str">
            <v>Aruba</v>
          </cell>
          <cell r="D1084" t="str">
            <v>Off-net international</v>
          </cell>
          <cell r="E1084" t="str">
            <v>minute</v>
          </cell>
          <cell r="F1084">
            <v>1</v>
          </cell>
          <cell r="G1084">
            <v>1</v>
          </cell>
          <cell r="H1084">
            <v>1</v>
          </cell>
          <cell r="I1084">
            <v>0</v>
          </cell>
          <cell r="J1084">
            <v>0.1472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</row>
        <row r="1085">
          <cell r="A1085" t="str">
            <v>INT AUS AUSMO</v>
          </cell>
          <cell r="B1085" t="str">
            <v>Business Talk</v>
          </cell>
          <cell r="C1085" t="str">
            <v>Australia Mobile</v>
          </cell>
          <cell r="D1085" t="str">
            <v>Off-net international</v>
          </cell>
          <cell r="E1085" t="str">
            <v>minute</v>
          </cell>
          <cell r="F1085">
            <v>1</v>
          </cell>
          <cell r="G1085">
            <v>1</v>
          </cell>
          <cell r="H1085">
            <v>1</v>
          </cell>
          <cell r="I1085">
            <v>0</v>
          </cell>
          <cell r="J1085">
            <v>0.1333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</row>
        <row r="1086">
          <cell r="A1086" t="str">
            <v>INT AUS</v>
          </cell>
          <cell r="B1086" t="str">
            <v>Business Talk</v>
          </cell>
          <cell r="C1086" t="str">
            <v>Australia</v>
          </cell>
          <cell r="D1086" t="str">
            <v>Off-net international</v>
          </cell>
          <cell r="E1086" t="str">
            <v>minute</v>
          </cell>
          <cell r="F1086">
            <v>1</v>
          </cell>
          <cell r="G1086">
            <v>1</v>
          </cell>
          <cell r="H1086">
            <v>1</v>
          </cell>
          <cell r="I1086">
            <v>0</v>
          </cell>
          <cell r="J1086">
            <v>3.0800000000000001E-2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</row>
        <row r="1087">
          <cell r="A1087" t="str">
            <v>INT AUT AUTMO</v>
          </cell>
          <cell r="B1087" t="str">
            <v>Business Talk</v>
          </cell>
          <cell r="C1087" t="str">
            <v>Austria Mobile</v>
          </cell>
          <cell r="D1087" t="str">
            <v>Off-net international</v>
          </cell>
          <cell r="E1087" t="str">
            <v>minute</v>
          </cell>
          <cell r="F1087">
            <v>1</v>
          </cell>
          <cell r="G1087">
            <v>1</v>
          </cell>
          <cell r="H1087">
            <v>1</v>
          </cell>
          <cell r="I1087">
            <v>0</v>
          </cell>
          <cell r="J1087">
            <v>4.3799999999999999E-2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</row>
        <row r="1088">
          <cell r="A1088" t="str">
            <v>INT AUT</v>
          </cell>
          <cell r="B1088" t="str">
            <v>Business Talk</v>
          </cell>
          <cell r="C1088" t="str">
            <v>Austria</v>
          </cell>
          <cell r="D1088" t="str">
            <v>Off-net international</v>
          </cell>
          <cell r="E1088" t="str">
            <v>minute</v>
          </cell>
          <cell r="F1088">
            <v>1</v>
          </cell>
          <cell r="G1088">
            <v>1</v>
          </cell>
          <cell r="H1088">
            <v>1</v>
          </cell>
          <cell r="I1088">
            <v>0</v>
          </cell>
          <cell r="J1088">
            <v>2.7300000000000001E-2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</row>
        <row r="1089">
          <cell r="A1089" t="str">
            <v>INT AUT AU01I</v>
          </cell>
          <cell r="B1089" t="str">
            <v>Business Talk</v>
          </cell>
          <cell r="C1089" t="str">
            <v>Austria Premium</v>
          </cell>
          <cell r="D1089" t="str">
            <v>Off-net international</v>
          </cell>
          <cell r="E1089" t="str">
            <v>minute</v>
          </cell>
          <cell r="F1089">
            <v>1</v>
          </cell>
          <cell r="G1089">
            <v>1</v>
          </cell>
          <cell r="H1089">
            <v>1</v>
          </cell>
          <cell r="I1089">
            <v>0</v>
          </cell>
          <cell r="J1089">
            <v>9.75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</row>
        <row r="1090">
          <cell r="A1090" t="str">
            <v>INT AUT AU212</v>
          </cell>
          <cell r="B1090" t="str">
            <v>Business Talk</v>
          </cell>
          <cell r="C1090" t="str">
            <v>Austria Shared</v>
          </cell>
          <cell r="D1090" t="str">
            <v>Off-net international</v>
          </cell>
          <cell r="E1090" t="str">
            <v>minute</v>
          </cell>
          <cell r="F1090">
            <v>1</v>
          </cell>
          <cell r="G1090">
            <v>1</v>
          </cell>
          <cell r="H1090">
            <v>1</v>
          </cell>
          <cell r="I1090">
            <v>0</v>
          </cell>
          <cell r="J1090">
            <v>0.2167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</row>
        <row r="1091">
          <cell r="A1091" t="str">
            <v>INT AUT AUFRE</v>
          </cell>
          <cell r="B1091" t="str">
            <v>Business Talk</v>
          </cell>
          <cell r="C1091" t="str">
            <v>Austria Toll Free</v>
          </cell>
          <cell r="D1091" t="str">
            <v>Off-net international</v>
          </cell>
          <cell r="E1091" t="str">
            <v>minute</v>
          </cell>
          <cell r="F1091">
            <v>1</v>
          </cell>
          <cell r="G1091">
            <v>1</v>
          </cell>
          <cell r="H1091">
            <v>1</v>
          </cell>
          <cell r="I1091">
            <v>0</v>
          </cell>
          <cell r="J1091">
            <v>2.7300000000000001E-2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</row>
        <row r="1092">
          <cell r="A1092" t="str">
            <v>INT AZE AZEMO</v>
          </cell>
          <cell r="B1092" t="str">
            <v>Business Talk</v>
          </cell>
          <cell r="C1092" t="str">
            <v>Azerbaijan Mobile</v>
          </cell>
          <cell r="D1092" t="str">
            <v>Off-net international</v>
          </cell>
          <cell r="E1092" t="str">
            <v>minute</v>
          </cell>
          <cell r="F1092">
            <v>1</v>
          </cell>
          <cell r="G1092">
            <v>1</v>
          </cell>
          <cell r="H1092">
            <v>1</v>
          </cell>
          <cell r="I1092">
            <v>0</v>
          </cell>
          <cell r="J1092">
            <v>0.53039999999999998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</row>
        <row r="1093">
          <cell r="A1093" t="str">
            <v>INT AZE</v>
          </cell>
          <cell r="B1093" t="str">
            <v>Business Talk</v>
          </cell>
          <cell r="C1093" t="str">
            <v>Azerbaijan</v>
          </cell>
          <cell r="D1093" t="str">
            <v>Off-net international</v>
          </cell>
          <cell r="E1093" t="str">
            <v>minute</v>
          </cell>
          <cell r="F1093">
            <v>1</v>
          </cell>
          <cell r="G1093">
            <v>1</v>
          </cell>
          <cell r="H1093">
            <v>1</v>
          </cell>
          <cell r="I1093">
            <v>0</v>
          </cell>
          <cell r="J1093">
            <v>0.34060000000000001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</row>
        <row r="1094">
          <cell r="A1094" t="str">
            <v>INT PRT AZO</v>
          </cell>
          <cell r="B1094" t="str">
            <v>Business Talk</v>
          </cell>
          <cell r="C1094" t="str">
            <v>Azores</v>
          </cell>
          <cell r="D1094" t="str">
            <v>Off-net international</v>
          </cell>
          <cell r="E1094" t="str">
            <v>minute</v>
          </cell>
          <cell r="F1094">
            <v>1</v>
          </cell>
          <cell r="G1094">
            <v>1</v>
          </cell>
          <cell r="H1094">
            <v>1</v>
          </cell>
          <cell r="I1094">
            <v>0</v>
          </cell>
          <cell r="J1094">
            <v>1.7399999999999999E-2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</row>
        <row r="1095">
          <cell r="A1095" t="str">
            <v>INT BHS</v>
          </cell>
          <cell r="B1095" t="str">
            <v>Business Talk</v>
          </cell>
          <cell r="C1095" t="str">
            <v>Bahamas</v>
          </cell>
          <cell r="D1095" t="str">
            <v>Off-net international</v>
          </cell>
          <cell r="E1095" t="str">
            <v>minute</v>
          </cell>
          <cell r="F1095">
            <v>1</v>
          </cell>
          <cell r="G1095">
            <v>1</v>
          </cell>
          <cell r="H1095">
            <v>1</v>
          </cell>
          <cell r="I1095">
            <v>0</v>
          </cell>
          <cell r="J1095">
            <v>0.25280000000000002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</row>
        <row r="1096">
          <cell r="A1096" t="str">
            <v>INT BHR</v>
          </cell>
          <cell r="B1096" t="str">
            <v>Business Talk</v>
          </cell>
          <cell r="C1096" t="str">
            <v>Bahrain</v>
          </cell>
          <cell r="D1096" t="str">
            <v>Off-net international</v>
          </cell>
          <cell r="E1096" t="str">
            <v>minute</v>
          </cell>
          <cell r="F1096">
            <v>1</v>
          </cell>
          <cell r="G1096">
            <v>1</v>
          </cell>
          <cell r="H1096">
            <v>1</v>
          </cell>
          <cell r="I1096">
            <v>0</v>
          </cell>
          <cell r="J1096">
            <v>0.1193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</row>
        <row r="1097">
          <cell r="A1097" t="str">
            <v>INT BGH BGHMO</v>
          </cell>
          <cell r="B1097" t="str">
            <v>Business Talk</v>
          </cell>
          <cell r="C1097" t="str">
            <v>Bangladesh Mobile</v>
          </cell>
          <cell r="D1097" t="str">
            <v>Off-net international</v>
          </cell>
          <cell r="E1097" t="str">
            <v>minute</v>
          </cell>
          <cell r="F1097">
            <v>1</v>
          </cell>
          <cell r="G1097">
            <v>1</v>
          </cell>
          <cell r="H1097">
            <v>1</v>
          </cell>
          <cell r="I1097">
            <v>0</v>
          </cell>
          <cell r="J1097">
            <v>6.3700000000000007E-2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</row>
        <row r="1098">
          <cell r="A1098" t="str">
            <v>INT BGH</v>
          </cell>
          <cell r="B1098" t="str">
            <v>Business Talk</v>
          </cell>
          <cell r="C1098" t="str">
            <v>Bangladesh</v>
          </cell>
          <cell r="D1098" t="str">
            <v>Off-net international</v>
          </cell>
          <cell r="E1098" t="str">
            <v>minute</v>
          </cell>
          <cell r="F1098">
            <v>1</v>
          </cell>
          <cell r="G1098">
            <v>1</v>
          </cell>
          <cell r="H1098">
            <v>1</v>
          </cell>
          <cell r="I1098">
            <v>0</v>
          </cell>
          <cell r="J1098">
            <v>6.2399999999999997E-2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</row>
        <row r="1099">
          <cell r="A1099" t="str">
            <v>INT BRB</v>
          </cell>
          <cell r="B1099" t="str">
            <v>Business Talk</v>
          </cell>
          <cell r="C1099" t="str">
            <v>Barbados</v>
          </cell>
          <cell r="D1099" t="str">
            <v>Off-net international</v>
          </cell>
          <cell r="E1099" t="str">
            <v>minute</v>
          </cell>
          <cell r="F1099">
            <v>1</v>
          </cell>
          <cell r="G1099">
            <v>1</v>
          </cell>
          <cell r="H1099">
            <v>1</v>
          </cell>
          <cell r="I1099">
            <v>0</v>
          </cell>
          <cell r="J1099">
            <v>0.32369999999999999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</row>
        <row r="1100">
          <cell r="A1100" t="str">
            <v>INT BLR BLRMO</v>
          </cell>
          <cell r="B1100" t="str">
            <v>Business Talk</v>
          </cell>
          <cell r="C1100" t="str">
            <v>Belarus Mobile</v>
          </cell>
          <cell r="D1100" t="str">
            <v>Off-net international</v>
          </cell>
          <cell r="E1100" t="str">
            <v>minute</v>
          </cell>
          <cell r="F1100">
            <v>1</v>
          </cell>
          <cell r="G1100">
            <v>1</v>
          </cell>
          <cell r="H1100">
            <v>1</v>
          </cell>
          <cell r="I1100">
            <v>0</v>
          </cell>
          <cell r="J1100">
            <v>0.43619999999999998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</row>
        <row r="1101">
          <cell r="A1101" t="str">
            <v>INT BLR</v>
          </cell>
          <cell r="B1101" t="str">
            <v>Business Talk</v>
          </cell>
          <cell r="C1101" t="str">
            <v>Belarus</v>
          </cell>
          <cell r="D1101" t="str">
            <v>Off-net international</v>
          </cell>
          <cell r="E1101" t="str">
            <v>minute</v>
          </cell>
          <cell r="F1101">
            <v>1</v>
          </cell>
          <cell r="G1101">
            <v>1</v>
          </cell>
          <cell r="H1101">
            <v>1</v>
          </cell>
          <cell r="I1101">
            <v>0</v>
          </cell>
          <cell r="J1101">
            <v>0.39019999999999999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</row>
        <row r="1102">
          <cell r="A1102" t="str">
            <v>INT BEL BELMO</v>
          </cell>
          <cell r="B1102" t="str">
            <v>Business Talk</v>
          </cell>
          <cell r="C1102" t="str">
            <v>Belgium Mobile</v>
          </cell>
          <cell r="D1102" t="str">
            <v>Off-net international</v>
          </cell>
          <cell r="E1102" t="str">
            <v>minute</v>
          </cell>
          <cell r="F1102">
            <v>1</v>
          </cell>
          <cell r="G1102">
            <v>1</v>
          </cell>
          <cell r="H1102">
            <v>1</v>
          </cell>
          <cell r="I1102">
            <v>0</v>
          </cell>
          <cell r="J1102">
            <v>2.5999999999999999E-2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</row>
        <row r="1103">
          <cell r="A1103" t="str">
            <v>INT BEL BELMB</v>
          </cell>
          <cell r="B1103" t="str">
            <v>Business Talk</v>
          </cell>
          <cell r="C1103" t="str">
            <v>Belgium Mobile Mobistar</v>
          </cell>
          <cell r="D1103" t="str">
            <v>Off-net international</v>
          </cell>
          <cell r="E1103" t="str">
            <v>minute</v>
          </cell>
          <cell r="F1103">
            <v>1</v>
          </cell>
          <cell r="G1103">
            <v>1</v>
          </cell>
          <cell r="H1103">
            <v>1</v>
          </cell>
          <cell r="I1103">
            <v>0</v>
          </cell>
          <cell r="J1103">
            <v>2.5999999999999999E-2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</row>
        <row r="1104">
          <cell r="A1104" t="str">
            <v>INT BEL</v>
          </cell>
          <cell r="B1104" t="str">
            <v>Business Talk</v>
          </cell>
          <cell r="C1104" t="str">
            <v>Belgium</v>
          </cell>
          <cell r="D1104" t="str">
            <v>Off-net international</v>
          </cell>
          <cell r="E1104" t="str">
            <v>minute</v>
          </cell>
          <cell r="F1104">
            <v>1</v>
          </cell>
          <cell r="G1104">
            <v>1</v>
          </cell>
          <cell r="H1104">
            <v>1</v>
          </cell>
          <cell r="I1104">
            <v>0</v>
          </cell>
          <cell r="J1104">
            <v>2.1600000000000001E-2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</row>
        <row r="1105">
          <cell r="A1105" t="str">
            <v>INT BEL PRM9</v>
          </cell>
          <cell r="B1105" t="str">
            <v>Business Talk</v>
          </cell>
          <cell r="C1105" t="str">
            <v>Belgium Premium Rate</v>
          </cell>
          <cell r="D1105" t="str">
            <v>Off-net international</v>
          </cell>
          <cell r="E1105" t="str">
            <v>minute</v>
          </cell>
          <cell r="F1105">
            <v>1</v>
          </cell>
          <cell r="G1105">
            <v>1</v>
          </cell>
          <cell r="H1105">
            <v>1</v>
          </cell>
          <cell r="I1105">
            <v>0</v>
          </cell>
          <cell r="J1105">
            <v>33.695500000000003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</row>
        <row r="1106">
          <cell r="A1106" t="str">
            <v>INT BEL SCS</v>
          </cell>
          <cell r="B1106" t="str">
            <v>Business Talk</v>
          </cell>
          <cell r="C1106" t="str">
            <v>Belgium Shared Cost Services</v>
          </cell>
          <cell r="D1106" t="str">
            <v>Off-net international</v>
          </cell>
          <cell r="E1106" t="str">
            <v>minute</v>
          </cell>
          <cell r="F1106">
            <v>1</v>
          </cell>
          <cell r="G1106">
            <v>1</v>
          </cell>
          <cell r="H1106">
            <v>1</v>
          </cell>
          <cell r="I1106">
            <v>0</v>
          </cell>
          <cell r="J1106">
            <v>2.5999999999999999E-2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</row>
        <row r="1107">
          <cell r="A1107" t="str">
            <v>INT BEL DTFN</v>
          </cell>
          <cell r="B1107" t="str">
            <v>Business Talk</v>
          </cell>
          <cell r="C1107" t="str">
            <v>Belgium Toll Free</v>
          </cell>
          <cell r="D1107" t="str">
            <v>Off-net international</v>
          </cell>
          <cell r="E1107" t="str">
            <v>minute</v>
          </cell>
          <cell r="F1107">
            <v>1</v>
          </cell>
          <cell r="G1107">
            <v>1</v>
          </cell>
          <cell r="H1107">
            <v>1</v>
          </cell>
          <cell r="I1107">
            <v>0</v>
          </cell>
          <cell r="J1107">
            <v>2.1600000000000001E-2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</row>
        <row r="1108">
          <cell r="A1108" t="str">
            <v>INT BLZ BLZMO</v>
          </cell>
          <cell r="B1108" t="str">
            <v>Business Talk</v>
          </cell>
          <cell r="C1108" t="str">
            <v>Belize Mobile</v>
          </cell>
          <cell r="D1108" t="str">
            <v>Off-net international</v>
          </cell>
          <cell r="E1108" t="str">
            <v>minute</v>
          </cell>
          <cell r="F1108">
            <v>1</v>
          </cell>
          <cell r="G1108">
            <v>1</v>
          </cell>
          <cell r="H1108">
            <v>1</v>
          </cell>
          <cell r="I1108">
            <v>0</v>
          </cell>
          <cell r="J1108">
            <v>0.36009999999999998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</row>
        <row r="1109">
          <cell r="A1109" t="str">
            <v>INT BLZ</v>
          </cell>
          <cell r="B1109" t="str">
            <v>Business Talk</v>
          </cell>
          <cell r="C1109" t="str">
            <v>Belize</v>
          </cell>
          <cell r="D1109" t="str">
            <v>Off-net international</v>
          </cell>
          <cell r="E1109" t="str">
            <v>minute</v>
          </cell>
          <cell r="F1109">
            <v>1</v>
          </cell>
          <cell r="G1109">
            <v>1</v>
          </cell>
          <cell r="H1109">
            <v>1</v>
          </cell>
          <cell r="I1109">
            <v>0</v>
          </cell>
          <cell r="J1109">
            <v>0.36009999999999998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</row>
        <row r="1110">
          <cell r="A1110" t="str">
            <v>INT BEN BENMO</v>
          </cell>
          <cell r="B1110" t="str">
            <v>Business Talk</v>
          </cell>
          <cell r="C1110" t="str">
            <v>Benin Mobile</v>
          </cell>
          <cell r="D1110" t="str">
            <v>Off-net international</v>
          </cell>
          <cell r="E1110" t="str">
            <v>minute</v>
          </cell>
          <cell r="F1110">
            <v>1</v>
          </cell>
          <cell r="G1110">
            <v>1</v>
          </cell>
          <cell r="H1110">
            <v>1</v>
          </cell>
          <cell r="I1110">
            <v>0</v>
          </cell>
          <cell r="J1110">
            <v>0.30620000000000003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</row>
        <row r="1111">
          <cell r="A1111" t="str">
            <v>INT BEN</v>
          </cell>
          <cell r="B1111" t="str">
            <v>Business Talk</v>
          </cell>
          <cell r="C1111" t="str">
            <v>Benin</v>
          </cell>
          <cell r="D1111" t="str">
            <v>Off-net international</v>
          </cell>
          <cell r="E1111" t="str">
            <v>minute</v>
          </cell>
          <cell r="F1111">
            <v>1</v>
          </cell>
          <cell r="G1111">
            <v>1</v>
          </cell>
          <cell r="H1111">
            <v>1</v>
          </cell>
          <cell r="I1111">
            <v>0</v>
          </cell>
          <cell r="J1111">
            <v>0.30620000000000003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</row>
        <row r="1112">
          <cell r="A1112" t="str">
            <v>INT BMU</v>
          </cell>
          <cell r="B1112" t="str">
            <v>Business Talk</v>
          </cell>
          <cell r="C1112" t="str">
            <v>Bermuda</v>
          </cell>
          <cell r="D1112" t="str">
            <v>Off-net international</v>
          </cell>
          <cell r="E1112" t="str">
            <v>minute</v>
          </cell>
          <cell r="F1112">
            <v>1</v>
          </cell>
          <cell r="G1112">
            <v>1</v>
          </cell>
          <cell r="H1112">
            <v>1</v>
          </cell>
          <cell r="I1112">
            <v>0</v>
          </cell>
          <cell r="J1112">
            <v>6.7699999999999996E-2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</row>
        <row r="1113">
          <cell r="A1113" t="str">
            <v>INT BTN</v>
          </cell>
          <cell r="B1113" t="str">
            <v>Business Talk</v>
          </cell>
          <cell r="C1113" t="str">
            <v>Bhutan</v>
          </cell>
          <cell r="D1113" t="str">
            <v>Off-net international</v>
          </cell>
          <cell r="E1113" t="str">
            <v>minute</v>
          </cell>
          <cell r="F1113">
            <v>1</v>
          </cell>
          <cell r="G1113">
            <v>1</v>
          </cell>
          <cell r="H1113">
            <v>1</v>
          </cell>
          <cell r="I1113">
            <v>0</v>
          </cell>
          <cell r="J1113">
            <v>0.1447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</row>
        <row r="1114">
          <cell r="A1114" t="str">
            <v>INT BOL BOLMO</v>
          </cell>
          <cell r="B1114" t="str">
            <v>Business Talk</v>
          </cell>
          <cell r="C1114" t="str">
            <v>Bolivia Mobile</v>
          </cell>
          <cell r="D1114" t="str">
            <v>Off-net international</v>
          </cell>
          <cell r="E1114" t="str">
            <v>minute</v>
          </cell>
          <cell r="F1114">
            <v>1</v>
          </cell>
          <cell r="G1114">
            <v>1</v>
          </cell>
          <cell r="H1114">
            <v>1</v>
          </cell>
          <cell r="I1114">
            <v>0</v>
          </cell>
          <cell r="J1114">
            <v>0.2316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A1115" t="str">
            <v>INT BOL</v>
          </cell>
          <cell r="B1115" t="str">
            <v>Business Talk</v>
          </cell>
          <cell r="C1115" t="str">
            <v>Bolivia</v>
          </cell>
          <cell r="D1115" t="str">
            <v>Off-net international</v>
          </cell>
          <cell r="E1115" t="str">
            <v>minute</v>
          </cell>
          <cell r="F1115">
            <v>1</v>
          </cell>
          <cell r="G1115">
            <v>1</v>
          </cell>
          <cell r="H1115">
            <v>1</v>
          </cell>
          <cell r="I1115">
            <v>0</v>
          </cell>
          <cell r="J1115">
            <v>0.1915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</row>
        <row r="1116">
          <cell r="A1116" t="str">
            <v>INT BES BESMO</v>
          </cell>
          <cell r="B1116" t="str">
            <v>Business Talk</v>
          </cell>
          <cell r="C1116" t="str">
            <v>Bonaire St Eust Saba Mobile</v>
          </cell>
          <cell r="D1116" t="str">
            <v>Off-net international</v>
          </cell>
          <cell r="E1116" t="str">
            <v>minute</v>
          </cell>
          <cell r="F1116">
            <v>1</v>
          </cell>
          <cell r="G1116">
            <v>1</v>
          </cell>
          <cell r="H1116">
            <v>1</v>
          </cell>
          <cell r="I1116">
            <v>0</v>
          </cell>
          <cell r="J1116">
            <v>0.19070000000000001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</row>
        <row r="1117">
          <cell r="A1117" t="str">
            <v>INT BES</v>
          </cell>
          <cell r="B1117" t="str">
            <v>Business Talk</v>
          </cell>
          <cell r="C1117" t="str">
            <v>Bonaire St Eust Saba</v>
          </cell>
          <cell r="D1117" t="str">
            <v>Off-net international</v>
          </cell>
          <cell r="E1117" t="str">
            <v>minute</v>
          </cell>
          <cell r="F1117">
            <v>1</v>
          </cell>
          <cell r="G1117">
            <v>1</v>
          </cell>
          <cell r="H1117">
            <v>1</v>
          </cell>
          <cell r="I1117">
            <v>0</v>
          </cell>
          <cell r="J1117">
            <v>0.19070000000000001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</row>
        <row r="1118">
          <cell r="A1118" t="str">
            <v>INT BIH BIHMO</v>
          </cell>
          <cell r="B1118" t="str">
            <v>Business Talk</v>
          </cell>
          <cell r="C1118" t="str">
            <v>Bosnia &amp; Herzegovina Mobile</v>
          </cell>
          <cell r="D1118" t="str">
            <v>Off-net international</v>
          </cell>
          <cell r="E1118" t="str">
            <v>minute</v>
          </cell>
          <cell r="F1118">
            <v>1</v>
          </cell>
          <cell r="G1118">
            <v>1</v>
          </cell>
          <cell r="H1118">
            <v>1</v>
          </cell>
          <cell r="I1118">
            <v>0</v>
          </cell>
          <cell r="J1118">
            <v>0.4778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</row>
        <row r="1119">
          <cell r="A1119" t="str">
            <v>INT BIH</v>
          </cell>
          <cell r="B1119" t="str">
            <v>Business Talk</v>
          </cell>
          <cell r="C1119" t="str">
            <v>Bosnia &amp; Herzegovina</v>
          </cell>
          <cell r="D1119" t="str">
            <v>Off-net international</v>
          </cell>
          <cell r="E1119" t="str">
            <v>minute</v>
          </cell>
          <cell r="F1119">
            <v>1</v>
          </cell>
          <cell r="G1119">
            <v>1</v>
          </cell>
          <cell r="H1119">
            <v>1</v>
          </cell>
          <cell r="I1119">
            <v>0</v>
          </cell>
          <cell r="J1119">
            <v>0.18229999999999999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</row>
        <row r="1120">
          <cell r="A1120" t="str">
            <v>INT BWA BWAMO</v>
          </cell>
          <cell r="B1120" t="str">
            <v>Business Talk</v>
          </cell>
          <cell r="C1120" t="str">
            <v>Botswana Mobile</v>
          </cell>
          <cell r="D1120" t="str">
            <v>Off-net international</v>
          </cell>
          <cell r="E1120" t="str">
            <v>minute</v>
          </cell>
          <cell r="F1120">
            <v>1</v>
          </cell>
          <cell r="G1120">
            <v>1</v>
          </cell>
          <cell r="H1120">
            <v>1</v>
          </cell>
          <cell r="I1120">
            <v>0</v>
          </cell>
          <cell r="J1120">
            <v>0.3075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</row>
        <row r="1121">
          <cell r="A1121" t="str">
            <v>INT BWA</v>
          </cell>
          <cell r="B1121" t="str">
            <v>Business Talk</v>
          </cell>
          <cell r="C1121" t="str">
            <v>Botswana</v>
          </cell>
          <cell r="D1121" t="str">
            <v>Off-net international</v>
          </cell>
          <cell r="E1121" t="str">
            <v>minute</v>
          </cell>
          <cell r="F1121">
            <v>1</v>
          </cell>
          <cell r="G1121">
            <v>1</v>
          </cell>
          <cell r="H1121">
            <v>1</v>
          </cell>
          <cell r="I1121">
            <v>0</v>
          </cell>
          <cell r="J1121">
            <v>9.7299999999999998E-2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A1122" t="str">
            <v>INT BRA BRAMO</v>
          </cell>
          <cell r="B1122" t="str">
            <v>Business Talk</v>
          </cell>
          <cell r="C1122" t="str">
            <v>Brazil Mobile</v>
          </cell>
          <cell r="D1122" t="str">
            <v>Off-net international</v>
          </cell>
          <cell r="E1122" t="str">
            <v>minute</v>
          </cell>
          <cell r="F1122">
            <v>1</v>
          </cell>
          <cell r="G1122">
            <v>1</v>
          </cell>
          <cell r="H1122">
            <v>1</v>
          </cell>
          <cell r="I1122">
            <v>0</v>
          </cell>
          <cell r="J1122">
            <v>0.2944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</row>
        <row r="1123">
          <cell r="A1123" t="str">
            <v>INT BRA</v>
          </cell>
          <cell r="B1123" t="str">
            <v>Business Talk</v>
          </cell>
          <cell r="C1123" t="str">
            <v>Brazil</v>
          </cell>
          <cell r="D1123" t="str">
            <v>Off-net international</v>
          </cell>
          <cell r="E1123" t="str">
            <v>minute</v>
          </cell>
          <cell r="F1123">
            <v>1</v>
          </cell>
          <cell r="G1123">
            <v>1</v>
          </cell>
          <cell r="H1123">
            <v>1</v>
          </cell>
          <cell r="I1123">
            <v>0</v>
          </cell>
          <cell r="J1123">
            <v>4.2200000000000001E-2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</row>
        <row r="1124">
          <cell r="A1124" t="str">
            <v>INT BRN</v>
          </cell>
          <cell r="B1124" t="str">
            <v>Business Talk</v>
          </cell>
          <cell r="C1124" t="str">
            <v>Brunei</v>
          </cell>
          <cell r="D1124" t="str">
            <v>Off-net international</v>
          </cell>
          <cell r="E1124" t="str">
            <v>minute</v>
          </cell>
          <cell r="F1124">
            <v>1</v>
          </cell>
          <cell r="G1124">
            <v>1</v>
          </cell>
          <cell r="H1124">
            <v>1</v>
          </cell>
          <cell r="I1124">
            <v>0</v>
          </cell>
          <cell r="J1124">
            <v>7.1999999999999995E-2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</row>
        <row r="1125">
          <cell r="A1125" t="str">
            <v>INT BGR BGRMO</v>
          </cell>
          <cell r="B1125" t="str">
            <v>Business Talk</v>
          </cell>
          <cell r="C1125" t="str">
            <v>Bulgaria Mobile</v>
          </cell>
          <cell r="D1125" t="str">
            <v>Off-net international</v>
          </cell>
          <cell r="E1125" t="str">
            <v>minute</v>
          </cell>
          <cell r="F1125">
            <v>1</v>
          </cell>
          <cell r="G1125">
            <v>1</v>
          </cell>
          <cell r="H1125">
            <v>1</v>
          </cell>
          <cell r="I1125">
            <v>0</v>
          </cell>
          <cell r="J1125">
            <v>8.8300000000000003E-2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A1126" t="str">
            <v>INT BGR</v>
          </cell>
          <cell r="B1126" t="str">
            <v>Business Talk</v>
          </cell>
          <cell r="C1126" t="str">
            <v>Bulgaria</v>
          </cell>
          <cell r="D1126" t="str">
            <v>Off-net international</v>
          </cell>
          <cell r="E1126" t="str">
            <v>minute</v>
          </cell>
          <cell r="F1126">
            <v>1</v>
          </cell>
          <cell r="G1126">
            <v>1</v>
          </cell>
          <cell r="H1126">
            <v>1</v>
          </cell>
          <cell r="I1126">
            <v>0</v>
          </cell>
          <cell r="J1126">
            <v>2.1499999999999998E-2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</row>
        <row r="1127">
          <cell r="A1127" t="str">
            <v>INT BFA BFAMO</v>
          </cell>
          <cell r="B1127" t="str">
            <v>Business Talk</v>
          </cell>
          <cell r="C1127" t="str">
            <v>Burkina Faso Mobile</v>
          </cell>
          <cell r="D1127" t="str">
            <v>Off-net international</v>
          </cell>
          <cell r="E1127" t="str">
            <v>minute</v>
          </cell>
          <cell r="F1127">
            <v>1</v>
          </cell>
          <cell r="G1127">
            <v>1</v>
          </cell>
          <cell r="H1127">
            <v>1</v>
          </cell>
          <cell r="I1127">
            <v>0</v>
          </cell>
          <cell r="J1127">
            <v>0.38890000000000002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</row>
        <row r="1128">
          <cell r="A1128" t="str">
            <v>INT BFA</v>
          </cell>
          <cell r="B1128" t="str">
            <v>Business Talk</v>
          </cell>
          <cell r="C1128" t="str">
            <v>Burkina Faso</v>
          </cell>
          <cell r="D1128" t="str">
            <v>Off-net international</v>
          </cell>
          <cell r="E1128" t="str">
            <v>minute</v>
          </cell>
          <cell r="F1128">
            <v>1</v>
          </cell>
          <cell r="G1128">
            <v>1</v>
          </cell>
          <cell r="H1128">
            <v>1</v>
          </cell>
          <cell r="I1128">
            <v>0</v>
          </cell>
          <cell r="J1128">
            <v>0.29909999999999998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</row>
        <row r="1129">
          <cell r="A1129" t="str">
            <v>INT BDI BDIMO</v>
          </cell>
          <cell r="B1129" t="str">
            <v>Business Talk</v>
          </cell>
          <cell r="C1129" t="str">
            <v>Burundi Mobile</v>
          </cell>
          <cell r="D1129" t="str">
            <v>Off-net international</v>
          </cell>
          <cell r="E1129" t="str">
            <v>minute</v>
          </cell>
          <cell r="F1129">
            <v>1</v>
          </cell>
          <cell r="G1129">
            <v>1</v>
          </cell>
          <cell r="H1129">
            <v>1</v>
          </cell>
          <cell r="I1129">
            <v>0</v>
          </cell>
          <cell r="J1129">
            <v>0.2339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A1130" t="str">
            <v>INT BDI</v>
          </cell>
          <cell r="B1130" t="str">
            <v>Business Talk</v>
          </cell>
          <cell r="C1130" t="str">
            <v>Burundi</v>
          </cell>
          <cell r="D1130" t="str">
            <v>Off-net international</v>
          </cell>
          <cell r="E1130" t="str">
            <v>minute</v>
          </cell>
          <cell r="F1130">
            <v>1</v>
          </cell>
          <cell r="G1130">
            <v>1</v>
          </cell>
          <cell r="H1130">
            <v>1</v>
          </cell>
          <cell r="I1130">
            <v>0</v>
          </cell>
          <cell r="J1130">
            <v>0.161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</row>
        <row r="1131">
          <cell r="A1131" t="str">
            <v>INT KHM</v>
          </cell>
          <cell r="B1131" t="str">
            <v>Business Talk</v>
          </cell>
          <cell r="C1131" t="str">
            <v>Cambodia</v>
          </cell>
          <cell r="D1131" t="str">
            <v>Off-net international</v>
          </cell>
          <cell r="E1131" t="str">
            <v>minute</v>
          </cell>
          <cell r="F1131">
            <v>1</v>
          </cell>
          <cell r="G1131">
            <v>1</v>
          </cell>
          <cell r="H1131">
            <v>1</v>
          </cell>
          <cell r="I1131">
            <v>0</v>
          </cell>
          <cell r="J1131">
            <v>5.8799999999999998E-2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</row>
        <row r="1132">
          <cell r="A1132" t="str">
            <v>INT CMR CMRMO</v>
          </cell>
          <cell r="B1132" t="str">
            <v>Business Talk</v>
          </cell>
          <cell r="C1132" t="str">
            <v>Cameroon Mobile</v>
          </cell>
          <cell r="D1132" t="str">
            <v>Off-net international</v>
          </cell>
          <cell r="E1132" t="str">
            <v>minute</v>
          </cell>
          <cell r="F1132">
            <v>1</v>
          </cell>
          <cell r="G1132">
            <v>1</v>
          </cell>
          <cell r="H1132">
            <v>1</v>
          </cell>
          <cell r="I1132">
            <v>0</v>
          </cell>
          <cell r="J1132">
            <v>0.34060000000000001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</row>
        <row r="1133">
          <cell r="A1133" t="str">
            <v>INT CMR</v>
          </cell>
          <cell r="B1133" t="str">
            <v>Business Talk</v>
          </cell>
          <cell r="C1133" t="str">
            <v>Cameroon</v>
          </cell>
          <cell r="D1133" t="str">
            <v>Off-net international</v>
          </cell>
          <cell r="E1133" t="str">
            <v>minute</v>
          </cell>
          <cell r="F1133">
            <v>1</v>
          </cell>
          <cell r="G1133">
            <v>1</v>
          </cell>
          <cell r="H1133">
            <v>1</v>
          </cell>
          <cell r="I1133">
            <v>0</v>
          </cell>
          <cell r="J1133">
            <v>0.2233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</row>
        <row r="1134">
          <cell r="A1134" t="str">
            <v>INT CAN</v>
          </cell>
          <cell r="B1134" t="str">
            <v>Business Talk</v>
          </cell>
          <cell r="C1134" t="str">
            <v>Canada</v>
          </cell>
          <cell r="D1134" t="str">
            <v>Off-net international</v>
          </cell>
          <cell r="E1134" t="str">
            <v>minute</v>
          </cell>
          <cell r="F1134">
            <v>1</v>
          </cell>
          <cell r="G1134">
            <v>1</v>
          </cell>
          <cell r="H1134">
            <v>1</v>
          </cell>
          <cell r="I1134">
            <v>0</v>
          </cell>
          <cell r="J1134">
            <v>1.9900000000000001E-2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A1135" t="str">
            <v>INT ESP CNY</v>
          </cell>
          <cell r="B1135" t="str">
            <v>Business Talk</v>
          </cell>
          <cell r="C1135" t="str">
            <v>Canary Is</v>
          </cell>
          <cell r="D1135" t="str">
            <v>Off-net international</v>
          </cell>
          <cell r="E1135" t="str">
            <v>minute</v>
          </cell>
          <cell r="F1135">
            <v>1</v>
          </cell>
          <cell r="G1135">
            <v>1</v>
          </cell>
          <cell r="H1135">
            <v>1</v>
          </cell>
          <cell r="I1135">
            <v>0</v>
          </cell>
          <cell r="J1135">
            <v>1.7299999999999999E-2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</row>
        <row r="1136">
          <cell r="A1136" t="str">
            <v>INT CPV</v>
          </cell>
          <cell r="B1136" t="str">
            <v>Business Talk</v>
          </cell>
          <cell r="C1136" t="str">
            <v>Cape Verde</v>
          </cell>
          <cell r="D1136" t="str">
            <v>Off-net international</v>
          </cell>
          <cell r="E1136" t="str">
            <v>minute</v>
          </cell>
          <cell r="F1136">
            <v>1</v>
          </cell>
          <cell r="G1136">
            <v>1</v>
          </cell>
          <cell r="H1136">
            <v>1</v>
          </cell>
          <cell r="I1136">
            <v>0</v>
          </cell>
          <cell r="J1136">
            <v>0.36919999999999997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</row>
        <row r="1137">
          <cell r="A1137" t="str">
            <v>INT CYM</v>
          </cell>
          <cell r="B1137" t="str">
            <v>Business Talk</v>
          </cell>
          <cell r="C1137" t="str">
            <v>Cayman Is</v>
          </cell>
          <cell r="D1137" t="str">
            <v>Off-net international</v>
          </cell>
          <cell r="E1137" t="str">
            <v>minute</v>
          </cell>
          <cell r="F1137">
            <v>1</v>
          </cell>
          <cell r="G1137">
            <v>1</v>
          </cell>
          <cell r="H1137">
            <v>1</v>
          </cell>
          <cell r="I1137">
            <v>0</v>
          </cell>
          <cell r="J1137">
            <v>0.26960000000000001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</row>
        <row r="1138">
          <cell r="A1138" t="str">
            <v>INT CAF</v>
          </cell>
          <cell r="B1138" t="str">
            <v>Business Talk</v>
          </cell>
          <cell r="C1138" t="str">
            <v>Central African Republic</v>
          </cell>
          <cell r="D1138" t="str">
            <v>Off-net international</v>
          </cell>
          <cell r="E1138" t="str">
            <v>minute</v>
          </cell>
          <cell r="F1138">
            <v>1</v>
          </cell>
          <cell r="G1138">
            <v>1</v>
          </cell>
          <cell r="H1138">
            <v>1</v>
          </cell>
          <cell r="I1138">
            <v>0</v>
          </cell>
          <cell r="J1138">
            <v>0.55220000000000002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A1139" t="str">
            <v>INT TCD</v>
          </cell>
          <cell r="B1139" t="str">
            <v>Business Talk</v>
          </cell>
          <cell r="C1139" t="str">
            <v>Chad</v>
          </cell>
          <cell r="D1139" t="str">
            <v>Off-net international</v>
          </cell>
          <cell r="E1139" t="str">
            <v>minute</v>
          </cell>
          <cell r="F1139">
            <v>1</v>
          </cell>
          <cell r="G1139">
            <v>1</v>
          </cell>
          <cell r="H1139">
            <v>1</v>
          </cell>
          <cell r="I1139">
            <v>0</v>
          </cell>
          <cell r="J1139">
            <v>0.59040000000000004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A1140" t="str">
            <v>INT CHL CHLMO</v>
          </cell>
          <cell r="B1140" t="str">
            <v>Business Talk</v>
          </cell>
          <cell r="C1140" t="str">
            <v>Chile Mobile</v>
          </cell>
          <cell r="D1140" t="str">
            <v>Off-net international</v>
          </cell>
          <cell r="E1140" t="str">
            <v>minute</v>
          </cell>
          <cell r="F1140">
            <v>1</v>
          </cell>
          <cell r="G1140">
            <v>1</v>
          </cell>
          <cell r="H1140">
            <v>1</v>
          </cell>
          <cell r="I1140">
            <v>0</v>
          </cell>
          <cell r="J1140">
            <v>0.2767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</row>
        <row r="1141">
          <cell r="A1141" t="str">
            <v>INT CHL</v>
          </cell>
          <cell r="B1141" t="str">
            <v>Business Talk</v>
          </cell>
          <cell r="C1141" t="str">
            <v>Chile</v>
          </cell>
          <cell r="D1141" t="str">
            <v>Off-net international</v>
          </cell>
          <cell r="E1141" t="str">
            <v>minute</v>
          </cell>
          <cell r="F1141">
            <v>1</v>
          </cell>
          <cell r="G1141">
            <v>1</v>
          </cell>
          <cell r="H1141">
            <v>1</v>
          </cell>
          <cell r="I1141">
            <v>0</v>
          </cell>
          <cell r="J1141">
            <v>0.11210000000000001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A1142" t="str">
            <v>INT CHN CHNMO</v>
          </cell>
          <cell r="B1142" t="str">
            <v>Business Talk</v>
          </cell>
          <cell r="C1142" t="str">
            <v>China Mobile</v>
          </cell>
          <cell r="D1142" t="str">
            <v>Off-net international</v>
          </cell>
          <cell r="E1142" t="str">
            <v>minute</v>
          </cell>
          <cell r="F1142">
            <v>1</v>
          </cell>
          <cell r="G1142">
            <v>1</v>
          </cell>
          <cell r="H1142">
            <v>1</v>
          </cell>
          <cell r="I1142">
            <v>0</v>
          </cell>
          <cell r="J1142">
            <v>2.6700000000000002E-2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</row>
        <row r="1143">
          <cell r="A1143" t="str">
            <v>INT CHN</v>
          </cell>
          <cell r="B1143" t="str">
            <v>Business Talk</v>
          </cell>
          <cell r="C1143" t="str">
            <v>China</v>
          </cell>
          <cell r="D1143" t="str">
            <v>Off-net international</v>
          </cell>
          <cell r="E1143" t="str">
            <v>minute</v>
          </cell>
          <cell r="F1143">
            <v>1</v>
          </cell>
          <cell r="G1143">
            <v>1</v>
          </cell>
          <cell r="H1143">
            <v>1</v>
          </cell>
          <cell r="I1143">
            <v>0</v>
          </cell>
          <cell r="J1143">
            <v>2.6700000000000002E-2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</row>
        <row r="1144">
          <cell r="A1144" t="str">
            <v>INT COL COLMO</v>
          </cell>
          <cell r="B1144" t="str">
            <v>Business Talk</v>
          </cell>
          <cell r="C1144" t="str">
            <v>Colombia Mobile</v>
          </cell>
          <cell r="D1144" t="str">
            <v>Off-net international</v>
          </cell>
          <cell r="E1144" t="str">
            <v>minute</v>
          </cell>
          <cell r="F1144">
            <v>1</v>
          </cell>
          <cell r="G1144">
            <v>1</v>
          </cell>
          <cell r="H1144">
            <v>1</v>
          </cell>
          <cell r="I1144">
            <v>0</v>
          </cell>
          <cell r="J1144">
            <v>0.1431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</row>
        <row r="1145">
          <cell r="A1145" t="str">
            <v>INT COL</v>
          </cell>
          <cell r="B1145" t="str">
            <v>Business Talk</v>
          </cell>
          <cell r="C1145" t="str">
            <v>Colombia</v>
          </cell>
          <cell r="D1145" t="str">
            <v>Off-net international</v>
          </cell>
          <cell r="E1145" t="str">
            <v>minute</v>
          </cell>
          <cell r="F1145">
            <v>1</v>
          </cell>
          <cell r="G1145">
            <v>1</v>
          </cell>
          <cell r="H1145">
            <v>1</v>
          </cell>
          <cell r="I1145">
            <v>0</v>
          </cell>
          <cell r="J1145">
            <v>3.3700000000000001E-2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</row>
        <row r="1146">
          <cell r="A1146" t="str">
            <v>INT COM</v>
          </cell>
          <cell r="B1146" t="str">
            <v>Business Talk</v>
          </cell>
          <cell r="C1146" t="str">
            <v>Comoros</v>
          </cell>
          <cell r="D1146" t="str">
            <v>Off-net international</v>
          </cell>
          <cell r="E1146" t="str">
            <v>minute</v>
          </cell>
          <cell r="F1146">
            <v>1</v>
          </cell>
          <cell r="G1146">
            <v>1</v>
          </cell>
          <cell r="H1146">
            <v>1</v>
          </cell>
          <cell r="I1146">
            <v>0</v>
          </cell>
          <cell r="J1146">
            <v>0.48330000000000001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</row>
        <row r="1147">
          <cell r="A1147" t="str">
            <v>INT COG</v>
          </cell>
          <cell r="B1147" t="str">
            <v>Business Talk</v>
          </cell>
          <cell r="C1147" t="str">
            <v>Congo</v>
          </cell>
          <cell r="D1147" t="str">
            <v>Off-net international</v>
          </cell>
          <cell r="E1147" t="str">
            <v>minute</v>
          </cell>
          <cell r="F1147">
            <v>1</v>
          </cell>
          <cell r="G1147">
            <v>1</v>
          </cell>
          <cell r="H1147">
            <v>1</v>
          </cell>
          <cell r="I1147">
            <v>0</v>
          </cell>
          <cell r="J1147">
            <v>0.52449999999999997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</row>
        <row r="1148">
          <cell r="A1148" t="str">
            <v>INT ZAR</v>
          </cell>
          <cell r="B1148" t="str">
            <v>Business Talk</v>
          </cell>
          <cell r="C1148" t="str">
            <v>Congo Dem. Rep.</v>
          </cell>
          <cell r="D1148" t="str">
            <v>Off-net international</v>
          </cell>
          <cell r="E1148" t="str">
            <v>minute</v>
          </cell>
          <cell r="F1148">
            <v>1</v>
          </cell>
          <cell r="G1148">
            <v>1</v>
          </cell>
          <cell r="H1148">
            <v>1</v>
          </cell>
          <cell r="I1148">
            <v>0</v>
          </cell>
          <cell r="J1148">
            <v>0.66110000000000002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</row>
        <row r="1149">
          <cell r="A1149" t="str">
            <v>INT COK COKMO</v>
          </cell>
          <cell r="B1149" t="str">
            <v>Business Talk</v>
          </cell>
          <cell r="C1149" t="str">
            <v>Cook Is Mobile</v>
          </cell>
          <cell r="D1149" t="str">
            <v>Off-net international</v>
          </cell>
          <cell r="E1149" t="str">
            <v>minute</v>
          </cell>
          <cell r="F1149">
            <v>1</v>
          </cell>
          <cell r="G1149">
            <v>1</v>
          </cell>
          <cell r="H1149">
            <v>1</v>
          </cell>
          <cell r="I1149">
            <v>0</v>
          </cell>
          <cell r="J1149">
            <v>1.1676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50">
          <cell r="A1150" t="str">
            <v>INT COK</v>
          </cell>
          <cell r="B1150" t="str">
            <v>Business Talk</v>
          </cell>
          <cell r="C1150" t="str">
            <v>Cook Is</v>
          </cell>
          <cell r="D1150" t="str">
            <v>Off-net international</v>
          </cell>
          <cell r="E1150" t="str">
            <v>minute</v>
          </cell>
          <cell r="F1150">
            <v>1</v>
          </cell>
          <cell r="G1150">
            <v>1</v>
          </cell>
          <cell r="H1150">
            <v>1</v>
          </cell>
          <cell r="I1150">
            <v>0</v>
          </cell>
          <cell r="J1150">
            <v>1.1676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</row>
        <row r="1151">
          <cell r="A1151" t="str">
            <v>INT CRI CRIMO</v>
          </cell>
          <cell r="B1151" t="str">
            <v>Business Talk</v>
          </cell>
          <cell r="C1151" t="str">
            <v>Costa Rica Mobile</v>
          </cell>
          <cell r="D1151" t="str">
            <v>Off-net international</v>
          </cell>
          <cell r="E1151" t="str">
            <v>minute</v>
          </cell>
          <cell r="F1151">
            <v>1</v>
          </cell>
          <cell r="G1151">
            <v>1</v>
          </cell>
          <cell r="H1151">
            <v>1</v>
          </cell>
          <cell r="I1151">
            <v>0</v>
          </cell>
          <cell r="J1151">
            <v>0.12280000000000001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2">
          <cell r="A1152" t="str">
            <v>INT CRI</v>
          </cell>
          <cell r="B1152" t="str">
            <v>Business Talk</v>
          </cell>
          <cell r="C1152" t="str">
            <v>Costa Rica</v>
          </cell>
          <cell r="D1152" t="str">
            <v>Off-net international</v>
          </cell>
          <cell r="E1152" t="str">
            <v>minute</v>
          </cell>
          <cell r="F1152">
            <v>1</v>
          </cell>
          <cell r="G1152">
            <v>1</v>
          </cell>
          <cell r="H1152">
            <v>1</v>
          </cell>
          <cell r="I1152">
            <v>0</v>
          </cell>
          <cell r="J1152">
            <v>3.9600000000000003E-2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3">
          <cell r="A1153" t="str">
            <v>INT CIV CIVMO</v>
          </cell>
          <cell r="B1153" t="str">
            <v>Business Talk</v>
          </cell>
          <cell r="C1153" t="str">
            <v>Cote D'Ivoire Mobile</v>
          </cell>
          <cell r="D1153" t="str">
            <v>Off-net international</v>
          </cell>
          <cell r="E1153" t="str">
            <v>minute</v>
          </cell>
          <cell r="F1153">
            <v>1</v>
          </cell>
          <cell r="G1153">
            <v>1</v>
          </cell>
          <cell r="H1153">
            <v>1</v>
          </cell>
          <cell r="I1153">
            <v>0</v>
          </cell>
          <cell r="J1153">
            <v>0.44569999999999999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</row>
        <row r="1154">
          <cell r="A1154" t="str">
            <v>INT CIV</v>
          </cell>
          <cell r="B1154" t="str">
            <v>Business Talk</v>
          </cell>
          <cell r="C1154" t="str">
            <v>Cote D'Ivoire</v>
          </cell>
          <cell r="D1154" t="str">
            <v>Off-net international</v>
          </cell>
          <cell r="E1154" t="str">
            <v>minute</v>
          </cell>
          <cell r="F1154">
            <v>1</v>
          </cell>
          <cell r="G1154">
            <v>1</v>
          </cell>
          <cell r="H1154">
            <v>1</v>
          </cell>
          <cell r="I1154">
            <v>0</v>
          </cell>
          <cell r="J1154">
            <v>0.30830000000000002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5">
          <cell r="A1155" t="str">
            <v>INT HRV HRVMO</v>
          </cell>
          <cell r="B1155" t="str">
            <v>Business Talk</v>
          </cell>
          <cell r="C1155" t="str">
            <v>Croatia Mobile</v>
          </cell>
          <cell r="D1155" t="str">
            <v>Off-net international</v>
          </cell>
          <cell r="E1155" t="str">
            <v>minute</v>
          </cell>
          <cell r="F1155">
            <v>1</v>
          </cell>
          <cell r="G1155">
            <v>1</v>
          </cell>
          <cell r="H1155">
            <v>1</v>
          </cell>
          <cell r="I1155">
            <v>0</v>
          </cell>
          <cell r="J1155">
            <v>0.1646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A1156" t="str">
            <v>INT HRV</v>
          </cell>
          <cell r="B1156" t="str">
            <v>Business Talk</v>
          </cell>
          <cell r="C1156" t="str">
            <v>Croatia</v>
          </cell>
          <cell r="D1156" t="str">
            <v>Off-net international</v>
          </cell>
          <cell r="E1156" t="str">
            <v>minute</v>
          </cell>
          <cell r="F1156">
            <v>1</v>
          </cell>
          <cell r="G1156">
            <v>1</v>
          </cell>
          <cell r="H1156">
            <v>1</v>
          </cell>
          <cell r="I1156">
            <v>0</v>
          </cell>
          <cell r="J1156">
            <v>2.0400000000000001E-2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</row>
        <row r="1157">
          <cell r="A1157" t="str">
            <v>INT CUB CUBMO</v>
          </cell>
          <cell r="B1157" t="str">
            <v>Business Talk</v>
          </cell>
          <cell r="C1157" t="str">
            <v>Cuba Mobile</v>
          </cell>
          <cell r="D1157" t="str">
            <v>Off-net international</v>
          </cell>
          <cell r="E1157" t="str">
            <v>minute</v>
          </cell>
          <cell r="F1157">
            <v>1</v>
          </cell>
          <cell r="G1157">
            <v>1</v>
          </cell>
          <cell r="H1157">
            <v>1</v>
          </cell>
          <cell r="I1157">
            <v>0</v>
          </cell>
          <cell r="J1157">
            <v>1.5811999999999999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8">
          <cell r="A1158" t="str">
            <v>INT CUB</v>
          </cell>
          <cell r="B1158" t="str">
            <v>Business Talk</v>
          </cell>
          <cell r="C1158" t="str">
            <v>Cuba</v>
          </cell>
          <cell r="D1158" t="str">
            <v>Off-net international</v>
          </cell>
          <cell r="E1158" t="str">
            <v>minute</v>
          </cell>
          <cell r="F1158">
            <v>1</v>
          </cell>
          <cell r="G1158">
            <v>1</v>
          </cell>
          <cell r="H1158">
            <v>1</v>
          </cell>
          <cell r="I1158">
            <v>0</v>
          </cell>
          <cell r="J1158">
            <v>1.5798000000000001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</row>
        <row r="1159">
          <cell r="A1159" t="str">
            <v>INT CUW CUWMO</v>
          </cell>
          <cell r="B1159" t="str">
            <v>Business Talk</v>
          </cell>
          <cell r="C1159" t="str">
            <v>Curacao Mobile</v>
          </cell>
          <cell r="D1159" t="str">
            <v>Off-net international</v>
          </cell>
          <cell r="E1159" t="str">
            <v>minute</v>
          </cell>
          <cell r="F1159">
            <v>1</v>
          </cell>
          <cell r="G1159">
            <v>1</v>
          </cell>
          <cell r="H1159">
            <v>1</v>
          </cell>
          <cell r="I1159">
            <v>0</v>
          </cell>
          <cell r="J1159">
            <v>0.24590000000000001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</row>
        <row r="1160">
          <cell r="A1160" t="str">
            <v>INT CUW</v>
          </cell>
          <cell r="B1160" t="str">
            <v>Business Talk</v>
          </cell>
          <cell r="C1160" t="str">
            <v>Curacao</v>
          </cell>
          <cell r="D1160" t="str">
            <v>Off-net international</v>
          </cell>
          <cell r="E1160" t="str">
            <v>minute</v>
          </cell>
          <cell r="F1160">
            <v>1</v>
          </cell>
          <cell r="G1160">
            <v>1</v>
          </cell>
          <cell r="H1160">
            <v>1</v>
          </cell>
          <cell r="I1160">
            <v>0</v>
          </cell>
          <cell r="J1160">
            <v>0.19070000000000001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1">
          <cell r="A1161" t="str">
            <v>INT CSK CSKMO</v>
          </cell>
          <cell r="B1161" t="str">
            <v>Business Talk</v>
          </cell>
          <cell r="C1161" t="str">
            <v>Czech Republic Mobile</v>
          </cell>
          <cell r="D1161" t="str">
            <v>Off-net international</v>
          </cell>
          <cell r="E1161" t="str">
            <v>minute</v>
          </cell>
          <cell r="F1161">
            <v>1</v>
          </cell>
          <cell r="G1161">
            <v>1</v>
          </cell>
          <cell r="H1161">
            <v>1</v>
          </cell>
          <cell r="I1161">
            <v>0</v>
          </cell>
          <cell r="J1161">
            <v>9.5899999999999999E-2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A1162" t="str">
            <v>INT CSK</v>
          </cell>
          <cell r="B1162" t="str">
            <v>Business Talk</v>
          </cell>
          <cell r="C1162" t="str">
            <v>Czech Republic</v>
          </cell>
          <cell r="D1162" t="str">
            <v>Off-net international</v>
          </cell>
          <cell r="E1162" t="str">
            <v>minute</v>
          </cell>
          <cell r="F1162">
            <v>1</v>
          </cell>
          <cell r="G1162">
            <v>1</v>
          </cell>
          <cell r="H1162">
            <v>1</v>
          </cell>
          <cell r="I1162">
            <v>0</v>
          </cell>
          <cell r="J1162">
            <v>2.6499999999999999E-2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</row>
        <row r="1163">
          <cell r="A1163" t="str">
            <v>INT CSK CSKWN</v>
          </cell>
          <cell r="B1163" t="str">
            <v>Business Talk</v>
          </cell>
          <cell r="C1163" t="str">
            <v>Czech Republic White Numbers</v>
          </cell>
          <cell r="D1163" t="str">
            <v>Off-net international</v>
          </cell>
          <cell r="E1163" t="str">
            <v>minute</v>
          </cell>
          <cell r="F1163">
            <v>1</v>
          </cell>
          <cell r="G1163">
            <v>1</v>
          </cell>
          <cell r="H1163">
            <v>1</v>
          </cell>
          <cell r="I1163">
            <v>0</v>
          </cell>
          <cell r="J1163">
            <v>2.3300000000000001E-2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</row>
        <row r="1164">
          <cell r="A1164" t="str">
            <v>INT DNK DNKMO</v>
          </cell>
          <cell r="B1164" t="str">
            <v>Business Talk</v>
          </cell>
          <cell r="C1164" t="str">
            <v>Denmark Mobile</v>
          </cell>
          <cell r="D1164" t="str">
            <v>Off-net international</v>
          </cell>
          <cell r="E1164" t="str">
            <v>minute</v>
          </cell>
          <cell r="F1164">
            <v>1</v>
          </cell>
          <cell r="G1164">
            <v>1</v>
          </cell>
          <cell r="H1164">
            <v>1</v>
          </cell>
          <cell r="I1164">
            <v>0</v>
          </cell>
          <cell r="J1164">
            <v>2.9399999999999999E-2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5">
          <cell r="A1165" t="str">
            <v>INT DNK DNKMX</v>
          </cell>
          <cell r="B1165" t="str">
            <v>Business Talk</v>
          </cell>
          <cell r="C1165" t="str">
            <v>Denmark Mobile Orange</v>
          </cell>
          <cell r="D1165" t="str">
            <v>Off-net international</v>
          </cell>
          <cell r="E1165" t="str">
            <v>minute</v>
          </cell>
          <cell r="F1165">
            <v>1</v>
          </cell>
          <cell r="G1165">
            <v>1</v>
          </cell>
          <cell r="H1165">
            <v>1</v>
          </cell>
          <cell r="I1165">
            <v>0</v>
          </cell>
          <cell r="J1165">
            <v>2.9399999999999999E-2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6">
          <cell r="A1166" t="str">
            <v>INT DNK</v>
          </cell>
          <cell r="B1166" t="str">
            <v>Business Talk</v>
          </cell>
          <cell r="C1166" t="str">
            <v>Denmark</v>
          </cell>
          <cell r="D1166" t="str">
            <v>Off-net international</v>
          </cell>
          <cell r="E1166" t="str">
            <v>minute</v>
          </cell>
          <cell r="F1166">
            <v>1</v>
          </cell>
          <cell r="G1166">
            <v>1</v>
          </cell>
          <cell r="H1166">
            <v>1</v>
          </cell>
          <cell r="I1166">
            <v>0</v>
          </cell>
          <cell r="J1166">
            <v>1.5299999999999999E-2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A1167" t="str">
            <v>INT DNK DKFRE</v>
          </cell>
          <cell r="B1167" t="str">
            <v>Business Talk</v>
          </cell>
          <cell r="C1167" t="str">
            <v>Denmark Freephone</v>
          </cell>
          <cell r="D1167" t="str">
            <v>Off-net international</v>
          </cell>
          <cell r="E1167" t="str">
            <v>minute</v>
          </cell>
          <cell r="F1167">
            <v>1</v>
          </cell>
          <cell r="G1167">
            <v>1</v>
          </cell>
          <cell r="H1167">
            <v>1</v>
          </cell>
          <cell r="I1167">
            <v>0</v>
          </cell>
          <cell r="J1167">
            <v>1.5299999999999999E-2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</row>
        <row r="1168">
          <cell r="A1168" t="str">
            <v>INT DNK DKP18</v>
          </cell>
          <cell r="B1168" t="str">
            <v>Business Talk</v>
          </cell>
          <cell r="C1168" t="str">
            <v>Denmark Premium</v>
          </cell>
          <cell r="D1168" t="str">
            <v>Off-net international</v>
          </cell>
          <cell r="E1168" t="str">
            <v>minute</v>
          </cell>
          <cell r="F1168">
            <v>1</v>
          </cell>
          <cell r="G1168">
            <v>1</v>
          </cell>
          <cell r="H1168">
            <v>1</v>
          </cell>
          <cell r="I1168">
            <v>0</v>
          </cell>
          <cell r="J1168">
            <v>26.174199999999999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</row>
        <row r="1169">
          <cell r="A1169" t="str">
            <v>INT DNK DKFLX</v>
          </cell>
          <cell r="B1169" t="str">
            <v>Business Talk</v>
          </cell>
          <cell r="C1169" t="str">
            <v>Denmark Shared Costs</v>
          </cell>
          <cell r="D1169" t="str">
            <v>Off-net international</v>
          </cell>
          <cell r="E1169" t="str">
            <v>minute</v>
          </cell>
          <cell r="F1169">
            <v>1</v>
          </cell>
          <cell r="G1169">
            <v>1</v>
          </cell>
          <cell r="H1169">
            <v>1</v>
          </cell>
          <cell r="I1169">
            <v>0</v>
          </cell>
          <cell r="J1169">
            <v>6.6299999999999998E-2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70">
          <cell r="A1170" t="str">
            <v>INT DGG</v>
          </cell>
          <cell r="B1170" t="str">
            <v>Business Talk</v>
          </cell>
          <cell r="C1170" t="str">
            <v>Diego Garcia</v>
          </cell>
          <cell r="D1170" t="str">
            <v>Off-net international</v>
          </cell>
          <cell r="E1170" t="str">
            <v>minute</v>
          </cell>
          <cell r="F1170">
            <v>1</v>
          </cell>
          <cell r="G1170">
            <v>1</v>
          </cell>
          <cell r="H1170">
            <v>1</v>
          </cell>
          <cell r="I1170">
            <v>0</v>
          </cell>
          <cell r="J1170">
            <v>0.29060000000000002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1">
          <cell r="A1171" t="str">
            <v>INT DJI DJIMO</v>
          </cell>
          <cell r="B1171" t="str">
            <v>Business Talk</v>
          </cell>
          <cell r="C1171" t="str">
            <v>Djibouti Mobile</v>
          </cell>
          <cell r="D1171" t="str">
            <v>Off-net international</v>
          </cell>
          <cell r="E1171" t="str">
            <v>minute</v>
          </cell>
          <cell r="F1171">
            <v>1</v>
          </cell>
          <cell r="G1171">
            <v>1</v>
          </cell>
          <cell r="H1171">
            <v>1</v>
          </cell>
          <cell r="I1171">
            <v>0</v>
          </cell>
          <cell r="J1171">
            <v>0.51029999999999998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</row>
        <row r="1172">
          <cell r="A1172" t="str">
            <v>INT DJI</v>
          </cell>
          <cell r="B1172" t="str">
            <v>Business Talk</v>
          </cell>
          <cell r="C1172" t="str">
            <v>Djibouti</v>
          </cell>
          <cell r="D1172" t="str">
            <v>Off-net international</v>
          </cell>
          <cell r="E1172" t="str">
            <v>minute</v>
          </cell>
          <cell r="F1172">
            <v>1</v>
          </cell>
          <cell r="G1172">
            <v>1</v>
          </cell>
          <cell r="H1172">
            <v>1</v>
          </cell>
          <cell r="I1172">
            <v>0</v>
          </cell>
          <cell r="J1172">
            <v>0.51029999999999998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3">
          <cell r="A1173" t="str">
            <v>INT DMA</v>
          </cell>
          <cell r="B1173" t="str">
            <v>Business Talk</v>
          </cell>
          <cell r="C1173" t="str">
            <v>Dominica</v>
          </cell>
          <cell r="D1173" t="str">
            <v>Off-net international</v>
          </cell>
          <cell r="E1173" t="str">
            <v>minute</v>
          </cell>
          <cell r="F1173">
            <v>1</v>
          </cell>
          <cell r="G1173">
            <v>1</v>
          </cell>
          <cell r="H1173">
            <v>1</v>
          </cell>
          <cell r="I1173">
            <v>0</v>
          </cell>
          <cell r="J1173">
            <v>0.31640000000000001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4">
          <cell r="A1174" t="str">
            <v>INT DOM</v>
          </cell>
          <cell r="B1174" t="str">
            <v>Business Talk</v>
          </cell>
          <cell r="C1174" t="str">
            <v>Dominican Republic</v>
          </cell>
          <cell r="D1174" t="str">
            <v>Off-net international</v>
          </cell>
          <cell r="E1174" t="str">
            <v>minute</v>
          </cell>
          <cell r="F1174">
            <v>1</v>
          </cell>
          <cell r="G1174">
            <v>1</v>
          </cell>
          <cell r="H1174">
            <v>1</v>
          </cell>
          <cell r="I1174">
            <v>0</v>
          </cell>
          <cell r="J1174">
            <v>4.8599999999999997E-2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</row>
        <row r="1175">
          <cell r="A1175" t="str">
            <v>INT TMP TMPMO</v>
          </cell>
          <cell r="B1175" t="str">
            <v>Business Talk</v>
          </cell>
          <cell r="C1175" t="str">
            <v>East Timor Mobile</v>
          </cell>
          <cell r="D1175" t="str">
            <v>Off-net international</v>
          </cell>
          <cell r="E1175" t="str">
            <v>minute</v>
          </cell>
          <cell r="F1175">
            <v>1</v>
          </cell>
          <cell r="G1175">
            <v>1</v>
          </cell>
          <cell r="H1175">
            <v>1</v>
          </cell>
          <cell r="I1175">
            <v>0</v>
          </cell>
          <cell r="J1175">
            <v>0.93140000000000001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</row>
        <row r="1176">
          <cell r="A1176" t="str">
            <v>INT TMP</v>
          </cell>
          <cell r="B1176" t="str">
            <v>Business Talk</v>
          </cell>
          <cell r="C1176" t="str">
            <v>East Timor</v>
          </cell>
          <cell r="D1176" t="str">
            <v>Off-net international</v>
          </cell>
          <cell r="E1176" t="str">
            <v>minute</v>
          </cell>
          <cell r="F1176">
            <v>1</v>
          </cell>
          <cell r="G1176">
            <v>1</v>
          </cell>
          <cell r="H1176">
            <v>1</v>
          </cell>
          <cell r="I1176">
            <v>0</v>
          </cell>
          <cell r="J1176">
            <v>0.93140000000000001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</row>
        <row r="1177">
          <cell r="A1177" t="str">
            <v>INT ECU ECUMO</v>
          </cell>
          <cell r="B1177" t="str">
            <v>Business Talk</v>
          </cell>
          <cell r="C1177" t="str">
            <v>Ecuador Mobile</v>
          </cell>
          <cell r="D1177" t="str">
            <v>Off-net international</v>
          </cell>
          <cell r="E1177" t="str">
            <v>minute</v>
          </cell>
          <cell r="F1177">
            <v>1</v>
          </cell>
          <cell r="G1177">
            <v>1</v>
          </cell>
          <cell r="H1177">
            <v>1</v>
          </cell>
          <cell r="I1177">
            <v>0</v>
          </cell>
          <cell r="J1177">
            <v>0.32329999999999998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8">
          <cell r="A1178" t="str">
            <v>INT ECU</v>
          </cell>
          <cell r="B1178" t="str">
            <v>Business Talk</v>
          </cell>
          <cell r="C1178" t="str">
            <v>Ecuador</v>
          </cell>
          <cell r="D1178" t="str">
            <v>Off-net international</v>
          </cell>
          <cell r="E1178" t="str">
            <v>minute</v>
          </cell>
          <cell r="F1178">
            <v>1</v>
          </cell>
          <cell r="G1178">
            <v>1</v>
          </cell>
          <cell r="H1178">
            <v>1</v>
          </cell>
          <cell r="I1178">
            <v>0</v>
          </cell>
          <cell r="J1178">
            <v>0.16250000000000001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</row>
        <row r="1179">
          <cell r="A1179" t="str">
            <v>INT EGY EGYMO</v>
          </cell>
          <cell r="B1179" t="str">
            <v>Business Talk</v>
          </cell>
          <cell r="C1179" t="str">
            <v>Egypt Mobile</v>
          </cell>
          <cell r="D1179" t="str">
            <v>Off-net international</v>
          </cell>
          <cell r="E1179" t="str">
            <v>minute</v>
          </cell>
          <cell r="F1179">
            <v>1</v>
          </cell>
          <cell r="G1179">
            <v>1</v>
          </cell>
          <cell r="H1179">
            <v>1</v>
          </cell>
          <cell r="I1179">
            <v>0</v>
          </cell>
          <cell r="J1179">
            <v>0.16020000000000001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80">
          <cell r="A1180" t="str">
            <v>INT EGY</v>
          </cell>
          <cell r="B1180" t="str">
            <v>Business Talk</v>
          </cell>
          <cell r="C1180" t="str">
            <v>Egypt</v>
          </cell>
          <cell r="D1180" t="str">
            <v>Off-net international</v>
          </cell>
          <cell r="E1180" t="str">
            <v>minute</v>
          </cell>
          <cell r="F1180">
            <v>1</v>
          </cell>
          <cell r="G1180">
            <v>1</v>
          </cell>
          <cell r="H1180">
            <v>1</v>
          </cell>
          <cell r="I1180">
            <v>0</v>
          </cell>
          <cell r="J1180">
            <v>0.13819999999999999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1">
          <cell r="A1181" t="str">
            <v>INT SLV SLVMO</v>
          </cell>
          <cell r="B1181" t="str">
            <v>Business Talk</v>
          </cell>
          <cell r="C1181" t="str">
            <v>El Salvador Mobile</v>
          </cell>
          <cell r="D1181" t="str">
            <v>Off-net international</v>
          </cell>
          <cell r="E1181" t="str">
            <v>minute</v>
          </cell>
          <cell r="F1181">
            <v>1</v>
          </cell>
          <cell r="G1181">
            <v>1</v>
          </cell>
          <cell r="H1181">
            <v>1</v>
          </cell>
          <cell r="I1181">
            <v>0</v>
          </cell>
          <cell r="J1181">
            <v>0.28510000000000002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</row>
        <row r="1182">
          <cell r="A1182" t="str">
            <v>INT SLV</v>
          </cell>
          <cell r="B1182" t="str">
            <v>Business Talk</v>
          </cell>
          <cell r="C1182" t="str">
            <v>El Salvador</v>
          </cell>
          <cell r="D1182" t="str">
            <v>Off-net international</v>
          </cell>
          <cell r="E1182" t="str">
            <v>minute</v>
          </cell>
          <cell r="F1182">
            <v>1</v>
          </cell>
          <cell r="G1182">
            <v>1</v>
          </cell>
          <cell r="H1182">
            <v>1</v>
          </cell>
          <cell r="I1182">
            <v>0</v>
          </cell>
          <cell r="J1182">
            <v>0.26519999999999999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A1183" t="str">
            <v>INT GNQ GNQMO</v>
          </cell>
          <cell r="B1183" t="str">
            <v>Business Talk</v>
          </cell>
          <cell r="C1183" t="str">
            <v>Equatorial Guinea Mobile</v>
          </cell>
          <cell r="D1183" t="str">
            <v>Off-net international</v>
          </cell>
          <cell r="E1183" t="str">
            <v>minute</v>
          </cell>
          <cell r="F1183">
            <v>1</v>
          </cell>
          <cell r="G1183">
            <v>1</v>
          </cell>
          <cell r="H1183">
            <v>1</v>
          </cell>
          <cell r="I1183">
            <v>0</v>
          </cell>
          <cell r="J1183">
            <v>0.29210000000000003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</row>
        <row r="1184">
          <cell r="A1184" t="str">
            <v>INT GNQ</v>
          </cell>
          <cell r="B1184" t="str">
            <v>Business Talk</v>
          </cell>
          <cell r="C1184" t="str">
            <v>Equatorial Guinea</v>
          </cell>
          <cell r="D1184" t="str">
            <v>Off-net international</v>
          </cell>
          <cell r="E1184" t="str">
            <v>minute</v>
          </cell>
          <cell r="F1184">
            <v>1</v>
          </cell>
          <cell r="G1184">
            <v>1</v>
          </cell>
          <cell r="H1184">
            <v>1</v>
          </cell>
          <cell r="I1184">
            <v>0</v>
          </cell>
          <cell r="J1184">
            <v>0.29210000000000003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</row>
        <row r="1185">
          <cell r="A1185" t="str">
            <v>INT ERY</v>
          </cell>
          <cell r="B1185" t="str">
            <v>Business Talk</v>
          </cell>
          <cell r="C1185" t="str">
            <v>Eritrea</v>
          </cell>
          <cell r="D1185" t="str">
            <v>Off-net international</v>
          </cell>
          <cell r="E1185" t="str">
            <v>minute</v>
          </cell>
          <cell r="F1185">
            <v>1</v>
          </cell>
          <cell r="G1185">
            <v>1</v>
          </cell>
          <cell r="H1185">
            <v>1</v>
          </cell>
          <cell r="I1185">
            <v>0</v>
          </cell>
          <cell r="J1185">
            <v>0.39850000000000002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</row>
        <row r="1186">
          <cell r="A1186" t="str">
            <v>INT EST ESTMO</v>
          </cell>
          <cell r="B1186" t="str">
            <v>Business Talk</v>
          </cell>
          <cell r="C1186" t="str">
            <v>Estonia Mobile</v>
          </cell>
          <cell r="D1186" t="str">
            <v>Off-net international</v>
          </cell>
          <cell r="E1186" t="str">
            <v>minute</v>
          </cell>
          <cell r="F1186">
            <v>1</v>
          </cell>
          <cell r="G1186">
            <v>1</v>
          </cell>
          <cell r="H1186">
            <v>1</v>
          </cell>
          <cell r="I1186">
            <v>0</v>
          </cell>
          <cell r="J1186">
            <v>0.20230000000000001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</row>
        <row r="1187">
          <cell r="A1187" t="str">
            <v>INT EST</v>
          </cell>
          <cell r="B1187" t="str">
            <v>Business Talk</v>
          </cell>
          <cell r="C1187" t="str">
            <v>Estonia</v>
          </cell>
          <cell r="D1187" t="str">
            <v>Off-net international</v>
          </cell>
          <cell r="E1187" t="str">
            <v>minute</v>
          </cell>
          <cell r="F1187">
            <v>1</v>
          </cell>
          <cell r="G1187">
            <v>1</v>
          </cell>
          <cell r="H1187">
            <v>1</v>
          </cell>
          <cell r="I1187">
            <v>0</v>
          </cell>
          <cell r="J1187">
            <v>3.9300000000000002E-2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</row>
        <row r="1188">
          <cell r="A1188" t="str">
            <v>INT ETH ETHMO</v>
          </cell>
          <cell r="B1188" t="str">
            <v>Business Talk</v>
          </cell>
          <cell r="C1188" t="str">
            <v>Ethiopia Mobile</v>
          </cell>
          <cell r="D1188" t="str">
            <v>Off-net international</v>
          </cell>
          <cell r="E1188" t="str">
            <v>minute</v>
          </cell>
          <cell r="F1188">
            <v>1</v>
          </cell>
          <cell r="G1188">
            <v>1</v>
          </cell>
          <cell r="H1188">
            <v>1</v>
          </cell>
          <cell r="I1188">
            <v>0</v>
          </cell>
          <cell r="J1188">
            <v>0.36320000000000002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</row>
        <row r="1189">
          <cell r="A1189" t="str">
            <v>INT ETH</v>
          </cell>
          <cell r="B1189" t="str">
            <v>Business Talk</v>
          </cell>
          <cell r="C1189" t="str">
            <v>Ethiopia</v>
          </cell>
          <cell r="D1189" t="str">
            <v>Off-net international</v>
          </cell>
          <cell r="E1189" t="str">
            <v>minute</v>
          </cell>
          <cell r="F1189">
            <v>1</v>
          </cell>
          <cell r="G1189">
            <v>1</v>
          </cell>
          <cell r="H1189">
            <v>1</v>
          </cell>
          <cell r="I1189">
            <v>0</v>
          </cell>
          <cell r="J1189">
            <v>0.36320000000000002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A1190" t="str">
            <v>INT FRO</v>
          </cell>
          <cell r="B1190" t="str">
            <v>Business Talk</v>
          </cell>
          <cell r="C1190" t="str">
            <v>Faeroe Is</v>
          </cell>
          <cell r="D1190" t="str">
            <v>Off-net international</v>
          </cell>
          <cell r="E1190" t="str">
            <v>minute</v>
          </cell>
          <cell r="F1190">
            <v>1</v>
          </cell>
          <cell r="G1190">
            <v>1</v>
          </cell>
          <cell r="H1190">
            <v>1</v>
          </cell>
          <cell r="I1190">
            <v>0</v>
          </cell>
          <cell r="J1190">
            <v>0.28699999999999998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1">
          <cell r="A1191" t="str">
            <v>INT FLK</v>
          </cell>
          <cell r="B1191" t="str">
            <v>Business Talk</v>
          </cell>
          <cell r="C1191" t="str">
            <v>Falkland Is</v>
          </cell>
          <cell r="D1191" t="str">
            <v>Off-net international</v>
          </cell>
          <cell r="E1191" t="str">
            <v>minute</v>
          </cell>
          <cell r="F1191">
            <v>1</v>
          </cell>
          <cell r="G1191">
            <v>1</v>
          </cell>
          <cell r="H1191">
            <v>1</v>
          </cell>
          <cell r="I1191">
            <v>0</v>
          </cell>
          <cell r="J1191">
            <v>1.3345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A1192" t="str">
            <v>INT FJI FJIMO</v>
          </cell>
          <cell r="B1192" t="str">
            <v>Business Talk</v>
          </cell>
          <cell r="C1192" t="str">
            <v>Fiji Mobile</v>
          </cell>
          <cell r="D1192" t="str">
            <v>Off-net international</v>
          </cell>
          <cell r="E1192" t="str">
            <v>minute</v>
          </cell>
          <cell r="F1192">
            <v>1</v>
          </cell>
          <cell r="G1192">
            <v>1</v>
          </cell>
          <cell r="H1192">
            <v>1</v>
          </cell>
          <cell r="I1192">
            <v>0</v>
          </cell>
          <cell r="J1192">
            <v>0.36120000000000002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A1193" t="str">
            <v>INT FJI</v>
          </cell>
          <cell r="B1193" t="str">
            <v>Business Talk</v>
          </cell>
          <cell r="C1193" t="str">
            <v>Fiji</v>
          </cell>
          <cell r="D1193" t="str">
            <v>Off-net international</v>
          </cell>
          <cell r="E1193" t="str">
            <v>minute</v>
          </cell>
          <cell r="F1193">
            <v>1</v>
          </cell>
          <cell r="G1193">
            <v>1</v>
          </cell>
          <cell r="H1193">
            <v>1</v>
          </cell>
          <cell r="I1193">
            <v>0</v>
          </cell>
          <cell r="J1193">
            <v>0.36120000000000002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</row>
        <row r="1194">
          <cell r="A1194" t="str">
            <v>INT FIN FINMO</v>
          </cell>
          <cell r="B1194" t="str">
            <v>Business Talk</v>
          </cell>
          <cell r="C1194" t="str">
            <v>Finland Mobile</v>
          </cell>
          <cell r="D1194" t="str">
            <v>Off-net international</v>
          </cell>
          <cell r="E1194" t="str">
            <v>minute</v>
          </cell>
          <cell r="F1194">
            <v>1</v>
          </cell>
          <cell r="G1194">
            <v>1</v>
          </cell>
          <cell r="H1194">
            <v>1</v>
          </cell>
          <cell r="I1194">
            <v>0</v>
          </cell>
          <cell r="J1194">
            <v>6.6000000000000003E-2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A1195" t="str">
            <v>INT FIN</v>
          </cell>
          <cell r="B1195" t="str">
            <v>Business Talk</v>
          </cell>
          <cell r="C1195" t="str">
            <v>Finland</v>
          </cell>
          <cell r="D1195" t="str">
            <v>Off-net international</v>
          </cell>
          <cell r="E1195" t="str">
            <v>minute</v>
          </cell>
          <cell r="F1195">
            <v>1</v>
          </cell>
          <cell r="G1195">
            <v>1</v>
          </cell>
          <cell r="H1195">
            <v>1</v>
          </cell>
          <cell r="I1195">
            <v>0</v>
          </cell>
          <cell r="J1195">
            <v>5.67E-2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6">
          <cell r="A1196" t="str">
            <v>INT FIN FIB29</v>
          </cell>
          <cell r="B1196" t="str">
            <v>Business Talk</v>
          </cell>
          <cell r="C1196" t="str">
            <v>Finland Business Nr</v>
          </cell>
          <cell r="D1196" t="str">
            <v>Off-net international</v>
          </cell>
          <cell r="E1196" t="str">
            <v>minute</v>
          </cell>
          <cell r="F1196">
            <v>1</v>
          </cell>
          <cell r="G1196">
            <v>1</v>
          </cell>
          <cell r="H1196">
            <v>1</v>
          </cell>
          <cell r="I1196">
            <v>0</v>
          </cell>
          <cell r="J1196">
            <v>0.33310000000000001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A1197" t="str">
            <v>INT FIN FINPR</v>
          </cell>
          <cell r="B1197" t="str">
            <v>Business Talk</v>
          </cell>
          <cell r="C1197" t="str">
            <v>Finland Premium</v>
          </cell>
          <cell r="D1197" t="str">
            <v>Off-net international</v>
          </cell>
          <cell r="E1197" t="str">
            <v>minute</v>
          </cell>
          <cell r="F1197">
            <v>1</v>
          </cell>
          <cell r="G1197">
            <v>1</v>
          </cell>
          <cell r="H1197">
            <v>1</v>
          </cell>
          <cell r="I1197">
            <v>0</v>
          </cell>
          <cell r="J1197">
            <v>7.3400000000000007E-2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8">
          <cell r="A1198" t="str">
            <v>INT FIN FITFR</v>
          </cell>
          <cell r="B1198" t="str">
            <v>Business Talk</v>
          </cell>
          <cell r="C1198" t="str">
            <v>Finland Toll Free</v>
          </cell>
          <cell r="D1198" t="str">
            <v>Off-net international</v>
          </cell>
          <cell r="E1198" t="str">
            <v>minute</v>
          </cell>
          <cell r="F1198">
            <v>1</v>
          </cell>
          <cell r="G1198">
            <v>1</v>
          </cell>
          <cell r="H1198">
            <v>1</v>
          </cell>
          <cell r="I1198">
            <v>0</v>
          </cell>
          <cell r="J1198">
            <v>4.7800000000000002E-2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</row>
        <row r="1199">
          <cell r="A1199" t="str">
            <v>INT FIN FITS1</v>
          </cell>
          <cell r="B1199" t="str">
            <v>Business Talk</v>
          </cell>
          <cell r="C1199" t="str">
            <v>Finland Toll Share</v>
          </cell>
          <cell r="D1199" t="str">
            <v>Off-net international</v>
          </cell>
          <cell r="E1199" t="str">
            <v>minute</v>
          </cell>
          <cell r="F1199">
            <v>1</v>
          </cell>
          <cell r="G1199">
            <v>1</v>
          </cell>
          <cell r="H1199">
            <v>1</v>
          </cell>
          <cell r="I1199">
            <v>0</v>
          </cell>
          <cell r="J1199">
            <v>2.5350000000000001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</row>
        <row r="1200">
          <cell r="A1200" t="str">
            <v>INT FRA FRAMO</v>
          </cell>
          <cell r="B1200" t="str">
            <v>Business Talk</v>
          </cell>
          <cell r="C1200" t="str">
            <v>France Mobile</v>
          </cell>
          <cell r="D1200" t="str">
            <v>Off-net international</v>
          </cell>
          <cell r="E1200" t="str">
            <v>minute</v>
          </cell>
          <cell r="F1200">
            <v>1</v>
          </cell>
          <cell r="G1200">
            <v>1</v>
          </cell>
          <cell r="H1200">
            <v>1</v>
          </cell>
          <cell r="I1200">
            <v>0</v>
          </cell>
          <cell r="J1200">
            <v>4.0099999999999997E-2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</row>
        <row r="1201">
          <cell r="A1201" t="str">
            <v>INT FRA FRMGL</v>
          </cell>
          <cell r="B1201" t="str">
            <v>Business Talk</v>
          </cell>
          <cell r="C1201" t="str">
            <v>France Mobile Globalstar</v>
          </cell>
          <cell r="D1201" t="str">
            <v>Off-net international</v>
          </cell>
          <cell r="E1201" t="str">
            <v>minute</v>
          </cell>
          <cell r="F1201">
            <v>1</v>
          </cell>
          <cell r="G1201">
            <v>1</v>
          </cell>
          <cell r="H1201">
            <v>1</v>
          </cell>
          <cell r="I1201">
            <v>0</v>
          </cell>
          <cell r="J1201">
            <v>0.4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</row>
        <row r="1202">
          <cell r="A1202" t="str">
            <v>INT FRA FRAIT</v>
          </cell>
          <cell r="B1202" t="str">
            <v>Business Talk</v>
          </cell>
          <cell r="C1202" t="str">
            <v>France Mobile Orange</v>
          </cell>
          <cell r="D1202" t="str">
            <v>Off-net international</v>
          </cell>
          <cell r="E1202" t="str">
            <v>minute</v>
          </cell>
          <cell r="F1202">
            <v>1</v>
          </cell>
          <cell r="G1202">
            <v>1</v>
          </cell>
          <cell r="H1202">
            <v>1</v>
          </cell>
          <cell r="I1202">
            <v>0</v>
          </cell>
          <cell r="J1202">
            <v>4.0099999999999997E-2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3">
          <cell r="A1203" t="str">
            <v>INT FRA</v>
          </cell>
          <cell r="B1203" t="str">
            <v>Business Talk</v>
          </cell>
          <cell r="C1203" t="str">
            <v>France</v>
          </cell>
          <cell r="D1203" t="str">
            <v>Off-net international</v>
          </cell>
          <cell r="E1203" t="str">
            <v>minute</v>
          </cell>
          <cell r="F1203">
            <v>1</v>
          </cell>
          <cell r="G1203">
            <v>1</v>
          </cell>
          <cell r="H1203">
            <v>1</v>
          </cell>
          <cell r="I1203">
            <v>0</v>
          </cell>
          <cell r="J1203">
            <v>1.67E-2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</row>
        <row r="1204">
          <cell r="A1204" t="str">
            <v>INT GUF GUFMO</v>
          </cell>
          <cell r="B1204" t="str">
            <v>Business Talk</v>
          </cell>
          <cell r="C1204" t="str">
            <v>French Guiana Mobile</v>
          </cell>
          <cell r="D1204" t="str">
            <v>Off-net international</v>
          </cell>
          <cell r="E1204" t="str">
            <v>minute</v>
          </cell>
          <cell r="F1204">
            <v>1</v>
          </cell>
          <cell r="G1204">
            <v>1</v>
          </cell>
          <cell r="H1204">
            <v>1</v>
          </cell>
          <cell r="I1204">
            <v>0</v>
          </cell>
          <cell r="J1204">
            <v>4.3900000000000002E-2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</row>
        <row r="1205">
          <cell r="A1205" t="str">
            <v>INT GUF</v>
          </cell>
          <cell r="B1205" t="str">
            <v>Business Talk</v>
          </cell>
          <cell r="C1205" t="str">
            <v>French Guiana</v>
          </cell>
          <cell r="D1205" t="str">
            <v>Off-net international</v>
          </cell>
          <cell r="E1205" t="str">
            <v>minute</v>
          </cell>
          <cell r="F1205">
            <v>1</v>
          </cell>
          <cell r="G1205">
            <v>1</v>
          </cell>
          <cell r="H1205">
            <v>1</v>
          </cell>
          <cell r="I1205">
            <v>0</v>
          </cell>
          <cell r="J1205">
            <v>2.2200000000000001E-2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6">
          <cell r="A1206" t="str">
            <v>INT PYF PYFMO</v>
          </cell>
          <cell r="B1206" t="str">
            <v>Business Talk</v>
          </cell>
          <cell r="C1206" t="str">
            <v>French Polynesia Mobile</v>
          </cell>
          <cell r="D1206" t="str">
            <v>Off-net international</v>
          </cell>
          <cell r="E1206" t="str">
            <v>minute</v>
          </cell>
          <cell r="F1206">
            <v>1</v>
          </cell>
          <cell r="G1206">
            <v>1</v>
          </cell>
          <cell r="H1206">
            <v>1</v>
          </cell>
          <cell r="I1206">
            <v>0</v>
          </cell>
          <cell r="J1206">
            <v>0.3947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A1207" t="str">
            <v>INT PYF</v>
          </cell>
          <cell r="B1207" t="str">
            <v>Business Talk</v>
          </cell>
          <cell r="C1207" t="str">
            <v>French Polynesia</v>
          </cell>
          <cell r="D1207" t="str">
            <v>Off-net international</v>
          </cell>
          <cell r="E1207" t="str">
            <v>minute</v>
          </cell>
          <cell r="F1207">
            <v>1</v>
          </cell>
          <cell r="G1207">
            <v>1</v>
          </cell>
          <cell r="H1207">
            <v>1</v>
          </cell>
          <cell r="I1207">
            <v>0</v>
          </cell>
          <cell r="J1207">
            <v>0.25209999999999999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8">
          <cell r="A1208" t="str">
            <v>INT GAB</v>
          </cell>
          <cell r="B1208" t="str">
            <v>Business Talk</v>
          </cell>
          <cell r="C1208" t="str">
            <v>Gabon</v>
          </cell>
          <cell r="D1208" t="str">
            <v>Off-net international</v>
          </cell>
          <cell r="E1208" t="str">
            <v>minute</v>
          </cell>
          <cell r="F1208">
            <v>1</v>
          </cell>
          <cell r="G1208">
            <v>1</v>
          </cell>
          <cell r="H1208">
            <v>1</v>
          </cell>
          <cell r="I1208">
            <v>0</v>
          </cell>
          <cell r="J1208">
            <v>0.69320000000000004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A1209" t="str">
            <v>INT GMB GMBMO</v>
          </cell>
          <cell r="B1209" t="str">
            <v>Business Talk</v>
          </cell>
          <cell r="C1209" t="str">
            <v>Gambia Mobile</v>
          </cell>
          <cell r="D1209" t="str">
            <v>Off-net international</v>
          </cell>
          <cell r="E1209" t="str">
            <v>minute</v>
          </cell>
          <cell r="F1209">
            <v>1</v>
          </cell>
          <cell r="G1209">
            <v>1</v>
          </cell>
          <cell r="H1209">
            <v>1</v>
          </cell>
          <cell r="I1209">
            <v>0</v>
          </cell>
          <cell r="J1209">
            <v>0.68759999999999999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10">
          <cell r="A1210" t="str">
            <v>INT GMB</v>
          </cell>
          <cell r="B1210" t="str">
            <v>Business Talk</v>
          </cell>
          <cell r="C1210" t="str">
            <v>Gambia</v>
          </cell>
          <cell r="D1210" t="str">
            <v>Off-net international</v>
          </cell>
          <cell r="E1210" t="str">
            <v>minute</v>
          </cell>
          <cell r="F1210">
            <v>1</v>
          </cell>
          <cell r="G1210">
            <v>1</v>
          </cell>
          <cell r="H1210">
            <v>1</v>
          </cell>
          <cell r="I1210">
            <v>0</v>
          </cell>
          <cell r="J1210">
            <v>0.68759999999999999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A1211" t="str">
            <v>INT GEO GEOMO</v>
          </cell>
          <cell r="B1211" t="str">
            <v>Business Talk</v>
          </cell>
          <cell r="C1211" t="str">
            <v>Georgia Mobile</v>
          </cell>
          <cell r="D1211" t="str">
            <v>Off-net international</v>
          </cell>
          <cell r="E1211" t="str">
            <v>minute</v>
          </cell>
          <cell r="F1211">
            <v>1</v>
          </cell>
          <cell r="G1211">
            <v>1</v>
          </cell>
          <cell r="H1211">
            <v>1</v>
          </cell>
          <cell r="I1211">
            <v>0</v>
          </cell>
          <cell r="J1211">
            <v>0.2046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2">
          <cell r="A1212" t="str">
            <v>INT GEO</v>
          </cell>
          <cell r="B1212" t="str">
            <v>Business Talk</v>
          </cell>
          <cell r="C1212" t="str">
            <v>Georgia</v>
          </cell>
          <cell r="D1212" t="str">
            <v>Off-net international</v>
          </cell>
          <cell r="E1212" t="str">
            <v>minute</v>
          </cell>
          <cell r="F1212">
            <v>1</v>
          </cell>
          <cell r="G1212">
            <v>1</v>
          </cell>
          <cell r="H1212">
            <v>1</v>
          </cell>
          <cell r="I1212">
            <v>0</v>
          </cell>
          <cell r="J1212">
            <v>0.1103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A1213" t="str">
            <v>INT GER GERMO</v>
          </cell>
          <cell r="B1213" t="str">
            <v>Business Talk</v>
          </cell>
          <cell r="C1213" t="str">
            <v>Germany Mobile</v>
          </cell>
          <cell r="D1213" t="str">
            <v>Off-net international</v>
          </cell>
          <cell r="E1213" t="str">
            <v>minute</v>
          </cell>
          <cell r="F1213">
            <v>1</v>
          </cell>
          <cell r="G1213">
            <v>1</v>
          </cell>
          <cell r="H1213">
            <v>1</v>
          </cell>
          <cell r="I1213">
            <v>0</v>
          </cell>
          <cell r="J1213">
            <v>4.02E-2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4">
          <cell r="A1214" t="str">
            <v>INT GER</v>
          </cell>
          <cell r="B1214" t="str">
            <v>Business Talk</v>
          </cell>
          <cell r="C1214" t="str">
            <v>Germany</v>
          </cell>
          <cell r="D1214" t="str">
            <v>Off-net international</v>
          </cell>
          <cell r="E1214" t="str">
            <v>minute</v>
          </cell>
          <cell r="F1214">
            <v>1</v>
          </cell>
          <cell r="G1214">
            <v>1</v>
          </cell>
          <cell r="H1214">
            <v>1</v>
          </cell>
          <cell r="I1214">
            <v>0</v>
          </cell>
          <cell r="J1214">
            <v>1.9900000000000001E-2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A1215" t="str">
            <v>INT GER GEPN1</v>
          </cell>
          <cell r="B1215" t="str">
            <v>Business Talk</v>
          </cell>
          <cell r="C1215" t="str">
            <v>Germany Personal Numbers</v>
          </cell>
          <cell r="D1215" t="str">
            <v>Off-net international</v>
          </cell>
          <cell r="E1215" t="str">
            <v>minute</v>
          </cell>
          <cell r="F1215">
            <v>1</v>
          </cell>
          <cell r="G1215">
            <v>1</v>
          </cell>
          <cell r="H1215">
            <v>1</v>
          </cell>
          <cell r="I1215">
            <v>0</v>
          </cell>
          <cell r="J1215">
            <v>0.1353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6">
          <cell r="A1216" t="str">
            <v>INT GER GETS4</v>
          </cell>
          <cell r="B1216" t="str">
            <v>Business Talk</v>
          </cell>
          <cell r="C1216" t="str">
            <v>Germany Shared Cost</v>
          </cell>
          <cell r="D1216" t="str">
            <v>Off-net international</v>
          </cell>
          <cell r="E1216" t="str">
            <v>minute</v>
          </cell>
          <cell r="F1216">
            <v>1</v>
          </cell>
          <cell r="G1216">
            <v>1</v>
          </cell>
          <cell r="H1216">
            <v>1</v>
          </cell>
          <cell r="I1216">
            <v>0</v>
          </cell>
          <cell r="J1216">
            <v>0.21840000000000001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</row>
        <row r="1217">
          <cell r="A1217" t="str">
            <v>INT GER GEV04</v>
          </cell>
          <cell r="B1217" t="str">
            <v>Business Talk</v>
          </cell>
          <cell r="C1217" t="str">
            <v>Germany Televoting</v>
          </cell>
          <cell r="D1217" t="str">
            <v>Off-net international</v>
          </cell>
          <cell r="E1217" t="str">
            <v>minute</v>
          </cell>
          <cell r="F1217">
            <v>1</v>
          </cell>
          <cell r="G1217">
            <v>1</v>
          </cell>
          <cell r="H1217">
            <v>1</v>
          </cell>
          <cell r="I1217">
            <v>0</v>
          </cell>
          <cell r="J1217">
            <v>1.0924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</row>
        <row r="1218">
          <cell r="A1218" t="str">
            <v>INT GER GETFR</v>
          </cell>
          <cell r="B1218" t="str">
            <v>Business Talk</v>
          </cell>
          <cell r="C1218" t="str">
            <v>Germany Toll Free</v>
          </cell>
          <cell r="D1218" t="str">
            <v>Off-net international</v>
          </cell>
          <cell r="E1218" t="str">
            <v>minute</v>
          </cell>
          <cell r="F1218">
            <v>1</v>
          </cell>
          <cell r="G1218">
            <v>1</v>
          </cell>
          <cell r="H1218">
            <v>1</v>
          </cell>
          <cell r="I1218">
            <v>0</v>
          </cell>
          <cell r="J1218">
            <v>1.61E-2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</row>
        <row r="1219">
          <cell r="A1219" t="str">
            <v>INT GHA GHAMO</v>
          </cell>
          <cell r="B1219" t="str">
            <v>Business Talk</v>
          </cell>
          <cell r="C1219" t="str">
            <v>Ghana Mobile</v>
          </cell>
          <cell r="D1219" t="str">
            <v>Off-net international</v>
          </cell>
          <cell r="E1219" t="str">
            <v>minute</v>
          </cell>
          <cell r="F1219">
            <v>1</v>
          </cell>
          <cell r="G1219">
            <v>1</v>
          </cell>
          <cell r="H1219">
            <v>1</v>
          </cell>
          <cell r="I1219">
            <v>0</v>
          </cell>
          <cell r="J1219">
            <v>0.32800000000000001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</row>
        <row r="1220">
          <cell r="A1220" t="str">
            <v>INT GHA</v>
          </cell>
          <cell r="B1220" t="str">
            <v>Business Talk</v>
          </cell>
          <cell r="C1220" t="str">
            <v>Ghana</v>
          </cell>
          <cell r="D1220" t="str">
            <v>Off-net international</v>
          </cell>
          <cell r="E1220" t="str">
            <v>minute</v>
          </cell>
          <cell r="F1220">
            <v>1</v>
          </cell>
          <cell r="G1220">
            <v>1</v>
          </cell>
          <cell r="H1220">
            <v>1</v>
          </cell>
          <cell r="I1220">
            <v>0</v>
          </cell>
          <cell r="J1220">
            <v>0.30719999999999997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</row>
        <row r="1221">
          <cell r="A1221" t="str">
            <v>INT GIB GIBMO</v>
          </cell>
          <cell r="B1221" t="str">
            <v>Business Talk</v>
          </cell>
          <cell r="C1221" t="str">
            <v>Gibraltar Mobile</v>
          </cell>
          <cell r="D1221" t="str">
            <v>Off-net international</v>
          </cell>
          <cell r="E1221" t="str">
            <v>minute</v>
          </cell>
          <cell r="F1221">
            <v>1</v>
          </cell>
          <cell r="G1221">
            <v>1</v>
          </cell>
          <cell r="H1221">
            <v>1</v>
          </cell>
          <cell r="I1221">
            <v>0</v>
          </cell>
          <cell r="J1221">
            <v>0.29459999999999997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</row>
        <row r="1222">
          <cell r="A1222" t="str">
            <v>INT GIB</v>
          </cell>
          <cell r="B1222" t="str">
            <v>Business Talk</v>
          </cell>
          <cell r="C1222" t="str">
            <v>Gibraltar</v>
          </cell>
          <cell r="D1222" t="str">
            <v>Off-net international</v>
          </cell>
          <cell r="E1222" t="str">
            <v>minute</v>
          </cell>
          <cell r="F1222">
            <v>1</v>
          </cell>
          <cell r="G1222">
            <v>1</v>
          </cell>
          <cell r="H1222">
            <v>1</v>
          </cell>
          <cell r="I1222">
            <v>0</v>
          </cell>
          <cell r="J1222">
            <v>0.29459999999999997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</row>
        <row r="1223">
          <cell r="A1223" t="str">
            <v>INT EMS GNS</v>
          </cell>
          <cell r="B1223" t="str">
            <v>Business Talk</v>
          </cell>
          <cell r="C1223" t="str">
            <v>Global Networks 88234</v>
          </cell>
          <cell r="D1223" t="str">
            <v>Off-net international</v>
          </cell>
          <cell r="E1223" t="str">
            <v>minute</v>
          </cell>
          <cell r="F1223">
            <v>1</v>
          </cell>
          <cell r="G1223">
            <v>1</v>
          </cell>
          <cell r="H1223">
            <v>1</v>
          </cell>
          <cell r="I1223">
            <v>0</v>
          </cell>
          <cell r="J1223">
            <v>0.37330000000000002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</row>
        <row r="1224">
          <cell r="A1224" t="str">
            <v>INT IRB</v>
          </cell>
          <cell r="B1224" t="str">
            <v>Business Talk</v>
          </cell>
          <cell r="C1224" t="str">
            <v>Global Satellite Gmss</v>
          </cell>
          <cell r="D1224" t="str">
            <v>Off-net international</v>
          </cell>
          <cell r="E1224" t="str">
            <v>minute</v>
          </cell>
          <cell r="F1224">
            <v>1</v>
          </cell>
          <cell r="G1224">
            <v>1</v>
          </cell>
          <cell r="H1224">
            <v>1</v>
          </cell>
          <cell r="I1224">
            <v>0</v>
          </cell>
          <cell r="J1224">
            <v>2.8006000000000002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</row>
        <row r="1225">
          <cell r="A1225" t="str">
            <v>INT IRB GLOB</v>
          </cell>
          <cell r="B1225" t="str">
            <v>Business Talk</v>
          </cell>
          <cell r="C1225" t="str">
            <v>Globalstar</v>
          </cell>
          <cell r="D1225" t="str">
            <v>Off-net international</v>
          </cell>
          <cell r="E1225" t="str">
            <v>minute</v>
          </cell>
          <cell r="F1225">
            <v>1</v>
          </cell>
          <cell r="G1225">
            <v>1</v>
          </cell>
          <cell r="H1225">
            <v>1</v>
          </cell>
          <cell r="I1225">
            <v>0</v>
          </cell>
          <cell r="J1225">
            <v>3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</row>
        <row r="1226">
          <cell r="A1226" t="str">
            <v>INT GRC GRCMO</v>
          </cell>
          <cell r="B1226" t="str">
            <v>Business Talk</v>
          </cell>
          <cell r="C1226" t="str">
            <v>Greece Mobile</v>
          </cell>
          <cell r="D1226" t="str">
            <v>Off-net international</v>
          </cell>
          <cell r="E1226" t="str">
            <v>minute</v>
          </cell>
          <cell r="F1226">
            <v>1</v>
          </cell>
          <cell r="G1226">
            <v>1</v>
          </cell>
          <cell r="H1226">
            <v>1</v>
          </cell>
          <cell r="I1226">
            <v>0</v>
          </cell>
          <cell r="J1226">
            <v>4.2299999999999997E-2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</row>
        <row r="1227">
          <cell r="A1227" t="str">
            <v>INT GRC</v>
          </cell>
          <cell r="B1227" t="str">
            <v>Business Talk</v>
          </cell>
          <cell r="C1227" t="str">
            <v>Greece</v>
          </cell>
          <cell r="D1227" t="str">
            <v>Off-net international</v>
          </cell>
          <cell r="E1227" t="str">
            <v>minute</v>
          </cell>
          <cell r="F1227">
            <v>1</v>
          </cell>
          <cell r="G1227">
            <v>1</v>
          </cell>
          <cell r="H1227">
            <v>1</v>
          </cell>
          <cell r="I1227">
            <v>0</v>
          </cell>
          <cell r="J1227">
            <v>1.77E-2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</row>
        <row r="1228">
          <cell r="A1228" t="str">
            <v>INT GRL GRLMO</v>
          </cell>
          <cell r="B1228" t="str">
            <v>Business Talk</v>
          </cell>
          <cell r="C1228" t="str">
            <v>Greenland Mobile</v>
          </cell>
          <cell r="D1228" t="str">
            <v>Off-net international</v>
          </cell>
          <cell r="E1228" t="str">
            <v>minute</v>
          </cell>
          <cell r="F1228">
            <v>1</v>
          </cell>
          <cell r="G1228">
            <v>1</v>
          </cell>
          <cell r="H1228">
            <v>1</v>
          </cell>
          <cell r="I1228">
            <v>0</v>
          </cell>
          <cell r="J1228">
            <v>0.75470000000000004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A1229" t="str">
            <v>INT GRL</v>
          </cell>
          <cell r="B1229" t="str">
            <v>Business Talk</v>
          </cell>
          <cell r="C1229" t="str">
            <v>Greenland</v>
          </cell>
          <cell r="D1229" t="str">
            <v>Off-net international</v>
          </cell>
          <cell r="E1229" t="str">
            <v>minute</v>
          </cell>
          <cell r="F1229">
            <v>1</v>
          </cell>
          <cell r="G1229">
            <v>1</v>
          </cell>
          <cell r="H1229">
            <v>1</v>
          </cell>
          <cell r="I1229">
            <v>0</v>
          </cell>
          <cell r="J1229">
            <v>0.75470000000000004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</row>
        <row r="1230">
          <cell r="A1230" t="str">
            <v>INT GRD</v>
          </cell>
          <cell r="B1230" t="str">
            <v>Business Talk</v>
          </cell>
          <cell r="C1230" t="str">
            <v>Grenada</v>
          </cell>
          <cell r="D1230" t="str">
            <v>Off-net international</v>
          </cell>
          <cell r="E1230" t="str">
            <v>minute</v>
          </cell>
          <cell r="F1230">
            <v>1</v>
          </cell>
          <cell r="G1230">
            <v>1</v>
          </cell>
          <cell r="H1230">
            <v>1</v>
          </cell>
          <cell r="I1230">
            <v>0</v>
          </cell>
          <cell r="J1230">
            <v>0.34449999999999997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</row>
        <row r="1231">
          <cell r="A1231" t="str">
            <v>INT GLP GLPMO</v>
          </cell>
          <cell r="B1231" t="str">
            <v>Business Talk</v>
          </cell>
          <cell r="C1231" t="str">
            <v>Guadeloupe Mobile</v>
          </cell>
          <cell r="D1231" t="str">
            <v>Off-net international</v>
          </cell>
          <cell r="E1231" t="str">
            <v>minute</v>
          </cell>
          <cell r="F1231">
            <v>1</v>
          </cell>
          <cell r="G1231">
            <v>1</v>
          </cell>
          <cell r="H1231">
            <v>1</v>
          </cell>
          <cell r="I1231">
            <v>0</v>
          </cell>
          <cell r="J1231">
            <v>4.4299999999999999E-2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</row>
        <row r="1232">
          <cell r="A1232" t="str">
            <v>INT GLP</v>
          </cell>
          <cell r="B1232" t="str">
            <v>Business Talk</v>
          </cell>
          <cell r="C1232" t="str">
            <v>Guadeloupe</v>
          </cell>
          <cell r="D1232" t="str">
            <v>Off-net international</v>
          </cell>
          <cell r="E1232" t="str">
            <v>minute</v>
          </cell>
          <cell r="F1232">
            <v>1</v>
          </cell>
          <cell r="G1232">
            <v>1</v>
          </cell>
          <cell r="H1232">
            <v>1</v>
          </cell>
          <cell r="I1232">
            <v>0</v>
          </cell>
          <cell r="J1232">
            <v>2.2499999999999999E-2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A1233" t="str">
            <v>INT GUM</v>
          </cell>
          <cell r="B1233" t="str">
            <v>Business Talk</v>
          </cell>
          <cell r="C1233" t="str">
            <v>Guam</v>
          </cell>
          <cell r="D1233" t="str">
            <v>Off-net international</v>
          </cell>
          <cell r="E1233" t="str">
            <v>minute</v>
          </cell>
          <cell r="F1233">
            <v>1</v>
          </cell>
          <cell r="G1233">
            <v>1</v>
          </cell>
          <cell r="H1233">
            <v>1</v>
          </cell>
          <cell r="I1233">
            <v>0</v>
          </cell>
          <cell r="J1233">
            <v>3.4299999999999997E-2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</row>
        <row r="1234">
          <cell r="A1234" t="str">
            <v>INT CUB CUBGU</v>
          </cell>
          <cell r="B1234" t="str">
            <v>Business Talk</v>
          </cell>
          <cell r="C1234" t="str">
            <v>Guantanamo</v>
          </cell>
          <cell r="D1234" t="str">
            <v>Off-net international</v>
          </cell>
          <cell r="E1234" t="str">
            <v>minute</v>
          </cell>
          <cell r="F1234">
            <v>1</v>
          </cell>
          <cell r="G1234">
            <v>1</v>
          </cell>
          <cell r="H1234">
            <v>1</v>
          </cell>
          <cell r="I1234">
            <v>0</v>
          </cell>
          <cell r="J1234">
            <v>0.84350000000000003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A1235" t="str">
            <v>INT GTM GTMMO</v>
          </cell>
          <cell r="B1235" t="str">
            <v>Business Talk</v>
          </cell>
          <cell r="C1235" t="str">
            <v>Guatemala Mobile</v>
          </cell>
          <cell r="D1235" t="str">
            <v>Off-net international</v>
          </cell>
          <cell r="E1235" t="str">
            <v>minute</v>
          </cell>
          <cell r="F1235">
            <v>1</v>
          </cell>
          <cell r="G1235">
            <v>1</v>
          </cell>
          <cell r="H1235">
            <v>1</v>
          </cell>
          <cell r="I1235">
            <v>0</v>
          </cell>
          <cell r="J1235">
            <v>0.2228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</row>
        <row r="1236">
          <cell r="A1236" t="str">
            <v>INT GTM</v>
          </cell>
          <cell r="B1236" t="str">
            <v>Business Talk</v>
          </cell>
          <cell r="C1236" t="str">
            <v>Guatemala</v>
          </cell>
          <cell r="D1236" t="str">
            <v>Off-net international</v>
          </cell>
          <cell r="E1236" t="str">
            <v>minute</v>
          </cell>
          <cell r="F1236">
            <v>1</v>
          </cell>
          <cell r="G1236">
            <v>1</v>
          </cell>
          <cell r="H1236">
            <v>1</v>
          </cell>
          <cell r="I1236">
            <v>0</v>
          </cell>
          <cell r="J1236">
            <v>0.22020000000000001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A1237" t="str">
            <v>INT GIN GINMO</v>
          </cell>
          <cell r="B1237" t="str">
            <v>Business Talk</v>
          </cell>
          <cell r="C1237" t="str">
            <v>Guinea Mobile</v>
          </cell>
          <cell r="D1237" t="str">
            <v>Off-net international</v>
          </cell>
          <cell r="E1237" t="str">
            <v>minute</v>
          </cell>
          <cell r="F1237">
            <v>1</v>
          </cell>
          <cell r="G1237">
            <v>1</v>
          </cell>
          <cell r="H1237">
            <v>1</v>
          </cell>
          <cell r="I1237">
            <v>0</v>
          </cell>
          <cell r="J1237">
            <v>0.65980000000000005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</row>
        <row r="1238">
          <cell r="A1238" t="str">
            <v>INT GIN</v>
          </cell>
          <cell r="B1238" t="str">
            <v>Business Talk</v>
          </cell>
          <cell r="C1238" t="str">
            <v>Guinea</v>
          </cell>
          <cell r="D1238" t="str">
            <v>Off-net international</v>
          </cell>
          <cell r="E1238" t="str">
            <v>minute</v>
          </cell>
          <cell r="F1238">
            <v>1</v>
          </cell>
          <cell r="G1238">
            <v>1</v>
          </cell>
          <cell r="H1238">
            <v>1</v>
          </cell>
          <cell r="I1238">
            <v>0</v>
          </cell>
          <cell r="J1238">
            <v>0.65980000000000005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</row>
        <row r="1239">
          <cell r="A1239" t="str">
            <v>INT GNB</v>
          </cell>
          <cell r="B1239" t="str">
            <v>Business Talk</v>
          </cell>
          <cell r="C1239" t="str">
            <v>Guinea-Bissau</v>
          </cell>
          <cell r="D1239" t="str">
            <v>Off-net international</v>
          </cell>
          <cell r="E1239" t="str">
            <v>minute</v>
          </cell>
          <cell r="F1239">
            <v>1</v>
          </cell>
          <cell r="G1239">
            <v>1</v>
          </cell>
          <cell r="H1239">
            <v>1</v>
          </cell>
          <cell r="I1239">
            <v>0</v>
          </cell>
          <cell r="J1239">
            <v>0.56859999999999999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</row>
        <row r="1240">
          <cell r="A1240" t="str">
            <v>INT GUY GUYMO</v>
          </cell>
          <cell r="B1240" t="str">
            <v>Business Talk</v>
          </cell>
          <cell r="C1240" t="str">
            <v>Guyana Mobile</v>
          </cell>
          <cell r="D1240" t="str">
            <v>Off-net international</v>
          </cell>
          <cell r="E1240" t="str">
            <v>minute</v>
          </cell>
          <cell r="F1240">
            <v>1</v>
          </cell>
          <cell r="G1240">
            <v>1</v>
          </cell>
          <cell r="H1240">
            <v>1</v>
          </cell>
          <cell r="I1240">
            <v>0</v>
          </cell>
          <cell r="J1240">
            <v>0.3629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</row>
        <row r="1241">
          <cell r="A1241" t="str">
            <v>INT GUY</v>
          </cell>
          <cell r="B1241" t="str">
            <v>Business Talk</v>
          </cell>
          <cell r="C1241" t="str">
            <v>Guyana</v>
          </cell>
          <cell r="D1241" t="str">
            <v>Off-net international</v>
          </cell>
          <cell r="E1241" t="str">
            <v>minute</v>
          </cell>
          <cell r="F1241">
            <v>1</v>
          </cell>
          <cell r="G1241">
            <v>1</v>
          </cell>
          <cell r="H1241">
            <v>1</v>
          </cell>
          <cell r="I1241">
            <v>0</v>
          </cell>
          <cell r="J1241">
            <v>0.3629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</row>
        <row r="1242">
          <cell r="A1242" t="str">
            <v>INT HTI HTIMO</v>
          </cell>
          <cell r="B1242" t="str">
            <v>Business Talk</v>
          </cell>
          <cell r="C1242" t="str">
            <v>Haiti Mobile</v>
          </cell>
          <cell r="D1242" t="str">
            <v>Off-net international</v>
          </cell>
          <cell r="E1242" t="str">
            <v>minute</v>
          </cell>
          <cell r="F1242">
            <v>1</v>
          </cell>
          <cell r="G1242">
            <v>1</v>
          </cell>
          <cell r="H1242">
            <v>1</v>
          </cell>
          <cell r="I1242">
            <v>0</v>
          </cell>
          <cell r="J1242">
            <v>0.4647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</row>
        <row r="1243">
          <cell r="A1243" t="str">
            <v>INT HTI</v>
          </cell>
          <cell r="B1243" t="str">
            <v>Business Talk</v>
          </cell>
          <cell r="C1243" t="str">
            <v>Haiti</v>
          </cell>
          <cell r="D1243" t="str">
            <v>Off-net international</v>
          </cell>
          <cell r="E1243" t="str">
            <v>minute</v>
          </cell>
          <cell r="F1243">
            <v>1</v>
          </cell>
          <cell r="G1243">
            <v>1</v>
          </cell>
          <cell r="H1243">
            <v>1</v>
          </cell>
          <cell r="I1243">
            <v>0</v>
          </cell>
          <cell r="J1243">
            <v>0.4471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A1244" t="str">
            <v>INT HND HNDMO</v>
          </cell>
          <cell r="B1244" t="str">
            <v>Business Talk</v>
          </cell>
          <cell r="C1244" t="str">
            <v>Honduras Mobile</v>
          </cell>
          <cell r="D1244" t="str">
            <v>Off-net international</v>
          </cell>
          <cell r="E1244" t="str">
            <v>minute</v>
          </cell>
          <cell r="F1244">
            <v>1</v>
          </cell>
          <cell r="G1244">
            <v>1</v>
          </cell>
          <cell r="H1244">
            <v>1</v>
          </cell>
          <cell r="I1244">
            <v>0</v>
          </cell>
          <cell r="J1244">
            <v>0.20949999999999999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</row>
        <row r="1245">
          <cell r="A1245" t="str">
            <v>INT HND</v>
          </cell>
          <cell r="B1245" t="str">
            <v>Business Talk</v>
          </cell>
          <cell r="C1245" t="str">
            <v>Honduras</v>
          </cell>
          <cell r="D1245" t="str">
            <v>Off-net international</v>
          </cell>
          <cell r="E1245" t="str">
            <v>minute</v>
          </cell>
          <cell r="F1245">
            <v>1</v>
          </cell>
          <cell r="G1245">
            <v>1</v>
          </cell>
          <cell r="H1245">
            <v>1</v>
          </cell>
          <cell r="I1245">
            <v>0</v>
          </cell>
          <cell r="J1245">
            <v>0.1857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</row>
        <row r="1246">
          <cell r="A1246" t="str">
            <v>INT HKG HKGMO</v>
          </cell>
          <cell r="B1246" t="str">
            <v>Business Talk</v>
          </cell>
          <cell r="C1246" t="str">
            <v>Hong Kong Mobile</v>
          </cell>
          <cell r="D1246" t="str">
            <v>Off-net international</v>
          </cell>
          <cell r="E1246" t="str">
            <v>minute</v>
          </cell>
          <cell r="F1246">
            <v>1</v>
          </cell>
          <cell r="G1246">
            <v>1</v>
          </cell>
          <cell r="H1246">
            <v>1</v>
          </cell>
          <cell r="I1246">
            <v>0</v>
          </cell>
          <cell r="J1246">
            <v>4.02E-2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</row>
        <row r="1247">
          <cell r="A1247" t="str">
            <v>INT HKG</v>
          </cell>
          <cell r="B1247" t="str">
            <v>Business Talk</v>
          </cell>
          <cell r="C1247" t="str">
            <v>Hong Kong</v>
          </cell>
          <cell r="D1247" t="str">
            <v>Off-net international</v>
          </cell>
          <cell r="E1247" t="str">
            <v>minute</v>
          </cell>
          <cell r="F1247">
            <v>1</v>
          </cell>
          <cell r="G1247">
            <v>1</v>
          </cell>
          <cell r="H1247">
            <v>1</v>
          </cell>
          <cell r="I1247">
            <v>0</v>
          </cell>
          <cell r="J1247">
            <v>3.09E-2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A1248" t="str">
            <v>INT HUN HUNMO</v>
          </cell>
          <cell r="B1248" t="str">
            <v>Business Talk</v>
          </cell>
          <cell r="C1248" t="str">
            <v>Hungary Mobile</v>
          </cell>
          <cell r="D1248" t="str">
            <v>Off-net international</v>
          </cell>
          <cell r="E1248" t="str">
            <v>minute</v>
          </cell>
          <cell r="F1248">
            <v>1</v>
          </cell>
          <cell r="G1248">
            <v>1</v>
          </cell>
          <cell r="H1248">
            <v>1</v>
          </cell>
          <cell r="I1248">
            <v>0</v>
          </cell>
          <cell r="J1248">
            <v>4.9599999999999998E-2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</row>
        <row r="1249">
          <cell r="A1249" t="str">
            <v>INT HUN</v>
          </cell>
          <cell r="B1249" t="str">
            <v>Business Talk</v>
          </cell>
          <cell r="C1249" t="str">
            <v>Hungary</v>
          </cell>
          <cell r="D1249" t="str">
            <v>Off-net international</v>
          </cell>
          <cell r="E1249" t="str">
            <v>minute</v>
          </cell>
          <cell r="F1249">
            <v>1</v>
          </cell>
          <cell r="G1249">
            <v>1</v>
          </cell>
          <cell r="H1249">
            <v>1</v>
          </cell>
          <cell r="I1249">
            <v>0</v>
          </cell>
          <cell r="J1249">
            <v>1.6899999999999998E-2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</row>
        <row r="1250">
          <cell r="A1250" t="str">
            <v>INT ISL ISLMO</v>
          </cell>
          <cell r="B1250" t="str">
            <v>Business Talk</v>
          </cell>
          <cell r="C1250" t="str">
            <v>Iceland Mobile</v>
          </cell>
          <cell r="D1250" t="str">
            <v>Off-net international</v>
          </cell>
          <cell r="E1250" t="str">
            <v>minute</v>
          </cell>
          <cell r="F1250">
            <v>1</v>
          </cell>
          <cell r="G1250">
            <v>1</v>
          </cell>
          <cell r="H1250">
            <v>1</v>
          </cell>
          <cell r="I1250">
            <v>0</v>
          </cell>
          <cell r="J1250">
            <v>0.1643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</row>
        <row r="1251">
          <cell r="A1251" t="str">
            <v>INT ISL</v>
          </cell>
          <cell r="B1251" t="str">
            <v>Business Talk</v>
          </cell>
          <cell r="C1251" t="str">
            <v>Iceland</v>
          </cell>
          <cell r="D1251" t="str">
            <v>Off-net international</v>
          </cell>
          <cell r="E1251" t="str">
            <v>minute</v>
          </cell>
          <cell r="F1251">
            <v>1</v>
          </cell>
          <cell r="G1251">
            <v>1</v>
          </cell>
          <cell r="H1251">
            <v>1</v>
          </cell>
          <cell r="I1251">
            <v>0</v>
          </cell>
          <cell r="J1251">
            <v>3.4599999999999999E-2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A1252" t="str">
            <v>INT IND INDMO</v>
          </cell>
          <cell r="B1252" t="str">
            <v>Business Talk</v>
          </cell>
          <cell r="C1252" t="str">
            <v>India Mobile</v>
          </cell>
          <cell r="D1252" t="str">
            <v>Off-net international</v>
          </cell>
          <cell r="E1252" t="str">
            <v>minute</v>
          </cell>
          <cell r="F1252">
            <v>1</v>
          </cell>
          <cell r="G1252">
            <v>1</v>
          </cell>
          <cell r="H1252">
            <v>1</v>
          </cell>
          <cell r="I1252">
            <v>0</v>
          </cell>
          <cell r="J1252">
            <v>2.7699999999999999E-2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</row>
        <row r="1253">
          <cell r="A1253" t="str">
            <v>INT IND</v>
          </cell>
          <cell r="B1253" t="str">
            <v>Business Talk</v>
          </cell>
          <cell r="C1253" t="str">
            <v>India</v>
          </cell>
          <cell r="D1253" t="str">
            <v>Off-net international</v>
          </cell>
          <cell r="E1253" t="str">
            <v>minute</v>
          </cell>
          <cell r="F1253">
            <v>1</v>
          </cell>
          <cell r="G1253">
            <v>1</v>
          </cell>
          <cell r="H1253">
            <v>1</v>
          </cell>
          <cell r="I1253">
            <v>0</v>
          </cell>
          <cell r="J1253">
            <v>2.7699999999999999E-2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</row>
        <row r="1254">
          <cell r="A1254" t="str">
            <v>INT IDN IDNMO</v>
          </cell>
          <cell r="B1254" t="str">
            <v>Business Talk</v>
          </cell>
          <cell r="C1254" t="str">
            <v>Indonesia Mobile</v>
          </cell>
          <cell r="D1254" t="str">
            <v>Off-net international</v>
          </cell>
          <cell r="E1254" t="str">
            <v>minute</v>
          </cell>
          <cell r="F1254">
            <v>1</v>
          </cell>
          <cell r="G1254">
            <v>1</v>
          </cell>
          <cell r="H1254">
            <v>1</v>
          </cell>
          <cell r="I1254">
            <v>0</v>
          </cell>
          <cell r="J1254">
            <v>0.1096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</row>
        <row r="1255">
          <cell r="A1255" t="str">
            <v>INT IDN</v>
          </cell>
          <cell r="B1255" t="str">
            <v>Business Talk</v>
          </cell>
          <cell r="C1255" t="str">
            <v>Indonesia</v>
          </cell>
          <cell r="D1255" t="str">
            <v>Off-net international</v>
          </cell>
          <cell r="E1255" t="str">
            <v>minute</v>
          </cell>
          <cell r="F1255">
            <v>1</v>
          </cell>
          <cell r="G1255">
            <v>1</v>
          </cell>
          <cell r="H1255">
            <v>1</v>
          </cell>
          <cell r="I1255">
            <v>0</v>
          </cell>
          <cell r="J1255">
            <v>6.1199999999999997E-2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</row>
        <row r="1256">
          <cell r="A1256" t="str">
            <v>INT OCE</v>
          </cell>
          <cell r="B1256" t="str">
            <v>Business Talk</v>
          </cell>
          <cell r="C1256" t="str">
            <v>Inmarsat</v>
          </cell>
          <cell r="D1256" t="str">
            <v>Off-net international</v>
          </cell>
          <cell r="E1256" t="str">
            <v>minute</v>
          </cell>
          <cell r="F1256">
            <v>1</v>
          </cell>
          <cell r="G1256">
            <v>1</v>
          </cell>
          <cell r="H1256">
            <v>1</v>
          </cell>
          <cell r="I1256">
            <v>0</v>
          </cell>
          <cell r="J1256">
            <v>14.136200000000001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A1257" t="str">
            <v>INT OCE SNACB</v>
          </cell>
          <cell r="B1257" t="str">
            <v>Business Talk</v>
          </cell>
          <cell r="C1257" t="str">
            <v>Inmarsat B</v>
          </cell>
          <cell r="D1257" t="str">
            <v>Off-net international</v>
          </cell>
          <cell r="E1257" t="str">
            <v>minute</v>
          </cell>
          <cell r="F1257">
            <v>1</v>
          </cell>
          <cell r="G1257">
            <v>1</v>
          </cell>
          <cell r="H1257">
            <v>1</v>
          </cell>
          <cell r="I1257">
            <v>0</v>
          </cell>
          <cell r="J1257">
            <v>2.306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</row>
        <row r="1258">
          <cell r="A1258" t="str">
            <v>INT OCE SBHSD</v>
          </cell>
          <cell r="B1258" t="str">
            <v>Business Talk</v>
          </cell>
          <cell r="C1258" t="str">
            <v>Inmarsat B Hsd</v>
          </cell>
          <cell r="D1258" t="str">
            <v>Off-net international</v>
          </cell>
          <cell r="E1258" t="str">
            <v>minute</v>
          </cell>
          <cell r="F1258">
            <v>1</v>
          </cell>
          <cell r="G1258">
            <v>1</v>
          </cell>
          <cell r="H1258">
            <v>1</v>
          </cell>
          <cell r="I1258">
            <v>0</v>
          </cell>
          <cell r="J1258">
            <v>6.8646000000000003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A1259" t="str">
            <v>INT OCE BGAN</v>
          </cell>
          <cell r="B1259" t="str">
            <v>Business Talk</v>
          </cell>
          <cell r="C1259" t="str">
            <v>Inmarsat Bgan</v>
          </cell>
          <cell r="D1259" t="str">
            <v>Off-net international</v>
          </cell>
          <cell r="E1259" t="str">
            <v>minute</v>
          </cell>
          <cell r="F1259">
            <v>1</v>
          </cell>
          <cell r="G1259">
            <v>1</v>
          </cell>
          <cell r="H1259">
            <v>1</v>
          </cell>
          <cell r="I1259">
            <v>0</v>
          </cell>
          <cell r="J1259">
            <v>3.4529999999999998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</row>
        <row r="1260">
          <cell r="A1260" t="str">
            <v>INT OCE BGHSD</v>
          </cell>
          <cell r="B1260" t="str">
            <v>Business Talk</v>
          </cell>
          <cell r="C1260" t="str">
            <v>Inmarsat Bgan Hsd</v>
          </cell>
          <cell r="D1260" t="str">
            <v>Off-net international</v>
          </cell>
          <cell r="E1260" t="str">
            <v>minute</v>
          </cell>
          <cell r="F1260">
            <v>1</v>
          </cell>
          <cell r="G1260">
            <v>1</v>
          </cell>
          <cell r="H1260">
            <v>1</v>
          </cell>
          <cell r="I1260">
            <v>0</v>
          </cell>
          <cell r="J1260">
            <v>6.4969000000000001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A1261" t="str">
            <v>INT OCE SNACM</v>
          </cell>
          <cell r="B1261" t="str">
            <v>Business Talk</v>
          </cell>
          <cell r="C1261" t="str">
            <v>Inmarsat M</v>
          </cell>
          <cell r="D1261" t="str">
            <v>Off-net international</v>
          </cell>
          <cell r="E1261" t="str">
            <v>minute</v>
          </cell>
          <cell r="F1261">
            <v>1</v>
          </cell>
          <cell r="G1261">
            <v>1</v>
          </cell>
          <cell r="H1261">
            <v>1</v>
          </cell>
          <cell r="I1261">
            <v>0</v>
          </cell>
          <cell r="J1261">
            <v>1.7383999999999999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A1262" t="str">
            <v>INT OCE M4HSD</v>
          </cell>
          <cell r="B1262" t="str">
            <v>Business Talk</v>
          </cell>
          <cell r="C1262" t="str">
            <v>Inmarsat M4 Hsd</v>
          </cell>
          <cell r="D1262" t="str">
            <v>Off-net international</v>
          </cell>
          <cell r="E1262" t="str">
            <v>minute</v>
          </cell>
          <cell r="F1262">
            <v>1</v>
          </cell>
          <cell r="G1262">
            <v>1</v>
          </cell>
          <cell r="H1262">
            <v>1</v>
          </cell>
          <cell r="I1262">
            <v>0</v>
          </cell>
          <cell r="J1262">
            <v>3.0291000000000001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</row>
        <row r="1263">
          <cell r="A1263" t="str">
            <v>INT OCE NACMM</v>
          </cell>
          <cell r="B1263" t="str">
            <v>Business Talk</v>
          </cell>
          <cell r="C1263" t="str">
            <v>Inmarsat Mm</v>
          </cell>
          <cell r="D1263" t="str">
            <v>Off-net international</v>
          </cell>
          <cell r="E1263" t="str">
            <v>minute</v>
          </cell>
          <cell r="F1263">
            <v>1</v>
          </cell>
          <cell r="G1263">
            <v>1</v>
          </cell>
          <cell r="H1263">
            <v>1</v>
          </cell>
          <cell r="I1263">
            <v>0</v>
          </cell>
          <cell r="J1263">
            <v>1.2414000000000001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</row>
        <row r="1264">
          <cell r="A1264" t="str">
            <v>INT EMS</v>
          </cell>
          <cell r="B1264" t="str">
            <v>Business Talk</v>
          </cell>
          <cell r="C1264" t="str">
            <v>International Networks</v>
          </cell>
          <cell r="D1264" t="str">
            <v>Off-net international</v>
          </cell>
          <cell r="E1264" t="str">
            <v>minute</v>
          </cell>
          <cell r="F1264">
            <v>1</v>
          </cell>
          <cell r="G1264">
            <v>1</v>
          </cell>
          <cell r="H1264">
            <v>1</v>
          </cell>
          <cell r="I1264">
            <v>0</v>
          </cell>
          <cell r="J1264">
            <v>3.1953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</row>
        <row r="1265">
          <cell r="A1265" t="str">
            <v>INT ITF</v>
          </cell>
          <cell r="B1265" t="str">
            <v>Business Talk</v>
          </cell>
          <cell r="C1265" t="str">
            <v>International Toll Free</v>
          </cell>
          <cell r="D1265" t="str">
            <v>Off-net international</v>
          </cell>
          <cell r="E1265" t="str">
            <v>minute</v>
          </cell>
          <cell r="F1265">
            <v>1</v>
          </cell>
          <cell r="G1265">
            <v>1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A1266" t="str">
            <v>INT IRN IRNMO</v>
          </cell>
          <cell r="B1266" t="str">
            <v>Business Talk</v>
          </cell>
          <cell r="C1266" t="str">
            <v>Iran Mobile</v>
          </cell>
          <cell r="D1266" t="str">
            <v>Off-net international</v>
          </cell>
          <cell r="E1266" t="str">
            <v>minute</v>
          </cell>
          <cell r="F1266">
            <v>1</v>
          </cell>
          <cell r="G1266">
            <v>1</v>
          </cell>
          <cell r="H1266">
            <v>1</v>
          </cell>
          <cell r="I1266">
            <v>0</v>
          </cell>
          <cell r="J1266">
            <v>0.129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</row>
        <row r="1267">
          <cell r="A1267" t="str">
            <v>INT IRN</v>
          </cell>
          <cell r="B1267" t="str">
            <v>Business Talk</v>
          </cell>
          <cell r="C1267" t="str">
            <v>Iran</v>
          </cell>
          <cell r="D1267" t="str">
            <v>Off-net international</v>
          </cell>
          <cell r="E1267" t="str">
            <v>minute</v>
          </cell>
          <cell r="F1267">
            <v>1</v>
          </cell>
          <cell r="G1267">
            <v>1</v>
          </cell>
          <cell r="H1267">
            <v>1</v>
          </cell>
          <cell r="I1267">
            <v>0</v>
          </cell>
          <cell r="J1267">
            <v>8.5599999999999996E-2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</row>
        <row r="1268">
          <cell r="A1268" t="str">
            <v>INT IRQ</v>
          </cell>
          <cell r="B1268" t="str">
            <v>Business Talk</v>
          </cell>
          <cell r="C1268" t="str">
            <v>Iraq</v>
          </cell>
          <cell r="D1268" t="str">
            <v>Off-net international</v>
          </cell>
          <cell r="E1268" t="str">
            <v>minute</v>
          </cell>
          <cell r="F1268">
            <v>1</v>
          </cell>
          <cell r="G1268">
            <v>1</v>
          </cell>
          <cell r="H1268">
            <v>1</v>
          </cell>
          <cell r="I1268">
            <v>0</v>
          </cell>
          <cell r="J1268">
            <v>0.1875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</row>
        <row r="1269">
          <cell r="A1269" t="str">
            <v>INT IRL IRLMO</v>
          </cell>
          <cell r="B1269" t="str">
            <v>Business Talk</v>
          </cell>
          <cell r="C1269" t="str">
            <v>Ireland Mobile</v>
          </cell>
          <cell r="D1269" t="str">
            <v>Off-net international</v>
          </cell>
          <cell r="E1269" t="str">
            <v>minute</v>
          </cell>
          <cell r="F1269">
            <v>1</v>
          </cell>
          <cell r="G1269">
            <v>1</v>
          </cell>
          <cell r="H1269">
            <v>1</v>
          </cell>
          <cell r="I1269">
            <v>0</v>
          </cell>
          <cell r="J1269">
            <v>5.4899999999999997E-2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A1270" t="str">
            <v>INT IRL</v>
          </cell>
          <cell r="B1270" t="str">
            <v>Business Talk</v>
          </cell>
          <cell r="C1270" t="str">
            <v>Ireland</v>
          </cell>
          <cell r="D1270" t="str">
            <v>Off-net international</v>
          </cell>
          <cell r="E1270" t="str">
            <v>minute</v>
          </cell>
          <cell r="F1270">
            <v>1</v>
          </cell>
          <cell r="G1270">
            <v>1</v>
          </cell>
          <cell r="H1270">
            <v>1</v>
          </cell>
          <cell r="I1270">
            <v>0</v>
          </cell>
          <cell r="J1270">
            <v>1.72E-2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</row>
        <row r="1271">
          <cell r="A1271" t="str">
            <v>INT IRL IEFRE</v>
          </cell>
          <cell r="B1271" t="str">
            <v>Business Talk</v>
          </cell>
          <cell r="C1271" t="str">
            <v>Ireland Freephone</v>
          </cell>
          <cell r="D1271" t="str">
            <v>Off-net international</v>
          </cell>
          <cell r="E1271" t="str">
            <v>minute</v>
          </cell>
          <cell r="F1271">
            <v>1</v>
          </cell>
          <cell r="G1271">
            <v>1</v>
          </cell>
          <cell r="H1271">
            <v>1</v>
          </cell>
          <cell r="I1271">
            <v>0</v>
          </cell>
          <cell r="J1271">
            <v>1.72E-2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</row>
        <row r="1272">
          <cell r="A1272" t="str">
            <v>INT IRL IEPC7</v>
          </cell>
          <cell r="B1272" t="str">
            <v>Business Talk</v>
          </cell>
          <cell r="C1272" t="str">
            <v>Ireland Premium Rate</v>
          </cell>
          <cell r="D1272" t="str">
            <v>Off-net international</v>
          </cell>
          <cell r="E1272" t="str">
            <v>minute</v>
          </cell>
          <cell r="F1272">
            <v>1</v>
          </cell>
          <cell r="G1272">
            <v>1</v>
          </cell>
          <cell r="H1272">
            <v>1</v>
          </cell>
          <cell r="I1272">
            <v>0</v>
          </cell>
          <cell r="J1272">
            <v>3.6989000000000001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</row>
        <row r="1273">
          <cell r="A1273" t="str">
            <v>INT IRL IESCM</v>
          </cell>
          <cell r="B1273" t="str">
            <v>Business Talk</v>
          </cell>
          <cell r="C1273" t="str">
            <v>Ireland Shared Cost</v>
          </cell>
          <cell r="D1273" t="str">
            <v>Off-net international</v>
          </cell>
          <cell r="E1273" t="str">
            <v>minute</v>
          </cell>
          <cell r="F1273">
            <v>1</v>
          </cell>
          <cell r="G1273">
            <v>1</v>
          </cell>
          <cell r="H1273">
            <v>1</v>
          </cell>
          <cell r="I1273">
            <v>0</v>
          </cell>
          <cell r="J1273">
            <v>8.9700000000000002E-2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</row>
        <row r="1274">
          <cell r="A1274" t="str">
            <v>INT ISR ISRMO</v>
          </cell>
          <cell r="B1274" t="str">
            <v>Business Talk</v>
          </cell>
          <cell r="C1274" t="str">
            <v>Israel Mobile</v>
          </cell>
          <cell r="D1274" t="str">
            <v>Off-net international</v>
          </cell>
          <cell r="E1274" t="str">
            <v>minute</v>
          </cell>
          <cell r="F1274">
            <v>1</v>
          </cell>
          <cell r="G1274">
            <v>1</v>
          </cell>
          <cell r="H1274">
            <v>1</v>
          </cell>
          <cell r="I1274">
            <v>0</v>
          </cell>
          <cell r="J1274">
            <v>0.28499999999999998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</row>
        <row r="1275">
          <cell r="A1275" t="str">
            <v>INT ISR</v>
          </cell>
          <cell r="B1275" t="str">
            <v>Business Talk</v>
          </cell>
          <cell r="C1275" t="str">
            <v>Israel</v>
          </cell>
          <cell r="D1275" t="str">
            <v>Off-net international</v>
          </cell>
          <cell r="E1275" t="str">
            <v>minute</v>
          </cell>
          <cell r="F1275">
            <v>1</v>
          </cell>
          <cell r="G1275">
            <v>1</v>
          </cell>
          <cell r="H1275">
            <v>1</v>
          </cell>
          <cell r="I1275">
            <v>0</v>
          </cell>
          <cell r="J1275">
            <v>2.52E-2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</row>
        <row r="1276">
          <cell r="A1276" t="str">
            <v>INT ITA ZITA9</v>
          </cell>
          <cell r="B1276" t="str">
            <v>Business Talk</v>
          </cell>
          <cell r="C1276" t="str">
            <v>Italy Mobile</v>
          </cell>
          <cell r="D1276" t="str">
            <v>Off-net international</v>
          </cell>
          <cell r="E1276" t="str">
            <v>minute</v>
          </cell>
          <cell r="F1276">
            <v>1</v>
          </cell>
          <cell r="G1276">
            <v>1</v>
          </cell>
          <cell r="H1276">
            <v>1</v>
          </cell>
          <cell r="I1276">
            <v>0</v>
          </cell>
          <cell r="J1276">
            <v>4.02E-2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</row>
        <row r="1277">
          <cell r="A1277" t="str">
            <v>INT ITA</v>
          </cell>
          <cell r="B1277" t="str">
            <v>Business Talk</v>
          </cell>
          <cell r="C1277" t="str">
            <v>Italy</v>
          </cell>
          <cell r="D1277" t="str">
            <v>Off-net international</v>
          </cell>
          <cell r="E1277" t="str">
            <v>minute</v>
          </cell>
          <cell r="F1277">
            <v>1</v>
          </cell>
          <cell r="G1277">
            <v>1</v>
          </cell>
          <cell r="H1277">
            <v>1</v>
          </cell>
          <cell r="I1277">
            <v>0</v>
          </cell>
          <cell r="J1277">
            <v>1.84E-2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A1278" t="str">
            <v>INT ITA ITPRF</v>
          </cell>
          <cell r="B1278" t="str">
            <v>Business Talk</v>
          </cell>
          <cell r="C1278" t="str">
            <v>Italy Premium</v>
          </cell>
          <cell r="D1278" t="str">
            <v>Off-net international</v>
          </cell>
          <cell r="E1278" t="str">
            <v>minute</v>
          </cell>
          <cell r="F1278">
            <v>1</v>
          </cell>
          <cell r="G1278">
            <v>1</v>
          </cell>
          <cell r="H1278">
            <v>1</v>
          </cell>
          <cell r="I1278">
            <v>0</v>
          </cell>
          <cell r="J1278">
            <v>13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</row>
        <row r="1279">
          <cell r="A1279" t="str">
            <v>INT ITA ITSB1</v>
          </cell>
          <cell r="B1279" t="str">
            <v>Business Talk</v>
          </cell>
          <cell r="C1279" t="str">
            <v>Italy Shared</v>
          </cell>
          <cell r="D1279" t="str">
            <v>Off-net international</v>
          </cell>
          <cell r="E1279" t="str">
            <v>minute</v>
          </cell>
          <cell r="F1279">
            <v>1</v>
          </cell>
          <cell r="G1279">
            <v>1</v>
          </cell>
          <cell r="H1279">
            <v>1</v>
          </cell>
          <cell r="I1279">
            <v>0</v>
          </cell>
          <cell r="J1279">
            <v>0.13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</row>
        <row r="1280">
          <cell r="A1280" t="str">
            <v>INT ITA ITFRE</v>
          </cell>
          <cell r="B1280" t="str">
            <v>Business Talk</v>
          </cell>
          <cell r="C1280" t="str">
            <v>Italy Toll Free</v>
          </cell>
          <cell r="D1280" t="str">
            <v>Off-net international</v>
          </cell>
          <cell r="E1280" t="str">
            <v>minute</v>
          </cell>
          <cell r="F1280">
            <v>1</v>
          </cell>
          <cell r="G1280">
            <v>1</v>
          </cell>
          <cell r="H1280">
            <v>1</v>
          </cell>
          <cell r="I1280">
            <v>0</v>
          </cell>
          <cell r="J1280">
            <v>1.95E-2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</row>
        <row r="1281">
          <cell r="A1281" t="str">
            <v>INT JAM JAMMO</v>
          </cell>
          <cell r="B1281" t="str">
            <v>Business Talk</v>
          </cell>
          <cell r="C1281" t="str">
            <v>Jamaica Mobile</v>
          </cell>
          <cell r="D1281" t="str">
            <v>Off-net international</v>
          </cell>
          <cell r="E1281" t="str">
            <v>minute</v>
          </cell>
          <cell r="F1281">
            <v>1</v>
          </cell>
          <cell r="G1281">
            <v>1</v>
          </cell>
          <cell r="H1281">
            <v>1</v>
          </cell>
          <cell r="I1281">
            <v>0</v>
          </cell>
          <cell r="J1281">
            <v>0.36370000000000002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</row>
        <row r="1282">
          <cell r="A1282" t="str">
            <v>INT JAM</v>
          </cell>
          <cell r="B1282" t="str">
            <v>Business Talk</v>
          </cell>
          <cell r="C1282" t="str">
            <v>Jamaica</v>
          </cell>
          <cell r="D1282" t="str">
            <v>Off-net international</v>
          </cell>
          <cell r="E1282" t="str">
            <v>minute</v>
          </cell>
          <cell r="F1282">
            <v>1</v>
          </cell>
          <cell r="G1282">
            <v>1</v>
          </cell>
          <cell r="H1282">
            <v>1</v>
          </cell>
          <cell r="I1282">
            <v>0</v>
          </cell>
          <cell r="J1282">
            <v>0.17349999999999999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</row>
        <row r="1283">
          <cell r="A1283" t="str">
            <v>INT JPN JPNMO</v>
          </cell>
          <cell r="B1283" t="str">
            <v>Business Talk</v>
          </cell>
          <cell r="C1283" t="str">
            <v>Japan Mobile</v>
          </cell>
          <cell r="D1283" t="str">
            <v>Off-net international</v>
          </cell>
          <cell r="E1283" t="str">
            <v>minute</v>
          </cell>
          <cell r="F1283">
            <v>1</v>
          </cell>
          <cell r="G1283">
            <v>1</v>
          </cell>
          <cell r="H1283">
            <v>1</v>
          </cell>
          <cell r="I1283">
            <v>0</v>
          </cell>
          <cell r="J1283">
            <v>0.20039999999999999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</row>
        <row r="1284">
          <cell r="A1284" t="str">
            <v>INT JPN</v>
          </cell>
          <cell r="B1284" t="str">
            <v>Business Talk</v>
          </cell>
          <cell r="C1284" t="str">
            <v>Japan</v>
          </cell>
          <cell r="D1284" t="str">
            <v>Off-net international</v>
          </cell>
          <cell r="E1284" t="str">
            <v>minute</v>
          </cell>
          <cell r="F1284">
            <v>1</v>
          </cell>
          <cell r="G1284">
            <v>1</v>
          </cell>
          <cell r="H1284">
            <v>1</v>
          </cell>
          <cell r="I1284">
            <v>0</v>
          </cell>
          <cell r="J1284">
            <v>5.7599999999999998E-2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</row>
        <row r="1285">
          <cell r="A1285" t="str">
            <v>INT JPN JPTFR</v>
          </cell>
          <cell r="B1285" t="str">
            <v>Business Talk</v>
          </cell>
          <cell r="C1285" t="str">
            <v>Japan Toll Free</v>
          </cell>
          <cell r="D1285" t="str">
            <v>Off-net international</v>
          </cell>
          <cell r="E1285" t="str">
            <v>minute</v>
          </cell>
          <cell r="F1285">
            <v>1</v>
          </cell>
          <cell r="G1285">
            <v>1</v>
          </cell>
          <cell r="H1285">
            <v>1</v>
          </cell>
          <cell r="I1285">
            <v>0</v>
          </cell>
          <cell r="J1285">
            <v>4.7300000000000002E-2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</row>
        <row r="1286">
          <cell r="A1286" t="str">
            <v>INT JOR JORMO</v>
          </cell>
          <cell r="B1286" t="str">
            <v>Business Talk</v>
          </cell>
          <cell r="C1286" t="str">
            <v>Jordan Mobile</v>
          </cell>
          <cell r="D1286" t="str">
            <v>Off-net international</v>
          </cell>
          <cell r="E1286" t="str">
            <v>minute</v>
          </cell>
          <cell r="F1286">
            <v>1</v>
          </cell>
          <cell r="G1286">
            <v>1</v>
          </cell>
          <cell r="H1286">
            <v>1</v>
          </cell>
          <cell r="I1286">
            <v>0</v>
          </cell>
          <cell r="J1286">
            <v>0.1946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</row>
        <row r="1287">
          <cell r="A1287" t="str">
            <v>INT JOR</v>
          </cell>
          <cell r="B1287" t="str">
            <v>Business Talk</v>
          </cell>
          <cell r="C1287" t="str">
            <v>Jordan</v>
          </cell>
          <cell r="D1287" t="str">
            <v>Off-net international</v>
          </cell>
          <cell r="E1287" t="str">
            <v>minute</v>
          </cell>
          <cell r="F1287">
            <v>1</v>
          </cell>
          <cell r="G1287">
            <v>1</v>
          </cell>
          <cell r="H1287">
            <v>1</v>
          </cell>
          <cell r="I1287">
            <v>0</v>
          </cell>
          <cell r="J1287">
            <v>0.15229999999999999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A1288" t="str">
            <v>INT KAZ</v>
          </cell>
          <cell r="B1288" t="str">
            <v>Business Talk</v>
          </cell>
          <cell r="C1288" t="str">
            <v>Kazakhstan</v>
          </cell>
          <cell r="D1288" t="str">
            <v>Off-net international</v>
          </cell>
          <cell r="E1288" t="str">
            <v>minute</v>
          </cell>
          <cell r="F1288">
            <v>1</v>
          </cell>
          <cell r="G1288">
            <v>1</v>
          </cell>
          <cell r="H1288">
            <v>1</v>
          </cell>
          <cell r="I1288">
            <v>0</v>
          </cell>
          <cell r="J1288">
            <v>0.14460000000000001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</row>
        <row r="1289">
          <cell r="A1289" t="str">
            <v>INT KEN KENMO</v>
          </cell>
          <cell r="B1289" t="str">
            <v>Business Talk</v>
          </cell>
          <cell r="C1289" t="str">
            <v>Kenya Mobile</v>
          </cell>
          <cell r="D1289" t="str">
            <v>Off-net international</v>
          </cell>
          <cell r="E1289" t="str">
            <v>minute</v>
          </cell>
          <cell r="F1289">
            <v>1</v>
          </cell>
          <cell r="G1289">
            <v>1</v>
          </cell>
          <cell r="H1289">
            <v>1</v>
          </cell>
          <cell r="I1289">
            <v>0</v>
          </cell>
          <cell r="J1289">
            <v>0.16239999999999999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</row>
        <row r="1290">
          <cell r="A1290" t="str">
            <v>INT KEN</v>
          </cell>
          <cell r="B1290" t="str">
            <v>Business Talk</v>
          </cell>
          <cell r="C1290" t="str">
            <v>Kenya</v>
          </cell>
          <cell r="D1290" t="str">
            <v>Off-net international</v>
          </cell>
          <cell r="E1290" t="str">
            <v>minute</v>
          </cell>
          <cell r="F1290">
            <v>1</v>
          </cell>
          <cell r="G1290">
            <v>1</v>
          </cell>
          <cell r="H1290">
            <v>1</v>
          </cell>
          <cell r="I1290">
            <v>0</v>
          </cell>
          <cell r="J1290">
            <v>0.1258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</row>
        <row r="1291">
          <cell r="A1291" t="str">
            <v>INT KIR</v>
          </cell>
          <cell r="B1291" t="str">
            <v>Business Talk</v>
          </cell>
          <cell r="C1291" t="str">
            <v>Kiribati</v>
          </cell>
          <cell r="D1291" t="str">
            <v>Off-net international</v>
          </cell>
          <cell r="E1291" t="str">
            <v>minute</v>
          </cell>
          <cell r="F1291">
            <v>1</v>
          </cell>
          <cell r="G1291">
            <v>1</v>
          </cell>
          <cell r="H1291">
            <v>1</v>
          </cell>
          <cell r="I1291">
            <v>0</v>
          </cell>
          <cell r="J1291">
            <v>0.80740000000000001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</row>
        <row r="1292">
          <cell r="A1292" t="str">
            <v>INT PRK</v>
          </cell>
          <cell r="B1292" t="str">
            <v>Business Talk</v>
          </cell>
          <cell r="C1292" t="str">
            <v>Korea North</v>
          </cell>
          <cell r="D1292" t="str">
            <v>Off-net international</v>
          </cell>
          <cell r="E1292" t="str">
            <v>minute</v>
          </cell>
          <cell r="F1292">
            <v>1</v>
          </cell>
          <cell r="G1292">
            <v>1</v>
          </cell>
          <cell r="H1292">
            <v>1</v>
          </cell>
          <cell r="I1292">
            <v>0</v>
          </cell>
          <cell r="J1292">
            <v>0.83879999999999999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</row>
        <row r="1293">
          <cell r="A1293" t="str">
            <v>INT KOR KORMO</v>
          </cell>
          <cell r="B1293" t="str">
            <v>Business Talk</v>
          </cell>
          <cell r="C1293" t="str">
            <v>Korea South Mobile</v>
          </cell>
          <cell r="D1293" t="str">
            <v>Off-net international</v>
          </cell>
          <cell r="E1293" t="str">
            <v>minute</v>
          </cell>
          <cell r="F1293">
            <v>1</v>
          </cell>
          <cell r="G1293">
            <v>1</v>
          </cell>
          <cell r="H1293">
            <v>1</v>
          </cell>
          <cell r="I1293">
            <v>0</v>
          </cell>
          <cell r="J1293">
            <v>5.1400000000000001E-2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</row>
        <row r="1294">
          <cell r="A1294" t="str">
            <v>INT KOR</v>
          </cell>
          <cell r="B1294" t="str">
            <v>Business Talk</v>
          </cell>
          <cell r="C1294" t="str">
            <v>Korea South</v>
          </cell>
          <cell r="D1294" t="str">
            <v>Off-net international</v>
          </cell>
          <cell r="E1294" t="str">
            <v>minute</v>
          </cell>
          <cell r="F1294">
            <v>1</v>
          </cell>
          <cell r="G1294">
            <v>1</v>
          </cell>
          <cell r="H1294">
            <v>1</v>
          </cell>
          <cell r="I1294">
            <v>0</v>
          </cell>
          <cell r="J1294">
            <v>3.4799999999999998E-2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</row>
        <row r="1295">
          <cell r="A1295" t="str">
            <v>INT KWT KWTMO</v>
          </cell>
          <cell r="B1295" t="str">
            <v>Business Talk</v>
          </cell>
          <cell r="C1295" t="str">
            <v>Kuwait Mobile</v>
          </cell>
          <cell r="D1295" t="str">
            <v>Off-net international</v>
          </cell>
          <cell r="E1295" t="str">
            <v>minute</v>
          </cell>
          <cell r="F1295">
            <v>1</v>
          </cell>
          <cell r="G1295">
            <v>1</v>
          </cell>
          <cell r="H1295">
            <v>1</v>
          </cell>
          <cell r="I1295">
            <v>0</v>
          </cell>
          <cell r="J1295">
            <v>0.15939999999999999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</row>
        <row r="1296">
          <cell r="A1296" t="str">
            <v>INT KWT</v>
          </cell>
          <cell r="B1296" t="str">
            <v>Business Talk</v>
          </cell>
          <cell r="C1296" t="str">
            <v>Kuwait</v>
          </cell>
          <cell r="D1296" t="str">
            <v>Off-net international</v>
          </cell>
          <cell r="E1296" t="str">
            <v>minute</v>
          </cell>
          <cell r="F1296">
            <v>1</v>
          </cell>
          <cell r="G1296">
            <v>1</v>
          </cell>
          <cell r="H1296">
            <v>1</v>
          </cell>
          <cell r="I1296">
            <v>0</v>
          </cell>
          <cell r="J1296">
            <v>0.159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</row>
        <row r="1297">
          <cell r="A1297" t="str">
            <v>INT KGZ</v>
          </cell>
          <cell r="B1297" t="str">
            <v>Business Talk</v>
          </cell>
          <cell r="C1297" t="str">
            <v>Kyrgyzstan</v>
          </cell>
          <cell r="D1297" t="str">
            <v>Off-net international</v>
          </cell>
          <cell r="E1297" t="str">
            <v>minute</v>
          </cell>
          <cell r="F1297">
            <v>1</v>
          </cell>
          <cell r="G1297">
            <v>1</v>
          </cell>
          <cell r="H1297">
            <v>1</v>
          </cell>
          <cell r="I1297">
            <v>0</v>
          </cell>
          <cell r="J1297">
            <v>0.23580000000000001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</row>
        <row r="1298">
          <cell r="A1298" t="str">
            <v>INT LAO</v>
          </cell>
          <cell r="B1298" t="str">
            <v>Business Talk</v>
          </cell>
          <cell r="C1298" t="str">
            <v>Laos</v>
          </cell>
          <cell r="D1298" t="str">
            <v>Off-net international</v>
          </cell>
          <cell r="E1298" t="str">
            <v>minute</v>
          </cell>
          <cell r="F1298">
            <v>1</v>
          </cell>
          <cell r="G1298">
            <v>1</v>
          </cell>
          <cell r="H1298">
            <v>1</v>
          </cell>
          <cell r="I1298">
            <v>0</v>
          </cell>
          <cell r="J1298">
            <v>0.1042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</row>
        <row r="1299">
          <cell r="A1299" t="str">
            <v>INT LVA LVAMO</v>
          </cell>
          <cell r="B1299" t="str">
            <v>Business Talk</v>
          </cell>
          <cell r="C1299" t="str">
            <v>Latvia Mobile</v>
          </cell>
          <cell r="D1299" t="str">
            <v>Off-net international</v>
          </cell>
          <cell r="E1299" t="str">
            <v>minute</v>
          </cell>
          <cell r="F1299">
            <v>1</v>
          </cell>
          <cell r="G1299">
            <v>1</v>
          </cell>
          <cell r="H1299">
            <v>1</v>
          </cell>
          <cell r="I1299">
            <v>0</v>
          </cell>
          <cell r="J1299">
            <v>0.1048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</row>
        <row r="1300">
          <cell r="A1300" t="str">
            <v>INT LVA</v>
          </cell>
          <cell r="B1300" t="str">
            <v>Business Talk</v>
          </cell>
          <cell r="C1300" t="str">
            <v>Latvia</v>
          </cell>
          <cell r="D1300" t="str">
            <v>Off-net international</v>
          </cell>
          <cell r="E1300" t="str">
            <v>minute</v>
          </cell>
          <cell r="F1300">
            <v>1</v>
          </cell>
          <cell r="G1300">
            <v>1</v>
          </cell>
          <cell r="H1300">
            <v>1</v>
          </cell>
          <cell r="I1300">
            <v>0</v>
          </cell>
          <cell r="J1300">
            <v>0.1048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</row>
        <row r="1301">
          <cell r="A1301" t="str">
            <v>INT LBN LBNMO</v>
          </cell>
          <cell r="B1301" t="str">
            <v>Business Talk</v>
          </cell>
          <cell r="C1301" t="str">
            <v>Lebanon Mobile</v>
          </cell>
          <cell r="D1301" t="str">
            <v>Off-net international</v>
          </cell>
          <cell r="E1301" t="str">
            <v>minute</v>
          </cell>
          <cell r="F1301">
            <v>1</v>
          </cell>
          <cell r="G1301">
            <v>1</v>
          </cell>
          <cell r="H1301">
            <v>1</v>
          </cell>
          <cell r="I1301">
            <v>0</v>
          </cell>
          <cell r="J1301">
            <v>0.26450000000000001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A1302" t="str">
            <v>INT LBN</v>
          </cell>
          <cell r="B1302" t="str">
            <v>Business Talk</v>
          </cell>
          <cell r="C1302" t="str">
            <v>Lebanon</v>
          </cell>
          <cell r="D1302" t="str">
            <v>Off-net international</v>
          </cell>
          <cell r="E1302" t="str">
            <v>minute</v>
          </cell>
          <cell r="F1302">
            <v>1</v>
          </cell>
          <cell r="G1302">
            <v>1</v>
          </cell>
          <cell r="H1302">
            <v>1</v>
          </cell>
          <cell r="I1302">
            <v>0</v>
          </cell>
          <cell r="J1302">
            <v>0.13980000000000001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</row>
        <row r="1303">
          <cell r="A1303" t="str">
            <v>INT LSO</v>
          </cell>
          <cell r="B1303" t="str">
            <v>Business Talk</v>
          </cell>
          <cell r="C1303" t="str">
            <v>Lesotho</v>
          </cell>
          <cell r="D1303" t="str">
            <v>Off-net international</v>
          </cell>
          <cell r="E1303" t="str">
            <v>minute</v>
          </cell>
          <cell r="F1303">
            <v>1</v>
          </cell>
          <cell r="G1303">
            <v>1</v>
          </cell>
          <cell r="H1303">
            <v>1</v>
          </cell>
          <cell r="I1303">
            <v>0</v>
          </cell>
          <cell r="J1303">
            <v>0.3357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</row>
        <row r="1304">
          <cell r="A1304" t="str">
            <v>INT LBR</v>
          </cell>
          <cell r="B1304" t="str">
            <v>Business Talk</v>
          </cell>
          <cell r="C1304" t="str">
            <v>Liberia</v>
          </cell>
          <cell r="D1304" t="str">
            <v>Off-net international</v>
          </cell>
          <cell r="E1304" t="str">
            <v>minute</v>
          </cell>
          <cell r="F1304">
            <v>1</v>
          </cell>
          <cell r="G1304">
            <v>1</v>
          </cell>
          <cell r="H1304">
            <v>1</v>
          </cell>
          <cell r="I1304">
            <v>0</v>
          </cell>
          <cell r="J1304">
            <v>0.57569999999999999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A1305" t="str">
            <v>INT LBY LBYMO</v>
          </cell>
          <cell r="B1305" t="str">
            <v>Business Talk</v>
          </cell>
          <cell r="C1305" t="str">
            <v>Libya Mobile</v>
          </cell>
          <cell r="D1305" t="str">
            <v>Off-net international</v>
          </cell>
          <cell r="E1305" t="str">
            <v>minute</v>
          </cell>
          <cell r="F1305">
            <v>1</v>
          </cell>
          <cell r="G1305">
            <v>1</v>
          </cell>
          <cell r="H1305">
            <v>1</v>
          </cell>
          <cell r="I1305">
            <v>0</v>
          </cell>
          <cell r="J1305">
            <v>0.46579999999999999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A1306" t="str">
            <v>INT LBY</v>
          </cell>
          <cell r="B1306" t="str">
            <v>Business Talk</v>
          </cell>
          <cell r="C1306" t="str">
            <v>Libya</v>
          </cell>
          <cell r="D1306" t="str">
            <v>Off-net international</v>
          </cell>
          <cell r="E1306" t="str">
            <v>minute</v>
          </cell>
          <cell r="F1306">
            <v>1</v>
          </cell>
          <cell r="G1306">
            <v>1</v>
          </cell>
          <cell r="H1306">
            <v>1</v>
          </cell>
          <cell r="I1306">
            <v>0</v>
          </cell>
          <cell r="J1306">
            <v>0.32350000000000001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  <row r="1307">
          <cell r="A1307" t="str">
            <v>INT LIE LIEMO</v>
          </cell>
          <cell r="B1307" t="str">
            <v>Business Talk</v>
          </cell>
          <cell r="C1307" t="str">
            <v>Liechtenstein Mobile</v>
          </cell>
          <cell r="D1307" t="str">
            <v>Off-net international</v>
          </cell>
          <cell r="E1307" t="str">
            <v>minute</v>
          </cell>
          <cell r="F1307">
            <v>1</v>
          </cell>
          <cell r="G1307">
            <v>1</v>
          </cell>
          <cell r="H1307">
            <v>1</v>
          </cell>
          <cell r="I1307">
            <v>0</v>
          </cell>
          <cell r="J1307">
            <v>0.51080000000000003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A1308" t="str">
            <v>INT LIE</v>
          </cell>
          <cell r="B1308" t="str">
            <v>Business Talk</v>
          </cell>
          <cell r="C1308" t="str">
            <v>Liechtenstein</v>
          </cell>
          <cell r="D1308" t="str">
            <v>Off-net international</v>
          </cell>
          <cell r="E1308" t="str">
            <v>minute</v>
          </cell>
          <cell r="F1308">
            <v>1</v>
          </cell>
          <cell r="G1308">
            <v>1</v>
          </cell>
          <cell r="H1308">
            <v>1</v>
          </cell>
          <cell r="I1308">
            <v>0</v>
          </cell>
          <cell r="J1308">
            <v>0.1328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A1309" t="str">
            <v>INT LTU LTUMO</v>
          </cell>
          <cell r="B1309" t="str">
            <v>Business Talk</v>
          </cell>
          <cell r="C1309" t="str">
            <v>Lithuania Mobile</v>
          </cell>
          <cell r="D1309" t="str">
            <v>Off-net international</v>
          </cell>
          <cell r="E1309" t="str">
            <v>minute</v>
          </cell>
          <cell r="F1309">
            <v>1</v>
          </cell>
          <cell r="G1309">
            <v>1</v>
          </cell>
          <cell r="H1309">
            <v>1</v>
          </cell>
          <cell r="I1309">
            <v>0</v>
          </cell>
          <cell r="J1309">
            <v>6.7000000000000004E-2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A1310" t="str">
            <v>INT LTU LTUGS</v>
          </cell>
          <cell r="B1310" t="str">
            <v>Business Talk</v>
          </cell>
          <cell r="C1310" t="str">
            <v>Lithuania Mobile Gsm</v>
          </cell>
          <cell r="D1310" t="str">
            <v>Off-net international</v>
          </cell>
          <cell r="E1310" t="str">
            <v>minute</v>
          </cell>
          <cell r="F1310">
            <v>1</v>
          </cell>
          <cell r="G1310">
            <v>1</v>
          </cell>
          <cell r="H1310">
            <v>1</v>
          </cell>
          <cell r="I1310">
            <v>0</v>
          </cell>
          <cell r="J1310">
            <v>6.7000000000000004E-2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A1311" t="str">
            <v>INT LTU</v>
          </cell>
          <cell r="B1311" t="str">
            <v>Business Talk</v>
          </cell>
          <cell r="C1311" t="str">
            <v>Lithuania</v>
          </cell>
          <cell r="D1311" t="str">
            <v>Off-net international</v>
          </cell>
          <cell r="E1311" t="str">
            <v>minute</v>
          </cell>
          <cell r="F1311">
            <v>1</v>
          </cell>
          <cell r="G1311">
            <v>1</v>
          </cell>
          <cell r="H1311">
            <v>1</v>
          </cell>
          <cell r="I1311">
            <v>0</v>
          </cell>
          <cell r="J1311">
            <v>3.4599999999999999E-2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</row>
        <row r="1312">
          <cell r="A1312" t="str">
            <v>INT LUX LUXMO</v>
          </cell>
          <cell r="B1312" t="str">
            <v>Business Talk</v>
          </cell>
          <cell r="C1312" t="str">
            <v>Luxembourg Mobile</v>
          </cell>
          <cell r="D1312" t="str">
            <v>Off-net international</v>
          </cell>
          <cell r="E1312" t="str">
            <v>minute</v>
          </cell>
          <cell r="F1312">
            <v>1</v>
          </cell>
          <cell r="G1312">
            <v>1</v>
          </cell>
          <cell r="H1312">
            <v>1</v>
          </cell>
          <cell r="I1312">
            <v>0</v>
          </cell>
          <cell r="J1312">
            <v>0.14599999999999999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A1313" t="str">
            <v>INT LUX</v>
          </cell>
          <cell r="B1313" t="str">
            <v>Business Talk</v>
          </cell>
          <cell r="C1313" t="str">
            <v>Luxembourg</v>
          </cell>
          <cell r="D1313" t="str">
            <v>Off-net international</v>
          </cell>
          <cell r="E1313" t="str">
            <v>minute</v>
          </cell>
          <cell r="F1313">
            <v>1</v>
          </cell>
          <cell r="G1313">
            <v>1</v>
          </cell>
          <cell r="H1313">
            <v>1</v>
          </cell>
          <cell r="I1313">
            <v>0</v>
          </cell>
          <cell r="J1313">
            <v>1.8700000000000001E-2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</row>
        <row r="1314">
          <cell r="A1314" t="str">
            <v>INT LUX LXP8C</v>
          </cell>
          <cell r="B1314" t="str">
            <v>Business Talk</v>
          </cell>
          <cell r="C1314" t="str">
            <v>Luxembourg Premium Rate</v>
          </cell>
          <cell r="D1314" t="str">
            <v>Off-net international</v>
          </cell>
          <cell r="E1314" t="str">
            <v>minute</v>
          </cell>
          <cell r="F1314">
            <v>1</v>
          </cell>
          <cell r="G1314">
            <v>1</v>
          </cell>
          <cell r="H1314">
            <v>1</v>
          </cell>
          <cell r="I1314">
            <v>0</v>
          </cell>
          <cell r="J1314">
            <v>6.7824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</row>
        <row r="1315">
          <cell r="A1315" t="str">
            <v>INT LUX LXSC1</v>
          </cell>
          <cell r="B1315" t="str">
            <v>Business Talk</v>
          </cell>
          <cell r="C1315" t="str">
            <v>Luxembourg Shared Costs</v>
          </cell>
          <cell r="D1315" t="str">
            <v>Off-net international</v>
          </cell>
          <cell r="E1315" t="str">
            <v>minute</v>
          </cell>
          <cell r="F1315">
            <v>1</v>
          </cell>
          <cell r="G1315">
            <v>1</v>
          </cell>
          <cell r="H1315">
            <v>1</v>
          </cell>
          <cell r="I1315">
            <v>0</v>
          </cell>
          <cell r="J1315">
            <v>0.14599999999999999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</row>
        <row r="1316">
          <cell r="A1316" t="str">
            <v>INT LUX LXTF</v>
          </cell>
          <cell r="B1316" t="str">
            <v>Business Talk</v>
          </cell>
          <cell r="C1316" t="str">
            <v>Luxembourg Toll Free</v>
          </cell>
          <cell r="D1316" t="str">
            <v>Off-net international</v>
          </cell>
          <cell r="E1316" t="str">
            <v>minute</v>
          </cell>
          <cell r="F1316">
            <v>1</v>
          </cell>
          <cell r="G1316">
            <v>1</v>
          </cell>
          <cell r="H1316">
            <v>1</v>
          </cell>
          <cell r="I1316">
            <v>0</v>
          </cell>
          <cell r="J1316">
            <v>1.8700000000000001E-2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</row>
        <row r="1317">
          <cell r="A1317" t="str">
            <v>INT MAC</v>
          </cell>
          <cell r="B1317" t="str">
            <v>Business Talk</v>
          </cell>
          <cell r="C1317" t="str">
            <v>Macao</v>
          </cell>
          <cell r="D1317" t="str">
            <v>Off-net international</v>
          </cell>
          <cell r="E1317" t="str">
            <v>minute</v>
          </cell>
          <cell r="F1317">
            <v>1</v>
          </cell>
          <cell r="G1317">
            <v>1</v>
          </cell>
          <cell r="H1317">
            <v>1</v>
          </cell>
          <cell r="I1317">
            <v>0</v>
          </cell>
          <cell r="J1317">
            <v>0.11650000000000001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A1318" t="str">
            <v>INT MCD MCDMO</v>
          </cell>
          <cell r="B1318" t="str">
            <v>Business Talk</v>
          </cell>
          <cell r="C1318" t="str">
            <v>Macedonia Mobile</v>
          </cell>
          <cell r="D1318" t="str">
            <v>Off-net international</v>
          </cell>
          <cell r="E1318" t="str">
            <v>minute</v>
          </cell>
          <cell r="F1318">
            <v>1</v>
          </cell>
          <cell r="G1318">
            <v>1</v>
          </cell>
          <cell r="H1318">
            <v>1</v>
          </cell>
          <cell r="I1318">
            <v>0</v>
          </cell>
          <cell r="J1318">
            <v>0.57550000000000001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</row>
        <row r="1319">
          <cell r="A1319" t="str">
            <v>INT MCD</v>
          </cell>
          <cell r="B1319" t="str">
            <v>Business Talk</v>
          </cell>
          <cell r="C1319" t="str">
            <v>Macedonia</v>
          </cell>
          <cell r="D1319" t="str">
            <v>Off-net international</v>
          </cell>
          <cell r="E1319" t="str">
            <v>minute</v>
          </cell>
          <cell r="F1319">
            <v>1</v>
          </cell>
          <cell r="G1319">
            <v>1</v>
          </cell>
          <cell r="H1319">
            <v>1</v>
          </cell>
          <cell r="I1319">
            <v>0</v>
          </cell>
          <cell r="J1319">
            <v>0.17530000000000001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A1320" t="str">
            <v>INT MDG MDGMO</v>
          </cell>
          <cell r="B1320" t="str">
            <v>Business Talk</v>
          </cell>
          <cell r="C1320" t="str">
            <v>Madagascar Mobile</v>
          </cell>
          <cell r="D1320" t="str">
            <v>Off-net international</v>
          </cell>
          <cell r="E1320" t="str">
            <v>minute</v>
          </cell>
          <cell r="F1320">
            <v>1</v>
          </cell>
          <cell r="G1320">
            <v>1</v>
          </cell>
          <cell r="H1320">
            <v>1</v>
          </cell>
          <cell r="I1320">
            <v>0</v>
          </cell>
          <cell r="J1320">
            <v>0.68510000000000004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</row>
        <row r="1321">
          <cell r="A1321" t="str">
            <v>INT MDG</v>
          </cell>
          <cell r="B1321" t="str">
            <v>Business Talk</v>
          </cell>
          <cell r="C1321" t="str">
            <v>Madagascar</v>
          </cell>
          <cell r="D1321" t="str">
            <v>Off-net international</v>
          </cell>
          <cell r="E1321" t="str">
            <v>minute</v>
          </cell>
          <cell r="F1321">
            <v>1</v>
          </cell>
          <cell r="G1321">
            <v>1</v>
          </cell>
          <cell r="H1321">
            <v>1</v>
          </cell>
          <cell r="I1321">
            <v>0</v>
          </cell>
          <cell r="J1321">
            <v>0.59889999999999999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A1322" t="str">
            <v>INT PRT MDR</v>
          </cell>
          <cell r="B1322" t="str">
            <v>Business Talk</v>
          </cell>
          <cell r="C1322" t="str">
            <v>Madeira</v>
          </cell>
          <cell r="D1322" t="str">
            <v>Off-net international</v>
          </cell>
          <cell r="E1322" t="str">
            <v>minute</v>
          </cell>
          <cell r="F1322">
            <v>1</v>
          </cell>
          <cell r="G1322">
            <v>1</v>
          </cell>
          <cell r="H1322">
            <v>1</v>
          </cell>
          <cell r="I1322">
            <v>0</v>
          </cell>
          <cell r="J1322">
            <v>1.6799999999999999E-2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</row>
        <row r="1323">
          <cell r="A1323" t="str">
            <v>INT MWI MWIMO</v>
          </cell>
          <cell r="B1323" t="str">
            <v>Business Talk</v>
          </cell>
          <cell r="C1323" t="str">
            <v>Malawi Mobile</v>
          </cell>
          <cell r="D1323" t="str">
            <v>Off-net international</v>
          </cell>
          <cell r="E1323" t="str">
            <v>minute</v>
          </cell>
          <cell r="F1323">
            <v>1</v>
          </cell>
          <cell r="G1323">
            <v>1</v>
          </cell>
          <cell r="H1323">
            <v>1</v>
          </cell>
          <cell r="I1323">
            <v>0</v>
          </cell>
          <cell r="J1323">
            <v>0.15090000000000001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A1324" t="str">
            <v>INT MWI</v>
          </cell>
          <cell r="B1324" t="str">
            <v>Business Talk</v>
          </cell>
          <cell r="C1324" t="str">
            <v>Malawi</v>
          </cell>
          <cell r="D1324" t="str">
            <v>Off-net international</v>
          </cell>
          <cell r="E1324" t="str">
            <v>minute</v>
          </cell>
          <cell r="F1324">
            <v>1</v>
          </cell>
          <cell r="G1324">
            <v>1</v>
          </cell>
          <cell r="H1324">
            <v>1</v>
          </cell>
          <cell r="I1324">
            <v>0</v>
          </cell>
          <cell r="J1324">
            <v>0.15090000000000001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</row>
        <row r="1325">
          <cell r="A1325" t="str">
            <v>INT MYS MYSMO</v>
          </cell>
          <cell r="B1325" t="str">
            <v>Business Talk</v>
          </cell>
          <cell r="C1325" t="str">
            <v>Malaysia Mobile</v>
          </cell>
          <cell r="D1325" t="str">
            <v>Off-net international</v>
          </cell>
          <cell r="E1325" t="str">
            <v>minute</v>
          </cell>
          <cell r="F1325">
            <v>1</v>
          </cell>
          <cell r="G1325">
            <v>1</v>
          </cell>
          <cell r="H1325">
            <v>1</v>
          </cell>
          <cell r="I1325">
            <v>0</v>
          </cell>
          <cell r="J1325">
            <v>4.1700000000000001E-2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A1326" t="str">
            <v>INT MYS</v>
          </cell>
          <cell r="B1326" t="str">
            <v>Business Talk</v>
          </cell>
          <cell r="C1326" t="str">
            <v>Malaysia</v>
          </cell>
          <cell r="D1326" t="str">
            <v>Off-net international</v>
          </cell>
          <cell r="E1326" t="str">
            <v>minute</v>
          </cell>
          <cell r="F1326">
            <v>1</v>
          </cell>
          <cell r="G1326">
            <v>1</v>
          </cell>
          <cell r="H1326">
            <v>1</v>
          </cell>
          <cell r="I1326">
            <v>0</v>
          </cell>
          <cell r="J1326">
            <v>4.02E-2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A1327" t="str">
            <v>INT MDV</v>
          </cell>
          <cell r="B1327" t="str">
            <v>Business Talk</v>
          </cell>
          <cell r="C1327" t="str">
            <v>Maldives</v>
          </cell>
          <cell r="D1327" t="str">
            <v>Off-net international</v>
          </cell>
          <cell r="E1327" t="str">
            <v>minute</v>
          </cell>
          <cell r="F1327">
            <v>1</v>
          </cell>
          <cell r="G1327">
            <v>1</v>
          </cell>
          <cell r="H1327">
            <v>1</v>
          </cell>
          <cell r="I1327">
            <v>0</v>
          </cell>
          <cell r="J1327">
            <v>1.0419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</row>
        <row r="1328">
          <cell r="A1328" t="str">
            <v>INT MLI MLIMO</v>
          </cell>
          <cell r="B1328" t="str">
            <v>Business Talk</v>
          </cell>
          <cell r="C1328" t="str">
            <v>Mali Mobile</v>
          </cell>
          <cell r="D1328" t="str">
            <v>Off-net international</v>
          </cell>
          <cell r="E1328" t="str">
            <v>minute</v>
          </cell>
          <cell r="F1328">
            <v>1</v>
          </cell>
          <cell r="G1328">
            <v>1</v>
          </cell>
          <cell r="H1328">
            <v>1</v>
          </cell>
          <cell r="I1328">
            <v>0</v>
          </cell>
          <cell r="J1328">
            <v>0.44259999999999999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A1329" t="str">
            <v>INT MLI</v>
          </cell>
          <cell r="B1329" t="str">
            <v>Business Talk</v>
          </cell>
          <cell r="C1329" t="str">
            <v>Mali</v>
          </cell>
          <cell r="D1329" t="str">
            <v>Off-net international</v>
          </cell>
          <cell r="E1329" t="str">
            <v>minute</v>
          </cell>
          <cell r="F1329">
            <v>1</v>
          </cell>
          <cell r="G1329">
            <v>1</v>
          </cell>
          <cell r="H1329">
            <v>1</v>
          </cell>
          <cell r="I1329">
            <v>0</v>
          </cell>
          <cell r="J1329">
            <v>0.29389999999999999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</row>
        <row r="1330">
          <cell r="A1330" t="str">
            <v>INT MLT MLMO</v>
          </cell>
          <cell r="B1330" t="str">
            <v>Business Talk</v>
          </cell>
          <cell r="C1330" t="str">
            <v>Malta Mobile</v>
          </cell>
          <cell r="D1330" t="str">
            <v>Off-net international</v>
          </cell>
          <cell r="E1330" t="str">
            <v>minute</v>
          </cell>
          <cell r="F1330">
            <v>1</v>
          </cell>
          <cell r="G1330">
            <v>1</v>
          </cell>
          <cell r="H1330">
            <v>1</v>
          </cell>
          <cell r="I1330">
            <v>0</v>
          </cell>
          <cell r="J1330">
            <v>9.3299999999999994E-2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</row>
        <row r="1331">
          <cell r="A1331" t="str">
            <v>INT MLT</v>
          </cell>
          <cell r="B1331" t="str">
            <v>Business Talk</v>
          </cell>
          <cell r="C1331" t="str">
            <v>Malta</v>
          </cell>
          <cell r="D1331" t="str">
            <v>Off-net international</v>
          </cell>
          <cell r="E1331" t="str">
            <v>minute</v>
          </cell>
          <cell r="F1331">
            <v>1</v>
          </cell>
          <cell r="G1331">
            <v>1</v>
          </cell>
          <cell r="H1331">
            <v>1</v>
          </cell>
          <cell r="I1331">
            <v>0</v>
          </cell>
          <cell r="J1331">
            <v>3.32E-2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</row>
        <row r="1332">
          <cell r="A1332" t="str">
            <v>INT EMS MCP</v>
          </cell>
          <cell r="B1332" t="str">
            <v>Business Talk</v>
          </cell>
          <cell r="C1332" t="str">
            <v>Maritime Comms Partner 88232</v>
          </cell>
          <cell r="D1332" t="str">
            <v>Off-net international</v>
          </cell>
          <cell r="E1332" t="str">
            <v>minute</v>
          </cell>
          <cell r="F1332">
            <v>1</v>
          </cell>
          <cell r="G1332">
            <v>1</v>
          </cell>
          <cell r="H1332">
            <v>1</v>
          </cell>
          <cell r="I1332">
            <v>0</v>
          </cell>
          <cell r="J1332">
            <v>2.1453000000000002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</row>
        <row r="1333">
          <cell r="A1333" t="str">
            <v>INT MHL</v>
          </cell>
          <cell r="B1333" t="str">
            <v>Business Talk</v>
          </cell>
          <cell r="C1333" t="str">
            <v>Marshall Is</v>
          </cell>
          <cell r="D1333" t="str">
            <v>Off-net international</v>
          </cell>
          <cell r="E1333" t="str">
            <v>minute</v>
          </cell>
          <cell r="F1333">
            <v>1</v>
          </cell>
          <cell r="G1333">
            <v>1</v>
          </cell>
          <cell r="H1333">
            <v>1</v>
          </cell>
          <cell r="I1333">
            <v>0</v>
          </cell>
          <cell r="J1333">
            <v>0.35959999999999998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</row>
        <row r="1334">
          <cell r="A1334" t="str">
            <v>INT MTQ MTQMO</v>
          </cell>
          <cell r="B1334" t="str">
            <v>Business Talk</v>
          </cell>
          <cell r="C1334" t="str">
            <v>Martinique Mobile</v>
          </cell>
          <cell r="D1334" t="str">
            <v>Off-net international</v>
          </cell>
          <cell r="E1334" t="str">
            <v>minute</v>
          </cell>
          <cell r="F1334">
            <v>1</v>
          </cell>
          <cell r="G1334">
            <v>1</v>
          </cell>
          <cell r="H1334">
            <v>1</v>
          </cell>
          <cell r="I1334">
            <v>0</v>
          </cell>
          <cell r="J1334">
            <v>4.4299999999999999E-2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A1335" t="str">
            <v>INT MTQ</v>
          </cell>
          <cell r="B1335" t="str">
            <v>Business Talk</v>
          </cell>
          <cell r="C1335" t="str">
            <v>Martinique</v>
          </cell>
          <cell r="D1335" t="str">
            <v>Off-net international</v>
          </cell>
          <cell r="E1335" t="str">
            <v>minute</v>
          </cell>
          <cell r="F1335">
            <v>1</v>
          </cell>
          <cell r="G1335">
            <v>1</v>
          </cell>
          <cell r="H1335">
            <v>1</v>
          </cell>
          <cell r="I1335">
            <v>0</v>
          </cell>
          <cell r="J1335">
            <v>2.23E-2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</row>
        <row r="1336">
          <cell r="A1336" t="str">
            <v>INT MRT</v>
          </cell>
          <cell r="B1336" t="str">
            <v>Business Talk</v>
          </cell>
          <cell r="C1336" t="str">
            <v>Mauritania</v>
          </cell>
          <cell r="D1336" t="str">
            <v>Off-net international</v>
          </cell>
          <cell r="E1336" t="str">
            <v>minute</v>
          </cell>
          <cell r="F1336">
            <v>1</v>
          </cell>
          <cell r="G1336">
            <v>1</v>
          </cell>
          <cell r="H1336">
            <v>1</v>
          </cell>
          <cell r="I1336">
            <v>0</v>
          </cell>
          <cell r="J1336">
            <v>0.62250000000000005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A1337" t="str">
            <v>INT MUS MUSMO</v>
          </cell>
          <cell r="B1337" t="str">
            <v>Business Talk</v>
          </cell>
          <cell r="C1337" t="str">
            <v>Mauritius Mobile</v>
          </cell>
          <cell r="D1337" t="str">
            <v>Off-net international</v>
          </cell>
          <cell r="E1337" t="str">
            <v>minute</v>
          </cell>
          <cell r="F1337">
            <v>1</v>
          </cell>
          <cell r="G1337">
            <v>1</v>
          </cell>
          <cell r="H1337">
            <v>1</v>
          </cell>
          <cell r="I1337">
            <v>0</v>
          </cell>
          <cell r="J1337">
            <v>0.24229999999999999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</row>
        <row r="1338">
          <cell r="A1338" t="str">
            <v>INT MUS</v>
          </cell>
          <cell r="B1338" t="str">
            <v>Business Talk</v>
          </cell>
          <cell r="C1338" t="str">
            <v>Mauritius</v>
          </cell>
          <cell r="D1338" t="str">
            <v>Off-net international</v>
          </cell>
          <cell r="E1338" t="str">
            <v>minute</v>
          </cell>
          <cell r="F1338">
            <v>1</v>
          </cell>
          <cell r="G1338">
            <v>1</v>
          </cell>
          <cell r="H1338">
            <v>1</v>
          </cell>
          <cell r="I1338">
            <v>0</v>
          </cell>
          <cell r="J1338">
            <v>0.24229999999999999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</row>
        <row r="1339">
          <cell r="A1339" t="str">
            <v>INT MAY</v>
          </cell>
          <cell r="B1339" t="str">
            <v>Business Talk</v>
          </cell>
          <cell r="C1339" t="str">
            <v>Mayotte</v>
          </cell>
          <cell r="D1339" t="str">
            <v>Off-net international</v>
          </cell>
          <cell r="E1339" t="str">
            <v>minute</v>
          </cell>
          <cell r="F1339">
            <v>1</v>
          </cell>
          <cell r="G1339">
            <v>1</v>
          </cell>
          <cell r="H1339">
            <v>1</v>
          </cell>
          <cell r="I1339">
            <v>0</v>
          </cell>
          <cell r="J1339">
            <v>0.1105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</row>
        <row r="1340">
          <cell r="A1340" t="str">
            <v>INT MEX MEXMO</v>
          </cell>
          <cell r="B1340" t="str">
            <v>Business Talk</v>
          </cell>
          <cell r="C1340" t="str">
            <v>Mexico Mobile</v>
          </cell>
          <cell r="D1340" t="str">
            <v>Off-net international</v>
          </cell>
          <cell r="E1340" t="str">
            <v>minute</v>
          </cell>
          <cell r="F1340">
            <v>1</v>
          </cell>
          <cell r="G1340">
            <v>1</v>
          </cell>
          <cell r="H1340">
            <v>1</v>
          </cell>
          <cell r="I1340">
            <v>0</v>
          </cell>
          <cell r="J1340">
            <v>0.1043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A1341" t="str">
            <v>INT MEX</v>
          </cell>
          <cell r="B1341" t="str">
            <v>Business Talk</v>
          </cell>
          <cell r="C1341" t="str">
            <v>Mexico</v>
          </cell>
          <cell r="D1341" t="str">
            <v>Off-net international</v>
          </cell>
          <cell r="E1341" t="str">
            <v>minute</v>
          </cell>
          <cell r="F1341">
            <v>1</v>
          </cell>
          <cell r="G1341">
            <v>1</v>
          </cell>
          <cell r="H1341">
            <v>1</v>
          </cell>
          <cell r="I1341">
            <v>0</v>
          </cell>
          <cell r="J1341">
            <v>5.2699999999999997E-2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</row>
        <row r="1342">
          <cell r="A1342" t="str">
            <v>INT FSM</v>
          </cell>
          <cell r="B1342" t="str">
            <v>Business Talk</v>
          </cell>
          <cell r="C1342" t="str">
            <v>Micronesia</v>
          </cell>
          <cell r="D1342" t="str">
            <v>Off-net international</v>
          </cell>
          <cell r="E1342" t="str">
            <v>minute</v>
          </cell>
          <cell r="F1342">
            <v>1</v>
          </cell>
          <cell r="G1342">
            <v>1</v>
          </cell>
          <cell r="H1342">
            <v>1</v>
          </cell>
          <cell r="I1342">
            <v>0</v>
          </cell>
          <cell r="J1342">
            <v>0.29060000000000002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</row>
        <row r="1343">
          <cell r="A1343" t="str">
            <v>INT UMI</v>
          </cell>
          <cell r="B1343" t="str">
            <v>Business Talk</v>
          </cell>
          <cell r="C1343" t="str">
            <v>Midway Islands (Hawaii)</v>
          </cell>
          <cell r="D1343" t="str">
            <v>Off-net international</v>
          </cell>
          <cell r="E1343" t="str">
            <v>minute</v>
          </cell>
          <cell r="F1343">
            <v>1</v>
          </cell>
          <cell r="G1343">
            <v>1</v>
          </cell>
          <cell r="H1343">
            <v>1</v>
          </cell>
          <cell r="I1343">
            <v>0</v>
          </cell>
          <cell r="J1343">
            <v>2.1299999999999999E-2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</row>
        <row r="1344">
          <cell r="A1344" t="str">
            <v>INT MDA MDAMO</v>
          </cell>
          <cell r="B1344" t="str">
            <v>Business Talk</v>
          </cell>
          <cell r="C1344" t="str">
            <v>Moldova Mobile</v>
          </cell>
          <cell r="D1344" t="str">
            <v>Off-net international</v>
          </cell>
          <cell r="E1344" t="str">
            <v>minute</v>
          </cell>
          <cell r="F1344">
            <v>1</v>
          </cell>
          <cell r="G1344">
            <v>1</v>
          </cell>
          <cell r="H1344">
            <v>1</v>
          </cell>
          <cell r="I1344">
            <v>0</v>
          </cell>
          <cell r="J1344">
            <v>0.37980000000000003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A1345" t="str">
            <v>INT MDA</v>
          </cell>
          <cell r="B1345" t="str">
            <v>Business Talk</v>
          </cell>
          <cell r="C1345" t="str">
            <v>Moldova</v>
          </cell>
          <cell r="D1345" t="str">
            <v>Off-net international</v>
          </cell>
          <cell r="E1345" t="str">
            <v>minute</v>
          </cell>
          <cell r="F1345">
            <v>1</v>
          </cell>
          <cell r="G1345">
            <v>1</v>
          </cell>
          <cell r="H1345">
            <v>1</v>
          </cell>
          <cell r="I1345">
            <v>0</v>
          </cell>
          <cell r="J1345">
            <v>0.20030000000000001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</row>
        <row r="1346">
          <cell r="A1346" t="str">
            <v>INT MCO MCOMO</v>
          </cell>
          <cell r="B1346" t="str">
            <v>Business Talk</v>
          </cell>
          <cell r="C1346" t="str">
            <v>Monaco Mobile</v>
          </cell>
          <cell r="D1346" t="str">
            <v>Off-net international</v>
          </cell>
          <cell r="E1346" t="str">
            <v>minute</v>
          </cell>
          <cell r="F1346">
            <v>1</v>
          </cell>
          <cell r="G1346">
            <v>1</v>
          </cell>
          <cell r="H1346">
            <v>1</v>
          </cell>
          <cell r="I1346">
            <v>0</v>
          </cell>
          <cell r="J1346">
            <v>0.51829999999999998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</row>
        <row r="1347">
          <cell r="A1347" t="str">
            <v>INT MCO</v>
          </cell>
          <cell r="B1347" t="str">
            <v>Business Talk</v>
          </cell>
          <cell r="C1347" t="str">
            <v>Monaco</v>
          </cell>
          <cell r="D1347" t="str">
            <v>Off-net international</v>
          </cell>
          <cell r="E1347" t="str">
            <v>minute</v>
          </cell>
          <cell r="F1347">
            <v>1</v>
          </cell>
          <cell r="G1347">
            <v>1</v>
          </cell>
          <cell r="H1347">
            <v>1</v>
          </cell>
          <cell r="I1347">
            <v>0</v>
          </cell>
          <cell r="J1347">
            <v>0.1055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</row>
        <row r="1348">
          <cell r="A1348" t="str">
            <v>INT MNG</v>
          </cell>
          <cell r="B1348" t="str">
            <v>Business Talk</v>
          </cell>
          <cell r="C1348" t="str">
            <v>Mongolia</v>
          </cell>
          <cell r="D1348" t="str">
            <v>Off-net international</v>
          </cell>
          <cell r="E1348" t="str">
            <v>minute</v>
          </cell>
          <cell r="F1348">
            <v>1</v>
          </cell>
          <cell r="G1348">
            <v>1</v>
          </cell>
          <cell r="H1348">
            <v>1</v>
          </cell>
          <cell r="I1348">
            <v>0</v>
          </cell>
          <cell r="J1348">
            <v>7.5899999999999995E-2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A1349" t="str">
            <v>INT MNE</v>
          </cell>
          <cell r="B1349" t="str">
            <v>Business Talk</v>
          </cell>
          <cell r="C1349" t="str">
            <v>Montenegro</v>
          </cell>
          <cell r="D1349" t="str">
            <v>Off-net international</v>
          </cell>
          <cell r="E1349" t="str">
            <v>minute</v>
          </cell>
          <cell r="F1349">
            <v>1</v>
          </cell>
          <cell r="G1349">
            <v>1</v>
          </cell>
          <cell r="H1349">
            <v>1</v>
          </cell>
          <cell r="I1349">
            <v>0</v>
          </cell>
          <cell r="J1349">
            <v>0.53649999999999998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</row>
        <row r="1350">
          <cell r="A1350" t="str">
            <v>INT MSR</v>
          </cell>
          <cell r="B1350" t="str">
            <v>Business Talk</v>
          </cell>
          <cell r="C1350" t="str">
            <v>Montserrat</v>
          </cell>
          <cell r="D1350" t="str">
            <v>Off-net international</v>
          </cell>
          <cell r="E1350" t="str">
            <v>minute</v>
          </cell>
          <cell r="F1350">
            <v>1</v>
          </cell>
          <cell r="G1350">
            <v>1</v>
          </cell>
          <cell r="H1350">
            <v>1</v>
          </cell>
          <cell r="I1350">
            <v>0</v>
          </cell>
          <cell r="J1350">
            <v>0.26150000000000001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</row>
        <row r="1351">
          <cell r="A1351" t="str">
            <v>INT MAR MARMO</v>
          </cell>
          <cell r="B1351" t="str">
            <v>Business Talk</v>
          </cell>
          <cell r="C1351" t="str">
            <v>Morocco Mobile</v>
          </cell>
          <cell r="D1351" t="str">
            <v>Off-net international</v>
          </cell>
          <cell r="E1351" t="str">
            <v>minute</v>
          </cell>
          <cell r="F1351">
            <v>1</v>
          </cell>
          <cell r="G1351">
            <v>1</v>
          </cell>
          <cell r="H1351">
            <v>1</v>
          </cell>
          <cell r="I1351">
            <v>0</v>
          </cell>
          <cell r="J1351">
            <v>0.55430000000000001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</row>
        <row r="1352">
          <cell r="A1352" t="str">
            <v>INT MAR</v>
          </cell>
          <cell r="B1352" t="str">
            <v>Business Talk</v>
          </cell>
          <cell r="C1352" t="str">
            <v>Morocco</v>
          </cell>
          <cell r="D1352" t="str">
            <v>Off-net international</v>
          </cell>
          <cell r="E1352" t="str">
            <v>minute</v>
          </cell>
          <cell r="F1352">
            <v>1</v>
          </cell>
          <cell r="G1352">
            <v>1</v>
          </cell>
          <cell r="H1352">
            <v>1</v>
          </cell>
          <cell r="I1352">
            <v>0</v>
          </cell>
          <cell r="J1352">
            <v>3.4599999999999999E-2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</row>
        <row r="1353">
          <cell r="A1353" t="str">
            <v>INT MOZ MOZMO</v>
          </cell>
          <cell r="B1353" t="str">
            <v>Business Talk</v>
          </cell>
          <cell r="C1353" t="str">
            <v>Mozambique Mobile</v>
          </cell>
          <cell r="D1353" t="str">
            <v>Off-net international</v>
          </cell>
          <cell r="E1353" t="str">
            <v>minute</v>
          </cell>
          <cell r="F1353">
            <v>1</v>
          </cell>
          <cell r="G1353">
            <v>1</v>
          </cell>
          <cell r="H1353">
            <v>1</v>
          </cell>
          <cell r="I1353">
            <v>0</v>
          </cell>
          <cell r="J1353">
            <v>0.36080000000000001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</row>
        <row r="1354">
          <cell r="A1354" t="str">
            <v>INT MOZ</v>
          </cell>
          <cell r="B1354" t="str">
            <v>Business Talk</v>
          </cell>
          <cell r="C1354" t="str">
            <v>Mozambique</v>
          </cell>
          <cell r="D1354" t="str">
            <v>Off-net international</v>
          </cell>
          <cell r="E1354" t="str">
            <v>minute</v>
          </cell>
          <cell r="F1354">
            <v>1</v>
          </cell>
          <cell r="G1354">
            <v>1</v>
          </cell>
          <cell r="H1354">
            <v>1</v>
          </cell>
          <cell r="I1354">
            <v>0</v>
          </cell>
          <cell r="J1354">
            <v>0.1012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</row>
        <row r="1355">
          <cell r="A1355" t="str">
            <v>INT BUR BURMO</v>
          </cell>
          <cell r="B1355" t="str">
            <v>Business Talk</v>
          </cell>
          <cell r="C1355" t="str">
            <v>Myanmar Mobile</v>
          </cell>
          <cell r="D1355" t="str">
            <v>Off-net international</v>
          </cell>
          <cell r="E1355" t="str">
            <v>minute</v>
          </cell>
          <cell r="F1355">
            <v>1</v>
          </cell>
          <cell r="G1355">
            <v>1</v>
          </cell>
          <cell r="H1355">
            <v>1</v>
          </cell>
          <cell r="I1355">
            <v>0</v>
          </cell>
          <cell r="J1355">
            <v>0.41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</row>
        <row r="1356">
          <cell r="A1356" t="str">
            <v>INT BUR</v>
          </cell>
          <cell r="B1356" t="str">
            <v>Business Talk</v>
          </cell>
          <cell r="C1356" t="str">
            <v>Myanmar</v>
          </cell>
          <cell r="D1356" t="str">
            <v>Off-net international</v>
          </cell>
          <cell r="E1356" t="str">
            <v>minute</v>
          </cell>
          <cell r="F1356">
            <v>1</v>
          </cell>
          <cell r="G1356">
            <v>1</v>
          </cell>
          <cell r="H1356">
            <v>1</v>
          </cell>
          <cell r="I1356">
            <v>0</v>
          </cell>
          <cell r="J1356">
            <v>0.40570000000000001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</row>
        <row r="1357">
          <cell r="A1357" t="str">
            <v>INT NAM NAMMO</v>
          </cell>
          <cell r="B1357" t="str">
            <v>Business Talk</v>
          </cell>
          <cell r="C1357" t="str">
            <v>Namibia Mobile</v>
          </cell>
          <cell r="D1357" t="str">
            <v>Off-net international</v>
          </cell>
          <cell r="E1357" t="str">
            <v>minute</v>
          </cell>
          <cell r="F1357">
            <v>1</v>
          </cell>
          <cell r="G1357">
            <v>1</v>
          </cell>
          <cell r="H1357">
            <v>1</v>
          </cell>
          <cell r="I1357">
            <v>0</v>
          </cell>
          <cell r="J1357">
            <v>0.19400000000000001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</row>
        <row r="1358">
          <cell r="A1358" t="str">
            <v>INT NAM</v>
          </cell>
          <cell r="B1358" t="str">
            <v>Business Talk</v>
          </cell>
          <cell r="C1358" t="str">
            <v>Namibia</v>
          </cell>
          <cell r="D1358" t="str">
            <v>Off-net international</v>
          </cell>
          <cell r="E1358" t="str">
            <v>minute</v>
          </cell>
          <cell r="F1358">
            <v>1</v>
          </cell>
          <cell r="G1358">
            <v>1</v>
          </cell>
          <cell r="H1358">
            <v>1</v>
          </cell>
          <cell r="I1358">
            <v>0</v>
          </cell>
          <cell r="J1358">
            <v>0.18720000000000001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</row>
        <row r="1359">
          <cell r="A1359" t="str">
            <v>INT NRU</v>
          </cell>
          <cell r="B1359" t="str">
            <v>Business Talk</v>
          </cell>
          <cell r="C1359" t="str">
            <v>Nauru Is</v>
          </cell>
          <cell r="D1359" t="str">
            <v>Off-net international</v>
          </cell>
          <cell r="E1359" t="str">
            <v>minute</v>
          </cell>
          <cell r="F1359">
            <v>1</v>
          </cell>
          <cell r="G1359">
            <v>1</v>
          </cell>
          <cell r="H1359">
            <v>1</v>
          </cell>
          <cell r="I1359">
            <v>0</v>
          </cell>
          <cell r="J1359">
            <v>1.2764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</row>
        <row r="1360">
          <cell r="A1360" t="str">
            <v>INT NPL NPLMO</v>
          </cell>
          <cell r="B1360" t="str">
            <v>Business Talk</v>
          </cell>
          <cell r="C1360" t="str">
            <v>Nepal Mobile</v>
          </cell>
          <cell r="D1360" t="str">
            <v>Off-net international</v>
          </cell>
          <cell r="E1360" t="str">
            <v>minute</v>
          </cell>
          <cell r="F1360">
            <v>1</v>
          </cell>
          <cell r="G1360">
            <v>1</v>
          </cell>
          <cell r="H1360">
            <v>1</v>
          </cell>
          <cell r="I1360">
            <v>0</v>
          </cell>
          <cell r="J1360">
            <v>0.1827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</row>
        <row r="1361">
          <cell r="A1361" t="str">
            <v>INT NPL</v>
          </cell>
          <cell r="B1361" t="str">
            <v>Business Talk</v>
          </cell>
          <cell r="C1361" t="str">
            <v>Nepal</v>
          </cell>
          <cell r="D1361" t="str">
            <v>Off-net international</v>
          </cell>
          <cell r="E1361" t="str">
            <v>minute</v>
          </cell>
          <cell r="F1361">
            <v>1</v>
          </cell>
          <cell r="G1361">
            <v>1</v>
          </cell>
          <cell r="H1361">
            <v>1</v>
          </cell>
          <cell r="I1361">
            <v>0</v>
          </cell>
          <cell r="J1361">
            <v>0.17349999999999999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</row>
        <row r="1362">
          <cell r="A1362" t="str">
            <v>INT NDL NLMOB</v>
          </cell>
          <cell r="B1362" t="str">
            <v>Business Talk</v>
          </cell>
          <cell r="C1362" t="str">
            <v>Netherlands Mobile</v>
          </cell>
          <cell r="D1362" t="str">
            <v>Off-net international</v>
          </cell>
          <cell r="E1362" t="str">
            <v>minute</v>
          </cell>
          <cell r="F1362">
            <v>1</v>
          </cell>
          <cell r="G1362">
            <v>1</v>
          </cell>
          <cell r="H1362">
            <v>1</v>
          </cell>
          <cell r="I1362">
            <v>0</v>
          </cell>
          <cell r="J1362">
            <v>5.6000000000000001E-2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</row>
        <row r="1363">
          <cell r="A1363" t="str">
            <v>INT NDL</v>
          </cell>
          <cell r="B1363" t="str">
            <v>Business Talk</v>
          </cell>
          <cell r="C1363" t="str">
            <v>Netherlands</v>
          </cell>
          <cell r="D1363" t="str">
            <v>Off-net international</v>
          </cell>
          <cell r="E1363" t="str">
            <v>minute</v>
          </cell>
          <cell r="F1363">
            <v>1</v>
          </cell>
          <cell r="G1363">
            <v>1</v>
          </cell>
          <cell r="H1363">
            <v>1</v>
          </cell>
          <cell r="I1363">
            <v>0</v>
          </cell>
          <cell r="J1363">
            <v>2.01E-2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</row>
        <row r="1364">
          <cell r="A1364" t="str">
            <v>INT NDL NDR</v>
          </cell>
          <cell r="B1364" t="str">
            <v>Business Talk</v>
          </cell>
          <cell r="C1364" t="str">
            <v>Netherlands Premium Rate</v>
          </cell>
          <cell r="D1364" t="str">
            <v>Off-net international</v>
          </cell>
          <cell r="E1364" t="str">
            <v>minute</v>
          </cell>
          <cell r="F1364">
            <v>1</v>
          </cell>
          <cell r="G1364">
            <v>1</v>
          </cell>
          <cell r="H1364">
            <v>1</v>
          </cell>
          <cell r="I1364">
            <v>0</v>
          </cell>
          <cell r="J1364">
            <v>1.4198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</row>
        <row r="1365">
          <cell r="A1365" t="str">
            <v>INT NDL NDG</v>
          </cell>
          <cell r="B1365" t="str">
            <v>Business Talk</v>
          </cell>
          <cell r="C1365" t="str">
            <v>Netherlands Shared Cost</v>
          </cell>
          <cell r="D1365" t="str">
            <v>Off-net international</v>
          </cell>
          <cell r="E1365" t="str">
            <v>minute</v>
          </cell>
          <cell r="F1365">
            <v>1</v>
          </cell>
          <cell r="G1365">
            <v>1</v>
          </cell>
          <cell r="H1365">
            <v>1</v>
          </cell>
          <cell r="I1365">
            <v>0</v>
          </cell>
          <cell r="J1365">
            <v>1.4198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</row>
        <row r="1366">
          <cell r="A1366" t="str">
            <v>INT NDL NDFRE</v>
          </cell>
          <cell r="B1366" t="str">
            <v>Business Talk</v>
          </cell>
          <cell r="C1366" t="str">
            <v>Netherlands Toll Free</v>
          </cell>
          <cell r="D1366" t="str">
            <v>Off-net international</v>
          </cell>
          <cell r="E1366" t="str">
            <v>minute</v>
          </cell>
          <cell r="F1366">
            <v>1</v>
          </cell>
          <cell r="G1366">
            <v>1</v>
          </cell>
          <cell r="H1366">
            <v>1</v>
          </cell>
          <cell r="I1366">
            <v>0</v>
          </cell>
          <cell r="J1366">
            <v>2.01E-2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</row>
        <row r="1367">
          <cell r="A1367" t="str">
            <v>INT NCL</v>
          </cell>
          <cell r="B1367" t="str">
            <v>Business Talk</v>
          </cell>
          <cell r="C1367" t="str">
            <v>New Caledonia</v>
          </cell>
          <cell r="D1367" t="str">
            <v>Off-net international</v>
          </cell>
          <cell r="E1367" t="str">
            <v>minute</v>
          </cell>
          <cell r="F1367">
            <v>1</v>
          </cell>
          <cell r="G1367">
            <v>1</v>
          </cell>
          <cell r="H1367">
            <v>1</v>
          </cell>
          <cell r="I1367">
            <v>0</v>
          </cell>
          <cell r="J1367">
            <v>0.25480000000000003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</row>
        <row r="1368">
          <cell r="A1368" t="str">
            <v>INT NZL NZLMO</v>
          </cell>
          <cell r="B1368" t="str">
            <v>Business Talk</v>
          </cell>
          <cell r="C1368" t="str">
            <v>New Zealand Mobile</v>
          </cell>
          <cell r="D1368" t="str">
            <v>Off-net international</v>
          </cell>
          <cell r="E1368" t="str">
            <v>minute</v>
          </cell>
          <cell r="F1368">
            <v>1</v>
          </cell>
          <cell r="G1368">
            <v>1</v>
          </cell>
          <cell r="H1368">
            <v>1</v>
          </cell>
          <cell r="I1368">
            <v>0</v>
          </cell>
          <cell r="J1368">
            <v>7.9100000000000004E-2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</row>
        <row r="1369">
          <cell r="A1369" t="str">
            <v>INT NZL</v>
          </cell>
          <cell r="B1369" t="str">
            <v>Business Talk</v>
          </cell>
          <cell r="C1369" t="str">
            <v>New Zealand</v>
          </cell>
          <cell r="D1369" t="str">
            <v>Off-net international</v>
          </cell>
          <cell r="E1369" t="str">
            <v>minute</v>
          </cell>
          <cell r="F1369">
            <v>1</v>
          </cell>
          <cell r="G1369">
            <v>1</v>
          </cell>
          <cell r="H1369">
            <v>1</v>
          </cell>
          <cell r="I1369">
            <v>0</v>
          </cell>
          <cell r="J1369">
            <v>2.6100000000000002E-2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</row>
        <row r="1370">
          <cell r="A1370" t="str">
            <v>INT NIC NICMO</v>
          </cell>
          <cell r="B1370" t="str">
            <v>Business Talk</v>
          </cell>
          <cell r="C1370" t="str">
            <v>Nicaragua Mobile</v>
          </cell>
          <cell r="D1370" t="str">
            <v>Off-net international</v>
          </cell>
          <cell r="E1370" t="str">
            <v>minute</v>
          </cell>
          <cell r="F1370">
            <v>1</v>
          </cell>
          <cell r="G1370">
            <v>1</v>
          </cell>
          <cell r="H1370">
            <v>1</v>
          </cell>
          <cell r="I1370">
            <v>0</v>
          </cell>
          <cell r="J1370">
            <v>0.35699999999999998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A1371" t="str">
            <v>INT NIC</v>
          </cell>
          <cell r="B1371" t="str">
            <v>Business Talk</v>
          </cell>
          <cell r="C1371" t="str">
            <v>Nicaragua</v>
          </cell>
          <cell r="D1371" t="str">
            <v>Off-net international</v>
          </cell>
          <cell r="E1371" t="str">
            <v>minute</v>
          </cell>
          <cell r="F1371">
            <v>1</v>
          </cell>
          <cell r="G1371">
            <v>1</v>
          </cell>
          <cell r="H1371">
            <v>1</v>
          </cell>
          <cell r="I1371">
            <v>0</v>
          </cell>
          <cell r="J1371">
            <v>0.2137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</row>
        <row r="1372">
          <cell r="A1372" t="str">
            <v>INT NER NERMO</v>
          </cell>
          <cell r="B1372" t="str">
            <v>Business Talk</v>
          </cell>
          <cell r="C1372" t="str">
            <v>Niger Mobile</v>
          </cell>
          <cell r="D1372" t="str">
            <v>Off-net international</v>
          </cell>
          <cell r="E1372" t="str">
            <v>minute</v>
          </cell>
          <cell r="F1372">
            <v>1</v>
          </cell>
          <cell r="G1372">
            <v>1</v>
          </cell>
          <cell r="H1372">
            <v>1</v>
          </cell>
          <cell r="I1372">
            <v>0</v>
          </cell>
          <cell r="J1372">
            <v>0.2944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</row>
        <row r="1373">
          <cell r="A1373" t="str">
            <v>INT NER</v>
          </cell>
          <cell r="B1373" t="str">
            <v>Business Talk</v>
          </cell>
          <cell r="C1373" t="str">
            <v>Niger</v>
          </cell>
          <cell r="D1373" t="str">
            <v>Off-net international</v>
          </cell>
          <cell r="E1373" t="str">
            <v>minute</v>
          </cell>
          <cell r="F1373">
            <v>1</v>
          </cell>
          <cell r="G1373">
            <v>1</v>
          </cell>
          <cell r="H1373">
            <v>1</v>
          </cell>
          <cell r="I1373">
            <v>0</v>
          </cell>
          <cell r="J1373">
            <v>0.29360000000000003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</row>
        <row r="1374">
          <cell r="A1374" t="str">
            <v>INT NGA NGAMO</v>
          </cell>
          <cell r="B1374" t="str">
            <v>Business Talk</v>
          </cell>
          <cell r="C1374" t="str">
            <v>Nigeria Mobile</v>
          </cell>
          <cell r="D1374" t="str">
            <v>Off-net international</v>
          </cell>
          <cell r="E1374" t="str">
            <v>minute</v>
          </cell>
          <cell r="F1374">
            <v>1</v>
          </cell>
          <cell r="G1374">
            <v>1</v>
          </cell>
          <cell r="H1374">
            <v>1</v>
          </cell>
          <cell r="I1374">
            <v>0</v>
          </cell>
          <cell r="J1374">
            <v>0.1434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</row>
        <row r="1375">
          <cell r="A1375" t="str">
            <v>INT NGA</v>
          </cell>
          <cell r="B1375" t="str">
            <v>Business Talk</v>
          </cell>
          <cell r="C1375" t="str">
            <v>Nigeria</v>
          </cell>
          <cell r="D1375" t="str">
            <v>Off-net international</v>
          </cell>
          <cell r="E1375" t="str">
            <v>minute</v>
          </cell>
          <cell r="F1375">
            <v>1</v>
          </cell>
          <cell r="G1375">
            <v>1</v>
          </cell>
          <cell r="H1375">
            <v>1</v>
          </cell>
          <cell r="I1375">
            <v>0</v>
          </cell>
          <cell r="J1375">
            <v>0.1434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</row>
        <row r="1376">
          <cell r="A1376" t="str">
            <v>INT NIU NIUMO</v>
          </cell>
          <cell r="B1376" t="str">
            <v>Business Talk</v>
          </cell>
          <cell r="C1376" t="str">
            <v>Niue Is Mobile</v>
          </cell>
          <cell r="D1376" t="str">
            <v>Off-net international</v>
          </cell>
          <cell r="E1376" t="str">
            <v>minute</v>
          </cell>
          <cell r="F1376">
            <v>1</v>
          </cell>
          <cell r="G1376">
            <v>1</v>
          </cell>
          <cell r="H1376">
            <v>1</v>
          </cell>
          <cell r="I1376">
            <v>0</v>
          </cell>
          <cell r="J1376">
            <v>0.7742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A1377" t="str">
            <v>INT NIU</v>
          </cell>
          <cell r="B1377" t="str">
            <v>Business Talk</v>
          </cell>
          <cell r="C1377" t="str">
            <v>Niue Is</v>
          </cell>
          <cell r="D1377" t="str">
            <v>Off-net international</v>
          </cell>
          <cell r="E1377" t="str">
            <v>minute</v>
          </cell>
          <cell r="F1377">
            <v>1</v>
          </cell>
          <cell r="G1377">
            <v>1</v>
          </cell>
          <cell r="H1377">
            <v>1</v>
          </cell>
          <cell r="I1377">
            <v>0</v>
          </cell>
          <cell r="J1377">
            <v>0.5978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8">
          <cell r="A1378" t="str">
            <v>INT ATA NFK</v>
          </cell>
          <cell r="B1378" t="str">
            <v>Business Talk</v>
          </cell>
          <cell r="C1378" t="str">
            <v>Norfolk Is</v>
          </cell>
          <cell r="D1378" t="str">
            <v>Off-net international</v>
          </cell>
          <cell r="E1378" t="str">
            <v>minute</v>
          </cell>
          <cell r="F1378">
            <v>1</v>
          </cell>
          <cell r="G1378">
            <v>1</v>
          </cell>
          <cell r="H1378">
            <v>1</v>
          </cell>
          <cell r="I1378">
            <v>0</v>
          </cell>
          <cell r="J1378">
            <v>1.1901999999999999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</row>
        <row r="1379">
          <cell r="A1379" t="str">
            <v>INT MNP</v>
          </cell>
          <cell r="B1379" t="str">
            <v>Business Talk</v>
          </cell>
          <cell r="C1379" t="str">
            <v>Northern Mariana Is</v>
          </cell>
          <cell r="D1379" t="str">
            <v>Off-net international</v>
          </cell>
          <cell r="E1379" t="str">
            <v>minute</v>
          </cell>
          <cell r="F1379">
            <v>1</v>
          </cell>
          <cell r="G1379">
            <v>1</v>
          </cell>
          <cell r="H1379">
            <v>1</v>
          </cell>
          <cell r="I1379">
            <v>0</v>
          </cell>
          <cell r="J1379">
            <v>5.91E-2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A1380" t="str">
            <v>INT NOR NORMO</v>
          </cell>
          <cell r="B1380" t="str">
            <v>Business Talk</v>
          </cell>
          <cell r="C1380" t="str">
            <v>Norway Mobile</v>
          </cell>
          <cell r="D1380" t="str">
            <v>Off-net international</v>
          </cell>
          <cell r="E1380" t="str">
            <v>minute</v>
          </cell>
          <cell r="F1380">
            <v>1</v>
          </cell>
          <cell r="G1380">
            <v>1</v>
          </cell>
          <cell r="H1380">
            <v>1</v>
          </cell>
          <cell r="I1380">
            <v>0</v>
          </cell>
          <cell r="J1380">
            <v>4.5900000000000003E-2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1">
          <cell r="A1381" t="str">
            <v>INT NOR</v>
          </cell>
          <cell r="B1381" t="str">
            <v>Business Talk</v>
          </cell>
          <cell r="C1381" t="str">
            <v>Norway</v>
          </cell>
          <cell r="D1381" t="str">
            <v>Off-net international</v>
          </cell>
          <cell r="E1381" t="str">
            <v>minute</v>
          </cell>
          <cell r="F1381">
            <v>1</v>
          </cell>
          <cell r="G1381">
            <v>1</v>
          </cell>
          <cell r="H1381">
            <v>1</v>
          </cell>
          <cell r="I1381">
            <v>0</v>
          </cell>
          <cell r="J1381">
            <v>2.0299999999999999E-2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</row>
        <row r="1382">
          <cell r="A1382" t="str">
            <v>INT NOR NOR3E</v>
          </cell>
          <cell r="B1382" t="str">
            <v>Business Talk</v>
          </cell>
          <cell r="C1382" t="str">
            <v>Norway Premium Rate</v>
          </cell>
          <cell r="D1382" t="str">
            <v>Off-net international</v>
          </cell>
          <cell r="E1382" t="str">
            <v>minute</v>
          </cell>
          <cell r="F1382">
            <v>1</v>
          </cell>
          <cell r="G1382">
            <v>1</v>
          </cell>
          <cell r="H1382">
            <v>1</v>
          </cell>
          <cell r="I1382">
            <v>0</v>
          </cell>
          <cell r="J1382">
            <v>20.123799999999999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A1383" t="str">
            <v>INT NOR NORT2</v>
          </cell>
          <cell r="B1383" t="str">
            <v>Business Talk</v>
          </cell>
          <cell r="C1383" t="str">
            <v>Norway Shared</v>
          </cell>
          <cell r="D1383" t="str">
            <v>Off-net international</v>
          </cell>
          <cell r="E1383" t="str">
            <v>minute</v>
          </cell>
          <cell r="F1383">
            <v>1</v>
          </cell>
          <cell r="G1383">
            <v>1</v>
          </cell>
          <cell r="H1383">
            <v>1</v>
          </cell>
          <cell r="I1383">
            <v>0</v>
          </cell>
          <cell r="J1383">
            <v>0.15210000000000001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4">
          <cell r="A1384" t="str">
            <v>INT NOR NORTF</v>
          </cell>
          <cell r="B1384" t="str">
            <v>Business Talk</v>
          </cell>
          <cell r="C1384" t="str">
            <v>Norway Toll Free</v>
          </cell>
          <cell r="D1384" t="str">
            <v>Off-net international</v>
          </cell>
          <cell r="E1384" t="str">
            <v>minute</v>
          </cell>
          <cell r="F1384">
            <v>1</v>
          </cell>
          <cell r="G1384">
            <v>1</v>
          </cell>
          <cell r="H1384">
            <v>1</v>
          </cell>
          <cell r="I1384">
            <v>0</v>
          </cell>
          <cell r="J1384">
            <v>1.7500000000000002E-2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</row>
        <row r="1385">
          <cell r="A1385" t="str">
            <v>INT OMN</v>
          </cell>
          <cell r="B1385" t="str">
            <v>Business Talk</v>
          </cell>
          <cell r="C1385" t="str">
            <v>Oman</v>
          </cell>
          <cell r="D1385" t="str">
            <v>Off-net international</v>
          </cell>
          <cell r="E1385" t="str">
            <v>minute</v>
          </cell>
          <cell r="F1385">
            <v>1</v>
          </cell>
          <cell r="G1385">
            <v>1</v>
          </cell>
          <cell r="H1385">
            <v>1</v>
          </cell>
          <cell r="I1385">
            <v>0</v>
          </cell>
          <cell r="J1385">
            <v>0.41870000000000002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A1386" t="str">
            <v>INT PAK PAKMO</v>
          </cell>
          <cell r="B1386" t="str">
            <v>Business Talk</v>
          </cell>
          <cell r="C1386" t="str">
            <v>Pakistan Mobile</v>
          </cell>
          <cell r="D1386" t="str">
            <v>Off-net international</v>
          </cell>
          <cell r="E1386" t="str">
            <v>minute</v>
          </cell>
          <cell r="F1386">
            <v>1</v>
          </cell>
          <cell r="G1386">
            <v>1</v>
          </cell>
          <cell r="H1386">
            <v>1</v>
          </cell>
          <cell r="I1386">
            <v>0</v>
          </cell>
          <cell r="J1386">
            <v>0.17399999999999999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A1387" t="str">
            <v>INT PAK</v>
          </cell>
          <cell r="B1387" t="str">
            <v>Business Talk</v>
          </cell>
          <cell r="C1387" t="str">
            <v>Pakistan</v>
          </cell>
          <cell r="D1387" t="str">
            <v>Off-net international</v>
          </cell>
          <cell r="E1387" t="str">
            <v>minute</v>
          </cell>
          <cell r="F1387">
            <v>1</v>
          </cell>
          <cell r="G1387">
            <v>1</v>
          </cell>
          <cell r="H1387">
            <v>1</v>
          </cell>
          <cell r="I1387">
            <v>0</v>
          </cell>
          <cell r="J1387">
            <v>0.17380000000000001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</row>
        <row r="1388">
          <cell r="A1388" t="str">
            <v>INT PLW</v>
          </cell>
          <cell r="B1388" t="str">
            <v>Business Talk</v>
          </cell>
          <cell r="C1388" t="str">
            <v>Palau</v>
          </cell>
          <cell r="D1388" t="str">
            <v>Off-net international</v>
          </cell>
          <cell r="E1388" t="str">
            <v>minute</v>
          </cell>
          <cell r="F1388">
            <v>1</v>
          </cell>
          <cell r="G1388">
            <v>1</v>
          </cell>
          <cell r="H1388">
            <v>1</v>
          </cell>
          <cell r="I1388">
            <v>0</v>
          </cell>
          <cell r="J1388">
            <v>0.48670000000000002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A1389" t="str">
            <v>INT PAL</v>
          </cell>
          <cell r="B1389" t="str">
            <v>Business Talk</v>
          </cell>
          <cell r="C1389" t="str">
            <v>Palestine</v>
          </cell>
          <cell r="D1389" t="str">
            <v>Off-net international</v>
          </cell>
          <cell r="E1389" t="str">
            <v>minute</v>
          </cell>
          <cell r="F1389">
            <v>1</v>
          </cell>
          <cell r="G1389">
            <v>1</v>
          </cell>
          <cell r="H1389">
            <v>1</v>
          </cell>
          <cell r="I1389">
            <v>0</v>
          </cell>
          <cell r="J1389">
            <v>0.28510000000000002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0">
          <cell r="A1390" t="str">
            <v>INT PAN PANMO</v>
          </cell>
          <cell r="B1390" t="str">
            <v>Business Talk</v>
          </cell>
          <cell r="C1390" t="str">
            <v>Panama Mobile</v>
          </cell>
          <cell r="D1390" t="str">
            <v>Off-net international</v>
          </cell>
          <cell r="E1390" t="str">
            <v>minute</v>
          </cell>
          <cell r="F1390">
            <v>1</v>
          </cell>
          <cell r="G1390">
            <v>1</v>
          </cell>
          <cell r="H1390">
            <v>1</v>
          </cell>
          <cell r="I1390">
            <v>0</v>
          </cell>
          <cell r="J1390">
            <v>0.33029999999999998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</row>
        <row r="1391">
          <cell r="A1391" t="str">
            <v>INT PAN</v>
          </cell>
          <cell r="B1391" t="str">
            <v>Business Talk</v>
          </cell>
          <cell r="C1391" t="str">
            <v>Panama</v>
          </cell>
          <cell r="D1391" t="str">
            <v>Off-net international</v>
          </cell>
          <cell r="E1391" t="str">
            <v>minute</v>
          </cell>
          <cell r="F1391">
            <v>1</v>
          </cell>
          <cell r="G1391">
            <v>1</v>
          </cell>
          <cell r="H1391">
            <v>1</v>
          </cell>
          <cell r="I1391">
            <v>0</v>
          </cell>
          <cell r="J1391">
            <v>0.23089999999999999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A1392" t="str">
            <v>INT PNG PNGMO</v>
          </cell>
          <cell r="B1392" t="str">
            <v>Business Talk</v>
          </cell>
          <cell r="C1392" t="str">
            <v>Papua New Guinea Mobile</v>
          </cell>
          <cell r="D1392" t="str">
            <v>Off-net international</v>
          </cell>
          <cell r="E1392" t="str">
            <v>minute</v>
          </cell>
          <cell r="F1392">
            <v>1</v>
          </cell>
          <cell r="G1392">
            <v>1</v>
          </cell>
          <cell r="H1392">
            <v>1</v>
          </cell>
          <cell r="I1392">
            <v>0</v>
          </cell>
          <cell r="J1392">
            <v>0.33029999999999998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3">
          <cell r="A1393" t="str">
            <v>INT PNG</v>
          </cell>
          <cell r="B1393" t="str">
            <v>Business Talk</v>
          </cell>
          <cell r="C1393" t="str">
            <v>Papua New Guinea</v>
          </cell>
          <cell r="D1393" t="str">
            <v>Off-net international</v>
          </cell>
          <cell r="E1393" t="str">
            <v>minute</v>
          </cell>
          <cell r="F1393">
            <v>1</v>
          </cell>
          <cell r="G1393">
            <v>1</v>
          </cell>
          <cell r="H1393">
            <v>1</v>
          </cell>
          <cell r="I1393">
            <v>0</v>
          </cell>
          <cell r="J1393">
            <v>0.23089999999999999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</row>
        <row r="1394">
          <cell r="A1394" t="str">
            <v>INT PRY PRYMO</v>
          </cell>
          <cell r="B1394" t="str">
            <v>Business Talk</v>
          </cell>
          <cell r="C1394" t="str">
            <v>Paraguay Mobile</v>
          </cell>
          <cell r="D1394" t="str">
            <v>Off-net international</v>
          </cell>
          <cell r="E1394" t="str">
            <v>minute</v>
          </cell>
          <cell r="F1394">
            <v>1</v>
          </cell>
          <cell r="G1394">
            <v>1</v>
          </cell>
          <cell r="H1394">
            <v>1</v>
          </cell>
          <cell r="I1394">
            <v>0</v>
          </cell>
          <cell r="J1394">
            <v>0.1784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A1395" t="str">
            <v>INT PRY</v>
          </cell>
          <cell r="B1395" t="str">
            <v>Business Talk</v>
          </cell>
          <cell r="C1395" t="str">
            <v>Paraguay</v>
          </cell>
          <cell r="D1395" t="str">
            <v>Off-net international</v>
          </cell>
          <cell r="E1395" t="str">
            <v>minute</v>
          </cell>
          <cell r="F1395">
            <v>1</v>
          </cell>
          <cell r="G1395">
            <v>1</v>
          </cell>
          <cell r="H1395">
            <v>1</v>
          </cell>
          <cell r="I1395">
            <v>0</v>
          </cell>
          <cell r="J1395">
            <v>5.8400000000000001E-2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6">
          <cell r="A1396" t="str">
            <v>INT PER PERMO</v>
          </cell>
          <cell r="B1396" t="str">
            <v>Business Talk</v>
          </cell>
          <cell r="C1396" t="str">
            <v>Peru Mobile</v>
          </cell>
          <cell r="D1396" t="str">
            <v>Off-net international</v>
          </cell>
          <cell r="E1396" t="str">
            <v>minute</v>
          </cell>
          <cell r="F1396">
            <v>1</v>
          </cell>
          <cell r="G1396">
            <v>1</v>
          </cell>
          <cell r="H1396">
            <v>1</v>
          </cell>
          <cell r="I1396">
            <v>0</v>
          </cell>
          <cell r="J1396">
            <v>0.1457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</row>
        <row r="1397">
          <cell r="A1397" t="str">
            <v>INT PER</v>
          </cell>
          <cell r="B1397" t="str">
            <v>Business Talk</v>
          </cell>
          <cell r="C1397" t="str">
            <v>Peru</v>
          </cell>
          <cell r="D1397" t="str">
            <v>Off-net international</v>
          </cell>
          <cell r="E1397" t="str">
            <v>minute</v>
          </cell>
          <cell r="F1397">
            <v>1</v>
          </cell>
          <cell r="G1397">
            <v>1</v>
          </cell>
          <cell r="H1397">
            <v>1</v>
          </cell>
          <cell r="I1397">
            <v>0</v>
          </cell>
          <cell r="J1397">
            <v>3.0499999999999999E-2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A1398" t="str">
            <v>INT PHL PHLMO</v>
          </cell>
          <cell r="B1398" t="str">
            <v>Business Talk</v>
          </cell>
          <cell r="C1398" t="str">
            <v>Philippines Mobile</v>
          </cell>
          <cell r="D1398" t="str">
            <v>Off-net international</v>
          </cell>
          <cell r="E1398" t="str">
            <v>minute</v>
          </cell>
          <cell r="F1398">
            <v>1</v>
          </cell>
          <cell r="G1398">
            <v>1</v>
          </cell>
          <cell r="H1398">
            <v>1</v>
          </cell>
          <cell r="I1398">
            <v>0</v>
          </cell>
          <cell r="J1398">
            <v>0.2321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399">
          <cell r="A1399" t="str">
            <v>INT PHL</v>
          </cell>
          <cell r="B1399" t="str">
            <v>Business Talk</v>
          </cell>
          <cell r="C1399" t="str">
            <v>Philippines</v>
          </cell>
          <cell r="D1399" t="str">
            <v>Off-net international</v>
          </cell>
          <cell r="E1399" t="str">
            <v>minute</v>
          </cell>
          <cell r="F1399">
            <v>1</v>
          </cell>
          <cell r="G1399">
            <v>1</v>
          </cell>
          <cell r="H1399">
            <v>1</v>
          </cell>
          <cell r="I1399">
            <v>0</v>
          </cell>
          <cell r="J1399">
            <v>0.17949999999999999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</row>
        <row r="1400">
          <cell r="A1400" t="str">
            <v>INT POL POLMO</v>
          </cell>
          <cell r="B1400" t="str">
            <v>Business Talk</v>
          </cell>
          <cell r="C1400" t="str">
            <v>Poland Mobile</v>
          </cell>
          <cell r="D1400" t="str">
            <v>Off-net international</v>
          </cell>
          <cell r="E1400" t="str">
            <v>minute</v>
          </cell>
          <cell r="F1400">
            <v>1</v>
          </cell>
          <cell r="G1400">
            <v>1</v>
          </cell>
          <cell r="H1400">
            <v>1</v>
          </cell>
          <cell r="I1400">
            <v>0</v>
          </cell>
          <cell r="J1400">
            <v>2.69E-2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A1401" t="str">
            <v>INT POL</v>
          </cell>
          <cell r="B1401" t="str">
            <v>Business Talk</v>
          </cell>
          <cell r="C1401" t="str">
            <v>Poland</v>
          </cell>
          <cell r="D1401" t="str">
            <v>Off-net international</v>
          </cell>
          <cell r="E1401" t="str">
            <v>minute</v>
          </cell>
          <cell r="F1401">
            <v>1</v>
          </cell>
          <cell r="G1401">
            <v>1</v>
          </cell>
          <cell r="H1401">
            <v>1</v>
          </cell>
          <cell r="I1401">
            <v>0</v>
          </cell>
          <cell r="J1401">
            <v>2.1700000000000001E-2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2">
          <cell r="A1402" t="str">
            <v>INT PRT PRTMO</v>
          </cell>
          <cell r="B1402" t="str">
            <v>Business Talk</v>
          </cell>
          <cell r="C1402" t="str">
            <v>Portugal Mobile</v>
          </cell>
          <cell r="D1402" t="str">
            <v>Off-net international</v>
          </cell>
          <cell r="E1402" t="str">
            <v>minute</v>
          </cell>
          <cell r="F1402">
            <v>1</v>
          </cell>
          <cell r="G1402">
            <v>1</v>
          </cell>
          <cell r="H1402">
            <v>1</v>
          </cell>
          <cell r="I1402">
            <v>0</v>
          </cell>
          <cell r="J1402">
            <v>5.6599999999999998E-2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</row>
        <row r="1403">
          <cell r="A1403" t="str">
            <v>INT PRT</v>
          </cell>
          <cell r="B1403" t="str">
            <v>Business Talk</v>
          </cell>
          <cell r="C1403" t="str">
            <v>Portugal</v>
          </cell>
          <cell r="D1403" t="str">
            <v>Off-net international</v>
          </cell>
          <cell r="E1403" t="str">
            <v>minute</v>
          </cell>
          <cell r="F1403">
            <v>1</v>
          </cell>
          <cell r="G1403">
            <v>1</v>
          </cell>
          <cell r="H1403">
            <v>1</v>
          </cell>
          <cell r="I1403">
            <v>0</v>
          </cell>
          <cell r="J1403">
            <v>1.7399999999999999E-2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A1404" t="str">
            <v>INT PRT PTFIC</v>
          </cell>
          <cell r="B1404" t="str">
            <v>Business Talk</v>
          </cell>
          <cell r="C1404" t="str">
            <v>Portugal Free Calls</v>
          </cell>
          <cell r="D1404" t="str">
            <v>Off-net international</v>
          </cell>
          <cell r="E1404" t="str">
            <v>minute</v>
          </cell>
          <cell r="F1404">
            <v>1</v>
          </cell>
          <cell r="G1404">
            <v>1</v>
          </cell>
          <cell r="H1404">
            <v>1</v>
          </cell>
          <cell r="I1404">
            <v>0</v>
          </cell>
          <cell r="J1404">
            <v>1.72E-2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5">
          <cell r="A1405" t="str">
            <v>INT PRT PTSC2</v>
          </cell>
          <cell r="B1405" t="str">
            <v>Business Talk</v>
          </cell>
          <cell r="C1405" t="str">
            <v>Portugal Premium</v>
          </cell>
          <cell r="D1405" t="str">
            <v>Off-net international</v>
          </cell>
          <cell r="E1405" t="str">
            <v>minute</v>
          </cell>
          <cell r="F1405">
            <v>1</v>
          </cell>
          <cell r="G1405">
            <v>1</v>
          </cell>
          <cell r="H1405">
            <v>1</v>
          </cell>
          <cell r="I1405">
            <v>0</v>
          </cell>
          <cell r="J1405">
            <v>2.6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</row>
        <row r="1406">
          <cell r="A1406" t="str">
            <v>INT PRT PTSCS</v>
          </cell>
          <cell r="B1406" t="str">
            <v>Business Talk</v>
          </cell>
          <cell r="C1406" t="str">
            <v>Portugal Shared Cost Serv</v>
          </cell>
          <cell r="D1406" t="str">
            <v>Off-net international</v>
          </cell>
          <cell r="E1406" t="str">
            <v>minute</v>
          </cell>
          <cell r="F1406">
            <v>1</v>
          </cell>
          <cell r="G1406">
            <v>1</v>
          </cell>
          <cell r="H1406">
            <v>1</v>
          </cell>
          <cell r="I1406">
            <v>0</v>
          </cell>
          <cell r="J1406">
            <v>6.7100000000000007E-2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</row>
        <row r="1407">
          <cell r="A1407" t="str">
            <v>INT PRI</v>
          </cell>
          <cell r="B1407" t="str">
            <v>Business Talk</v>
          </cell>
          <cell r="C1407" t="str">
            <v>Puerto Rico</v>
          </cell>
          <cell r="D1407" t="str">
            <v>Off-net international</v>
          </cell>
          <cell r="E1407" t="str">
            <v>minute</v>
          </cell>
          <cell r="F1407">
            <v>1</v>
          </cell>
          <cell r="G1407">
            <v>1</v>
          </cell>
          <cell r="H1407">
            <v>1</v>
          </cell>
          <cell r="I1407">
            <v>0</v>
          </cell>
          <cell r="J1407">
            <v>3.7400000000000003E-2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A1408" t="str">
            <v>INT QAT</v>
          </cell>
          <cell r="B1408" t="str">
            <v>Business Talk</v>
          </cell>
          <cell r="C1408" t="str">
            <v>Qatar</v>
          </cell>
          <cell r="D1408" t="str">
            <v>Off-net international</v>
          </cell>
          <cell r="E1408" t="str">
            <v>minute</v>
          </cell>
          <cell r="F1408">
            <v>1</v>
          </cell>
          <cell r="G1408">
            <v>1</v>
          </cell>
          <cell r="H1408">
            <v>1</v>
          </cell>
          <cell r="I1408">
            <v>0</v>
          </cell>
          <cell r="J1408">
            <v>0.28899999999999998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</row>
        <row r="1409">
          <cell r="A1409" t="str">
            <v>INT REU REUMO</v>
          </cell>
          <cell r="B1409" t="str">
            <v>Business Talk</v>
          </cell>
          <cell r="C1409" t="str">
            <v>Reunion Is Mobile</v>
          </cell>
          <cell r="D1409" t="str">
            <v>Off-net international</v>
          </cell>
          <cell r="E1409" t="str">
            <v>minute</v>
          </cell>
          <cell r="F1409">
            <v>1</v>
          </cell>
          <cell r="G1409">
            <v>1</v>
          </cell>
          <cell r="H1409">
            <v>1</v>
          </cell>
          <cell r="I1409">
            <v>0</v>
          </cell>
          <cell r="J1409">
            <v>4.3900000000000002E-2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A1410" t="str">
            <v>INT REU</v>
          </cell>
          <cell r="B1410" t="str">
            <v>Business Talk</v>
          </cell>
          <cell r="C1410" t="str">
            <v>Reunion Is</v>
          </cell>
          <cell r="D1410" t="str">
            <v>Off-net international</v>
          </cell>
          <cell r="E1410" t="str">
            <v>minute</v>
          </cell>
          <cell r="F1410">
            <v>1</v>
          </cell>
          <cell r="G1410">
            <v>1</v>
          </cell>
          <cell r="H1410">
            <v>1</v>
          </cell>
          <cell r="I1410">
            <v>0</v>
          </cell>
          <cell r="J1410">
            <v>2.2200000000000001E-2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1">
          <cell r="A1411" t="str">
            <v>INT ROM ROMMO</v>
          </cell>
          <cell r="B1411" t="str">
            <v>Business Talk</v>
          </cell>
          <cell r="C1411" t="str">
            <v>Romania Mobile</v>
          </cell>
          <cell r="D1411" t="str">
            <v>Off-net international</v>
          </cell>
          <cell r="E1411" t="str">
            <v>minute</v>
          </cell>
          <cell r="F1411">
            <v>1</v>
          </cell>
          <cell r="G1411">
            <v>1</v>
          </cell>
          <cell r="H1411">
            <v>1</v>
          </cell>
          <cell r="I1411">
            <v>0</v>
          </cell>
          <cell r="J1411">
            <v>6.4600000000000005E-2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A1412" t="str">
            <v>INT ROM</v>
          </cell>
          <cell r="B1412" t="str">
            <v>Business Talk</v>
          </cell>
          <cell r="C1412" t="str">
            <v>Romania</v>
          </cell>
          <cell r="D1412" t="str">
            <v>Off-net international</v>
          </cell>
          <cell r="E1412" t="str">
            <v>minute</v>
          </cell>
          <cell r="F1412">
            <v>1</v>
          </cell>
          <cell r="G1412">
            <v>1</v>
          </cell>
          <cell r="H1412">
            <v>1</v>
          </cell>
          <cell r="I1412">
            <v>0</v>
          </cell>
          <cell r="J1412">
            <v>2.5100000000000001E-2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A1413" t="str">
            <v>INT RUS RUSMO</v>
          </cell>
          <cell r="B1413" t="str">
            <v>Business Talk</v>
          </cell>
          <cell r="C1413" t="str">
            <v>Russia Mobile</v>
          </cell>
          <cell r="D1413" t="str">
            <v>Off-net international</v>
          </cell>
          <cell r="E1413" t="str">
            <v>minute</v>
          </cell>
          <cell r="F1413">
            <v>1</v>
          </cell>
          <cell r="G1413">
            <v>1</v>
          </cell>
          <cell r="H1413">
            <v>1</v>
          </cell>
          <cell r="I1413">
            <v>0</v>
          </cell>
          <cell r="J1413">
            <v>0.2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4">
          <cell r="A1414" t="str">
            <v>INT RUS</v>
          </cell>
          <cell r="B1414" t="str">
            <v>Business Talk</v>
          </cell>
          <cell r="C1414" t="str">
            <v>Russia</v>
          </cell>
          <cell r="D1414" t="str">
            <v>Off-net international</v>
          </cell>
          <cell r="E1414" t="str">
            <v>minute</v>
          </cell>
          <cell r="F1414">
            <v>1</v>
          </cell>
          <cell r="G1414">
            <v>1</v>
          </cell>
          <cell r="H1414">
            <v>1</v>
          </cell>
          <cell r="I1414">
            <v>0</v>
          </cell>
          <cell r="J1414">
            <v>7.6200000000000004E-2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</row>
        <row r="1415">
          <cell r="A1415" t="str">
            <v>INT RUS RUSKA</v>
          </cell>
          <cell r="B1415" t="str">
            <v>Business Talk</v>
          </cell>
          <cell r="C1415" t="str">
            <v>Russia Kaliningrad</v>
          </cell>
          <cell r="D1415" t="str">
            <v>Off-net international</v>
          </cell>
          <cell r="E1415" t="str">
            <v>minute</v>
          </cell>
          <cell r="F1415">
            <v>1</v>
          </cell>
          <cell r="G1415">
            <v>1</v>
          </cell>
          <cell r="H1415">
            <v>1</v>
          </cell>
          <cell r="I1415">
            <v>0</v>
          </cell>
          <cell r="J1415">
            <v>7.6200000000000004E-2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</row>
        <row r="1416">
          <cell r="A1416" t="str">
            <v>INT RUS MOS</v>
          </cell>
          <cell r="B1416" t="str">
            <v>Business Talk</v>
          </cell>
          <cell r="C1416" t="str">
            <v>Russia Moscow</v>
          </cell>
          <cell r="D1416" t="str">
            <v>Off-net international</v>
          </cell>
          <cell r="E1416" t="str">
            <v>minute</v>
          </cell>
          <cell r="F1416">
            <v>1</v>
          </cell>
          <cell r="G1416">
            <v>1</v>
          </cell>
          <cell r="H1416">
            <v>1</v>
          </cell>
          <cell r="I1416">
            <v>0</v>
          </cell>
          <cell r="J1416">
            <v>4.3499999999999997E-2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7">
          <cell r="A1417" t="str">
            <v>INT RUS RUSSP</v>
          </cell>
          <cell r="B1417" t="str">
            <v>Business Talk</v>
          </cell>
          <cell r="C1417" t="str">
            <v>Russia St Petersburg</v>
          </cell>
          <cell r="D1417" t="str">
            <v>Off-net international</v>
          </cell>
          <cell r="E1417" t="str">
            <v>minute</v>
          </cell>
          <cell r="F1417">
            <v>1</v>
          </cell>
          <cell r="G1417">
            <v>1</v>
          </cell>
          <cell r="H1417">
            <v>1</v>
          </cell>
          <cell r="I1417">
            <v>0</v>
          </cell>
          <cell r="J1417">
            <v>6.8900000000000003E-2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</row>
        <row r="1418">
          <cell r="A1418" t="str">
            <v>INT RUS RUVAS</v>
          </cell>
          <cell r="B1418" t="str">
            <v>Business Talk</v>
          </cell>
          <cell r="C1418" t="str">
            <v>Russia Value Added Services</v>
          </cell>
          <cell r="D1418" t="str">
            <v>Off-net international</v>
          </cell>
          <cell r="E1418" t="str">
            <v>minute</v>
          </cell>
          <cell r="F1418">
            <v>1</v>
          </cell>
          <cell r="G1418">
            <v>1</v>
          </cell>
          <cell r="H1418">
            <v>1</v>
          </cell>
          <cell r="I1418">
            <v>0</v>
          </cell>
          <cell r="J1418">
            <v>0.1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A1419" t="str">
            <v>INT RWA</v>
          </cell>
          <cell r="B1419" t="str">
            <v>Business Talk</v>
          </cell>
          <cell r="C1419" t="str">
            <v>Rwanda</v>
          </cell>
          <cell r="D1419" t="str">
            <v>Off-net international</v>
          </cell>
          <cell r="E1419" t="str">
            <v>minute</v>
          </cell>
          <cell r="F1419">
            <v>1</v>
          </cell>
          <cell r="G1419">
            <v>1</v>
          </cell>
          <cell r="H1419">
            <v>1</v>
          </cell>
          <cell r="I1419">
            <v>0</v>
          </cell>
          <cell r="J1419">
            <v>0.45079999999999998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</row>
        <row r="1420">
          <cell r="A1420" t="str">
            <v>INT SXM</v>
          </cell>
          <cell r="B1420" t="str">
            <v>Business Talk</v>
          </cell>
          <cell r="C1420" t="str">
            <v>Saint Maarten</v>
          </cell>
          <cell r="D1420" t="str">
            <v>Off-net international</v>
          </cell>
          <cell r="E1420" t="str">
            <v>minute</v>
          </cell>
          <cell r="F1420">
            <v>1</v>
          </cell>
          <cell r="G1420">
            <v>1</v>
          </cell>
          <cell r="H1420">
            <v>1</v>
          </cell>
          <cell r="I1420">
            <v>0</v>
          </cell>
          <cell r="J1420">
            <v>0.19070000000000001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</row>
        <row r="1421">
          <cell r="A1421" t="str">
            <v>INT SXM SXMMO</v>
          </cell>
          <cell r="B1421" t="str">
            <v>Business Talk</v>
          </cell>
          <cell r="C1421" t="str">
            <v>Saint Maarten Mob</v>
          </cell>
          <cell r="D1421" t="str">
            <v>Off-net international</v>
          </cell>
          <cell r="E1421" t="str">
            <v>minute</v>
          </cell>
          <cell r="F1421">
            <v>1</v>
          </cell>
          <cell r="G1421">
            <v>1</v>
          </cell>
          <cell r="H1421">
            <v>1</v>
          </cell>
          <cell r="I1421">
            <v>0</v>
          </cell>
          <cell r="J1421">
            <v>0.22500000000000001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</row>
        <row r="1422">
          <cell r="A1422" t="str">
            <v>INT WSM WSMMO</v>
          </cell>
          <cell r="B1422" t="str">
            <v>Business Talk</v>
          </cell>
          <cell r="C1422" t="str">
            <v>Samoa Mobile</v>
          </cell>
          <cell r="D1422" t="str">
            <v>Off-net international</v>
          </cell>
          <cell r="E1422" t="str">
            <v>minute</v>
          </cell>
          <cell r="F1422">
            <v>1</v>
          </cell>
          <cell r="G1422">
            <v>1</v>
          </cell>
          <cell r="H1422">
            <v>1</v>
          </cell>
          <cell r="I1422">
            <v>0</v>
          </cell>
          <cell r="J1422">
            <v>0.74319999999999997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A1423" t="str">
            <v>INT WSM</v>
          </cell>
          <cell r="B1423" t="str">
            <v>Business Talk</v>
          </cell>
          <cell r="C1423" t="str">
            <v>Samoa</v>
          </cell>
          <cell r="D1423" t="str">
            <v>Off-net international</v>
          </cell>
          <cell r="E1423" t="str">
            <v>minute</v>
          </cell>
          <cell r="F1423">
            <v>1</v>
          </cell>
          <cell r="G1423">
            <v>1</v>
          </cell>
          <cell r="H1423">
            <v>1</v>
          </cell>
          <cell r="I1423">
            <v>0</v>
          </cell>
          <cell r="J1423">
            <v>0.74319999999999997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</row>
        <row r="1424">
          <cell r="A1424" t="str">
            <v>INT SMR</v>
          </cell>
          <cell r="B1424" t="str">
            <v>Business Talk</v>
          </cell>
          <cell r="C1424" t="str">
            <v>San Marino</v>
          </cell>
          <cell r="D1424" t="str">
            <v>Off-net international</v>
          </cell>
          <cell r="E1424" t="str">
            <v>minute</v>
          </cell>
          <cell r="F1424">
            <v>1</v>
          </cell>
          <cell r="G1424">
            <v>1</v>
          </cell>
          <cell r="H1424">
            <v>1</v>
          </cell>
          <cell r="I1424">
            <v>0</v>
          </cell>
          <cell r="J1424">
            <v>0.44600000000000001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</row>
        <row r="1425">
          <cell r="A1425" t="str">
            <v>INT STP</v>
          </cell>
          <cell r="B1425" t="str">
            <v>Business Talk</v>
          </cell>
          <cell r="C1425" t="str">
            <v>Sao Tome &amp; Principe</v>
          </cell>
          <cell r="D1425" t="str">
            <v>Off-net international</v>
          </cell>
          <cell r="E1425" t="str">
            <v>minute</v>
          </cell>
          <cell r="F1425">
            <v>1</v>
          </cell>
          <cell r="G1425">
            <v>1</v>
          </cell>
          <cell r="H1425">
            <v>1</v>
          </cell>
          <cell r="I1425">
            <v>0</v>
          </cell>
          <cell r="J1425">
            <v>1.3099000000000001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A1426" t="str">
            <v>INT SAU SAUMO</v>
          </cell>
          <cell r="B1426" t="str">
            <v>Business Talk</v>
          </cell>
          <cell r="C1426" t="str">
            <v>Saudi Arabia Mobile</v>
          </cell>
          <cell r="D1426" t="str">
            <v>Off-net international</v>
          </cell>
          <cell r="E1426" t="str">
            <v>minute</v>
          </cell>
          <cell r="F1426">
            <v>1</v>
          </cell>
          <cell r="G1426">
            <v>1</v>
          </cell>
          <cell r="H1426">
            <v>1</v>
          </cell>
          <cell r="I1426">
            <v>0</v>
          </cell>
          <cell r="J1426">
            <v>0.2087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</row>
        <row r="1427">
          <cell r="A1427" t="str">
            <v>INT SAU</v>
          </cell>
          <cell r="B1427" t="str">
            <v>Business Talk</v>
          </cell>
          <cell r="C1427" t="str">
            <v>Saudi Arabia</v>
          </cell>
          <cell r="D1427" t="str">
            <v>Off-net international</v>
          </cell>
          <cell r="E1427" t="str">
            <v>minute</v>
          </cell>
          <cell r="F1427">
            <v>1</v>
          </cell>
          <cell r="G1427">
            <v>1</v>
          </cell>
          <cell r="H1427">
            <v>1</v>
          </cell>
          <cell r="I1427">
            <v>0</v>
          </cell>
          <cell r="J1427">
            <v>0.13159999999999999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</row>
        <row r="1428">
          <cell r="A1428" t="str">
            <v>INT SEN SENMO</v>
          </cell>
          <cell r="B1428" t="str">
            <v>Business Talk</v>
          </cell>
          <cell r="C1428" t="str">
            <v>Senegal Mobile</v>
          </cell>
          <cell r="D1428" t="str">
            <v>Off-net international</v>
          </cell>
          <cell r="E1428" t="str">
            <v>minute</v>
          </cell>
          <cell r="F1428">
            <v>1</v>
          </cell>
          <cell r="G1428">
            <v>1</v>
          </cell>
          <cell r="H1428">
            <v>1</v>
          </cell>
          <cell r="I1428">
            <v>0</v>
          </cell>
          <cell r="J1428">
            <v>0.62490000000000001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</row>
        <row r="1429">
          <cell r="A1429" t="str">
            <v>INT SEN</v>
          </cell>
          <cell r="B1429" t="str">
            <v>Business Talk</v>
          </cell>
          <cell r="C1429" t="str">
            <v>Senegal</v>
          </cell>
          <cell r="D1429" t="str">
            <v>Off-net international</v>
          </cell>
          <cell r="E1429" t="str">
            <v>minute</v>
          </cell>
          <cell r="F1429">
            <v>1</v>
          </cell>
          <cell r="G1429">
            <v>1</v>
          </cell>
          <cell r="H1429">
            <v>1</v>
          </cell>
          <cell r="I1429">
            <v>0</v>
          </cell>
          <cell r="J1429">
            <v>0.52310000000000001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</row>
        <row r="1430">
          <cell r="A1430" t="str">
            <v>INT SRB</v>
          </cell>
          <cell r="B1430" t="str">
            <v>Business Talk</v>
          </cell>
          <cell r="C1430" t="str">
            <v>Serbia</v>
          </cell>
          <cell r="D1430" t="str">
            <v>Off-net international</v>
          </cell>
          <cell r="E1430" t="str">
            <v>minute</v>
          </cell>
          <cell r="F1430">
            <v>1</v>
          </cell>
          <cell r="G1430">
            <v>1</v>
          </cell>
          <cell r="H1430">
            <v>1</v>
          </cell>
          <cell r="I1430">
            <v>0</v>
          </cell>
          <cell r="J1430">
            <v>0.1845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1">
          <cell r="A1431" t="str">
            <v>INT SYC</v>
          </cell>
          <cell r="B1431" t="str">
            <v>Business Talk</v>
          </cell>
          <cell r="C1431" t="str">
            <v>Seychelles</v>
          </cell>
          <cell r="D1431" t="str">
            <v>Off-net international</v>
          </cell>
          <cell r="E1431" t="str">
            <v>minute</v>
          </cell>
          <cell r="F1431">
            <v>1</v>
          </cell>
          <cell r="G1431">
            <v>1</v>
          </cell>
          <cell r="H1431">
            <v>1</v>
          </cell>
          <cell r="I1431">
            <v>0</v>
          </cell>
          <cell r="J1431">
            <v>0.38159999999999999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A1432" t="str">
            <v>INT SLE SLEMO</v>
          </cell>
          <cell r="B1432" t="str">
            <v>Business Talk</v>
          </cell>
          <cell r="C1432" t="str">
            <v>Sierra Leone Mobile</v>
          </cell>
          <cell r="D1432" t="str">
            <v>Off-net international</v>
          </cell>
          <cell r="E1432" t="str">
            <v>minute</v>
          </cell>
          <cell r="F1432">
            <v>1</v>
          </cell>
          <cell r="G1432">
            <v>1</v>
          </cell>
          <cell r="H1432">
            <v>1</v>
          </cell>
          <cell r="I1432">
            <v>0</v>
          </cell>
          <cell r="J1432">
            <v>0.62819999999999998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</row>
        <row r="1433">
          <cell r="A1433" t="str">
            <v>INT SLE</v>
          </cell>
          <cell r="B1433" t="str">
            <v>Business Talk</v>
          </cell>
          <cell r="C1433" t="str">
            <v>Sierra Leone</v>
          </cell>
          <cell r="D1433" t="str">
            <v>Off-net international</v>
          </cell>
          <cell r="E1433" t="str">
            <v>minute</v>
          </cell>
          <cell r="F1433">
            <v>1</v>
          </cell>
          <cell r="G1433">
            <v>1</v>
          </cell>
          <cell r="H1433">
            <v>1</v>
          </cell>
          <cell r="I1433">
            <v>0</v>
          </cell>
          <cell r="J1433">
            <v>0.62819999999999998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A1434" t="str">
            <v>INT SGP SGPMO</v>
          </cell>
          <cell r="B1434" t="str">
            <v>Business Talk</v>
          </cell>
          <cell r="C1434" t="str">
            <v>Singapore Mobile</v>
          </cell>
          <cell r="D1434" t="str">
            <v>Off-net international</v>
          </cell>
          <cell r="E1434" t="str">
            <v>minute</v>
          </cell>
          <cell r="F1434">
            <v>1</v>
          </cell>
          <cell r="G1434">
            <v>1</v>
          </cell>
          <cell r="H1434">
            <v>1</v>
          </cell>
          <cell r="I1434">
            <v>0</v>
          </cell>
          <cell r="J1434">
            <v>2.47E-2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</row>
        <row r="1435">
          <cell r="A1435" t="str">
            <v>INT SGP</v>
          </cell>
          <cell r="B1435" t="str">
            <v>Business Talk</v>
          </cell>
          <cell r="C1435" t="str">
            <v>Singapore</v>
          </cell>
          <cell r="D1435" t="str">
            <v>Off-net international</v>
          </cell>
          <cell r="E1435" t="str">
            <v>minute</v>
          </cell>
          <cell r="F1435">
            <v>1</v>
          </cell>
          <cell r="G1435">
            <v>1</v>
          </cell>
          <cell r="H1435">
            <v>1</v>
          </cell>
          <cell r="I1435">
            <v>0</v>
          </cell>
          <cell r="J1435">
            <v>4.02E-2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A1436" t="str">
            <v>INT SVK SVKMO</v>
          </cell>
          <cell r="B1436" t="str">
            <v>Business Talk</v>
          </cell>
          <cell r="C1436" t="str">
            <v>Slovakia Mobile</v>
          </cell>
          <cell r="D1436" t="str">
            <v>Off-net international</v>
          </cell>
          <cell r="E1436" t="str">
            <v>minute</v>
          </cell>
          <cell r="F1436">
            <v>1</v>
          </cell>
          <cell r="G1436">
            <v>1</v>
          </cell>
          <cell r="H1436">
            <v>1</v>
          </cell>
          <cell r="I1436">
            <v>0</v>
          </cell>
          <cell r="J1436">
            <v>0.14560000000000001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</row>
        <row r="1437">
          <cell r="A1437" t="str">
            <v>INT SVK</v>
          </cell>
          <cell r="B1437" t="str">
            <v>Business Talk</v>
          </cell>
          <cell r="C1437" t="str">
            <v>Slovakia</v>
          </cell>
          <cell r="D1437" t="str">
            <v>Off-net international</v>
          </cell>
          <cell r="E1437" t="str">
            <v>minute</v>
          </cell>
          <cell r="F1437">
            <v>1</v>
          </cell>
          <cell r="G1437">
            <v>1</v>
          </cell>
          <cell r="H1437">
            <v>1</v>
          </cell>
          <cell r="I1437">
            <v>0</v>
          </cell>
          <cell r="J1437">
            <v>3.2099999999999997E-2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</row>
        <row r="1438">
          <cell r="A1438" t="str">
            <v>INT SVN SVNMO</v>
          </cell>
          <cell r="B1438" t="str">
            <v>Business Talk</v>
          </cell>
          <cell r="C1438" t="str">
            <v>Slovenia Mobile</v>
          </cell>
          <cell r="D1438" t="str">
            <v>Off-net international</v>
          </cell>
          <cell r="E1438" t="str">
            <v>minute</v>
          </cell>
          <cell r="F1438">
            <v>1</v>
          </cell>
          <cell r="G1438">
            <v>1</v>
          </cell>
          <cell r="H1438">
            <v>1</v>
          </cell>
          <cell r="I1438">
            <v>0</v>
          </cell>
          <cell r="J1438">
            <v>0.5756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</row>
        <row r="1439">
          <cell r="A1439" t="str">
            <v>INT SVN</v>
          </cell>
          <cell r="B1439" t="str">
            <v>Business Talk</v>
          </cell>
          <cell r="C1439" t="str">
            <v>Slovenia</v>
          </cell>
          <cell r="D1439" t="str">
            <v>Off-net international</v>
          </cell>
          <cell r="E1439" t="str">
            <v>minute</v>
          </cell>
          <cell r="F1439">
            <v>1</v>
          </cell>
          <cell r="G1439">
            <v>1</v>
          </cell>
          <cell r="H1439">
            <v>1</v>
          </cell>
          <cell r="I1439">
            <v>0</v>
          </cell>
          <cell r="J1439">
            <v>3.4200000000000001E-2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</row>
        <row r="1440">
          <cell r="A1440" t="str">
            <v>INT SLB</v>
          </cell>
          <cell r="B1440" t="str">
            <v>Business Talk</v>
          </cell>
          <cell r="C1440" t="str">
            <v>Solomon Is</v>
          </cell>
          <cell r="D1440" t="str">
            <v>Off-net international</v>
          </cell>
          <cell r="E1440" t="str">
            <v>minute</v>
          </cell>
          <cell r="F1440">
            <v>1</v>
          </cell>
          <cell r="G1440">
            <v>1</v>
          </cell>
          <cell r="H1440">
            <v>1</v>
          </cell>
          <cell r="I1440">
            <v>0</v>
          </cell>
          <cell r="J1440">
            <v>1.413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A1441" t="str">
            <v>INT SOM</v>
          </cell>
          <cell r="B1441" t="str">
            <v>Business Talk</v>
          </cell>
          <cell r="C1441" t="str">
            <v>Somalia</v>
          </cell>
          <cell r="D1441" t="str">
            <v>Off-net international</v>
          </cell>
          <cell r="E1441" t="str">
            <v>minute</v>
          </cell>
          <cell r="F1441">
            <v>1</v>
          </cell>
          <cell r="G1441">
            <v>1</v>
          </cell>
          <cell r="H1441">
            <v>1</v>
          </cell>
          <cell r="I1441">
            <v>0</v>
          </cell>
          <cell r="J1441">
            <v>0.74490000000000001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A1442" t="str">
            <v>INT ZAF ZAFMO</v>
          </cell>
          <cell r="B1442" t="str">
            <v>Business Talk</v>
          </cell>
          <cell r="C1442" t="str">
            <v>South Africa Mobile</v>
          </cell>
          <cell r="D1442" t="str">
            <v>Off-net international</v>
          </cell>
          <cell r="E1442" t="str">
            <v>minute</v>
          </cell>
          <cell r="F1442">
            <v>1</v>
          </cell>
          <cell r="G1442">
            <v>1</v>
          </cell>
          <cell r="H1442">
            <v>1</v>
          </cell>
          <cell r="I1442">
            <v>0</v>
          </cell>
          <cell r="J1442">
            <v>0.1075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A1443" t="str">
            <v>INT ZAF</v>
          </cell>
          <cell r="B1443" t="str">
            <v>Business Talk</v>
          </cell>
          <cell r="C1443" t="str">
            <v>South Africa</v>
          </cell>
          <cell r="D1443" t="str">
            <v>Off-net international</v>
          </cell>
          <cell r="E1443" t="str">
            <v>minute</v>
          </cell>
          <cell r="F1443">
            <v>1</v>
          </cell>
          <cell r="G1443">
            <v>1</v>
          </cell>
          <cell r="H1443">
            <v>1</v>
          </cell>
          <cell r="I1443">
            <v>0</v>
          </cell>
          <cell r="J1443">
            <v>5.0500000000000003E-2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4">
          <cell r="A1444" t="str">
            <v>INT SSD SSDMO</v>
          </cell>
          <cell r="B1444" t="str">
            <v>Business Talk</v>
          </cell>
          <cell r="C1444" t="str">
            <v>South Sudan Mobile</v>
          </cell>
          <cell r="D1444" t="str">
            <v>Off-net international</v>
          </cell>
          <cell r="E1444" t="str">
            <v>minute</v>
          </cell>
          <cell r="F1444">
            <v>1</v>
          </cell>
          <cell r="G1444">
            <v>1</v>
          </cell>
          <cell r="H1444">
            <v>1</v>
          </cell>
          <cell r="I1444">
            <v>0</v>
          </cell>
          <cell r="J1444">
            <v>0.41460000000000002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</row>
        <row r="1445">
          <cell r="A1445" t="str">
            <v>INT SSD</v>
          </cell>
          <cell r="B1445" t="str">
            <v>Business Talk</v>
          </cell>
          <cell r="C1445" t="str">
            <v>South Sudan</v>
          </cell>
          <cell r="D1445" t="str">
            <v>Off-net international</v>
          </cell>
          <cell r="E1445" t="str">
            <v>minute</v>
          </cell>
          <cell r="F1445">
            <v>1</v>
          </cell>
          <cell r="G1445">
            <v>1</v>
          </cell>
          <cell r="H1445">
            <v>1</v>
          </cell>
          <cell r="I1445">
            <v>0</v>
          </cell>
          <cell r="J1445">
            <v>0.41460000000000002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</row>
        <row r="1446">
          <cell r="A1446" t="str">
            <v>INT ESP ESPMO</v>
          </cell>
          <cell r="B1446" t="str">
            <v>Business Talk</v>
          </cell>
          <cell r="C1446" t="str">
            <v>Spain Mobile</v>
          </cell>
          <cell r="D1446" t="str">
            <v>Off-net international</v>
          </cell>
          <cell r="E1446" t="str">
            <v>minute</v>
          </cell>
          <cell r="F1446">
            <v>1</v>
          </cell>
          <cell r="G1446">
            <v>1</v>
          </cell>
          <cell r="H1446">
            <v>1</v>
          </cell>
          <cell r="I1446">
            <v>0</v>
          </cell>
          <cell r="J1446">
            <v>7.6600000000000001E-2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</row>
        <row r="1447">
          <cell r="A1447" t="str">
            <v>INT ESP</v>
          </cell>
          <cell r="B1447" t="str">
            <v>Business Talk</v>
          </cell>
          <cell r="C1447" t="str">
            <v>Spain</v>
          </cell>
          <cell r="D1447" t="str">
            <v>Off-net international</v>
          </cell>
          <cell r="E1447" t="str">
            <v>minute</v>
          </cell>
          <cell r="F1447">
            <v>1</v>
          </cell>
          <cell r="G1447">
            <v>1</v>
          </cell>
          <cell r="H1447">
            <v>1</v>
          </cell>
          <cell r="I1447">
            <v>0</v>
          </cell>
          <cell r="J1447">
            <v>1.7299999999999999E-2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A1448" t="str">
            <v>INT ESP SPP08</v>
          </cell>
          <cell r="B1448" t="str">
            <v>Business Talk</v>
          </cell>
          <cell r="C1448" t="str">
            <v>Spain Premium Serv</v>
          </cell>
          <cell r="D1448" t="str">
            <v>Off-net international</v>
          </cell>
          <cell r="E1448" t="str">
            <v>minute</v>
          </cell>
          <cell r="F1448">
            <v>1</v>
          </cell>
          <cell r="G1448">
            <v>1</v>
          </cell>
          <cell r="H1448">
            <v>1</v>
          </cell>
          <cell r="I1448">
            <v>0</v>
          </cell>
          <cell r="J1448">
            <v>4.5243000000000002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A1449" t="str">
            <v>INT ESP SPPRS</v>
          </cell>
          <cell r="B1449" t="str">
            <v>Business Talk</v>
          </cell>
          <cell r="C1449" t="str">
            <v>Spain Shared Costs</v>
          </cell>
          <cell r="D1449" t="str">
            <v>Off-net international</v>
          </cell>
          <cell r="E1449" t="str">
            <v>minute</v>
          </cell>
          <cell r="F1449">
            <v>1</v>
          </cell>
          <cell r="G1449">
            <v>1</v>
          </cell>
          <cell r="H1449">
            <v>1</v>
          </cell>
          <cell r="I1449">
            <v>0</v>
          </cell>
          <cell r="J1449">
            <v>0.1658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0">
          <cell r="A1450" t="str">
            <v>INT ESP SPFRE</v>
          </cell>
          <cell r="B1450" t="str">
            <v>Business Talk</v>
          </cell>
          <cell r="C1450" t="str">
            <v>Spain Toll Free</v>
          </cell>
          <cell r="D1450" t="str">
            <v>Off-net international</v>
          </cell>
          <cell r="E1450" t="str">
            <v>minute</v>
          </cell>
          <cell r="F1450">
            <v>1</v>
          </cell>
          <cell r="G1450">
            <v>1</v>
          </cell>
          <cell r="H1450">
            <v>1</v>
          </cell>
          <cell r="I1450">
            <v>0</v>
          </cell>
          <cell r="J1450">
            <v>1.7299999999999999E-2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</row>
        <row r="1451">
          <cell r="A1451" t="str">
            <v>INT LKA LKAMO</v>
          </cell>
          <cell r="B1451" t="str">
            <v>Business Talk</v>
          </cell>
          <cell r="C1451" t="str">
            <v>Sri Lanka Mobile</v>
          </cell>
          <cell r="D1451" t="str">
            <v>Off-net international</v>
          </cell>
          <cell r="E1451" t="str">
            <v>minute</v>
          </cell>
          <cell r="F1451">
            <v>1</v>
          </cell>
          <cell r="G1451">
            <v>1</v>
          </cell>
          <cell r="H1451">
            <v>1</v>
          </cell>
          <cell r="I1451">
            <v>0</v>
          </cell>
          <cell r="J1451">
            <v>0.1938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A1452" t="str">
            <v>INT LKA</v>
          </cell>
          <cell r="B1452" t="str">
            <v>Business Talk</v>
          </cell>
          <cell r="C1452" t="str">
            <v>Sri Lanka</v>
          </cell>
          <cell r="D1452" t="str">
            <v>Off-net international</v>
          </cell>
          <cell r="E1452" t="str">
            <v>minute</v>
          </cell>
          <cell r="F1452">
            <v>1</v>
          </cell>
          <cell r="G1452">
            <v>1</v>
          </cell>
          <cell r="H1452">
            <v>1</v>
          </cell>
          <cell r="I1452">
            <v>0</v>
          </cell>
          <cell r="J1452">
            <v>0.19239999999999999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3">
          <cell r="A1453" t="str">
            <v>INT SHN</v>
          </cell>
          <cell r="B1453" t="str">
            <v>Business Talk</v>
          </cell>
          <cell r="C1453" t="str">
            <v>St Helena</v>
          </cell>
          <cell r="D1453" t="str">
            <v>Off-net international</v>
          </cell>
          <cell r="E1453" t="str">
            <v>minute</v>
          </cell>
          <cell r="F1453">
            <v>1</v>
          </cell>
          <cell r="G1453">
            <v>1</v>
          </cell>
          <cell r="H1453">
            <v>1</v>
          </cell>
          <cell r="I1453">
            <v>0</v>
          </cell>
          <cell r="J1453">
            <v>1.5537000000000001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</row>
        <row r="1454">
          <cell r="A1454" t="str">
            <v>INT KNA</v>
          </cell>
          <cell r="B1454" t="str">
            <v>Business Talk</v>
          </cell>
          <cell r="C1454" t="str">
            <v>St Kitts &amp; Nevis</v>
          </cell>
          <cell r="D1454" t="str">
            <v>Off-net international</v>
          </cell>
          <cell r="E1454" t="str">
            <v>minute</v>
          </cell>
          <cell r="F1454">
            <v>1</v>
          </cell>
          <cell r="G1454">
            <v>1</v>
          </cell>
          <cell r="H1454">
            <v>1</v>
          </cell>
          <cell r="I1454">
            <v>0</v>
          </cell>
          <cell r="J1454">
            <v>0.36709999999999998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A1455" t="str">
            <v>INT LCA</v>
          </cell>
          <cell r="B1455" t="str">
            <v>Business Talk</v>
          </cell>
          <cell r="C1455" t="str">
            <v>St Lucia</v>
          </cell>
          <cell r="D1455" t="str">
            <v>Off-net international</v>
          </cell>
          <cell r="E1455" t="str">
            <v>minute</v>
          </cell>
          <cell r="F1455">
            <v>1</v>
          </cell>
          <cell r="G1455">
            <v>1</v>
          </cell>
          <cell r="H1455">
            <v>1</v>
          </cell>
          <cell r="I1455">
            <v>0</v>
          </cell>
          <cell r="J1455">
            <v>0.34139999999999998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6">
          <cell r="A1456" t="str">
            <v>INT SPM SPMMO</v>
          </cell>
          <cell r="B1456" t="str">
            <v>Business Talk</v>
          </cell>
          <cell r="C1456" t="str">
            <v>St Pierre &amp; Miquelon Mobile</v>
          </cell>
          <cell r="D1456" t="str">
            <v>Off-net international</v>
          </cell>
          <cell r="E1456" t="str">
            <v>minute</v>
          </cell>
          <cell r="F1456">
            <v>1</v>
          </cell>
          <cell r="G1456">
            <v>1</v>
          </cell>
          <cell r="H1456">
            <v>1</v>
          </cell>
          <cell r="I1456">
            <v>0</v>
          </cell>
          <cell r="J1456">
            <v>0.53420000000000001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</row>
        <row r="1457">
          <cell r="A1457" t="str">
            <v>INT SPM</v>
          </cell>
          <cell r="B1457" t="str">
            <v>Business Talk</v>
          </cell>
          <cell r="C1457" t="str">
            <v>St Pierre &amp; Miquelon</v>
          </cell>
          <cell r="D1457" t="str">
            <v>Off-net international</v>
          </cell>
          <cell r="E1457" t="str">
            <v>minute</v>
          </cell>
          <cell r="F1457">
            <v>1</v>
          </cell>
          <cell r="G1457">
            <v>1</v>
          </cell>
          <cell r="H1457">
            <v>1</v>
          </cell>
          <cell r="I1457">
            <v>0</v>
          </cell>
          <cell r="J1457">
            <v>0.25259999999999999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A1458" t="str">
            <v>INT VCT</v>
          </cell>
          <cell r="B1458" t="str">
            <v>Business Talk</v>
          </cell>
          <cell r="C1458" t="str">
            <v>St Vincent &amp; The Grenadines</v>
          </cell>
          <cell r="D1458" t="str">
            <v>Off-net international</v>
          </cell>
          <cell r="E1458" t="str">
            <v>minute</v>
          </cell>
          <cell r="F1458">
            <v>1</v>
          </cell>
          <cell r="G1458">
            <v>1</v>
          </cell>
          <cell r="H1458">
            <v>1</v>
          </cell>
          <cell r="I1458">
            <v>0</v>
          </cell>
          <cell r="J1458">
            <v>0.19339999999999999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59">
          <cell r="A1459" t="str">
            <v>INT SDN</v>
          </cell>
          <cell r="B1459" t="str">
            <v>Business Talk</v>
          </cell>
          <cell r="C1459" t="str">
            <v>Sudan</v>
          </cell>
          <cell r="D1459" t="str">
            <v>Off-net international</v>
          </cell>
          <cell r="E1459" t="str">
            <v>minute</v>
          </cell>
          <cell r="F1459">
            <v>1</v>
          </cell>
          <cell r="G1459">
            <v>1</v>
          </cell>
          <cell r="H1459">
            <v>1</v>
          </cell>
          <cell r="I1459">
            <v>0</v>
          </cell>
          <cell r="J1459">
            <v>0.28870000000000001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</row>
        <row r="1460">
          <cell r="A1460" t="str">
            <v>INT SUR SURMO</v>
          </cell>
          <cell r="B1460" t="str">
            <v>Business Talk</v>
          </cell>
          <cell r="C1460" t="str">
            <v>Suriname Mobile</v>
          </cell>
          <cell r="D1460" t="str">
            <v>Off-net international</v>
          </cell>
          <cell r="E1460" t="str">
            <v>minute</v>
          </cell>
          <cell r="F1460">
            <v>1</v>
          </cell>
          <cell r="G1460">
            <v>1</v>
          </cell>
          <cell r="H1460">
            <v>1</v>
          </cell>
          <cell r="I1460">
            <v>0</v>
          </cell>
          <cell r="J1460">
            <v>0.32979999999999998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A1461" t="str">
            <v>INT SUR</v>
          </cell>
          <cell r="B1461" t="str">
            <v>Business Talk</v>
          </cell>
          <cell r="C1461" t="str">
            <v>Suriname</v>
          </cell>
          <cell r="D1461" t="str">
            <v>Off-net international</v>
          </cell>
          <cell r="E1461" t="str">
            <v>minute</v>
          </cell>
          <cell r="F1461">
            <v>1</v>
          </cell>
          <cell r="G1461">
            <v>1</v>
          </cell>
          <cell r="H1461">
            <v>1</v>
          </cell>
          <cell r="I1461">
            <v>0</v>
          </cell>
          <cell r="J1461">
            <v>0.32979999999999998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  <row r="1462">
          <cell r="A1462" t="str">
            <v>INT SWZ SWZMO</v>
          </cell>
          <cell r="B1462" t="str">
            <v>Business Talk</v>
          </cell>
          <cell r="C1462" t="str">
            <v>Swaziland Mobile</v>
          </cell>
          <cell r="D1462" t="str">
            <v>Off-net international</v>
          </cell>
          <cell r="E1462" t="str">
            <v>minute</v>
          </cell>
          <cell r="F1462">
            <v>1</v>
          </cell>
          <cell r="G1462">
            <v>1</v>
          </cell>
          <cell r="H1462">
            <v>1</v>
          </cell>
          <cell r="I1462">
            <v>0</v>
          </cell>
          <cell r="J1462">
            <v>0.24979999999999999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</row>
        <row r="1463">
          <cell r="A1463" t="str">
            <v>INT SWZ</v>
          </cell>
          <cell r="B1463" t="str">
            <v>Business Talk</v>
          </cell>
          <cell r="C1463" t="str">
            <v>Swaziland</v>
          </cell>
          <cell r="D1463" t="str">
            <v>Off-net international</v>
          </cell>
          <cell r="E1463" t="str">
            <v>minute</v>
          </cell>
          <cell r="F1463">
            <v>1</v>
          </cell>
          <cell r="G1463">
            <v>1</v>
          </cell>
          <cell r="H1463">
            <v>1</v>
          </cell>
          <cell r="I1463">
            <v>0</v>
          </cell>
          <cell r="J1463">
            <v>0.18690000000000001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</row>
        <row r="1464">
          <cell r="A1464" t="str">
            <v>INT SWE SWEMO</v>
          </cell>
          <cell r="B1464" t="str">
            <v>Business Talk</v>
          </cell>
          <cell r="C1464" t="str">
            <v>Sweden Mobile</v>
          </cell>
          <cell r="D1464" t="str">
            <v>Off-net international</v>
          </cell>
          <cell r="E1464" t="str">
            <v>minute</v>
          </cell>
          <cell r="F1464">
            <v>1</v>
          </cell>
          <cell r="G1464">
            <v>1</v>
          </cell>
          <cell r="H1464">
            <v>1</v>
          </cell>
          <cell r="I1464">
            <v>0</v>
          </cell>
          <cell r="J1464">
            <v>2.5499999999999998E-2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</row>
        <row r="1465">
          <cell r="A1465" t="str">
            <v>INT SWE SWEEU</v>
          </cell>
          <cell r="B1465" t="str">
            <v>Business Talk</v>
          </cell>
          <cell r="C1465" t="str">
            <v>Sweden Mobile Europolitan</v>
          </cell>
          <cell r="D1465" t="str">
            <v>Off-net international</v>
          </cell>
          <cell r="E1465" t="str">
            <v>minute</v>
          </cell>
          <cell r="F1465">
            <v>1</v>
          </cell>
          <cell r="G1465">
            <v>1</v>
          </cell>
          <cell r="H1465">
            <v>1</v>
          </cell>
          <cell r="I1465">
            <v>0</v>
       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</row>
        <row r="1466">
          <cell r="A1466" t="str">
            <v>INT SWE</v>
          </cell>
          <cell r="B1466" t="str">
            <v>Business Talk</v>
          </cell>
          <cell r="C1466" t="str">
            <v>Sweden</v>
          </cell>
          <cell r="D1466" t="str">
            <v>Off-net international</v>
          </cell>
          <cell r="E1466" t="str">
            <v>minute</v>
          </cell>
          <cell r="F1466">
            <v>1</v>
          </cell>
          <cell r="G1466">
            <v>1</v>
          </cell>
          <cell r="H1466">
            <v>1</v>
          </cell>
          <cell r="I1466">
            <v>0</v>
          </cell>
          <cell r="J1466">
            <v>1.3100000000000001E-2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</row>
        <row r="1467">
          <cell r="A1467" t="str">
            <v>INT SWE SWPRM</v>
          </cell>
          <cell r="B1467" t="str">
            <v>Business Talk</v>
          </cell>
          <cell r="C1467" t="str">
            <v>Sweden Premium Rate</v>
          </cell>
          <cell r="D1467" t="str">
            <v>Off-net international</v>
          </cell>
          <cell r="E1467" t="str">
            <v>minute</v>
          </cell>
          <cell r="F1467">
            <v>1</v>
          </cell>
          <cell r="G1467">
            <v>1</v>
          </cell>
          <cell r="H1467">
            <v>1</v>
          </cell>
          <cell r="I1467">
            <v>0</v>
          </cell>
          <cell r="J1467">
            <v>38.716200000000001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</row>
        <row r="1468">
          <cell r="A1468" t="str">
            <v>INT SWE SCN</v>
          </cell>
          <cell r="B1468" t="str">
            <v>Business Talk</v>
          </cell>
          <cell r="C1468" t="str">
            <v>Sweden Shared Cost</v>
          </cell>
          <cell r="D1468" t="str">
            <v>Off-net international</v>
          </cell>
          <cell r="E1468" t="str">
            <v>minute</v>
          </cell>
          <cell r="F1468">
            <v>1</v>
          </cell>
          <cell r="G1468">
            <v>1</v>
          </cell>
          <cell r="H1468">
            <v>1</v>
          </cell>
          <cell r="I1468">
            <v>0</v>
          </cell>
          <cell r="J1468">
            <v>4.4200000000000003E-2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</row>
        <row r="1469">
          <cell r="A1469" t="str">
            <v>INT SWE SFREE</v>
          </cell>
          <cell r="B1469" t="str">
            <v>Business Talk</v>
          </cell>
          <cell r="C1469" t="str">
            <v>Sweden Toll Free</v>
          </cell>
          <cell r="D1469" t="str">
            <v>Off-net international</v>
          </cell>
          <cell r="E1469" t="str">
            <v>minute</v>
          </cell>
          <cell r="F1469">
            <v>1</v>
          </cell>
          <cell r="G1469">
            <v>1</v>
          </cell>
          <cell r="H1469">
            <v>1</v>
          </cell>
          <cell r="I1469">
            <v>0</v>
          </cell>
          <cell r="J1469">
            <v>1.3100000000000001E-2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</row>
        <row r="1470">
          <cell r="A1470" t="str">
            <v>INT CHE CHEMO</v>
          </cell>
          <cell r="B1470" t="str">
            <v>Business Talk</v>
          </cell>
          <cell r="C1470" t="str">
            <v>Switzerland Mobile</v>
          </cell>
          <cell r="D1470" t="str">
            <v>Off-net international</v>
          </cell>
          <cell r="E1470" t="str">
            <v>minute</v>
          </cell>
          <cell r="F1470">
            <v>1</v>
          </cell>
          <cell r="G1470">
            <v>1</v>
          </cell>
          <cell r="H1470">
            <v>1</v>
          </cell>
          <cell r="I1470">
            <v>0</v>
          </cell>
          <cell r="J1470">
            <v>0.12970000000000001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</row>
        <row r="1471">
          <cell r="A1471" t="str">
            <v>INT CHE CHESW</v>
          </cell>
          <cell r="B1471" t="str">
            <v>Business Talk</v>
          </cell>
          <cell r="C1471" t="str">
            <v>Switzerland Mobile Swisscom</v>
          </cell>
          <cell r="D1471" t="str">
            <v>Off-net international</v>
          </cell>
          <cell r="E1471" t="str">
            <v>minute</v>
          </cell>
          <cell r="F1471">
            <v>1</v>
          </cell>
          <cell r="G1471">
            <v>1</v>
          </cell>
          <cell r="H1471">
            <v>1</v>
          </cell>
          <cell r="I1471">
            <v>0</v>
          </cell>
          <cell r="J1471">
            <v>0.1196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</row>
        <row r="1472">
          <cell r="A1472" t="str">
            <v>INT CHE ZCHCA</v>
          </cell>
          <cell r="B1472" t="str">
            <v>Business Talk</v>
          </cell>
          <cell r="C1472" t="str">
            <v>Switerland Car Assistance</v>
          </cell>
          <cell r="D1472" t="str">
            <v>Off-net international</v>
          </cell>
          <cell r="E1472" t="str">
            <v>minute</v>
          </cell>
          <cell r="F1472">
            <v>1</v>
          </cell>
          <cell r="G1472">
            <v>1</v>
          </cell>
          <cell r="H1472">
            <v>1</v>
          </cell>
          <cell r="I1472">
            <v>0</v>
          </cell>
          <cell r="J1472">
            <v>0.18329999999999999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</row>
        <row r="1473">
          <cell r="A1473" t="str">
            <v>INT CHE ZCHSC</v>
          </cell>
          <cell r="B1473" t="str">
            <v>Business Talk</v>
          </cell>
          <cell r="C1473" t="str">
            <v>Switerland Speaking Clock</v>
          </cell>
          <cell r="D1473" t="str">
            <v>Off-net international</v>
          </cell>
          <cell r="E1473" t="str">
            <v>minute</v>
          </cell>
          <cell r="F1473">
            <v>1</v>
          </cell>
          <cell r="G1473">
            <v>1</v>
          </cell>
          <cell r="H1473">
            <v>1</v>
          </cell>
          <cell r="I1473">
            <v>0</v>
          </cell>
          <cell r="J1473">
            <v>0.49330000000000002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</row>
        <row r="1474">
          <cell r="A1474" t="str">
            <v>INT CHE</v>
          </cell>
          <cell r="B1474" t="str">
            <v>Business Talk</v>
          </cell>
          <cell r="C1474" t="str">
            <v>Switzerland</v>
          </cell>
          <cell r="D1474" t="str">
            <v>Off-net international</v>
          </cell>
          <cell r="E1474" t="str">
            <v>minute</v>
          </cell>
          <cell r="F1474">
            <v>1</v>
          </cell>
          <cell r="G1474">
            <v>1</v>
          </cell>
          <cell r="H1474">
            <v>1</v>
          </cell>
          <cell r="I1474">
            <v>0</v>
          </cell>
          <cell r="J1474">
            <v>2.4500000000000001E-2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</row>
        <row r="1475">
          <cell r="A1475" t="str">
            <v>INT CHE CHEIN</v>
          </cell>
          <cell r="B1475" t="str">
            <v>Business Talk</v>
          </cell>
          <cell r="C1475" t="str">
            <v>Switzerland Corporate</v>
          </cell>
          <cell r="D1475" t="str">
            <v>Off-net international</v>
          </cell>
          <cell r="E1475" t="str">
            <v>minute</v>
          </cell>
          <cell r="F1475">
            <v>1</v>
          </cell>
          <cell r="G1475">
            <v>1</v>
          </cell>
          <cell r="H1475">
            <v>1</v>
          </cell>
          <cell r="I1475">
            <v>0</v>
          </cell>
          <cell r="J1475">
            <v>4.7100000000000003E-2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</row>
        <row r="1476">
          <cell r="A1476" t="str">
            <v>INT CHE ZCH28</v>
          </cell>
          <cell r="B1476" t="str">
            <v>Business Talk</v>
          </cell>
          <cell r="C1476" t="str">
            <v>Switzerland Premium Rates Serv</v>
          </cell>
          <cell r="D1476" t="str">
            <v>Off-net international</v>
          </cell>
          <cell r="E1476" t="str">
            <v>minute</v>
          </cell>
          <cell r="F1476">
            <v>1</v>
          </cell>
          <cell r="G1476">
            <v>1</v>
          </cell>
          <cell r="H1476">
            <v>1</v>
          </cell>
          <cell r="I1476">
            <v>0</v>
          </cell>
          <cell r="J1476">
            <v>6.3148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</row>
        <row r="1477">
          <cell r="A1477" t="str">
            <v>INT CHE ZCH25</v>
          </cell>
          <cell r="B1477" t="str">
            <v>Business Talk</v>
          </cell>
          <cell r="C1477" t="str">
            <v>Switzerland Toll Free</v>
          </cell>
          <cell r="D1477" t="str">
            <v>Off-net international</v>
          </cell>
          <cell r="E1477" t="str">
            <v>minute</v>
          </cell>
          <cell r="F1477">
            <v>1</v>
          </cell>
          <cell r="G1477">
            <v>1</v>
          </cell>
          <cell r="H1477">
            <v>1</v>
          </cell>
          <cell r="I1477">
            <v>0</v>
          </cell>
          <cell r="J1477">
            <v>0.18329999999999999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</row>
        <row r="1478">
          <cell r="A1478" t="str">
            <v>INT CHE ZCH26</v>
          </cell>
          <cell r="B1478" t="str">
            <v>Business Talk</v>
          </cell>
          <cell r="C1478" t="str">
            <v>Switzerland Toll Shared</v>
          </cell>
          <cell r="D1478" t="str">
            <v>Off-net international</v>
          </cell>
          <cell r="E1478" t="str">
            <v>minute</v>
          </cell>
          <cell r="F1478">
            <v>1</v>
          </cell>
          <cell r="G1478">
            <v>1</v>
          </cell>
          <cell r="H1478">
            <v>1</v>
          </cell>
          <cell r="I1478">
            <v>0</v>
          </cell>
          <cell r="J1478">
            <v>0.18329999999999999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</row>
        <row r="1479">
          <cell r="A1479" t="str">
            <v>INT SYR</v>
          </cell>
          <cell r="B1479" t="str">
            <v>Business Talk</v>
          </cell>
          <cell r="C1479" t="str">
            <v>Syria</v>
          </cell>
          <cell r="D1479" t="str">
            <v>Off-net international</v>
          </cell>
          <cell r="E1479" t="str">
            <v>minute</v>
          </cell>
          <cell r="F1479">
            <v>1</v>
          </cell>
          <cell r="G1479">
            <v>1</v>
          </cell>
          <cell r="H1479">
            <v>1</v>
          </cell>
          <cell r="I1479">
            <v>0</v>
          </cell>
          <cell r="J1479">
            <v>0.24829999999999999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</row>
        <row r="1480">
          <cell r="A1480" t="str">
            <v>INT TWN TWNMO</v>
          </cell>
          <cell r="B1480" t="str">
            <v>Business Talk</v>
          </cell>
          <cell r="C1480" t="str">
            <v>Taiwan Mobile</v>
          </cell>
          <cell r="D1480" t="str">
            <v>Off-net international</v>
          </cell>
          <cell r="E1480" t="str">
            <v>minute</v>
          </cell>
          <cell r="F1480">
            <v>1</v>
          </cell>
          <cell r="G1480">
            <v>1</v>
          </cell>
          <cell r="H1480">
            <v>1</v>
          </cell>
          <cell r="I1480">
            <v>0</v>
          </cell>
          <cell r="J1480">
            <v>0.1593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</row>
        <row r="1481">
          <cell r="A1481" t="str">
            <v>INT TWN</v>
          </cell>
          <cell r="B1481" t="str">
            <v>Business Talk</v>
          </cell>
          <cell r="C1481" t="str">
            <v>Taiwan</v>
          </cell>
          <cell r="D1481" t="str">
            <v>Off-net international</v>
          </cell>
          <cell r="E1481" t="str">
            <v>minute</v>
          </cell>
          <cell r="F1481">
            <v>1</v>
          </cell>
          <cell r="G1481">
            <v>1</v>
          </cell>
          <cell r="H1481">
            <v>1</v>
          </cell>
          <cell r="I1481">
            <v>0</v>
          </cell>
          <cell r="J1481">
            <v>3.3700000000000001E-2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</row>
        <row r="1482">
          <cell r="A1482" t="str">
            <v>INT TJK</v>
          </cell>
          <cell r="B1482" t="str">
            <v>Business Talk</v>
          </cell>
          <cell r="C1482" t="str">
            <v>Tajikistan</v>
          </cell>
          <cell r="D1482" t="str">
            <v>Off-net international</v>
          </cell>
          <cell r="E1482" t="str">
            <v>minute</v>
          </cell>
          <cell r="F1482">
            <v>1</v>
          </cell>
          <cell r="G1482">
            <v>1</v>
          </cell>
          <cell r="H1482">
            <v>1</v>
          </cell>
          <cell r="I1482">
            <v>0</v>
          </cell>
          <cell r="J1482">
            <v>0.23080000000000001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</row>
        <row r="1483">
          <cell r="A1483" t="str">
            <v>INT TZA TZAMO</v>
          </cell>
          <cell r="B1483" t="str">
            <v>Business Talk</v>
          </cell>
          <cell r="C1483" t="str">
            <v>Tanzania Mobile</v>
          </cell>
          <cell r="D1483" t="str">
            <v>Off-net international</v>
          </cell>
          <cell r="E1483" t="str">
            <v>minute</v>
          </cell>
          <cell r="F1483">
            <v>1</v>
          </cell>
          <cell r="G1483">
            <v>1</v>
          </cell>
          <cell r="H1483">
            <v>1</v>
          </cell>
          <cell r="I1483">
            <v>0</v>
          </cell>
          <cell r="J1483">
            <v>0.48880000000000001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</row>
        <row r="1484">
          <cell r="A1484" t="str">
            <v>INT TZA</v>
          </cell>
          <cell r="B1484" t="str">
            <v>Business Talk</v>
          </cell>
          <cell r="C1484" t="str">
            <v>Tanzania</v>
          </cell>
          <cell r="D1484" t="str">
            <v>Off-net international</v>
          </cell>
          <cell r="E1484" t="str">
            <v>minute</v>
          </cell>
          <cell r="F1484">
            <v>1</v>
          </cell>
          <cell r="G1484">
            <v>1</v>
          </cell>
          <cell r="H1484">
            <v>1</v>
          </cell>
          <cell r="I1484">
            <v>0</v>
          </cell>
          <cell r="J1484">
            <v>0.24679999999999999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</row>
        <row r="1485">
          <cell r="A1485" t="str">
            <v>INT EMS TELE</v>
          </cell>
          <cell r="B1485" t="str">
            <v>Business Talk</v>
          </cell>
          <cell r="C1485" t="str">
            <v>Telespazio 88213</v>
          </cell>
          <cell r="D1485" t="str">
            <v>Off-net international</v>
          </cell>
          <cell r="E1485" t="str">
            <v>minute</v>
          </cell>
          <cell r="F1485">
            <v>1</v>
          </cell>
          <cell r="G1485">
            <v>1</v>
          </cell>
          <cell r="H1485">
            <v>1</v>
          </cell>
          <cell r="I1485">
            <v>0</v>
          </cell>
          <cell r="J1485">
            <v>3.9796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</row>
        <row r="1486">
          <cell r="A1486" t="str">
            <v>INT THA THAMO</v>
          </cell>
          <cell r="B1486" t="str">
            <v>Business Talk</v>
          </cell>
          <cell r="C1486" t="str">
            <v>Thailand Mobile</v>
          </cell>
          <cell r="D1486" t="str">
            <v>Off-net international</v>
          </cell>
          <cell r="E1486" t="str">
            <v>minute</v>
          </cell>
          <cell r="F1486">
            <v>1</v>
          </cell>
          <cell r="G1486">
            <v>1</v>
          </cell>
          <cell r="H1486">
            <v>1</v>
          </cell>
          <cell r="I1486">
            <v>0</v>
          </cell>
          <cell r="J1486">
            <v>4.6800000000000001E-2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</row>
        <row r="1487">
          <cell r="A1487" t="str">
            <v>INT THA</v>
          </cell>
          <cell r="B1487" t="str">
            <v>Business Talk</v>
          </cell>
          <cell r="C1487" t="str">
            <v>Thailand</v>
          </cell>
          <cell r="D1487" t="str">
            <v>Off-net international</v>
          </cell>
          <cell r="E1487" t="str">
            <v>minute</v>
          </cell>
          <cell r="F1487">
            <v>1</v>
          </cell>
          <cell r="G1487">
            <v>1</v>
          </cell>
          <cell r="H1487">
            <v>1</v>
          </cell>
          <cell r="I1487">
            <v>0</v>
          </cell>
          <cell r="J1487">
            <v>3.8399999999999997E-2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</row>
        <row r="1488">
          <cell r="A1488" t="str">
            <v>INT EMS THUR</v>
          </cell>
          <cell r="B1488" t="str">
            <v>Business Talk</v>
          </cell>
          <cell r="C1488" t="str">
            <v>Thuraya 88216</v>
          </cell>
          <cell r="D1488" t="str">
            <v>Off-net international</v>
          </cell>
          <cell r="E1488" t="str">
            <v>minute</v>
          </cell>
          <cell r="F1488">
            <v>1</v>
          </cell>
          <cell r="G1488">
            <v>1</v>
          </cell>
          <cell r="H1488">
            <v>1</v>
          </cell>
          <cell r="I1488">
            <v>0</v>
          </cell>
          <cell r="J1488">
            <v>1.4434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</row>
        <row r="1489">
          <cell r="A1489" t="str">
            <v>INT TGO</v>
          </cell>
          <cell r="B1489" t="str">
            <v>Business Talk</v>
          </cell>
          <cell r="C1489" t="str">
            <v>Togo</v>
          </cell>
          <cell r="D1489" t="str">
            <v>Off-net international</v>
          </cell>
          <cell r="E1489" t="str">
            <v>minute</v>
          </cell>
          <cell r="F1489">
            <v>1</v>
          </cell>
          <cell r="G1489">
            <v>1</v>
          </cell>
          <cell r="H1489">
            <v>1</v>
          </cell>
          <cell r="I1489">
            <v>0</v>
          </cell>
          <cell r="J1489">
            <v>0.55179999999999996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</row>
        <row r="1490">
          <cell r="A1490" t="str">
            <v>INT TKL</v>
          </cell>
          <cell r="B1490" t="str">
            <v>Business Talk</v>
          </cell>
          <cell r="C1490" t="str">
            <v>Tokelau</v>
          </cell>
          <cell r="D1490" t="str">
            <v>Off-net international</v>
          </cell>
          <cell r="E1490" t="str">
            <v>minute</v>
          </cell>
          <cell r="F1490">
            <v>1</v>
          </cell>
          <cell r="G1490">
            <v>1</v>
          </cell>
          <cell r="H1490">
            <v>1</v>
          </cell>
          <cell r="I1490">
            <v>0</v>
          </cell>
          <cell r="J1490">
            <v>1.8290999999999999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</row>
        <row r="1491">
          <cell r="A1491" t="str">
            <v>INT TON TONMO</v>
          </cell>
          <cell r="B1491" t="str">
            <v>Business Talk</v>
          </cell>
          <cell r="C1491" t="str">
            <v>Tonga Mobile</v>
          </cell>
          <cell r="D1491" t="str">
            <v>Off-net international</v>
          </cell>
          <cell r="E1491" t="str">
            <v>minute</v>
          </cell>
          <cell r="F1491">
            <v>1</v>
          </cell>
          <cell r="G1491">
            <v>1</v>
          </cell>
          <cell r="H1491">
            <v>1</v>
          </cell>
          <cell r="I1491">
            <v>0</v>
          </cell>
          <cell r="J1491">
            <v>0.57750000000000001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</row>
        <row r="1492">
          <cell r="A1492" t="str">
            <v>INT TON</v>
          </cell>
          <cell r="B1492" t="str">
            <v>Business Talk</v>
          </cell>
          <cell r="C1492" t="str">
            <v>Tonga</v>
          </cell>
          <cell r="D1492" t="str">
            <v>Off-net international</v>
          </cell>
          <cell r="E1492" t="str">
            <v>minute</v>
          </cell>
          <cell r="F1492">
            <v>1</v>
          </cell>
          <cell r="G1492">
            <v>1</v>
          </cell>
          <cell r="H1492">
            <v>1</v>
          </cell>
          <cell r="I1492">
            <v>0</v>
          </cell>
          <cell r="J1492">
            <v>0.57750000000000001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</row>
        <row r="1493">
          <cell r="A1493" t="str">
            <v>INT TTO MOB</v>
          </cell>
          <cell r="B1493" t="str">
            <v>Business Talk</v>
          </cell>
          <cell r="C1493" t="str">
            <v>Trinidad &amp; Tobago Mobile</v>
          </cell>
          <cell r="D1493" t="str">
            <v>Off-net international</v>
          </cell>
          <cell r="E1493" t="str">
            <v>minute</v>
          </cell>
          <cell r="F1493">
            <v>1</v>
          </cell>
          <cell r="G1493">
            <v>1</v>
          </cell>
          <cell r="H1493">
            <v>1</v>
          </cell>
          <cell r="I1493">
            <v>0</v>
          </cell>
          <cell r="J1493">
            <v>0.311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</row>
        <row r="1494">
          <cell r="A1494" t="str">
            <v>INT TTO</v>
          </cell>
          <cell r="B1494" t="str">
            <v>Business Talk</v>
          </cell>
          <cell r="C1494" t="str">
            <v>Trinidad &amp; Tobago</v>
          </cell>
          <cell r="D1494" t="str">
            <v>Off-net international</v>
          </cell>
          <cell r="E1494" t="str">
            <v>minute</v>
          </cell>
          <cell r="F1494">
            <v>1</v>
          </cell>
          <cell r="G1494">
            <v>1</v>
          </cell>
          <cell r="H1494">
            <v>1</v>
          </cell>
          <cell r="I1494">
            <v>0</v>
          </cell>
          <cell r="J1494">
            <v>0.311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</row>
        <row r="1495">
          <cell r="A1495" t="str">
            <v>INT TUN TUNMO</v>
          </cell>
          <cell r="B1495" t="str">
            <v>Business Talk</v>
          </cell>
          <cell r="C1495" t="str">
            <v>Tunisia Mobile</v>
          </cell>
          <cell r="D1495" t="str">
            <v>Off-net international</v>
          </cell>
          <cell r="E1495" t="str">
            <v>minute</v>
          </cell>
          <cell r="F1495">
            <v>1</v>
          </cell>
          <cell r="G1495">
            <v>1</v>
          </cell>
          <cell r="H1495">
            <v>1</v>
          </cell>
          <cell r="I1495">
            <v>0</v>
          </cell>
          <cell r="J1495">
            <v>0.60609999999999997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</row>
        <row r="1496">
          <cell r="A1496" t="str">
            <v>INT TUN</v>
          </cell>
          <cell r="B1496" t="str">
            <v>Business Talk</v>
          </cell>
          <cell r="C1496" t="str">
            <v>Tunisia</v>
          </cell>
          <cell r="D1496" t="str">
            <v>Off-net international</v>
          </cell>
          <cell r="E1496" t="str">
            <v>minute</v>
          </cell>
          <cell r="F1496">
            <v>1</v>
          </cell>
          <cell r="G1496">
            <v>1</v>
          </cell>
          <cell r="H1496">
            <v>1</v>
          </cell>
          <cell r="I1496">
            <v>0</v>
          </cell>
          <cell r="J1496">
            <v>0.60609999999999997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</row>
        <row r="1497">
          <cell r="A1497" t="str">
            <v>INT TKM</v>
          </cell>
          <cell r="B1497" t="str">
            <v>Business Talk</v>
          </cell>
          <cell r="C1497" t="str">
            <v>Turkmenistan</v>
          </cell>
          <cell r="D1497" t="str">
            <v>Off-net international</v>
          </cell>
          <cell r="E1497" t="str">
            <v>minute</v>
          </cell>
          <cell r="F1497">
            <v>1</v>
          </cell>
          <cell r="G1497">
            <v>1</v>
          </cell>
          <cell r="H1497">
            <v>1</v>
          </cell>
          <cell r="I1497">
            <v>0</v>
          </cell>
          <cell r="J1497">
            <v>0.1749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</row>
        <row r="1498">
          <cell r="A1498" t="str">
            <v>INT TCA</v>
          </cell>
          <cell r="B1498" t="str">
            <v>Business Talk</v>
          </cell>
          <cell r="C1498" t="str">
            <v>Turks &amp; Caicos Is</v>
          </cell>
          <cell r="D1498" t="str">
            <v>Off-net international</v>
          </cell>
          <cell r="E1498" t="str">
            <v>minute</v>
          </cell>
          <cell r="F1498">
            <v>1</v>
          </cell>
          <cell r="G1498">
            <v>1</v>
          </cell>
          <cell r="H1498">
            <v>1</v>
          </cell>
          <cell r="I1498">
            <v>0</v>
          </cell>
          <cell r="J1498">
            <v>0.34449999999999997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</row>
        <row r="1499">
          <cell r="A1499" t="str">
            <v>INT TUV TUVMO</v>
          </cell>
          <cell r="B1499" t="str">
            <v>Business Talk</v>
          </cell>
          <cell r="C1499" t="str">
            <v>Tuvalu Mobile</v>
          </cell>
          <cell r="D1499" t="str">
            <v>Off-net international</v>
          </cell>
          <cell r="E1499" t="str">
            <v>minute</v>
          </cell>
          <cell r="F1499">
            <v>1</v>
          </cell>
          <cell r="G1499">
            <v>1</v>
          </cell>
          <cell r="H1499">
            <v>1</v>
          </cell>
          <cell r="I1499">
            <v>0</v>
          </cell>
          <cell r="J1499">
            <v>0.83689999999999998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</row>
        <row r="1500">
          <cell r="A1500" t="str">
            <v>INT TUV</v>
          </cell>
          <cell r="B1500" t="str">
            <v>Business Talk</v>
          </cell>
          <cell r="C1500" t="str">
            <v>Tuvalu</v>
          </cell>
          <cell r="D1500" t="str">
            <v>Off-net international</v>
          </cell>
          <cell r="E1500" t="str">
            <v>minute</v>
          </cell>
          <cell r="F1500">
            <v>1</v>
          </cell>
          <cell r="G1500">
            <v>1</v>
          </cell>
          <cell r="H1500">
            <v>1</v>
          </cell>
          <cell r="I1500">
            <v>0</v>
          </cell>
          <cell r="J1500">
            <v>0.83689999999999998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</row>
        <row r="1501">
          <cell r="A1501" t="str">
            <v>INT UGA UGAMO</v>
          </cell>
          <cell r="B1501" t="str">
            <v>Business Talk</v>
          </cell>
          <cell r="C1501" t="str">
            <v>Uganda Mobile</v>
          </cell>
          <cell r="D1501" t="str">
            <v>Off-net international</v>
          </cell>
          <cell r="E1501" t="str">
            <v>minute</v>
          </cell>
          <cell r="F1501">
            <v>1</v>
          </cell>
          <cell r="G1501">
            <v>1</v>
          </cell>
          <cell r="H1501">
            <v>1</v>
          </cell>
          <cell r="I1501">
            <v>0</v>
          </cell>
          <cell r="J1501">
            <v>0.29189999999999999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</row>
        <row r="1502">
          <cell r="A1502" t="str">
            <v>INT UGA</v>
          </cell>
          <cell r="B1502" t="str">
            <v>Business Talk</v>
          </cell>
          <cell r="C1502" t="str">
            <v>Uganda</v>
          </cell>
          <cell r="D1502" t="str">
            <v>Off-net international</v>
          </cell>
          <cell r="E1502" t="str">
            <v>minute</v>
          </cell>
          <cell r="F1502">
            <v>1</v>
          </cell>
          <cell r="G1502">
            <v>1</v>
          </cell>
          <cell r="H1502">
            <v>1</v>
          </cell>
          <cell r="I1502">
            <v>0</v>
          </cell>
          <cell r="J1502">
            <v>0.14510000000000001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</row>
        <row r="1503">
          <cell r="A1503" t="str">
            <v>INT UKR UKRMO</v>
          </cell>
          <cell r="B1503" t="str">
            <v>Business Talk</v>
          </cell>
          <cell r="C1503" t="str">
            <v>Ukraine Mobile</v>
          </cell>
          <cell r="D1503" t="str">
            <v>Off-net international</v>
          </cell>
          <cell r="E1503" t="str">
            <v>minute</v>
          </cell>
          <cell r="F1503">
            <v>1</v>
          </cell>
          <cell r="G1503">
            <v>1</v>
          </cell>
          <cell r="H1503">
            <v>1</v>
          </cell>
          <cell r="I1503">
            <v>0</v>
          </cell>
          <cell r="J1503">
            <v>0.33339999999999997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</row>
        <row r="1504">
          <cell r="A1504" t="str">
            <v>INT UKR</v>
          </cell>
          <cell r="B1504" t="str">
            <v>Business Talk</v>
          </cell>
          <cell r="C1504" t="str">
            <v>Ukraine</v>
          </cell>
          <cell r="D1504" t="str">
            <v>Off-net international</v>
          </cell>
          <cell r="E1504" t="str">
            <v>minute</v>
          </cell>
          <cell r="F1504">
            <v>1</v>
          </cell>
          <cell r="G1504">
            <v>1</v>
          </cell>
          <cell r="H1504">
            <v>1</v>
          </cell>
          <cell r="I1504">
            <v>0</v>
          </cell>
          <cell r="J1504">
            <v>0.15840000000000001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</row>
        <row r="1505">
          <cell r="A1505" t="str">
            <v>INT ARE AREMO</v>
          </cell>
          <cell r="B1505" t="str">
            <v>Business Talk</v>
          </cell>
          <cell r="C1505" t="str">
            <v>United Arab Emirates Mobile</v>
          </cell>
          <cell r="D1505" t="str">
            <v>Off-net international</v>
          </cell>
          <cell r="E1505" t="str">
            <v>minute</v>
          </cell>
          <cell r="F1505">
            <v>1</v>
          </cell>
          <cell r="G1505">
            <v>1</v>
          </cell>
          <cell r="H1505">
            <v>1</v>
          </cell>
          <cell r="I1505">
            <v>0</v>
          </cell>
          <cell r="J1505">
            <v>0.20300000000000001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</row>
        <row r="1506">
          <cell r="A1506" t="str">
            <v>INT ARE</v>
          </cell>
          <cell r="B1506" t="str">
            <v>Business Talk</v>
          </cell>
          <cell r="C1506" t="str">
            <v>United Arab Emirates</v>
          </cell>
          <cell r="D1506" t="str">
            <v>Off-net international</v>
          </cell>
          <cell r="E1506" t="str">
            <v>minute</v>
          </cell>
          <cell r="F1506">
            <v>1</v>
          </cell>
          <cell r="G1506">
            <v>1</v>
          </cell>
          <cell r="H1506">
            <v>1</v>
          </cell>
          <cell r="I1506">
            <v>0</v>
          </cell>
          <cell r="J1506">
            <v>0.20300000000000001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</row>
        <row r="1507">
          <cell r="A1507" t="str">
            <v>INT GBR GBRMO</v>
          </cell>
          <cell r="B1507" t="str">
            <v>Business Talk</v>
          </cell>
          <cell r="C1507" t="str">
            <v>United Kingdom Mobile</v>
          </cell>
          <cell r="D1507" t="str">
            <v>Off-net international</v>
          </cell>
          <cell r="E1507" t="str">
            <v>minute</v>
          </cell>
          <cell r="F1507">
            <v>1</v>
          </cell>
          <cell r="G1507">
            <v>1</v>
          </cell>
          <cell r="H1507">
            <v>1</v>
          </cell>
          <cell r="I1507">
            <v>0</v>
          </cell>
          <cell r="J1507">
            <v>2.9000000000000001E-2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</row>
        <row r="1508">
          <cell r="A1508" t="str">
            <v>INT GBR</v>
          </cell>
          <cell r="B1508" t="str">
            <v>Business Talk</v>
          </cell>
          <cell r="C1508" t="str">
            <v>United Kingdom</v>
          </cell>
          <cell r="D1508" t="str">
            <v>Off-net international</v>
          </cell>
          <cell r="E1508" t="str">
            <v>minute</v>
          </cell>
          <cell r="F1508">
            <v>1</v>
          </cell>
          <cell r="G1508">
            <v>1</v>
          </cell>
          <cell r="H1508">
            <v>1</v>
          </cell>
          <cell r="I1508">
            <v>0</v>
          </cell>
          <cell r="J1508">
            <v>1.4E-2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</row>
        <row r="1509">
          <cell r="A1509" t="str">
            <v>INT URY URYMO</v>
          </cell>
          <cell r="B1509" t="str">
            <v>Business Talk</v>
          </cell>
          <cell r="C1509" t="str">
            <v>Uruguay Mobile</v>
          </cell>
          <cell r="D1509" t="str">
            <v>Off-net international</v>
          </cell>
          <cell r="E1509" t="str">
            <v>minute</v>
          </cell>
          <cell r="F1509">
            <v>1</v>
          </cell>
          <cell r="G1509">
            <v>1</v>
          </cell>
          <cell r="H1509">
            <v>1</v>
          </cell>
          <cell r="I1509">
            <v>0</v>
          </cell>
          <cell r="J1509">
            <v>0.28449999999999998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</row>
        <row r="1510">
          <cell r="A1510" t="str">
            <v>INT URY</v>
          </cell>
          <cell r="B1510" t="str">
            <v>Business Talk</v>
          </cell>
          <cell r="C1510" t="str">
            <v>Uruguay</v>
          </cell>
          <cell r="D1510" t="str">
            <v>Off-net international</v>
          </cell>
          <cell r="E1510" t="str">
            <v>minute</v>
          </cell>
          <cell r="F1510">
            <v>1</v>
          </cell>
          <cell r="G1510">
            <v>1</v>
          </cell>
          <cell r="H1510">
            <v>1</v>
          </cell>
          <cell r="I1510">
            <v>0</v>
          </cell>
          <cell r="J1510">
            <v>8.5999999999999993E-2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</row>
        <row r="1511">
          <cell r="A1511" t="str">
            <v>INT USA</v>
          </cell>
          <cell r="B1511" t="str">
            <v>Business Talk</v>
          </cell>
          <cell r="C1511" t="str">
            <v>Usa</v>
          </cell>
          <cell r="D1511" t="str">
            <v>Off-net international</v>
          </cell>
          <cell r="E1511" t="str">
            <v>minute</v>
          </cell>
          <cell r="F1511">
            <v>1</v>
          </cell>
          <cell r="G1511">
            <v>1</v>
          </cell>
          <cell r="H1511">
            <v>1</v>
          </cell>
          <cell r="I1511">
            <v>0</v>
          </cell>
          <cell r="J1511">
            <v>1.9900000000000001E-2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</row>
        <row r="1512">
          <cell r="A1512" t="str">
            <v>INT USA USAFR</v>
          </cell>
          <cell r="B1512" t="str">
            <v>Business Talk</v>
          </cell>
          <cell r="C1512" t="str">
            <v>Usa Freephone</v>
          </cell>
          <cell r="D1512" t="str">
            <v>Off-net international</v>
          </cell>
          <cell r="E1512" t="str">
            <v>minute</v>
          </cell>
          <cell r="F1512">
            <v>1</v>
          </cell>
          <cell r="G1512">
            <v>1</v>
          </cell>
          <cell r="H1512">
            <v>1</v>
          </cell>
          <cell r="I1512">
            <v>0</v>
          </cell>
          <cell r="J1512">
            <v>2.2599999999999999E-2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</row>
        <row r="1513">
          <cell r="A1513" t="str">
            <v>INT UZB UZBMO</v>
          </cell>
          <cell r="B1513" t="str">
            <v>Business Talk</v>
          </cell>
          <cell r="C1513" t="str">
            <v>Uzbekistan Mobile</v>
          </cell>
          <cell r="D1513" t="str">
            <v>Off-net international</v>
          </cell>
          <cell r="E1513" t="str">
            <v>minute</v>
          </cell>
          <cell r="F1513">
            <v>1</v>
          </cell>
          <cell r="G1513">
            <v>1</v>
          </cell>
          <cell r="H1513">
            <v>1</v>
          </cell>
          <cell r="I1513">
            <v>0</v>
          </cell>
          <cell r="J1513">
            <v>0.11799999999999999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</row>
        <row r="1514">
          <cell r="A1514" t="str">
            <v>INT UZB</v>
          </cell>
          <cell r="B1514" t="str">
            <v>Business Talk</v>
          </cell>
          <cell r="C1514" t="str">
            <v>Uzbekistan</v>
          </cell>
          <cell r="D1514" t="str">
            <v>Off-net international</v>
          </cell>
          <cell r="E1514" t="str">
            <v>minute</v>
          </cell>
          <cell r="F1514">
            <v>1</v>
          </cell>
          <cell r="G1514">
            <v>1</v>
          </cell>
          <cell r="H1514">
            <v>1</v>
          </cell>
          <cell r="I1514">
            <v>0</v>
          </cell>
          <cell r="J1514">
            <v>0.1179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</row>
        <row r="1515">
          <cell r="A1515" t="str">
            <v>INT VUT VUTMO</v>
          </cell>
          <cell r="B1515" t="str">
            <v>Business Talk</v>
          </cell>
          <cell r="C1515" t="str">
            <v>Vanuatu Mobile</v>
          </cell>
          <cell r="D1515" t="str">
            <v>Off-net international</v>
          </cell>
          <cell r="E1515" t="str">
            <v>minute</v>
          </cell>
          <cell r="F1515">
            <v>1</v>
          </cell>
          <cell r="G1515">
            <v>1</v>
          </cell>
          <cell r="H1515">
            <v>1</v>
          </cell>
          <cell r="I1515">
            <v>0</v>
          </cell>
          <cell r="J1515">
            <v>0.63460000000000005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</row>
        <row r="1516">
          <cell r="A1516" t="str">
            <v>INT VUT</v>
          </cell>
          <cell r="B1516" t="str">
            <v>Business Talk</v>
          </cell>
          <cell r="C1516" t="str">
            <v>Vanuatu</v>
          </cell>
          <cell r="D1516" t="str">
            <v>Off-net international</v>
          </cell>
          <cell r="E1516" t="str">
            <v>minute</v>
          </cell>
          <cell r="F1516">
            <v>1</v>
          </cell>
          <cell r="G1516">
            <v>1</v>
          </cell>
          <cell r="H1516">
            <v>1</v>
          </cell>
          <cell r="I1516">
            <v>0</v>
          </cell>
          <cell r="J1516">
            <v>0.63460000000000005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</row>
        <row r="1517">
          <cell r="A1517" t="str">
            <v>INT VAT</v>
          </cell>
          <cell r="B1517" t="str">
            <v>Business Talk</v>
          </cell>
          <cell r="C1517" t="str">
            <v>Vatican City</v>
          </cell>
          <cell r="D1517" t="str">
            <v>Off-net international</v>
          </cell>
          <cell r="E1517" t="str">
            <v>minute</v>
          </cell>
          <cell r="F1517">
            <v>1</v>
          </cell>
          <cell r="G1517">
            <v>1</v>
          </cell>
          <cell r="H1517">
            <v>1</v>
          </cell>
          <cell r="I1517">
            <v>0</v>
          </cell>
          <cell r="J1517">
            <v>2.4E-2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</row>
        <row r="1518">
          <cell r="A1518" t="str">
            <v>INT VEN VENMO</v>
          </cell>
          <cell r="B1518" t="str">
            <v>Business Talk</v>
          </cell>
          <cell r="C1518" t="str">
            <v>Venezuela Mobile</v>
          </cell>
          <cell r="D1518" t="str">
            <v>Off-net international</v>
          </cell>
          <cell r="E1518" t="str">
            <v>minute</v>
          </cell>
          <cell r="F1518">
            <v>1</v>
          </cell>
          <cell r="G1518">
            <v>1</v>
          </cell>
          <cell r="H1518">
            <v>1</v>
          </cell>
          <cell r="I1518">
            <v>0</v>
          </cell>
          <cell r="J1518">
            <v>0.19389999999999999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</row>
        <row r="1519">
          <cell r="A1519" t="str">
            <v>INT VEN</v>
          </cell>
          <cell r="B1519" t="str">
            <v>Business Talk</v>
          </cell>
          <cell r="C1519" t="str">
            <v>Venezuela</v>
          </cell>
          <cell r="D1519" t="str">
            <v>Off-net international</v>
          </cell>
          <cell r="E1519" t="str">
            <v>minute</v>
          </cell>
          <cell r="F1519">
            <v>1</v>
          </cell>
          <cell r="G1519">
            <v>1</v>
          </cell>
          <cell r="H1519">
            <v>1</v>
          </cell>
          <cell r="I1519">
            <v>0</v>
          </cell>
          <cell r="J1519">
            <v>7.2800000000000004E-2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</row>
        <row r="1520">
          <cell r="A1520" t="str">
            <v>INT VNM VNMMO</v>
          </cell>
          <cell r="B1520" t="str">
            <v>Business Talk</v>
          </cell>
          <cell r="C1520" t="str">
            <v>Vietnam Mobile</v>
          </cell>
          <cell r="D1520" t="str">
            <v>Off-net international</v>
          </cell>
          <cell r="E1520" t="str">
            <v>minute</v>
          </cell>
          <cell r="F1520">
            <v>1</v>
          </cell>
          <cell r="G1520">
            <v>1</v>
          </cell>
          <cell r="H1520">
            <v>1</v>
          </cell>
          <cell r="I1520">
            <v>0</v>
          </cell>
          <cell r="J1520">
            <v>9.2200000000000004E-2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</row>
        <row r="1521">
          <cell r="A1521" t="str">
            <v>INT VNM</v>
          </cell>
          <cell r="B1521" t="str">
            <v>Business Talk</v>
          </cell>
          <cell r="C1521" t="str">
            <v>Vietnam</v>
          </cell>
          <cell r="D1521" t="str">
            <v>Off-net international</v>
          </cell>
          <cell r="E1521" t="str">
            <v>minute</v>
          </cell>
          <cell r="F1521">
            <v>1</v>
          </cell>
          <cell r="G1521">
            <v>1</v>
          </cell>
          <cell r="H1521">
            <v>1</v>
          </cell>
          <cell r="I1521">
            <v>0</v>
          </cell>
          <cell r="J1521">
            <v>8.9800000000000005E-2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</row>
        <row r="1522">
          <cell r="A1522" t="str">
            <v>INT VGB</v>
          </cell>
          <cell r="B1522" t="str">
            <v>Business Talk</v>
          </cell>
          <cell r="C1522" t="str">
            <v>Virgin Is (Uk)</v>
          </cell>
          <cell r="D1522" t="str">
            <v>Off-net international</v>
          </cell>
          <cell r="E1522" t="str">
            <v>minute</v>
          </cell>
          <cell r="F1522">
            <v>1</v>
          </cell>
          <cell r="G1522">
            <v>1</v>
          </cell>
          <cell r="H1522">
            <v>1</v>
          </cell>
          <cell r="I1522">
            <v>0</v>
          </cell>
          <cell r="J1522">
            <v>0.3352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</row>
        <row r="1523">
          <cell r="A1523" t="str">
            <v>INT VIR</v>
          </cell>
          <cell r="B1523" t="str">
            <v>Business Talk</v>
          </cell>
          <cell r="C1523" t="str">
            <v>Virgin Is (Us)</v>
          </cell>
          <cell r="D1523" t="str">
            <v>Off-net international</v>
          </cell>
          <cell r="E1523" t="str">
            <v>minute</v>
          </cell>
          <cell r="F1523">
            <v>1</v>
          </cell>
          <cell r="G1523">
            <v>1</v>
          </cell>
          <cell r="H1523">
            <v>1</v>
          </cell>
          <cell r="I1523">
            <v>0</v>
          </cell>
          <cell r="J1523">
            <v>0.22059999999999999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</row>
        <row r="1524">
          <cell r="A1524" t="str">
            <v>INT WLF</v>
          </cell>
          <cell r="B1524" t="str">
            <v>Business Talk</v>
          </cell>
          <cell r="C1524" t="str">
            <v>Wallis &amp; Futuna</v>
          </cell>
          <cell r="D1524" t="str">
            <v>Off-net international</v>
          </cell>
          <cell r="E1524" t="str">
            <v>minute</v>
          </cell>
          <cell r="F1524">
            <v>1</v>
          </cell>
          <cell r="G1524">
            <v>1</v>
          </cell>
          <cell r="H1524">
            <v>1</v>
          </cell>
          <cell r="I1524">
            <v>0</v>
          </cell>
          <cell r="J1524">
            <v>0.59789999999999999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</row>
        <row r="1525">
          <cell r="A1525" t="str">
            <v>INT YEM</v>
          </cell>
          <cell r="B1525" t="str">
            <v>Business Talk</v>
          </cell>
          <cell r="C1525" t="str">
            <v>Yemen</v>
          </cell>
          <cell r="D1525" t="str">
            <v>Off-net international</v>
          </cell>
          <cell r="E1525" t="str">
            <v>minute</v>
          </cell>
          <cell r="F1525">
            <v>1</v>
          </cell>
          <cell r="G1525">
            <v>1</v>
          </cell>
          <cell r="H1525">
            <v>1</v>
          </cell>
          <cell r="I1525">
            <v>0</v>
          </cell>
          <cell r="J1525">
            <v>0.22059999999999999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</row>
        <row r="1526">
          <cell r="A1526" t="str">
            <v>INT ZMB ZMBMO</v>
          </cell>
          <cell r="B1526" t="str">
            <v>Business Talk</v>
          </cell>
          <cell r="C1526" t="str">
            <v>Zambia Mobile</v>
          </cell>
          <cell r="D1526" t="str">
            <v>Off-net international</v>
          </cell>
          <cell r="E1526" t="str">
            <v>minute</v>
          </cell>
          <cell r="F1526">
            <v>1</v>
          </cell>
          <cell r="G1526">
            <v>1</v>
          </cell>
          <cell r="H1526">
            <v>1</v>
          </cell>
          <cell r="I1526">
            <v>0</v>
          </cell>
          <cell r="J1526">
            <v>0.36380000000000001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</row>
        <row r="1527">
          <cell r="A1527" t="str">
            <v>INT ZMB</v>
          </cell>
          <cell r="B1527" t="str">
            <v>Business Talk</v>
          </cell>
          <cell r="C1527" t="str">
            <v>Zambia</v>
          </cell>
          <cell r="D1527" t="str">
            <v>Off-net international</v>
          </cell>
          <cell r="E1527" t="str">
            <v>minute</v>
          </cell>
          <cell r="F1527">
            <v>1</v>
          </cell>
          <cell r="G1527">
            <v>1</v>
          </cell>
          <cell r="H1527">
            <v>1</v>
          </cell>
          <cell r="I1527">
            <v>0</v>
          </cell>
          <cell r="J1527">
            <v>0.11409999999999999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</row>
        <row r="1528">
          <cell r="A1528" t="str">
            <v>INT ZWE ZWEMO</v>
          </cell>
          <cell r="B1528" t="str">
            <v>Business Talk</v>
          </cell>
          <cell r="C1528" t="str">
            <v>Zimbabwe Mobile</v>
          </cell>
          <cell r="D1528" t="str">
            <v>Off-net international</v>
          </cell>
          <cell r="E1528" t="str">
            <v>minute</v>
          </cell>
          <cell r="F1528">
            <v>1</v>
          </cell>
          <cell r="G1528">
            <v>1</v>
          </cell>
          <cell r="H1528">
            <v>1</v>
          </cell>
          <cell r="I1528">
            <v>0</v>
          </cell>
          <cell r="J1528">
            <v>0.68610000000000004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</row>
        <row r="1529">
          <cell r="A1529" t="str">
            <v>INT ZWE</v>
          </cell>
          <cell r="B1529" t="str">
            <v>Business Talk</v>
          </cell>
          <cell r="C1529" t="str">
            <v>Zimbabwe</v>
          </cell>
          <cell r="D1529" t="str">
            <v>Off-net international</v>
          </cell>
          <cell r="E1529" t="str">
            <v>minute</v>
          </cell>
          <cell r="F1529">
            <v>1</v>
          </cell>
          <cell r="G1529">
            <v>1</v>
          </cell>
          <cell r="H1529">
            <v>1</v>
          </cell>
          <cell r="I1529">
            <v>0</v>
          </cell>
          <cell r="J1529">
            <v>0.13769999999999999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</row>
        <row r="1530">
          <cell r="A1530" t="str">
            <v>ON ON</v>
          </cell>
          <cell r="B1530" t="str">
            <v>Business Talk</v>
          </cell>
          <cell r="C1530" t="str">
            <v>On-Net</v>
          </cell>
          <cell r="D1530" t="str">
            <v>on-net</v>
          </cell>
          <cell r="E1530" t="str">
            <v>minute</v>
          </cell>
          <cell r="F1530">
            <v>1</v>
          </cell>
          <cell r="G1530">
            <v>1</v>
          </cell>
          <cell r="H1530">
            <v>1</v>
          </cell>
          <cell r="I1530">
            <v>0</v>
          </cell>
          <cell r="J1530">
            <v>8.5000000000000006E-3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</row>
        <row r="1531">
          <cell r="A1531" t="str">
            <v>ON ON VOIP</v>
          </cell>
          <cell r="B1531" t="str">
            <v>Business Talk</v>
          </cell>
          <cell r="C1531" t="str">
            <v>Voip To Voip On-Net</v>
          </cell>
          <cell r="D1531" t="str">
            <v>on-net</v>
          </cell>
          <cell r="E1531" t="str">
            <v>minute</v>
          </cell>
          <cell r="F1531">
            <v>1</v>
          </cell>
          <cell r="G1531">
            <v>1</v>
          </cell>
          <cell r="H1531">
            <v>1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</row>
      </sheetData>
      <sheetData sheetId="16" refreshError="1">
        <row r="4">
          <cell r="A4" t="str">
            <v xml:space="preserve"> BT tariff sheet 24-5-2016</v>
          </cell>
        </row>
      </sheetData>
      <sheetData sheetId="17" refreshError="1"/>
      <sheetData sheetId="18" refreshError="1">
        <row r="1">
          <cell r="A1" t="str">
            <v>Unique ID</v>
          </cell>
          <cell r="B1" t="str">
            <v>Voice service</v>
          </cell>
          <cell r="C1" t="str">
            <v>Charge</v>
          </cell>
          <cell r="D1" t="str">
            <v>Charge type</v>
          </cell>
          <cell r="E1" t="str">
            <v>Unit</v>
          </cell>
          <cell r="F1" t="str">
            <v>Approval level</v>
          </cell>
          <cell r="G1" t="str">
            <v>Price point</v>
          </cell>
          <cell r="H1" t="str">
            <v>Show rate on tariff sheet</v>
          </cell>
          <cell r="I1" t="str">
            <v>Units (volume)</v>
          </cell>
          <cell r="J1" t="str">
            <v>Per minute - peak</v>
          </cell>
          <cell r="K1" t="str">
            <v>Per minute - off-peak</v>
          </cell>
          <cell r="L1" t="str">
            <v>Per call - peak</v>
          </cell>
          <cell r="M1" t="str">
            <v>Per call - off-peak</v>
          </cell>
          <cell r="N1" t="str">
            <v>OTP per unit</v>
          </cell>
          <cell r="O1" t="str">
            <v>MRP per unit</v>
          </cell>
          <cell r="P1" t="str">
            <v>Text value</v>
          </cell>
          <cell r="S1">
            <v>9</v>
          </cell>
          <cell r="T1">
            <v>10</v>
          </cell>
          <cell r="U1">
            <v>11</v>
          </cell>
          <cell r="V1">
            <v>12</v>
          </cell>
          <cell r="W1">
            <v>13</v>
          </cell>
          <cell r="X1">
            <v>14</v>
          </cell>
          <cell r="Y1">
            <v>15</v>
          </cell>
          <cell r="Z1">
            <v>16</v>
          </cell>
          <cell r="AB1">
            <v>14</v>
          </cell>
          <cell r="AC1">
            <v>15</v>
          </cell>
          <cell r="AD1">
            <v>16</v>
          </cell>
          <cell r="AE1">
            <v>17</v>
          </cell>
          <cell r="AF1">
            <v>18</v>
          </cell>
          <cell r="AG1">
            <v>19</v>
          </cell>
          <cell r="AH1">
            <v>20</v>
          </cell>
        </row>
        <row r="2">
          <cell r="S2" t="str">
            <v>imported data (EUR)</v>
          </cell>
          <cell r="AA2" t="str">
            <v>data to be uploaded (converted to tool currency)</v>
          </cell>
        </row>
        <row r="3">
          <cell r="R3" t="str">
            <v>unique ID</v>
          </cell>
          <cell r="S3" t="str">
            <v>Units (volume)</v>
          </cell>
          <cell r="T3" t="str">
            <v>Per minute - peak</v>
          </cell>
          <cell r="U3" t="str">
            <v>Per minute - off-peak</v>
          </cell>
          <cell r="V3" t="str">
            <v>Per call - peak</v>
          </cell>
          <cell r="W3" t="str">
            <v>Per call - off-peak</v>
          </cell>
          <cell r="X3" t="str">
            <v>OTP per unit</v>
          </cell>
          <cell r="Y3" t="str">
            <v>MRP per unit</v>
          </cell>
          <cell r="Z3" t="str">
            <v>Text value</v>
          </cell>
          <cell r="AA3" t="str">
            <v>Units (volume)</v>
          </cell>
          <cell r="AB3" t="str">
            <v>Per minute - peak</v>
          </cell>
          <cell r="AC3" t="str">
            <v>Per minute - off-peak</v>
          </cell>
          <cell r="AD3" t="str">
            <v>Per call - peak</v>
          </cell>
          <cell r="AE3" t="str">
            <v>Per call - off-peak</v>
          </cell>
          <cell r="AF3" t="str">
            <v>OTP per unit</v>
          </cell>
          <cell r="AG3" t="str">
            <v>MRP per unit</v>
          </cell>
          <cell r="AH3" t="str">
            <v>Text value</v>
          </cell>
        </row>
        <row r="4">
          <cell r="R4" t="str">
            <v>SCENARIO</v>
          </cell>
          <cell r="Z4" t="e">
            <v>#N/A</v>
          </cell>
          <cell r="AH4" t="e">
            <v>#N/A</v>
          </cell>
        </row>
        <row r="5">
          <cell r="R5" t="str">
            <v>STD</v>
          </cell>
          <cell r="Z5" t="e">
            <v>#N/A</v>
          </cell>
          <cell r="AH5" t="str">
            <v/>
          </cell>
        </row>
        <row r="6">
          <cell r="R6" t="str">
            <v>TARIFF</v>
          </cell>
          <cell r="Z6" t="e">
            <v>#N/A</v>
          </cell>
          <cell r="AH6" t="str">
            <v>LP</v>
          </cell>
          <cell r="AJ6">
            <v>0</v>
          </cell>
        </row>
        <row r="7">
          <cell r="R7" t="str">
            <v>MCD</v>
          </cell>
          <cell r="Z7" t="e">
            <v>#N/A</v>
          </cell>
          <cell r="AH7" t="str">
            <v>standard</v>
          </cell>
        </row>
        <row r="8">
          <cell r="R8" t="str">
            <v>EURFOREX USD</v>
          </cell>
          <cell r="T8" t="e">
            <v>#N/A</v>
          </cell>
          <cell r="AB8">
            <v>1.0900000000000001</v>
          </cell>
          <cell r="AK8">
            <v>1</v>
          </cell>
        </row>
        <row r="9">
          <cell r="R9" t="str">
            <v>DOM AUS AUSB1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W9" t="e">
            <v>#N/A</v>
          </cell>
          <cell r="AA9">
            <v>0</v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R10" t="str">
            <v>DOM AUS RESTA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W10" t="e">
            <v>#N/A</v>
          </cell>
          <cell r="AA10">
            <v>0</v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R11" t="str">
            <v>DOM AUS AUSMO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W11" t="e">
            <v>#N/A</v>
          </cell>
          <cell r="AA11">
            <v>0</v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R12" t="str">
            <v>DOM AUS AUSCS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W12" t="e">
            <v>#N/A</v>
          </cell>
          <cell r="AA12">
            <v>0</v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R13" t="str">
            <v>DOM AUS AUSD1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W13" t="e">
            <v>#N/A</v>
          </cell>
          <cell r="AA13">
            <v>0</v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R14" t="str">
            <v>DOM AUS AUSD2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W14" t="e">
            <v>#N/A</v>
          </cell>
          <cell r="AA14">
            <v>0</v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R15" t="str">
            <v>DOM AUS AUSEM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AA15">
            <v>0</v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R16" t="str">
            <v>DOM AUS T1300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W16" t="e">
            <v>#N/A</v>
          </cell>
          <cell r="AA16">
            <v>0</v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R17" t="str">
            <v>DOM AUS AUSOR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AA17">
            <v>0</v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R18" t="str">
            <v>DOM AUS AUSPS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W18" t="e">
            <v>#N/A</v>
          </cell>
          <cell r="AA18">
            <v>0</v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R19" t="str">
            <v>DOM AUS AUSC1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AA19">
            <v>0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R20" t="str">
            <v>DOM AUS AUSC2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W20" t="e">
            <v>#N/A</v>
          </cell>
          <cell r="AA20">
            <v>0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R21" t="str">
            <v>DOM AUS AUSC3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W21" t="e">
            <v>#N/A</v>
          </cell>
          <cell r="AA21">
            <v>0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R22" t="str">
            <v>DOM AUS AUSC4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  <cell r="AA22">
            <v>0</v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R23" t="str">
            <v>DOM AUS AUSC5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  <cell r="AA23">
            <v>0</v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R24" t="str">
            <v>DOM AUS AUCM1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  <cell r="AA24">
            <v>0</v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R25" t="str">
            <v>DOM AUS AUCM2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  <cell r="AA25">
            <v>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26">
          <cell r="R26" t="str">
            <v>DOM AUS AUCM3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  <cell r="AA26">
            <v>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</row>
        <row r="27">
          <cell r="R27" t="str">
            <v>DOM AUS AUCM4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W27" t="e">
            <v>#N/A</v>
          </cell>
          <cell r="AA27">
            <v>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</row>
        <row r="28">
          <cell r="R28" t="str">
            <v>DOM AUS AUCM5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AA28">
            <v>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</row>
        <row r="29">
          <cell r="R29" t="str">
            <v>DOM AUS AUCM6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AA29">
            <v>0</v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</row>
        <row r="30">
          <cell r="R30" t="str">
            <v>DOM AUS AUCM7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W30" t="e">
            <v>#N/A</v>
          </cell>
          <cell r="AA30">
            <v>0</v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</row>
        <row r="31">
          <cell r="R31" t="str">
            <v>DOM AUS AUSM1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AA31">
            <v>0</v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</row>
        <row r="32">
          <cell r="R32" t="str">
            <v>DOM AUS AUSM2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AA32">
            <v>0</v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</row>
        <row r="33">
          <cell r="R33" t="str">
            <v>DOM AUS AUSM3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AA33">
            <v>0</v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</row>
        <row r="34">
          <cell r="R34" t="str">
            <v>DOM AUS AUSOP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AA34">
            <v>0</v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</row>
        <row r="35">
          <cell r="R35" t="str">
            <v>DOM AUS AUST1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AA35">
            <v>0</v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</row>
        <row r="36">
          <cell r="R36" t="str">
            <v>DOM AUS AUST2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AA36">
            <v>0</v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</row>
        <row r="37">
          <cell r="R37" t="str">
            <v>DOM AUS AUSFR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AA37">
            <v>0</v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</row>
        <row r="38">
          <cell r="R38" t="str">
            <v>DOM AUT ZAUT0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AA38">
            <v>0</v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</row>
        <row r="39">
          <cell r="R39" t="str">
            <v>DOM AUT AUNAS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AA39">
            <v>0</v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</row>
        <row r="40">
          <cell r="R40" t="str">
            <v>DOM AUT AUNCS</v>
          </cell>
          <cell r="S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AA40">
            <v>0</v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</row>
        <row r="41">
          <cell r="R41" t="str">
            <v>DOM AUT AUNS</v>
          </cell>
          <cell r="S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AA41">
            <v>0</v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</row>
        <row r="42">
          <cell r="R42" t="str">
            <v>DOM AUT AUMKM</v>
          </cell>
          <cell r="S42" t="e">
            <v>#N/A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AA42">
            <v>0</v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</row>
        <row r="43">
          <cell r="R43" t="str">
            <v>DOM AUT AUM1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AA43">
            <v>0</v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</row>
        <row r="44">
          <cell r="R44" t="str">
            <v>DOM AUT ZAUT3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AA44">
            <v>0</v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</row>
        <row r="45">
          <cell r="R45" t="str">
            <v>DOM AUT AUMTG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AA45">
            <v>0</v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</row>
        <row r="46">
          <cell r="R46" t="str">
            <v>DOM AUT ATMT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AA46">
            <v>0</v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</row>
        <row r="47">
          <cell r="R47" t="str">
            <v>DOM AUT AUCS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AA47">
            <v>0</v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</row>
        <row r="48">
          <cell r="R48" t="str">
            <v>DOM AUT AUDIR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AA48">
            <v>0</v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</row>
        <row r="49">
          <cell r="R49" t="str">
            <v>DOM AUT ATDR1</v>
          </cell>
          <cell r="S49" t="e">
            <v>#N/A</v>
          </cell>
          <cell r="T49" t="e">
            <v>#N/A</v>
          </cell>
          <cell r="U49" t="e">
            <v>#N/A</v>
          </cell>
          <cell r="V49" t="e">
            <v>#N/A</v>
          </cell>
          <cell r="W49" t="e">
            <v>#N/A</v>
          </cell>
          <cell r="AA49">
            <v>0</v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</row>
        <row r="50">
          <cell r="R50" t="str">
            <v>DOM AUT ATDR2</v>
          </cell>
          <cell r="S50" t="e">
            <v>#N/A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AA50">
            <v>0</v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</row>
        <row r="51">
          <cell r="R51" t="str">
            <v>DOM AUT ATDR3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AA51">
            <v>0</v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</row>
        <row r="52">
          <cell r="R52" t="str">
            <v>DOM AUT ATDR4</v>
          </cell>
          <cell r="S52" t="e">
            <v>#N/A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AA52">
            <v>0</v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</row>
        <row r="53">
          <cell r="R53" t="str">
            <v>DOM AUT ATDR5</v>
          </cell>
          <cell r="S53" t="e">
            <v>#N/A</v>
          </cell>
          <cell r="T53" t="e">
            <v>#N/A</v>
          </cell>
          <cell r="U53" t="e">
            <v>#N/A</v>
          </cell>
          <cell r="V53" t="e">
            <v>#N/A</v>
          </cell>
          <cell r="W53" t="e">
            <v>#N/A</v>
          </cell>
          <cell r="AA53">
            <v>0</v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</row>
        <row r="54">
          <cell r="R54" t="str">
            <v>DOM AUT ATDR6</v>
          </cell>
          <cell r="S54" t="e">
            <v>#N/A</v>
          </cell>
          <cell r="T54" t="e">
            <v>#N/A</v>
          </cell>
          <cell r="U54" t="e">
            <v>#N/A</v>
          </cell>
          <cell r="V54" t="e">
            <v>#N/A</v>
          </cell>
          <cell r="W54" t="e">
            <v>#N/A</v>
          </cell>
          <cell r="AA54">
            <v>0</v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</row>
        <row r="55">
          <cell r="R55" t="str">
            <v>DOM AUT ATDR7</v>
          </cell>
          <cell r="S55" t="e">
            <v>#N/A</v>
          </cell>
          <cell r="T55" t="e">
            <v>#N/A</v>
          </cell>
          <cell r="U55" t="e">
            <v>#N/A</v>
          </cell>
          <cell r="V55" t="e">
            <v>#N/A</v>
          </cell>
          <cell r="W55" t="e">
            <v>#N/A</v>
          </cell>
          <cell r="AA55">
            <v>0</v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</row>
        <row r="56">
          <cell r="R56" t="str">
            <v>DOM AUT ATDR8</v>
          </cell>
          <cell r="S56" t="e">
            <v>#N/A</v>
          </cell>
          <cell r="T56" t="e">
            <v>#N/A</v>
          </cell>
          <cell r="U56" t="e">
            <v>#N/A</v>
          </cell>
          <cell r="V56" t="e">
            <v>#N/A</v>
          </cell>
          <cell r="W56" t="e">
            <v>#N/A</v>
          </cell>
          <cell r="AA56">
            <v>0</v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</row>
        <row r="57">
          <cell r="R57" t="str">
            <v>DOM AUT ATDR9</v>
          </cell>
          <cell r="S57" t="e">
            <v>#N/A</v>
          </cell>
          <cell r="T57" t="e">
            <v>#N/A</v>
          </cell>
          <cell r="U57" t="e">
            <v>#N/A</v>
          </cell>
          <cell r="V57" t="e">
            <v>#N/A</v>
          </cell>
          <cell r="W57" t="e">
            <v>#N/A</v>
          </cell>
          <cell r="AA57">
            <v>0</v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</row>
        <row r="58">
          <cell r="R58" t="str">
            <v>DOM AUT AUSOS</v>
          </cell>
          <cell r="S58" t="e">
            <v>#N/A</v>
          </cell>
          <cell r="T58" t="e">
            <v>#N/A</v>
          </cell>
          <cell r="U58" t="e">
            <v>#N/A</v>
          </cell>
          <cell r="V58" t="e">
            <v>#N/A</v>
          </cell>
          <cell r="W58" t="e">
            <v>#N/A</v>
          </cell>
          <cell r="AA58">
            <v>0</v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</row>
        <row r="59">
          <cell r="R59" t="str">
            <v>DOM AUT AUEUS</v>
          </cell>
          <cell r="S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AA59">
            <v>0</v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</row>
        <row r="60">
          <cell r="R60" t="str">
            <v>DOM AUT AUMR</v>
          </cell>
          <cell r="S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AA60">
            <v>0</v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</row>
        <row r="61">
          <cell r="R61" t="str">
            <v>DOM AUT AUPR</v>
          </cell>
          <cell r="S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AA61">
            <v>0</v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</row>
        <row r="62">
          <cell r="R62" t="str">
            <v>DOM AUT AUPSN</v>
          </cell>
          <cell r="S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AA62">
            <v>0</v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</row>
        <row r="63">
          <cell r="R63" t="str">
            <v>DOM AUT AU001</v>
          </cell>
          <cell r="S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AA63">
            <v>0</v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</row>
        <row r="64">
          <cell r="R64" t="str">
            <v>DOM AUT AU00A</v>
          </cell>
          <cell r="S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AA64">
            <v>0</v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</row>
        <row r="65">
          <cell r="R65" t="str">
            <v>DOM AUT AU00B</v>
          </cell>
          <cell r="S65" t="e">
            <v>#N/A</v>
          </cell>
          <cell r="T65" t="e">
            <v>#N/A</v>
          </cell>
          <cell r="U65" t="e">
            <v>#N/A</v>
          </cell>
          <cell r="V65" t="e">
            <v>#N/A</v>
          </cell>
          <cell r="W65" t="e">
            <v>#N/A</v>
          </cell>
          <cell r="AA65">
            <v>0</v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</row>
        <row r="66">
          <cell r="R66" t="str">
            <v>DOM AUT AU00C</v>
          </cell>
          <cell r="S66" t="e">
            <v>#N/A</v>
          </cell>
          <cell r="T66" t="e">
            <v>#N/A</v>
          </cell>
          <cell r="U66" t="e">
            <v>#N/A</v>
          </cell>
          <cell r="V66" t="e">
            <v>#N/A</v>
          </cell>
          <cell r="W66" t="e">
            <v>#N/A</v>
          </cell>
          <cell r="AA66">
            <v>0</v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</row>
        <row r="67">
          <cell r="R67" t="str">
            <v>DOM AUT AU00D</v>
          </cell>
          <cell r="S67" t="e">
            <v>#N/A</v>
          </cell>
          <cell r="T67" t="e">
            <v>#N/A</v>
          </cell>
          <cell r="U67" t="e">
            <v>#N/A</v>
          </cell>
          <cell r="V67" t="e">
            <v>#N/A</v>
          </cell>
          <cell r="W67" t="e">
            <v>#N/A</v>
          </cell>
          <cell r="AA67">
            <v>0</v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</row>
        <row r="68">
          <cell r="R68" t="str">
            <v>DOM AUT AU00E</v>
          </cell>
          <cell r="S68" t="e">
            <v>#N/A</v>
          </cell>
          <cell r="T68" t="e">
            <v>#N/A</v>
          </cell>
          <cell r="U68" t="e">
            <v>#N/A</v>
          </cell>
          <cell r="V68" t="e">
            <v>#N/A</v>
          </cell>
          <cell r="W68" t="e">
            <v>#N/A</v>
          </cell>
          <cell r="AA68">
            <v>0</v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</row>
        <row r="69">
          <cell r="R69" t="str">
            <v>DOM AUT AU00F</v>
          </cell>
          <cell r="S69" t="e">
            <v>#N/A</v>
          </cell>
          <cell r="T69" t="e">
            <v>#N/A</v>
          </cell>
          <cell r="U69" t="e">
            <v>#N/A</v>
          </cell>
          <cell r="V69" t="e">
            <v>#N/A</v>
          </cell>
          <cell r="W69" t="e">
            <v>#N/A</v>
          </cell>
          <cell r="AA69">
            <v>0</v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</row>
        <row r="70">
          <cell r="R70" t="str">
            <v>DOM AUT AU00G</v>
          </cell>
          <cell r="S70" t="e">
            <v>#N/A</v>
          </cell>
          <cell r="T70" t="e">
            <v>#N/A</v>
          </cell>
          <cell r="U70" t="e">
            <v>#N/A</v>
          </cell>
          <cell r="V70" t="e">
            <v>#N/A</v>
          </cell>
          <cell r="W70" t="e">
            <v>#N/A</v>
          </cell>
          <cell r="AA70">
            <v>0</v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</row>
        <row r="71">
          <cell r="R71" t="str">
            <v>DOM AUT AU00H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AA71">
            <v>0</v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</row>
        <row r="72">
          <cell r="R72" t="str">
            <v>DOM AUT AU00I</v>
          </cell>
          <cell r="S72" t="e">
            <v>#N/A</v>
          </cell>
          <cell r="T72" t="e">
            <v>#N/A</v>
          </cell>
          <cell r="U72" t="e">
            <v>#N/A</v>
          </cell>
          <cell r="V72" t="e">
            <v>#N/A</v>
          </cell>
          <cell r="W72" t="e">
            <v>#N/A</v>
          </cell>
          <cell r="AA72">
            <v>0</v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</row>
        <row r="73">
          <cell r="R73" t="str">
            <v>DOM AUT AU002</v>
          </cell>
          <cell r="S73" t="e">
            <v>#N/A</v>
          </cell>
          <cell r="T73" t="e">
            <v>#N/A</v>
          </cell>
          <cell r="U73" t="e">
            <v>#N/A</v>
          </cell>
          <cell r="V73" t="e">
            <v>#N/A</v>
          </cell>
          <cell r="W73" t="e">
            <v>#N/A</v>
          </cell>
          <cell r="AA73">
            <v>0</v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</row>
        <row r="74">
          <cell r="R74" t="str">
            <v>DOM AUT AU003</v>
          </cell>
          <cell r="S74" t="e">
            <v>#N/A</v>
          </cell>
          <cell r="T74" t="e">
            <v>#N/A</v>
          </cell>
          <cell r="U74" t="e">
            <v>#N/A</v>
          </cell>
          <cell r="V74" t="e">
            <v>#N/A</v>
          </cell>
          <cell r="W74" t="e">
            <v>#N/A</v>
          </cell>
          <cell r="AA74">
            <v>0</v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</row>
        <row r="75">
          <cell r="R75" t="str">
            <v>DOM AUT AU004</v>
          </cell>
          <cell r="S75" t="e">
            <v>#N/A</v>
          </cell>
          <cell r="T75" t="e">
            <v>#N/A</v>
          </cell>
          <cell r="U75" t="e">
            <v>#N/A</v>
          </cell>
          <cell r="V75" t="e">
            <v>#N/A</v>
          </cell>
          <cell r="W75" t="e">
            <v>#N/A</v>
          </cell>
          <cell r="AA75">
            <v>0</v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</row>
        <row r="76">
          <cell r="R76" t="str">
            <v>DOM AUT AU005</v>
          </cell>
          <cell r="S76" t="e">
            <v>#N/A</v>
          </cell>
          <cell r="T76" t="e">
            <v>#N/A</v>
          </cell>
          <cell r="U76" t="e">
            <v>#N/A</v>
          </cell>
          <cell r="V76" t="e">
            <v>#N/A</v>
          </cell>
          <cell r="W76" t="e">
            <v>#N/A</v>
          </cell>
          <cell r="AA76">
            <v>0</v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</row>
        <row r="77">
          <cell r="R77" t="str">
            <v>DOM AUT AU006</v>
          </cell>
          <cell r="S77" t="e">
            <v>#N/A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AA77">
            <v>0</v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</row>
        <row r="78">
          <cell r="R78" t="str">
            <v>DOM AUT AU007</v>
          </cell>
          <cell r="S78" t="e">
            <v>#N/A</v>
          </cell>
          <cell r="T78" t="e">
            <v>#N/A</v>
          </cell>
          <cell r="U78" t="e">
            <v>#N/A</v>
          </cell>
          <cell r="V78" t="e">
            <v>#N/A</v>
          </cell>
          <cell r="W78" t="e">
            <v>#N/A</v>
          </cell>
          <cell r="AA78">
            <v>0</v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</row>
        <row r="79">
          <cell r="R79" t="str">
            <v>DOM AUT AU008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AA79">
            <v>0</v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</row>
        <row r="80">
          <cell r="R80" t="str">
            <v>DOM AUT AU009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AA80">
            <v>0</v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</row>
        <row r="81">
          <cell r="R81" t="str">
            <v>DOM AUT AU011</v>
          </cell>
          <cell r="S81" t="e">
            <v>#N/A</v>
          </cell>
          <cell r="T81" t="e">
            <v>#N/A</v>
          </cell>
          <cell r="U81" t="e">
            <v>#N/A</v>
          </cell>
          <cell r="V81" t="e">
            <v>#N/A</v>
          </cell>
          <cell r="W81" t="e">
            <v>#N/A</v>
          </cell>
          <cell r="AA81">
            <v>0</v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</row>
        <row r="82">
          <cell r="R82" t="str">
            <v>DOM AUT AU012</v>
          </cell>
          <cell r="S82" t="e">
            <v>#N/A</v>
          </cell>
          <cell r="T82" t="e">
            <v>#N/A</v>
          </cell>
          <cell r="U82" t="e">
            <v>#N/A</v>
          </cell>
          <cell r="V82" t="e">
            <v>#N/A</v>
          </cell>
          <cell r="W82" t="e">
            <v>#N/A</v>
          </cell>
          <cell r="AA82">
            <v>0</v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</row>
        <row r="83">
          <cell r="R83" t="str">
            <v>DOM AUT AU013</v>
          </cell>
          <cell r="S83" t="e">
            <v>#N/A</v>
          </cell>
          <cell r="T83" t="e">
            <v>#N/A</v>
          </cell>
          <cell r="U83" t="e">
            <v>#N/A</v>
          </cell>
          <cell r="V83" t="e">
            <v>#N/A</v>
          </cell>
          <cell r="W83" t="e">
            <v>#N/A</v>
          </cell>
          <cell r="AA83">
            <v>0</v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</row>
        <row r="84">
          <cell r="R84" t="str">
            <v>DOM AUT AU014</v>
          </cell>
          <cell r="S84" t="e">
            <v>#N/A</v>
          </cell>
          <cell r="T84" t="e">
            <v>#N/A</v>
          </cell>
          <cell r="U84" t="e">
            <v>#N/A</v>
          </cell>
          <cell r="V84" t="e">
            <v>#N/A</v>
          </cell>
          <cell r="W84" t="e">
            <v>#N/A</v>
          </cell>
          <cell r="AA84">
            <v>0</v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</row>
        <row r="85">
          <cell r="R85" t="str">
            <v>DOM AUT AU015</v>
          </cell>
          <cell r="S85" t="e">
            <v>#N/A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AA85">
            <v>0</v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</row>
        <row r="86">
          <cell r="R86" t="str">
            <v>DOM AUT AU016</v>
          </cell>
          <cell r="S86" t="e">
            <v>#N/A</v>
          </cell>
          <cell r="T86" t="e">
            <v>#N/A</v>
          </cell>
          <cell r="U86" t="e">
            <v>#N/A</v>
          </cell>
          <cell r="V86" t="e">
            <v>#N/A</v>
          </cell>
          <cell r="W86" t="e">
            <v>#N/A</v>
          </cell>
          <cell r="AA86">
            <v>0</v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</row>
        <row r="87">
          <cell r="R87" t="str">
            <v>DOM AUT AU017</v>
          </cell>
          <cell r="S87" t="e">
            <v>#N/A</v>
          </cell>
          <cell r="T87" t="e">
            <v>#N/A</v>
          </cell>
          <cell r="U87" t="e">
            <v>#N/A</v>
          </cell>
          <cell r="V87" t="e">
            <v>#N/A</v>
          </cell>
          <cell r="W87" t="e">
            <v>#N/A</v>
          </cell>
          <cell r="AA87">
            <v>0</v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</row>
        <row r="88">
          <cell r="R88" t="str">
            <v>DOM AUT AU018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AA88">
            <v>0</v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</row>
        <row r="89">
          <cell r="R89" t="str">
            <v>DOM AUT AU019</v>
          </cell>
          <cell r="S89" t="e">
            <v>#N/A</v>
          </cell>
          <cell r="T89" t="e">
            <v>#N/A</v>
          </cell>
          <cell r="U89" t="e">
            <v>#N/A</v>
          </cell>
          <cell r="V89" t="e">
            <v>#N/A</v>
          </cell>
          <cell r="W89" t="e">
            <v>#N/A</v>
          </cell>
          <cell r="AA89">
            <v>0</v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</row>
        <row r="90">
          <cell r="R90" t="str">
            <v>DOM AUT AU01A</v>
          </cell>
          <cell r="S90" t="e">
            <v>#N/A</v>
          </cell>
          <cell r="T90" t="e">
            <v>#N/A</v>
          </cell>
          <cell r="U90" t="e">
            <v>#N/A</v>
          </cell>
          <cell r="V90" t="e">
            <v>#N/A</v>
          </cell>
          <cell r="W90" t="e">
            <v>#N/A</v>
          </cell>
          <cell r="AA90">
            <v>0</v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</row>
        <row r="91">
          <cell r="R91" t="str">
            <v>DOM AUT AU01B</v>
          </cell>
          <cell r="S91" t="e">
            <v>#N/A</v>
          </cell>
          <cell r="T91" t="e">
            <v>#N/A</v>
          </cell>
          <cell r="U91" t="e">
            <v>#N/A</v>
          </cell>
          <cell r="V91" t="e">
            <v>#N/A</v>
          </cell>
          <cell r="W91" t="e">
            <v>#N/A</v>
          </cell>
          <cell r="AA91">
            <v>0</v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</row>
        <row r="92">
          <cell r="R92" t="str">
            <v>DOM AUT AU01C</v>
          </cell>
          <cell r="S92" t="e">
            <v>#N/A</v>
          </cell>
          <cell r="T92" t="e">
            <v>#N/A</v>
          </cell>
          <cell r="U92" t="e">
            <v>#N/A</v>
          </cell>
          <cell r="V92" t="e">
            <v>#N/A</v>
          </cell>
          <cell r="W92" t="e">
            <v>#N/A</v>
          </cell>
          <cell r="AA92">
            <v>0</v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</row>
        <row r="93">
          <cell r="R93" t="str">
            <v>DOM AUT AU01D</v>
          </cell>
          <cell r="S93" t="e">
            <v>#N/A</v>
          </cell>
          <cell r="T93" t="e">
            <v>#N/A</v>
          </cell>
          <cell r="U93" t="e">
            <v>#N/A</v>
          </cell>
          <cell r="V93" t="e">
            <v>#N/A</v>
          </cell>
          <cell r="W93" t="e">
            <v>#N/A</v>
          </cell>
          <cell r="AA93">
            <v>0</v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</row>
        <row r="94">
          <cell r="R94" t="str">
            <v>DOM AUT AU01E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AA94">
            <v>0</v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</row>
        <row r="95">
          <cell r="R95" t="str">
            <v>DOM AUT AU01F</v>
          </cell>
          <cell r="S95" t="e">
            <v>#N/A</v>
          </cell>
          <cell r="T95" t="e">
            <v>#N/A</v>
          </cell>
          <cell r="U95" t="e">
            <v>#N/A</v>
          </cell>
          <cell r="V95" t="e">
            <v>#N/A</v>
          </cell>
          <cell r="W95" t="e">
            <v>#N/A</v>
          </cell>
          <cell r="AA95">
            <v>0</v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</row>
        <row r="96">
          <cell r="R96" t="str">
            <v>DOM AUT AU01G</v>
          </cell>
          <cell r="S96" t="e">
            <v>#N/A</v>
          </cell>
          <cell r="T96" t="e">
            <v>#N/A</v>
          </cell>
          <cell r="U96" t="e">
            <v>#N/A</v>
          </cell>
          <cell r="V96" t="e">
            <v>#N/A</v>
          </cell>
          <cell r="W96" t="e">
            <v>#N/A</v>
          </cell>
          <cell r="AA96">
            <v>0</v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</row>
        <row r="97">
          <cell r="R97" t="str">
            <v>DOM AUT AU01H</v>
          </cell>
          <cell r="S97" t="e">
            <v>#N/A</v>
          </cell>
          <cell r="T97" t="e">
            <v>#N/A</v>
          </cell>
          <cell r="U97" t="e">
            <v>#N/A</v>
          </cell>
          <cell r="V97" t="e">
            <v>#N/A</v>
          </cell>
          <cell r="W97" t="e">
            <v>#N/A</v>
          </cell>
          <cell r="AA97">
            <v>0</v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</row>
        <row r="98">
          <cell r="R98" t="str">
            <v>DOM AUT AU01I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AA98">
            <v>0</v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</row>
        <row r="99">
          <cell r="R99" t="str">
            <v>DOM AUT AU101</v>
          </cell>
          <cell r="S99" t="e">
            <v>#N/A</v>
          </cell>
          <cell r="T99" t="e">
            <v>#N/A</v>
          </cell>
          <cell r="U99" t="e">
            <v>#N/A</v>
          </cell>
          <cell r="V99" t="e">
            <v>#N/A</v>
          </cell>
          <cell r="W99" t="e">
            <v>#N/A</v>
          </cell>
          <cell r="AA99">
            <v>0</v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</row>
        <row r="100">
          <cell r="R100" t="str">
            <v>DOM AUT AU102</v>
          </cell>
          <cell r="S100" t="e">
            <v>#N/A</v>
          </cell>
          <cell r="T100" t="e">
            <v>#N/A</v>
          </cell>
          <cell r="U100" t="e">
            <v>#N/A</v>
          </cell>
          <cell r="V100" t="e">
            <v>#N/A</v>
          </cell>
          <cell r="W100" t="e">
            <v>#N/A</v>
          </cell>
          <cell r="AA100">
            <v>0</v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</row>
        <row r="101">
          <cell r="R101" t="str">
            <v>DOM AUT AU103</v>
          </cell>
          <cell r="S101" t="e">
            <v>#N/A</v>
          </cell>
          <cell r="T101" t="e">
            <v>#N/A</v>
          </cell>
          <cell r="U101" t="e">
            <v>#N/A</v>
          </cell>
          <cell r="V101" t="e">
            <v>#N/A</v>
          </cell>
          <cell r="W101" t="e">
            <v>#N/A</v>
          </cell>
          <cell r="AA101">
            <v>0</v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</row>
        <row r="102">
          <cell r="R102" t="str">
            <v>DOM AUT AU104</v>
          </cell>
          <cell r="S102" t="e">
            <v>#N/A</v>
          </cell>
          <cell r="T102" t="e">
            <v>#N/A</v>
          </cell>
          <cell r="U102" t="e">
            <v>#N/A</v>
          </cell>
          <cell r="V102" t="e">
            <v>#N/A</v>
          </cell>
          <cell r="W102" t="e">
            <v>#N/A</v>
          </cell>
          <cell r="AA102">
            <v>0</v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</row>
        <row r="103">
          <cell r="R103" t="str">
            <v>DOM AUT AU105</v>
          </cell>
          <cell r="S103" t="e">
            <v>#N/A</v>
          </cell>
          <cell r="T103" t="e">
            <v>#N/A</v>
          </cell>
          <cell r="U103" t="e">
            <v>#N/A</v>
          </cell>
          <cell r="V103" t="e">
            <v>#N/A</v>
          </cell>
          <cell r="W103" t="e">
            <v>#N/A</v>
          </cell>
          <cell r="AA103">
            <v>0</v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</row>
        <row r="104">
          <cell r="R104" t="str">
            <v>DOM AUT AU201</v>
          </cell>
          <cell r="S104" t="e">
            <v>#N/A</v>
          </cell>
          <cell r="T104" t="e">
            <v>#N/A</v>
          </cell>
          <cell r="U104" t="e">
            <v>#N/A</v>
          </cell>
          <cell r="V104" t="e">
            <v>#N/A</v>
          </cell>
          <cell r="W104" t="e">
            <v>#N/A</v>
          </cell>
          <cell r="AA104">
            <v>0</v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</row>
        <row r="105">
          <cell r="R105" t="str">
            <v>DOM AUT AU202</v>
          </cell>
          <cell r="S105" t="e">
            <v>#N/A</v>
          </cell>
          <cell r="T105" t="e">
            <v>#N/A</v>
          </cell>
          <cell r="U105" t="e">
            <v>#N/A</v>
          </cell>
          <cell r="V105" t="e">
            <v>#N/A</v>
          </cell>
          <cell r="W105" t="e">
            <v>#N/A</v>
          </cell>
          <cell r="AA105">
            <v>0</v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</row>
        <row r="106">
          <cell r="R106" t="str">
            <v>DOM AUT AU203</v>
          </cell>
          <cell r="S106" t="e">
            <v>#N/A</v>
          </cell>
          <cell r="T106" t="e">
            <v>#N/A</v>
          </cell>
          <cell r="U106" t="e">
            <v>#N/A</v>
          </cell>
          <cell r="V106" t="e">
            <v>#N/A</v>
          </cell>
          <cell r="W106" t="e">
            <v>#N/A</v>
          </cell>
          <cell r="AA106">
            <v>0</v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</row>
        <row r="107">
          <cell r="R107" t="str">
            <v>DOM AUT AU204</v>
          </cell>
          <cell r="S107" t="e">
            <v>#N/A</v>
          </cell>
          <cell r="T107" t="e">
            <v>#N/A</v>
          </cell>
          <cell r="U107" t="e">
            <v>#N/A</v>
          </cell>
          <cell r="V107" t="e">
            <v>#N/A</v>
          </cell>
          <cell r="W107" t="e">
            <v>#N/A</v>
          </cell>
          <cell r="AA107">
            <v>0</v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</row>
        <row r="108">
          <cell r="R108" t="str">
            <v>DOM AUT AU211</v>
          </cell>
          <cell r="S108" t="e">
            <v>#N/A</v>
          </cell>
          <cell r="T108" t="e">
            <v>#N/A</v>
          </cell>
          <cell r="U108" t="e">
            <v>#N/A</v>
          </cell>
          <cell r="V108" t="e">
            <v>#N/A</v>
          </cell>
          <cell r="W108" t="e">
            <v>#N/A</v>
          </cell>
          <cell r="AA108">
            <v>0</v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</row>
        <row r="109">
          <cell r="R109" t="str">
            <v>DOM AUT AU212</v>
          </cell>
          <cell r="S109" t="e">
            <v>#N/A</v>
          </cell>
          <cell r="T109" t="e">
            <v>#N/A</v>
          </cell>
          <cell r="U109" t="e">
            <v>#N/A</v>
          </cell>
          <cell r="V109" t="e">
            <v>#N/A</v>
          </cell>
          <cell r="W109" t="e">
            <v>#N/A</v>
          </cell>
          <cell r="AA109">
            <v>0</v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</row>
        <row r="110">
          <cell r="R110" t="str">
            <v>DOM AUT AUFRE</v>
          </cell>
          <cell r="S110" t="e">
            <v>#N/A</v>
          </cell>
          <cell r="T110" t="e">
            <v>#N/A</v>
          </cell>
          <cell r="U110" t="e">
            <v>#N/A</v>
          </cell>
          <cell r="V110" t="e">
            <v>#N/A</v>
          </cell>
          <cell r="W110" t="e">
            <v>#N/A</v>
          </cell>
          <cell r="AA110">
            <v>0</v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</row>
        <row r="111">
          <cell r="R111" t="str">
            <v>DOM AUT AUWC</v>
          </cell>
          <cell r="S111" t="e">
            <v>#N/A</v>
          </cell>
          <cell r="T111" t="e">
            <v>#N/A</v>
          </cell>
          <cell r="U111" t="e">
            <v>#N/A</v>
          </cell>
          <cell r="V111" t="e">
            <v>#N/A</v>
          </cell>
          <cell r="W111" t="e">
            <v>#N/A</v>
          </cell>
          <cell r="AA111">
            <v>0</v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</row>
        <row r="112">
          <cell r="R112" t="str">
            <v>DOM BHR FIX</v>
          </cell>
          <cell r="S112" t="e">
            <v>#N/A</v>
          </cell>
          <cell r="T112" t="e">
            <v>#N/A</v>
          </cell>
          <cell r="U112" t="e">
            <v>#N/A</v>
          </cell>
          <cell r="V112" t="e">
            <v>#N/A</v>
          </cell>
          <cell r="W112" t="e">
            <v>#N/A</v>
          </cell>
          <cell r="AA112">
            <v>0</v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</row>
        <row r="113">
          <cell r="R113" t="str">
            <v>DOM BEL BXL</v>
          </cell>
          <cell r="S113" t="e">
            <v>#N/A</v>
          </cell>
          <cell r="T113" t="e">
            <v>#N/A</v>
          </cell>
          <cell r="U113" t="e">
            <v>#N/A</v>
          </cell>
          <cell r="V113" t="e">
            <v>#N/A</v>
          </cell>
          <cell r="W113" t="e">
            <v>#N/A</v>
          </cell>
          <cell r="AA113">
            <v>0</v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</row>
        <row r="114">
          <cell r="R114" t="str">
            <v>DOM BEL MOBS</v>
          </cell>
          <cell r="S114" t="e">
            <v>#N/A</v>
          </cell>
          <cell r="T114" t="e">
            <v>#N/A</v>
          </cell>
          <cell r="U114" t="e">
            <v>#N/A</v>
          </cell>
          <cell r="V114" t="e">
            <v>#N/A</v>
          </cell>
          <cell r="W114" t="e">
            <v>#N/A</v>
          </cell>
          <cell r="AA114">
            <v>0</v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</row>
        <row r="115">
          <cell r="R115" t="str">
            <v>DOM BEL MOBM</v>
          </cell>
          <cell r="S115" t="e">
            <v>#N/A</v>
          </cell>
          <cell r="T115" t="e">
            <v>#N/A</v>
          </cell>
          <cell r="U115" t="e">
            <v>#N/A</v>
          </cell>
          <cell r="V115" t="e">
            <v>#N/A</v>
          </cell>
          <cell r="W115" t="e">
            <v>#N/A</v>
          </cell>
          <cell r="AA115">
            <v>0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</row>
        <row r="116">
          <cell r="R116" t="str">
            <v>DOM BEL MOBO</v>
          </cell>
          <cell r="S116" t="e">
            <v>#N/A</v>
          </cell>
          <cell r="T116" t="e">
            <v>#N/A</v>
          </cell>
          <cell r="U116" t="e">
            <v>#N/A</v>
          </cell>
          <cell r="V116" t="e">
            <v>#N/A</v>
          </cell>
          <cell r="W116" t="e">
            <v>#N/A</v>
          </cell>
          <cell r="AA116">
            <v>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</row>
        <row r="117">
          <cell r="R117" t="str">
            <v>DOM BEL MOPX</v>
          </cell>
          <cell r="S117" t="e">
            <v>#N/A</v>
          </cell>
          <cell r="T117" t="e">
            <v>#N/A</v>
          </cell>
          <cell r="U117" t="e">
            <v>#N/A</v>
          </cell>
          <cell r="V117" t="e">
            <v>#N/A</v>
          </cell>
          <cell r="W117" t="e">
            <v>#N/A</v>
          </cell>
          <cell r="AA117">
            <v>0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</row>
        <row r="118">
          <cell r="R118" t="str">
            <v>DOM BEL BGASH</v>
          </cell>
          <cell r="S118" t="e">
            <v>#N/A</v>
          </cell>
          <cell r="T118" t="e">
            <v>#N/A</v>
          </cell>
          <cell r="U118" t="e">
            <v>#N/A</v>
          </cell>
          <cell r="V118" t="e">
            <v>#N/A</v>
          </cell>
          <cell r="W118" t="e">
            <v>#N/A</v>
          </cell>
          <cell r="AA118">
            <v>0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</row>
        <row r="119">
          <cell r="R119" t="str">
            <v>DOM BEL EAS3</v>
          </cell>
          <cell r="S119" t="e">
            <v>#N/A</v>
          </cell>
          <cell r="T119" t="e">
            <v>#N/A</v>
          </cell>
          <cell r="U119" t="e">
            <v>#N/A</v>
          </cell>
          <cell r="V119" t="e">
            <v>#N/A</v>
          </cell>
          <cell r="W119" t="e">
            <v>#N/A</v>
          </cell>
          <cell r="AA119">
            <v>0</v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</row>
        <row r="120">
          <cell r="R120" t="str">
            <v>DOM BEL EAS4</v>
          </cell>
          <cell r="S120" t="e">
            <v>#N/A</v>
          </cell>
          <cell r="T120" t="e">
            <v>#N/A</v>
          </cell>
          <cell r="U120" t="e">
            <v>#N/A</v>
          </cell>
          <cell r="V120" t="e">
            <v>#N/A</v>
          </cell>
          <cell r="W120" t="e">
            <v>#N/A</v>
          </cell>
          <cell r="AA120">
            <v>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</row>
        <row r="121">
          <cell r="R121" t="str">
            <v>DOM BEL EDD</v>
          </cell>
          <cell r="S121" t="e">
            <v>#N/A</v>
          </cell>
          <cell r="T121" t="e">
            <v>#N/A</v>
          </cell>
          <cell r="U121" t="e">
            <v>#N/A</v>
          </cell>
          <cell r="V121" t="e">
            <v>#N/A</v>
          </cell>
          <cell r="W121" t="e">
            <v>#N/A</v>
          </cell>
          <cell r="AA121">
            <v>0</v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</row>
        <row r="122">
          <cell r="R122" t="str">
            <v>DOM BEL EDE</v>
          </cell>
          <cell r="S122" t="e">
            <v>#N/A</v>
          </cell>
          <cell r="T122" t="e">
            <v>#N/A</v>
          </cell>
          <cell r="U122" t="e">
            <v>#N/A</v>
          </cell>
          <cell r="V122" t="e">
            <v>#N/A</v>
          </cell>
          <cell r="W122" t="e">
            <v>#N/A</v>
          </cell>
          <cell r="AA122">
            <v>0</v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</row>
        <row r="123">
          <cell r="R123" t="str">
            <v>DOM BEL EDF</v>
          </cell>
          <cell r="S123" t="e">
            <v>#N/A</v>
          </cell>
          <cell r="T123" t="e">
            <v>#N/A</v>
          </cell>
          <cell r="U123" t="e">
            <v>#N/A</v>
          </cell>
          <cell r="V123" t="e">
            <v>#N/A</v>
          </cell>
          <cell r="W123" t="e">
            <v>#N/A</v>
          </cell>
          <cell r="AA123">
            <v>0</v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</row>
        <row r="124">
          <cell r="R124" t="str">
            <v>DOM BEL EDO</v>
          </cell>
          <cell r="S124" t="e">
            <v>#N/A</v>
          </cell>
          <cell r="T124" t="e">
            <v>#N/A</v>
          </cell>
          <cell r="U124" t="e">
            <v>#N/A</v>
          </cell>
          <cell r="V124" t="e">
            <v>#N/A</v>
          </cell>
          <cell r="W124" t="e">
            <v>#N/A</v>
          </cell>
          <cell r="AA124">
            <v>0</v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</row>
        <row r="125">
          <cell r="R125" t="str">
            <v>DOM BEL EAS1</v>
          </cell>
          <cell r="S125" t="e">
            <v>#N/A</v>
          </cell>
          <cell r="T125" t="e">
            <v>#N/A</v>
          </cell>
          <cell r="U125" t="e">
            <v>#N/A</v>
          </cell>
          <cell r="V125" t="e">
            <v>#N/A</v>
          </cell>
          <cell r="W125" t="e">
            <v>#N/A</v>
          </cell>
          <cell r="AA125">
            <v>0</v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</row>
        <row r="126">
          <cell r="R126" t="str">
            <v>DOM BEL EAS2</v>
          </cell>
          <cell r="S126" t="e">
            <v>#N/A</v>
          </cell>
          <cell r="T126" t="e">
            <v>#N/A</v>
          </cell>
          <cell r="U126" t="e">
            <v>#N/A</v>
          </cell>
          <cell r="V126" t="e">
            <v>#N/A</v>
          </cell>
          <cell r="W126" t="e">
            <v>#N/A</v>
          </cell>
          <cell r="AA126">
            <v>0</v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</row>
        <row r="127">
          <cell r="R127" t="str">
            <v>DOM BEL BGHLP</v>
          </cell>
          <cell r="S127" t="e">
            <v>#N/A</v>
          </cell>
          <cell r="T127" t="e">
            <v>#N/A</v>
          </cell>
          <cell r="U127" t="e">
            <v>#N/A</v>
          </cell>
          <cell r="V127" t="e">
            <v>#N/A</v>
          </cell>
          <cell r="W127" t="e">
            <v>#N/A</v>
          </cell>
          <cell r="AA127">
            <v>0</v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</row>
        <row r="128">
          <cell r="R128" t="str">
            <v>DOM BEL PSN</v>
          </cell>
          <cell r="S128" t="e">
            <v>#N/A</v>
          </cell>
          <cell r="T128" t="e">
            <v>#N/A</v>
          </cell>
          <cell r="U128" t="e">
            <v>#N/A</v>
          </cell>
          <cell r="V128" t="e">
            <v>#N/A</v>
          </cell>
          <cell r="W128" t="e">
            <v>#N/A</v>
          </cell>
          <cell r="AA128">
            <v>0</v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</row>
        <row r="129">
          <cell r="R129" t="str">
            <v>DOM BEL PRM1</v>
          </cell>
          <cell r="S129" t="e">
            <v>#N/A</v>
          </cell>
          <cell r="T129" t="e">
            <v>#N/A</v>
          </cell>
          <cell r="U129" t="e">
            <v>#N/A</v>
          </cell>
          <cell r="V129" t="e">
            <v>#N/A</v>
          </cell>
          <cell r="W129" t="e">
            <v>#N/A</v>
          </cell>
          <cell r="AA129">
            <v>0</v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</row>
        <row r="130">
          <cell r="R130" t="str">
            <v>DOM BEL PRM2</v>
          </cell>
          <cell r="S130" t="e">
            <v>#N/A</v>
          </cell>
          <cell r="T130" t="e">
            <v>#N/A</v>
          </cell>
          <cell r="U130" t="e">
            <v>#N/A</v>
          </cell>
          <cell r="V130" t="e">
            <v>#N/A</v>
          </cell>
          <cell r="W130" t="e">
            <v>#N/A</v>
          </cell>
          <cell r="AA130">
            <v>0</v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</row>
        <row r="131">
          <cell r="R131" t="str">
            <v>DOM BEL PRM3</v>
          </cell>
          <cell r="S131" t="e">
            <v>#N/A</v>
          </cell>
          <cell r="T131" t="e">
            <v>#N/A</v>
          </cell>
          <cell r="U131" t="e">
            <v>#N/A</v>
          </cell>
          <cell r="V131" t="e">
            <v>#N/A</v>
          </cell>
          <cell r="W131" t="e">
            <v>#N/A</v>
          </cell>
          <cell r="AA131">
            <v>0</v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</row>
        <row r="132">
          <cell r="R132" t="str">
            <v>DOM BEL PRM4</v>
          </cell>
          <cell r="S132" t="e">
            <v>#N/A</v>
          </cell>
          <cell r="T132" t="e">
            <v>#N/A</v>
          </cell>
          <cell r="U132" t="e">
            <v>#N/A</v>
          </cell>
          <cell r="V132" t="e">
            <v>#N/A</v>
          </cell>
          <cell r="W132" t="e">
            <v>#N/A</v>
          </cell>
          <cell r="AA132">
            <v>0</v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</row>
        <row r="133">
          <cell r="R133" t="str">
            <v>DOM BEL PRM5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AA133">
            <v>0</v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</row>
        <row r="134">
          <cell r="R134" t="str">
            <v>DOM BEL PRM6</v>
          </cell>
          <cell r="S134" t="e">
            <v>#N/A</v>
          </cell>
          <cell r="T134" t="e">
            <v>#N/A</v>
          </cell>
          <cell r="U134" t="e">
            <v>#N/A</v>
          </cell>
          <cell r="V134" t="e">
            <v>#N/A</v>
          </cell>
          <cell r="W134" t="e">
            <v>#N/A</v>
          </cell>
          <cell r="AA134">
            <v>0</v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</row>
        <row r="135">
          <cell r="R135" t="str">
            <v>DOM BEL PRM7</v>
          </cell>
          <cell r="S135" t="e">
            <v>#N/A</v>
          </cell>
          <cell r="T135" t="e">
            <v>#N/A</v>
          </cell>
          <cell r="U135" t="e">
            <v>#N/A</v>
          </cell>
          <cell r="V135" t="e">
            <v>#N/A</v>
          </cell>
          <cell r="W135" t="e">
            <v>#N/A</v>
          </cell>
          <cell r="AA135">
            <v>0</v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</row>
        <row r="136">
          <cell r="R136" t="str">
            <v>DOM BEL PRM8</v>
          </cell>
          <cell r="S136" t="e">
            <v>#N/A</v>
          </cell>
          <cell r="T136" t="e">
            <v>#N/A</v>
          </cell>
          <cell r="U136" t="e">
            <v>#N/A</v>
          </cell>
          <cell r="V136" t="e">
            <v>#N/A</v>
          </cell>
          <cell r="W136" t="e">
            <v>#N/A</v>
          </cell>
          <cell r="AA136">
            <v>0</v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</row>
        <row r="137">
          <cell r="R137" t="str">
            <v>DOM BEL PRM9</v>
          </cell>
          <cell r="S137" t="e">
            <v>#N/A</v>
          </cell>
          <cell r="T137" t="e">
            <v>#N/A</v>
          </cell>
          <cell r="U137" t="e">
            <v>#N/A</v>
          </cell>
          <cell r="V137" t="e">
            <v>#N/A</v>
          </cell>
          <cell r="W137" t="e">
            <v>#N/A</v>
          </cell>
          <cell r="AA137">
            <v>0</v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</row>
        <row r="138">
          <cell r="R138" t="str">
            <v>DOM BEL SCS</v>
          </cell>
          <cell r="S138" t="e">
            <v>#N/A</v>
          </cell>
          <cell r="T138" t="e">
            <v>#N/A</v>
          </cell>
          <cell r="U138" t="e">
            <v>#N/A</v>
          </cell>
          <cell r="V138" t="e">
            <v>#N/A</v>
          </cell>
          <cell r="W138" t="e">
            <v>#N/A</v>
          </cell>
          <cell r="AA138">
            <v>0</v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</row>
        <row r="139">
          <cell r="R139" t="str">
            <v>DOM BEL DTFN</v>
          </cell>
          <cell r="S139" t="e">
            <v>#N/A</v>
          </cell>
          <cell r="T139" t="e">
            <v>#N/A</v>
          </cell>
          <cell r="U139" t="e">
            <v>#N/A</v>
          </cell>
          <cell r="V139" t="e">
            <v>#N/A</v>
          </cell>
          <cell r="W139" t="e">
            <v>#N/A</v>
          </cell>
          <cell r="AA139">
            <v>0</v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</row>
        <row r="140">
          <cell r="R140" t="str">
            <v>DOM BRA MOB</v>
          </cell>
          <cell r="S140" t="e">
            <v>#N/A</v>
          </cell>
          <cell r="T140" t="e">
            <v>#N/A</v>
          </cell>
          <cell r="U140" t="e">
            <v>#N/A</v>
          </cell>
          <cell r="V140" t="e">
            <v>#N/A</v>
          </cell>
          <cell r="W140" t="e">
            <v>#N/A</v>
          </cell>
          <cell r="AA140">
            <v>0</v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</row>
        <row r="141">
          <cell r="R141" t="str">
            <v>DOM BRA FIX</v>
          </cell>
          <cell r="S141" t="e">
            <v>#N/A</v>
          </cell>
          <cell r="T141" t="e">
            <v>#N/A</v>
          </cell>
          <cell r="U141" t="e">
            <v>#N/A</v>
          </cell>
          <cell r="V141" t="e">
            <v>#N/A</v>
          </cell>
          <cell r="W141" t="e">
            <v>#N/A</v>
          </cell>
          <cell r="AA141">
            <v>0</v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</row>
        <row r="142">
          <cell r="R142" t="str">
            <v>DOM BGR MOB</v>
          </cell>
          <cell r="S142" t="e">
            <v>#N/A</v>
          </cell>
          <cell r="T142" t="e">
            <v>#N/A</v>
          </cell>
          <cell r="U142" t="e">
            <v>#N/A</v>
          </cell>
          <cell r="V142" t="e">
            <v>#N/A</v>
          </cell>
          <cell r="W142" t="e">
            <v>#N/A</v>
          </cell>
          <cell r="AA142">
            <v>0</v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</row>
        <row r="143">
          <cell r="R143" t="str">
            <v>DOM BGR FIX</v>
          </cell>
          <cell r="S143" t="e">
            <v>#N/A</v>
          </cell>
          <cell r="T143" t="e">
            <v>#N/A</v>
          </cell>
          <cell r="U143" t="e">
            <v>#N/A</v>
          </cell>
          <cell r="V143" t="e">
            <v>#N/A</v>
          </cell>
          <cell r="W143" t="e">
            <v>#N/A</v>
          </cell>
          <cell r="AA143">
            <v>0</v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</row>
        <row r="144">
          <cell r="R144" t="str">
            <v>DOM CAN CAOTH</v>
          </cell>
          <cell r="S144" t="e">
            <v>#N/A</v>
          </cell>
          <cell r="T144" t="e">
            <v>#N/A</v>
          </cell>
          <cell r="U144" t="e">
            <v>#N/A</v>
          </cell>
          <cell r="V144" t="e">
            <v>#N/A</v>
          </cell>
          <cell r="W144" t="e">
            <v>#N/A</v>
          </cell>
          <cell r="AA144">
            <v>0</v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</row>
        <row r="145">
          <cell r="R145" t="str">
            <v>DOM CHL MOB</v>
          </cell>
          <cell r="S145" t="e">
            <v>#N/A</v>
          </cell>
          <cell r="T145" t="e">
            <v>#N/A</v>
          </cell>
          <cell r="U145" t="e">
            <v>#N/A</v>
          </cell>
          <cell r="V145" t="e">
            <v>#N/A</v>
          </cell>
          <cell r="W145" t="e">
            <v>#N/A</v>
          </cell>
          <cell r="AA145">
            <v>0</v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</row>
        <row r="146">
          <cell r="R146" t="str">
            <v>DOM CHL FIX</v>
          </cell>
          <cell r="S146" t="e">
            <v>#N/A</v>
          </cell>
          <cell r="T146" t="e">
            <v>#N/A</v>
          </cell>
          <cell r="U146" t="e">
            <v>#N/A</v>
          </cell>
          <cell r="V146" t="e">
            <v>#N/A</v>
          </cell>
          <cell r="W146" t="e">
            <v>#N/A</v>
          </cell>
          <cell r="AA146">
            <v>0</v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</row>
        <row r="147">
          <cell r="R147" t="str">
            <v>DOM CRI CRI</v>
          </cell>
          <cell r="S147" t="e">
            <v>#N/A</v>
          </cell>
          <cell r="T147" t="e">
            <v>#N/A</v>
          </cell>
          <cell r="U147" t="e">
            <v>#N/A</v>
          </cell>
          <cell r="V147" t="e">
            <v>#N/A</v>
          </cell>
          <cell r="W147" t="e">
            <v>#N/A</v>
          </cell>
          <cell r="AA147">
            <v>0</v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</row>
        <row r="148">
          <cell r="R148" t="str">
            <v>DOM CRI CRIMO</v>
          </cell>
          <cell r="S148" t="e">
            <v>#N/A</v>
          </cell>
          <cell r="T148" t="e">
            <v>#N/A</v>
          </cell>
          <cell r="U148" t="e">
            <v>#N/A</v>
          </cell>
          <cell r="V148" t="e">
            <v>#N/A</v>
          </cell>
          <cell r="W148" t="e">
            <v>#N/A</v>
          </cell>
          <cell r="AA148">
            <v>0</v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</row>
        <row r="149">
          <cell r="R149" t="str">
            <v>DOM HRV MOB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 t="e">
            <v>#N/A</v>
          </cell>
          <cell r="AA149">
            <v>0</v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</row>
        <row r="150">
          <cell r="R150" t="str">
            <v>DOM HRV HRMT</v>
          </cell>
          <cell r="S150" t="e">
            <v>#N/A</v>
          </cell>
          <cell r="T150" t="e">
            <v>#N/A</v>
          </cell>
          <cell r="U150" t="e">
            <v>#N/A</v>
          </cell>
          <cell r="V150" t="e">
            <v>#N/A</v>
          </cell>
          <cell r="W150" t="e">
            <v>#N/A</v>
          </cell>
          <cell r="AA150">
            <v>0</v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</row>
        <row r="151">
          <cell r="R151" t="str">
            <v>DOM HRV FIX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AA151">
            <v>0</v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</row>
        <row r="152">
          <cell r="R152" t="str">
            <v>DOM CSK CZMT</v>
          </cell>
          <cell r="S152" t="e">
            <v>#N/A</v>
          </cell>
          <cell r="T152" t="e">
            <v>#N/A</v>
          </cell>
          <cell r="U152" t="e">
            <v>#N/A</v>
          </cell>
          <cell r="V152" t="e">
            <v>#N/A</v>
          </cell>
          <cell r="W152" t="e">
            <v>#N/A</v>
          </cell>
          <cell r="AA152">
            <v>0</v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</row>
        <row r="153">
          <cell r="R153" t="str">
            <v>DOM CSK MOBIL</v>
          </cell>
          <cell r="S153" t="e">
            <v>#N/A</v>
          </cell>
          <cell r="T153" t="e">
            <v>#N/A</v>
          </cell>
          <cell r="U153" t="e">
            <v>#N/A</v>
          </cell>
          <cell r="V153" t="e">
            <v>#N/A</v>
          </cell>
          <cell r="W153" t="e">
            <v>#N/A</v>
          </cell>
          <cell r="AA153">
            <v>0</v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</row>
        <row r="154">
          <cell r="R154" t="str">
            <v>DOM CSK FIX</v>
          </cell>
          <cell r="S154" t="e">
            <v>#N/A</v>
          </cell>
          <cell r="T154" t="e">
            <v>#N/A</v>
          </cell>
          <cell r="U154" t="e">
            <v>#N/A</v>
          </cell>
          <cell r="V154" t="e">
            <v>#N/A</v>
          </cell>
          <cell r="W154" t="e">
            <v>#N/A</v>
          </cell>
          <cell r="AA154">
            <v>0</v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</row>
        <row r="155">
          <cell r="R155" t="str">
            <v>DOM CSK WNM</v>
          </cell>
          <cell r="S155" t="e">
            <v>#N/A</v>
          </cell>
          <cell r="T155" t="e">
            <v>#N/A</v>
          </cell>
          <cell r="U155" t="e">
            <v>#N/A</v>
          </cell>
          <cell r="V155" t="e">
            <v>#N/A</v>
          </cell>
          <cell r="W155" t="e">
            <v>#N/A</v>
          </cell>
          <cell r="AA155">
            <v>0</v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</row>
        <row r="156">
          <cell r="R156" t="str">
            <v>DOM DNK AREA1</v>
          </cell>
          <cell r="S156" t="e">
            <v>#N/A</v>
          </cell>
          <cell r="T156" t="e">
            <v>#N/A</v>
          </cell>
          <cell r="U156" t="e">
            <v>#N/A</v>
          </cell>
          <cell r="V156" t="e">
            <v>#N/A</v>
          </cell>
          <cell r="W156" t="e">
            <v>#N/A</v>
          </cell>
          <cell r="AA156">
            <v>0</v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</row>
        <row r="157">
          <cell r="R157" t="str">
            <v>DOM DNK AREA3</v>
          </cell>
          <cell r="S157" t="e">
            <v>#N/A</v>
          </cell>
          <cell r="T157" t="e">
            <v>#N/A</v>
          </cell>
          <cell r="U157" t="e">
            <v>#N/A</v>
          </cell>
          <cell r="V157" t="e">
            <v>#N/A</v>
          </cell>
          <cell r="W157" t="e">
            <v>#N/A</v>
          </cell>
          <cell r="AA157">
            <v>0</v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</row>
        <row r="158">
          <cell r="R158" t="str">
            <v>DOM DNK DKMTE</v>
          </cell>
          <cell r="S158" t="e">
            <v>#N/A</v>
          </cell>
          <cell r="T158" t="e">
            <v>#N/A</v>
          </cell>
          <cell r="U158" t="e">
            <v>#N/A</v>
          </cell>
          <cell r="V158" t="e">
            <v>#N/A</v>
          </cell>
          <cell r="W158" t="e">
            <v>#N/A</v>
          </cell>
          <cell r="AA158">
            <v>0</v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</row>
        <row r="159">
          <cell r="R159" t="str">
            <v>DOM DNK DKANI</v>
          </cell>
          <cell r="S159" t="e">
            <v>#N/A</v>
          </cell>
          <cell r="T159" t="e">
            <v>#N/A</v>
          </cell>
          <cell r="U159" t="e">
            <v>#N/A</v>
          </cell>
          <cell r="V159" t="e">
            <v>#N/A</v>
          </cell>
          <cell r="W159" t="e">
            <v>#N/A</v>
          </cell>
          <cell r="AA159">
            <v>0</v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</row>
        <row r="160">
          <cell r="R160" t="str">
            <v>DOM DNK DKCNF</v>
          </cell>
          <cell r="S160" t="e">
            <v>#N/A</v>
          </cell>
          <cell r="T160" t="e">
            <v>#N/A</v>
          </cell>
          <cell r="U160" t="e">
            <v>#N/A</v>
          </cell>
          <cell r="V160" t="e">
            <v>#N/A</v>
          </cell>
          <cell r="W160" t="e">
            <v>#N/A</v>
          </cell>
          <cell r="AA160">
            <v>0</v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</row>
        <row r="161">
          <cell r="R161" t="str">
            <v>DOM DNK DKCRP</v>
          </cell>
          <cell r="S161" t="e">
            <v>#N/A</v>
          </cell>
          <cell r="T161" t="e">
            <v>#N/A</v>
          </cell>
          <cell r="U161" t="e">
            <v>#N/A</v>
          </cell>
          <cell r="V161" t="e">
            <v>#N/A</v>
          </cell>
          <cell r="W161" t="e">
            <v>#N/A</v>
          </cell>
          <cell r="AA161">
            <v>0</v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</row>
        <row r="162">
          <cell r="R162" t="str">
            <v>DOM DNK DKDQ2</v>
          </cell>
          <cell r="S162" t="e">
            <v>#N/A</v>
          </cell>
          <cell r="T162" t="e">
            <v>#N/A</v>
          </cell>
          <cell r="U162" t="e">
            <v>#N/A</v>
          </cell>
          <cell r="V162" t="e">
            <v>#N/A</v>
          </cell>
          <cell r="W162" t="e">
            <v>#N/A</v>
          </cell>
          <cell r="AA162">
            <v>0</v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</row>
        <row r="163">
          <cell r="R163" t="str">
            <v>DOM DNK DKEMG</v>
          </cell>
          <cell r="S163" t="e">
            <v>#N/A</v>
          </cell>
          <cell r="T163" t="e">
            <v>#N/A</v>
          </cell>
          <cell r="U163" t="e">
            <v>#N/A</v>
          </cell>
          <cell r="V163" t="e">
            <v>#N/A</v>
          </cell>
          <cell r="W163" t="e">
            <v>#N/A</v>
          </cell>
          <cell r="AA163">
            <v>0</v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</row>
        <row r="164">
          <cell r="R164" t="str">
            <v>DOM DNK DKFLX</v>
          </cell>
          <cell r="S164" t="e">
            <v>#N/A</v>
          </cell>
          <cell r="T164" t="e">
            <v>#N/A</v>
          </cell>
          <cell r="U164" t="e">
            <v>#N/A</v>
          </cell>
          <cell r="V164" t="e">
            <v>#N/A</v>
          </cell>
          <cell r="W164" t="e">
            <v>#N/A</v>
          </cell>
          <cell r="AA164">
            <v>0</v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</row>
        <row r="165">
          <cell r="R165" t="str">
            <v>DOM DNK DKFRE</v>
          </cell>
          <cell r="S165" t="e">
            <v>#N/A</v>
          </cell>
          <cell r="T165" t="e">
            <v>#N/A</v>
          </cell>
          <cell r="U165" t="e">
            <v>#N/A</v>
          </cell>
          <cell r="V165" t="e">
            <v>#N/A</v>
          </cell>
          <cell r="W165" t="e">
            <v>#N/A</v>
          </cell>
          <cell r="AA165">
            <v>0</v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</row>
        <row r="166">
          <cell r="R166" t="str">
            <v>DOM DNK DKHLT</v>
          </cell>
          <cell r="S166" t="e">
            <v>#N/A</v>
          </cell>
          <cell r="T166" t="e">
            <v>#N/A</v>
          </cell>
          <cell r="U166" t="e">
            <v>#N/A</v>
          </cell>
          <cell r="V166" t="e">
            <v>#N/A</v>
          </cell>
          <cell r="W166" t="e">
            <v>#N/A</v>
          </cell>
          <cell r="AA166">
            <v>0</v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</row>
        <row r="167">
          <cell r="R167" t="str">
            <v>DOM DNK DKDIQ</v>
          </cell>
          <cell r="S167" t="e">
            <v>#N/A</v>
          </cell>
          <cell r="T167" t="e">
            <v>#N/A</v>
          </cell>
          <cell r="U167" t="e">
            <v>#N/A</v>
          </cell>
          <cell r="V167" t="e">
            <v>#N/A</v>
          </cell>
          <cell r="W167" t="e">
            <v>#N/A</v>
          </cell>
          <cell r="AA167">
            <v>0</v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</row>
        <row r="168">
          <cell r="R168" t="str">
            <v>DOM DNK DKNEW</v>
          </cell>
          <cell r="S168" t="e">
            <v>#N/A</v>
          </cell>
          <cell r="T168" t="e">
            <v>#N/A</v>
          </cell>
          <cell r="U168" t="e">
            <v>#N/A</v>
          </cell>
          <cell r="V168" t="e">
            <v>#N/A</v>
          </cell>
          <cell r="W168" t="e">
            <v>#N/A</v>
          </cell>
          <cell r="AA168">
            <v>0</v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</row>
        <row r="169">
          <cell r="R169" t="str">
            <v>DOM DNK DKN2N</v>
          </cell>
          <cell r="S169" t="e">
            <v>#N/A</v>
          </cell>
          <cell r="T169" t="e">
            <v>#N/A</v>
          </cell>
          <cell r="U169" t="e">
            <v>#N/A</v>
          </cell>
          <cell r="V169" t="e">
            <v>#N/A</v>
          </cell>
          <cell r="W169" t="e">
            <v>#N/A</v>
          </cell>
          <cell r="AA169">
            <v>0</v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</row>
        <row r="170">
          <cell r="R170" t="str">
            <v>DOM DNK DKPOL</v>
          </cell>
          <cell r="S170" t="e">
            <v>#N/A</v>
          </cell>
          <cell r="T170" t="e">
            <v>#N/A</v>
          </cell>
          <cell r="U170" t="e">
            <v>#N/A</v>
          </cell>
          <cell r="V170" t="e">
            <v>#N/A</v>
          </cell>
          <cell r="W170" t="e">
            <v>#N/A</v>
          </cell>
          <cell r="AA170">
            <v>0</v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</row>
        <row r="171">
          <cell r="R171" t="str">
            <v>DOM DNK DKP01</v>
          </cell>
          <cell r="S171" t="e">
            <v>#N/A</v>
          </cell>
          <cell r="T171" t="e">
            <v>#N/A</v>
          </cell>
          <cell r="U171" t="e">
            <v>#N/A</v>
          </cell>
          <cell r="V171" t="e">
            <v>#N/A</v>
          </cell>
          <cell r="W171" t="e">
            <v>#N/A</v>
          </cell>
          <cell r="AA171">
            <v>0</v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</row>
        <row r="172">
          <cell r="R172" t="str">
            <v>DOM DNK DKP02</v>
          </cell>
          <cell r="S172" t="e">
            <v>#N/A</v>
          </cell>
          <cell r="T172" t="e">
            <v>#N/A</v>
          </cell>
          <cell r="U172" t="e">
            <v>#N/A</v>
          </cell>
          <cell r="V172" t="e">
            <v>#N/A</v>
          </cell>
          <cell r="W172" t="e">
            <v>#N/A</v>
          </cell>
          <cell r="AA172">
            <v>0</v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</row>
        <row r="173">
          <cell r="R173" t="str">
            <v>DOM DNK DKP03</v>
          </cell>
          <cell r="S173" t="e">
            <v>#N/A</v>
          </cell>
          <cell r="T173" t="e">
            <v>#N/A</v>
          </cell>
          <cell r="U173" t="e">
            <v>#N/A</v>
          </cell>
          <cell r="V173" t="e">
            <v>#N/A</v>
          </cell>
          <cell r="W173" t="e">
            <v>#N/A</v>
          </cell>
          <cell r="AA173">
            <v>0</v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</row>
        <row r="174">
          <cell r="R174" t="str">
            <v>DOM DNK DKP04</v>
          </cell>
          <cell r="S174" t="e">
            <v>#N/A</v>
          </cell>
          <cell r="T174" t="e">
            <v>#N/A</v>
          </cell>
          <cell r="U174" t="e">
            <v>#N/A</v>
          </cell>
          <cell r="V174" t="e">
            <v>#N/A</v>
          </cell>
          <cell r="W174" t="e">
            <v>#N/A</v>
          </cell>
          <cell r="AA174">
            <v>0</v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</row>
        <row r="175">
          <cell r="R175" t="str">
            <v>DOM DNK DKP05</v>
          </cell>
          <cell r="S175" t="e">
            <v>#N/A</v>
          </cell>
          <cell r="T175" t="e">
            <v>#N/A</v>
          </cell>
          <cell r="U175" t="e">
            <v>#N/A</v>
          </cell>
          <cell r="V175" t="e">
            <v>#N/A</v>
          </cell>
          <cell r="W175" t="e">
            <v>#N/A</v>
          </cell>
          <cell r="AA175">
            <v>0</v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</row>
        <row r="176">
          <cell r="R176" t="str">
            <v>DOM DNK DKP06</v>
          </cell>
          <cell r="S176" t="e">
            <v>#N/A</v>
          </cell>
          <cell r="T176" t="e">
            <v>#N/A</v>
          </cell>
          <cell r="U176" t="e">
            <v>#N/A</v>
          </cell>
          <cell r="V176" t="e">
            <v>#N/A</v>
          </cell>
          <cell r="W176" t="e">
            <v>#N/A</v>
          </cell>
          <cell r="AA176">
            <v>0</v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</row>
        <row r="177">
          <cell r="R177" t="str">
            <v>DOM DNK DKP07</v>
          </cell>
          <cell r="S177" t="e">
            <v>#N/A</v>
          </cell>
          <cell r="T177" t="e">
            <v>#N/A</v>
          </cell>
          <cell r="U177" t="e">
            <v>#N/A</v>
          </cell>
          <cell r="V177" t="e">
            <v>#N/A</v>
          </cell>
          <cell r="W177" t="e">
            <v>#N/A</v>
          </cell>
          <cell r="AA177">
            <v>0</v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</row>
        <row r="178">
          <cell r="R178" t="str">
            <v>DOM DNK DKP08</v>
          </cell>
          <cell r="S178" t="e">
            <v>#N/A</v>
          </cell>
          <cell r="T178" t="e">
            <v>#N/A</v>
          </cell>
          <cell r="U178" t="e">
            <v>#N/A</v>
          </cell>
          <cell r="V178" t="e">
            <v>#N/A</v>
          </cell>
          <cell r="W178" t="e">
            <v>#N/A</v>
          </cell>
          <cell r="AA178">
            <v>0</v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</row>
        <row r="179">
          <cell r="R179" t="str">
            <v>DOM DNK DKP09</v>
          </cell>
          <cell r="S179" t="e">
            <v>#N/A</v>
          </cell>
          <cell r="T179" t="e">
            <v>#N/A</v>
          </cell>
          <cell r="U179" t="e">
            <v>#N/A</v>
          </cell>
          <cell r="V179" t="e">
            <v>#N/A</v>
          </cell>
          <cell r="W179" t="e">
            <v>#N/A</v>
          </cell>
          <cell r="AA179">
            <v>0</v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</row>
        <row r="180">
          <cell r="R180" t="str">
            <v>DOM DNK DKP10</v>
          </cell>
          <cell r="S180" t="e">
            <v>#N/A</v>
          </cell>
          <cell r="T180" t="e">
            <v>#N/A</v>
          </cell>
          <cell r="U180" t="e">
            <v>#N/A</v>
          </cell>
          <cell r="V180" t="e">
            <v>#N/A</v>
          </cell>
          <cell r="W180" t="e">
            <v>#N/A</v>
          </cell>
          <cell r="AA180">
            <v>0</v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</row>
        <row r="181">
          <cell r="R181" t="str">
            <v>DOM DNK DKP11</v>
          </cell>
          <cell r="S181" t="e">
            <v>#N/A</v>
          </cell>
          <cell r="T181" t="e">
            <v>#N/A</v>
          </cell>
          <cell r="U181" t="e">
            <v>#N/A</v>
          </cell>
          <cell r="V181" t="e">
            <v>#N/A</v>
          </cell>
          <cell r="W181" t="e">
            <v>#N/A</v>
          </cell>
          <cell r="AA181">
            <v>0</v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</row>
        <row r="182">
          <cell r="R182" t="str">
            <v>DOM DNK DKP12</v>
          </cell>
          <cell r="S182" t="e">
            <v>#N/A</v>
          </cell>
          <cell r="T182" t="e">
            <v>#N/A</v>
          </cell>
          <cell r="U182" t="e">
            <v>#N/A</v>
          </cell>
          <cell r="V182" t="e">
            <v>#N/A</v>
          </cell>
          <cell r="W182" t="e">
            <v>#N/A</v>
          </cell>
          <cell r="AA182">
            <v>0</v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</row>
        <row r="183">
          <cell r="R183" t="str">
            <v>DOM DNK DKP13</v>
          </cell>
          <cell r="S183" t="e">
            <v>#N/A</v>
          </cell>
          <cell r="T183" t="e">
            <v>#N/A</v>
          </cell>
          <cell r="U183" t="e">
            <v>#N/A</v>
          </cell>
          <cell r="V183" t="e">
            <v>#N/A</v>
          </cell>
          <cell r="W183" t="e">
            <v>#N/A</v>
          </cell>
          <cell r="AA183">
            <v>0</v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</row>
        <row r="184">
          <cell r="R184" t="str">
            <v>DOM DNK DKP14</v>
          </cell>
          <cell r="S184" t="e">
            <v>#N/A</v>
          </cell>
          <cell r="T184" t="e">
            <v>#N/A</v>
          </cell>
          <cell r="U184" t="e">
            <v>#N/A</v>
          </cell>
          <cell r="V184" t="e">
            <v>#N/A</v>
          </cell>
          <cell r="W184" t="e">
            <v>#N/A</v>
          </cell>
          <cell r="AA184">
            <v>0</v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</row>
        <row r="185">
          <cell r="R185" t="str">
            <v>DOM DNK DKP15</v>
          </cell>
          <cell r="S185" t="e">
            <v>#N/A</v>
          </cell>
          <cell r="T185" t="e">
            <v>#N/A</v>
          </cell>
          <cell r="U185" t="e">
            <v>#N/A</v>
          </cell>
          <cell r="V185" t="e">
            <v>#N/A</v>
          </cell>
          <cell r="W185" t="e">
            <v>#N/A</v>
          </cell>
          <cell r="AA185">
            <v>0</v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</row>
        <row r="186">
          <cell r="R186" t="str">
            <v>DOM DNK DKP18</v>
          </cell>
          <cell r="S186" t="e">
            <v>#N/A</v>
          </cell>
          <cell r="T186" t="e">
            <v>#N/A</v>
          </cell>
          <cell r="U186" t="e">
            <v>#N/A</v>
          </cell>
          <cell r="V186" t="e">
            <v>#N/A</v>
          </cell>
          <cell r="W186" t="e">
            <v>#N/A</v>
          </cell>
          <cell r="AA186">
            <v>0</v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</row>
        <row r="187">
          <cell r="R187" t="str">
            <v>DOM DNK DKP19</v>
          </cell>
          <cell r="S187" t="e">
            <v>#N/A</v>
          </cell>
          <cell r="T187" t="e">
            <v>#N/A</v>
          </cell>
          <cell r="U187" t="e">
            <v>#N/A</v>
          </cell>
          <cell r="V187" t="e">
            <v>#N/A</v>
          </cell>
          <cell r="W187" t="e">
            <v>#N/A</v>
          </cell>
          <cell r="AA187">
            <v>0</v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</row>
        <row r="188">
          <cell r="R188" t="str">
            <v>DOM DNK DKP20</v>
          </cell>
          <cell r="S188" t="e">
            <v>#N/A</v>
          </cell>
          <cell r="T188" t="e">
            <v>#N/A</v>
          </cell>
          <cell r="U188" t="e">
            <v>#N/A</v>
          </cell>
          <cell r="V188" t="e">
            <v>#N/A</v>
          </cell>
          <cell r="W188" t="e">
            <v>#N/A</v>
          </cell>
          <cell r="AA188">
            <v>0</v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</row>
        <row r="189">
          <cell r="R189" t="str">
            <v>DOM DNK DKP21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</row>
        <row r="190">
          <cell r="R190" t="str">
            <v>DOM DNK DKP22</v>
          </cell>
          <cell r="S190" t="e">
            <v>#N/A</v>
          </cell>
          <cell r="T190" t="e">
            <v>#N/A</v>
          </cell>
          <cell r="U190" t="e">
            <v>#N/A</v>
          </cell>
          <cell r="V190" t="e">
            <v>#N/A</v>
          </cell>
          <cell r="W190" t="e">
            <v>#N/A</v>
          </cell>
          <cell r="AA190">
            <v>0</v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</row>
        <row r="191">
          <cell r="R191" t="str">
            <v>DOM DNK DKP23</v>
          </cell>
          <cell r="S191" t="e">
            <v>#N/A</v>
          </cell>
          <cell r="T191" t="e">
            <v>#N/A</v>
          </cell>
          <cell r="U191" t="e">
            <v>#N/A</v>
          </cell>
          <cell r="V191" t="e">
            <v>#N/A</v>
          </cell>
          <cell r="W191" t="e">
            <v>#N/A</v>
          </cell>
          <cell r="AA191">
            <v>0</v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</row>
        <row r="192">
          <cell r="R192" t="str">
            <v>DOM DNK DKP24</v>
          </cell>
          <cell r="S192" t="e">
            <v>#N/A</v>
          </cell>
          <cell r="T192" t="e">
            <v>#N/A</v>
          </cell>
          <cell r="U192" t="e">
            <v>#N/A</v>
          </cell>
          <cell r="V192" t="e">
            <v>#N/A</v>
          </cell>
          <cell r="W192" t="e">
            <v>#N/A</v>
          </cell>
          <cell r="AA192">
            <v>0</v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</row>
        <row r="193">
          <cell r="R193" t="str">
            <v>DOM DNK DKP25</v>
          </cell>
          <cell r="S193" t="e">
            <v>#N/A</v>
          </cell>
          <cell r="T193" t="e">
            <v>#N/A</v>
          </cell>
          <cell r="U193" t="e">
            <v>#N/A</v>
          </cell>
          <cell r="V193" t="e">
            <v>#N/A</v>
          </cell>
          <cell r="W193" t="e">
            <v>#N/A</v>
          </cell>
          <cell r="AA193">
            <v>0</v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</row>
        <row r="194">
          <cell r="R194" t="str">
            <v>DOM DNK DKP26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AA194">
            <v>0</v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</row>
        <row r="195">
          <cell r="R195" t="str">
            <v>DOM DNK DKP27</v>
          </cell>
          <cell r="S195" t="e">
            <v>#N/A</v>
          </cell>
          <cell r="T195" t="e">
            <v>#N/A</v>
          </cell>
          <cell r="U195" t="e">
            <v>#N/A</v>
          </cell>
          <cell r="V195" t="e">
            <v>#N/A</v>
          </cell>
          <cell r="W195" t="e">
            <v>#N/A</v>
          </cell>
          <cell r="AA195">
            <v>0</v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</row>
        <row r="196">
          <cell r="R196" t="str">
            <v>DOM DNK DKP28</v>
          </cell>
          <cell r="S196" t="e">
            <v>#N/A</v>
          </cell>
          <cell r="T196" t="e">
            <v>#N/A</v>
          </cell>
          <cell r="U196" t="e">
            <v>#N/A</v>
          </cell>
          <cell r="V196" t="e">
            <v>#N/A</v>
          </cell>
          <cell r="W196" t="e">
            <v>#N/A</v>
          </cell>
          <cell r="AA196">
            <v>0</v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</row>
        <row r="197">
          <cell r="R197" t="str">
            <v>DOM DNK DKP29</v>
          </cell>
          <cell r="S197" t="e">
            <v>#N/A</v>
          </cell>
          <cell r="T197" t="e">
            <v>#N/A</v>
          </cell>
          <cell r="U197" t="e">
            <v>#N/A</v>
          </cell>
          <cell r="V197" t="e">
            <v>#N/A</v>
          </cell>
          <cell r="W197" t="e">
            <v>#N/A</v>
          </cell>
          <cell r="AA197">
            <v>0</v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</row>
        <row r="198">
          <cell r="R198" t="str">
            <v>DOM DNK DKROI</v>
          </cell>
          <cell r="S198" t="e">
            <v>#N/A</v>
          </cell>
          <cell r="T198" t="e">
            <v>#N/A</v>
          </cell>
          <cell r="U198" t="e">
            <v>#N/A</v>
          </cell>
          <cell r="V198" t="e">
            <v>#N/A</v>
          </cell>
          <cell r="W198" t="e">
            <v>#N/A</v>
          </cell>
          <cell r="AA198">
            <v>0</v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</row>
        <row r="199">
          <cell r="R199" t="str">
            <v>DOM DNK DKWFC</v>
          </cell>
          <cell r="S199" t="e">
            <v>#N/A</v>
          </cell>
          <cell r="T199" t="e">
            <v>#N/A</v>
          </cell>
          <cell r="U199" t="e">
            <v>#N/A</v>
          </cell>
          <cell r="V199" t="e">
            <v>#N/A</v>
          </cell>
          <cell r="W199" t="e">
            <v>#N/A</v>
          </cell>
          <cell r="AA199">
            <v>0</v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</row>
        <row r="200">
          <cell r="R200" t="str">
            <v>DOM EST MOB</v>
          </cell>
          <cell r="S200" t="e">
            <v>#N/A</v>
          </cell>
          <cell r="T200" t="e">
            <v>#N/A</v>
          </cell>
          <cell r="U200" t="e">
            <v>#N/A</v>
          </cell>
          <cell r="V200" t="e">
            <v>#N/A</v>
          </cell>
          <cell r="W200" t="e">
            <v>#N/A</v>
          </cell>
          <cell r="AA200">
            <v>0</v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</row>
        <row r="201">
          <cell r="R201" t="str">
            <v>DOM EST EEMEM</v>
          </cell>
          <cell r="S201" t="e">
            <v>#N/A</v>
          </cell>
          <cell r="T201" t="e">
            <v>#N/A</v>
          </cell>
          <cell r="U201" t="e">
            <v>#N/A</v>
          </cell>
          <cell r="V201" t="e">
            <v>#N/A</v>
          </cell>
          <cell r="W201" t="e">
            <v>#N/A</v>
          </cell>
          <cell r="AA201">
            <v>0</v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</row>
        <row r="202">
          <cell r="R202" t="str">
            <v>DOM EST FIX</v>
          </cell>
          <cell r="S202" t="e">
            <v>#N/A</v>
          </cell>
          <cell r="T202" t="e">
            <v>#N/A</v>
          </cell>
          <cell r="U202" t="e">
            <v>#N/A</v>
          </cell>
          <cell r="V202" t="e">
            <v>#N/A</v>
          </cell>
          <cell r="W202" t="e">
            <v>#N/A</v>
          </cell>
          <cell r="AA202">
            <v>0</v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</row>
        <row r="203">
          <cell r="R203" t="str">
            <v>DOM FIN AREA2</v>
          </cell>
          <cell r="S203" t="e">
            <v>#N/A</v>
          </cell>
          <cell r="T203" t="e">
            <v>#N/A</v>
          </cell>
          <cell r="U203" t="e">
            <v>#N/A</v>
          </cell>
          <cell r="V203" t="e">
            <v>#N/A</v>
          </cell>
          <cell r="W203" t="e">
            <v>#N/A</v>
          </cell>
          <cell r="AA203">
            <v>0</v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</row>
        <row r="204">
          <cell r="R204" t="str">
            <v>DOM FIN FIMSO</v>
          </cell>
          <cell r="S204" t="e">
            <v>#N/A</v>
          </cell>
          <cell r="T204" t="e">
            <v>#N/A</v>
          </cell>
          <cell r="U204" t="e">
            <v>#N/A</v>
          </cell>
          <cell r="V204" t="e">
            <v>#N/A</v>
          </cell>
          <cell r="W204" t="e">
            <v>#N/A</v>
          </cell>
          <cell r="AA204">
            <v>0</v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</row>
        <row r="205">
          <cell r="R205" t="str">
            <v>DOM FIN AREA1</v>
          </cell>
          <cell r="S205" t="e">
            <v>#N/A</v>
          </cell>
          <cell r="T205" t="e">
            <v>#N/A</v>
          </cell>
          <cell r="U205" t="e">
            <v>#N/A</v>
          </cell>
          <cell r="V205" t="e">
            <v>#N/A</v>
          </cell>
          <cell r="W205" t="e">
            <v>#N/A</v>
          </cell>
          <cell r="AA205">
            <v>0</v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</row>
        <row r="206">
          <cell r="R206" t="str">
            <v>DOM FIN FIB01</v>
          </cell>
          <cell r="S206" t="e">
            <v>#N/A</v>
          </cell>
          <cell r="T206" t="e">
            <v>#N/A</v>
          </cell>
          <cell r="U206" t="e">
            <v>#N/A</v>
          </cell>
          <cell r="V206" t="e">
            <v>#N/A</v>
          </cell>
          <cell r="W206" t="e">
            <v>#N/A</v>
          </cell>
          <cell r="AA206">
            <v>0</v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</row>
        <row r="207">
          <cell r="R207" t="str">
            <v>DOM FIN FIB02</v>
          </cell>
          <cell r="S207" t="e">
            <v>#N/A</v>
          </cell>
          <cell r="T207" t="e">
            <v>#N/A</v>
          </cell>
          <cell r="U207" t="e">
            <v>#N/A</v>
          </cell>
          <cell r="V207" t="e">
            <v>#N/A</v>
          </cell>
          <cell r="W207" t="e">
            <v>#N/A</v>
          </cell>
          <cell r="AA207">
            <v>0</v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</row>
        <row r="208">
          <cell r="R208" t="str">
            <v>DOM FIN FIB03</v>
          </cell>
          <cell r="S208" t="e">
            <v>#N/A</v>
          </cell>
          <cell r="T208" t="e">
            <v>#N/A</v>
          </cell>
          <cell r="U208" t="e">
            <v>#N/A</v>
          </cell>
          <cell r="V208" t="e">
            <v>#N/A</v>
          </cell>
          <cell r="W208" t="e">
            <v>#N/A</v>
          </cell>
          <cell r="AA208">
            <v>0</v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</row>
        <row r="209">
          <cell r="R209" t="str">
            <v>DOM FIN FIB04</v>
          </cell>
          <cell r="S209" t="e">
            <v>#N/A</v>
          </cell>
          <cell r="T209" t="e">
            <v>#N/A</v>
          </cell>
          <cell r="U209" t="e">
            <v>#N/A</v>
          </cell>
          <cell r="V209" t="e">
            <v>#N/A</v>
          </cell>
          <cell r="W209" t="e">
            <v>#N/A</v>
          </cell>
          <cell r="AA209">
            <v>0</v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</row>
        <row r="210">
          <cell r="R210" t="str">
            <v>DOM FIN FIB05</v>
          </cell>
          <cell r="S210" t="e">
            <v>#N/A</v>
          </cell>
          <cell r="T210" t="e">
            <v>#N/A</v>
          </cell>
          <cell r="U210" t="e">
            <v>#N/A</v>
          </cell>
          <cell r="V210" t="e">
            <v>#N/A</v>
          </cell>
          <cell r="W210" t="e">
            <v>#N/A</v>
          </cell>
          <cell r="AA210">
            <v>0</v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</row>
        <row r="211">
          <cell r="R211" t="str">
            <v>DOM FIN FIB06</v>
          </cell>
          <cell r="S211" t="e">
            <v>#N/A</v>
          </cell>
          <cell r="T211" t="e">
            <v>#N/A</v>
          </cell>
          <cell r="U211" t="e">
            <v>#N/A</v>
          </cell>
          <cell r="V211" t="e">
            <v>#N/A</v>
          </cell>
          <cell r="W211" t="e">
            <v>#N/A</v>
          </cell>
          <cell r="AA211">
            <v>0</v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</row>
        <row r="212">
          <cell r="R212" t="str">
            <v>DOM FIN FIB07</v>
          </cell>
          <cell r="S212" t="e">
            <v>#N/A</v>
          </cell>
          <cell r="T212" t="e">
            <v>#N/A</v>
          </cell>
          <cell r="U212" t="e">
            <v>#N/A</v>
          </cell>
          <cell r="V212" t="e">
            <v>#N/A</v>
          </cell>
          <cell r="W212" t="e">
            <v>#N/A</v>
          </cell>
          <cell r="AA212">
            <v>0</v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</row>
        <row r="213">
          <cell r="R213" t="str">
            <v>DOM FIN FIB08</v>
          </cell>
          <cell r="S213" t="e">
            <v>#N/A</v>
          </cell>
          <cell r="T213" t="e">
            <v>#N/A</v>
          </cell>
          <cell r="U213" t="e">
            <v>#N/A</v>
          </cell>
          <cell r="V213" t="e">
            <v>#N/A</v>
          </cell>
          <cell r="W213" t="e">
            <v>#N/A</v>
          </cell>
          <cell r="AA213">
            <v>0</v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</row>
        <row r="214">
          <cell r="R214" t="str">
            <v>DOM FIN FIB09</v>
          </cell>
          <cell r="S214" t="e">
            <v>#N/A</v>
          </cell>
          <cell r="T214" t="e">
            <v>#N/A</v>
          </cell>
          <cell r="U214" t="e">
            <v>#N/A</v>
          </cell>
          <cell r="V214" t="e">
            <v>#N/A</v>
          </cell>
          <cell r="W214" t="e">
            <v>#N/A</v>
          </cell>
          <cell r="AA214">
            <v>0</v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</row>
        <row r="215">
          <cell r="R215" t="str">
            <v>DOM FIN FIB10</v>
          </cell>
          <cell r="S215" t="e">
            <v>#N/A</v>
          </cell>
          <cell r="T215" t="e">
            <v>#N/A</v>
          </cell>
          <cell r="U215" t="e">
            <v>#N/A</v>
          </cell>
          <cell r="V215" t="e">
            <v>#N/A</v>
          </cell>
          <cell r="W215" t="e">
            <v>#N/A</v>
          </cell>
          <cell r="AA215">
            <v>0</v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</row>
        <row r="216">
          <cell r="R216" t="str">
            <v>DOM FIN FIB11</v>
          </cell>
          <cell r="S216" t="e">
            <v>#N/A</v>
          </cell>
          <cell r="T216" t="e">
            <v>#N/A</v>
          </cell>
          <cell r="U216" t="e">
            <v>#N/A</v>
          </cell>
          <cell r="V216" t="e">
            <v>#N/A</v>
          </cell>
          <cell r="W216" t="e">
            <v>#N/A</v>
          </cell>
          <cell r="AA216">
            <v>0</v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</row>
        <row r="217">
          <cell r="R217" t="str">
            <v>DOM FIN FIB12</v>
          </cell>
          <cell r="S217" t="e">
            <v>#N/A</v>
          </cell>
          <cell r="T217" t="e">
            <v>#N/A</v>
          </cell>
          <cell r="U217" t="e">
            <v>#N/A</v>
          </cell>
          <cell r="V217" t="e">
            <v>#N/A</v>
          </cell>
          <cell r="W217" t="e">
            <v>#N/A</v>
          </cell>
          <cell r="AA217">
            <v>0</v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</row>
        <row r="218">
          <cell r="R218" t="str">
            <v>DOM FIN FIB13</v>
          </cell>
          <cell r="S218" t="e">
            <v>#N/A</v>
          </cell>
          <cell r="T218" t="e">
            <v>#N/A</v>
          </cell>
          <cell r="U218" t="e">
            <v>#N/A</v>
          </cell>
          <cell r="V218" t="e">
            <v>#N/A</v>
          </cell>
          <cell r="W218" t="e">
            <v>#N/A</v>
          </cell>
          <cell r="AA218">
            <v>0</v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</row>
        <row r="219">
          <cell r="R219" t="str">
            <v>DOM FIN FIB14</v>
          </cell>
          <cell r="S219" t="e">
            <v>#N/A</v>
          </cell>
          <cell r="T219" t="e">
            <v>#N/A</v>
          </cell>
          <cell r="U219" t="e">
            <v>#N/A</v>
          </cell>
          <cell r="V219" t="e">
            <v>#N/A</v>
          </cell>
          <cell r="W219" t="e">
            <v>#N/A</v>
          </cell>
          <cell r="AA219">
            <v>0</v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</row>
        <row r="220">
          <cell r="R220" t="str">
            <v>DOM FIN FIB15</v>
          </cell>
          <cell r="S220" t="e">
            <v>#N/A</v>
          </cell>
          <cell r="T220" t="e">
            <v>#N/A</v>
          </cell>
          <cell r="U220" t="e">
            <v>#N/A</v>
          </cell>
          <cell r="V220" t="e">
            <v>#N/A</v>
          </cell>
          <cell r="W220" t="e">
            <v>#N/A</v>
          </cell>
          <cell r="AA220">
            <v>0</v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</row>
        <row r="221">
          <cell r="R221" t="str">
            <v>DOM FIN FIB16</v>
          </cell>
          <cell r="S221" t="e">
            <v>#N/A</v>
          </cell>
          <cell r="T221" t="e">
            <v>#N/A</v>
          </cell>
          <cell r="U221" t="e">
            <v>#N/A</v>
          </cell>
          <cell r="V221" t="e">
            <v>#N/A</v>
          </cell>
          <cell r="W221" t="e">
            <v>#N/A</v>
          </cell>
          <cell r="AA221">
            <v>0</v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</row>
        <row r="222">
          <cell r="R222" t="str">
            <v>DOM FIN FIB17</v>
          </cell>
          <cell r="S222" t="e">
            <v>#N/A</v>
          </cell>
          <cell r="T222" t="e">
            <v>#N/A</v>
          </cell>
          <cell r="U222" t="e">
            <v>#N/A</v>
          </cell>
          <cell r="V222" t="e">
            <v>#N/A</v>
          </cell>
          <cell r="W222" t="e">
            <v>#N/A</v>
          </cell>
          <cell r="AA222">
            <v>0</v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</row>
        <row r="223">
          <cell r="R223" t="str">
            <v>DOM FIN FIB18</v>
          </cell>
          <cell r="S223" t="e">
            <v>#N/A</v>
          </cell>
          <cell r="T223" t="e">
            <v>#N/A</v>
          </cell>
          <cell r="U223" t="e">
            <v>#N/A</v>
          </cell>
          <cell r="V223" t="e">
            <v>#N/A</v>
          </cell>
          <cell r="W223" t="e">
            <v>#N/A</v>
          </cell>
          <cell r="AA223">
            <v>0</v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</row>
        <row r="224">
          <cell r="R224" t="str">
            <v>DOM FIN FIB19</v>
          </cell>
          <cell r="S224" t="e">
            <v>#N/A</v>
          </cell>
          <cell r="T224" t="e">
            <v>#N/A</v>
          </cell>
          <cell r="U224" t="e">
            <v>#N/A</v>
          </cell>
          <cell r="V224" t="e">
            <v>#N/A</v>
          </cell>
          <cell r="W224" t="e">
            <v>#N/A</v>
          </cell>
          <cell r="AA224">
            <v>0</v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</row>
        <row r="225">
          <cell r="R225" t="str">
            <v>DOM FIN FIB20</v>
          </cell>
          <cell r="S225" t="e">
            <v>#N/A</v>
          </cell>
          <cell r="T225" t="e">
            <v>#N/A</v>
          </cell>
          <cell r="U225" t="e">
            <v>#N/A</v>
          </cell>
          <cell r="V225" t="e">
            <v>#N/A</v>
          </cell>
          <cell r="W225" t="e">
            <v>#N/A</v>
          </cell>
          <cell r="AA225">
            <v>0</v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</row>
        <row r="226">
          <cell r="R226" t="str">
            <v>DOM FIN FIB21</v>
          </cell>
          <cell r="S226" t="e">
            <v>#N/A</v>
          </cell>
          <cell r="T226" t="e">
            <v>#N/A</v>
          </cell>
          <cell r="U226" t="e">
            <v>#N/A</v>
          </cell>
          <cell r="V226" t="e">
            <v>#N/A</v>
          </cell>
          <cell r="W226" t="e">
            <v>#N/A</v>
          </cell>
          <cell r="AA226">
            <v>0</v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</row>
        <row r="227">
          <cell r="R227" t="str">
            <v>DOM FIN FIB22</v>
          </cell>
          <cell r="S227" t="e">
            <v>#N/A</v>
          </cell>
          <cell r="T227" t="e">
            <v>#N/A</v>
          </cell>
          <cell r="U227" t="e">
            <v>#N/A</v>
          </cell>
          <cell r="V227" t="e">
            <v>#N/A</v>
          </cell>
          <cell r="W227" t="e">
            <v>#N/A</v>
          </cell>
          <cell r="AA227">
            <v>0</v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</row>
        <row r="228">
          <cell r="R228" t="str">
            <v>DOM FIN FIB23</v>
          </cell>
          <cell r="S228" t="e">
            <v>#N/A</v>
          </cell>
          <cell r="T228" t="e">
            <v>#N/A</v>
          </cell>
          <cell r="U228" t="e">
            <v>#N/A</v>
          </cell>
          <cell r="V228" t="e">
            <v>#N/A</v>
          </cell>
          <cell r="W228" t="e">
            <v>#N/A</v>
          </cell>
          <cell r="AA228">
            <v>0</v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</row>
        <row r="229">
          <cell r="R229" t="str">
            <v>DOM FIN FIB24</v>
          </cell>
          <cell r="S229" t="e">
            <v>#N/A</v>
          </cell>
          <cell r="T229" t="e">
            <v>#N/A</v>
          </cell>
          <cell r="U229" t="e">
            <v>#N/A</v>
          </cell>
          <cell r="V229" t="e">
            <v>#N/A</v>
          </cell>
          <cell r="W229" t="e">
            <v>#N/A</v>
          </cell>
          <cell r="AA229">
            <v>0</v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</row>
        <row r="230">
          <cell r="R230" t="str">
            <v>DOM FIN FIB25</v>
          </cell>
          <cell r="S230" t="e">
            <v>#N/A</v>
          </cell>
          <cell r="T230" t="e">
            <v>#N/A</v>
          </cell>
          <cell r="U230" t="e">
            <v>#N/A</v>
          </cell>
          <cell r="V230" t="e">
            <v>#N/A</v>
          </cell>
          <cell r="W230" t="e">
            <v>#N/A</v>
          </cell>
          <cell r="AA230">
            <v>0</v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</row>
        <row r="231">
          <cell r="R231" t="str">
            <v>DOM FIN FIB26</v>
          </cell>
          <cell r="S231" t="e">
            <v>#N/A</v>
          </cell>
          <cell r="T231" t="e">
            <v>#N/A</v>
          </cell>
          <cell r="U231" t="e">
            <v>#N/A</v>
          </cell>
          <cell r="V231" t="e">
            <v>#N/A</v>
          </cell>
          <cell r="W231" t="e">
            <v>#N/A</v>
          </cell>
          <cell r="AA231">
            <v>0</v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</row>
        <row r="232">
          <cell r="R232" t="str">
            <v>DOM FIN FIB27</v>
          </cell>
          <cell r="S232" t="e">
            <v>#N/A</v>
          </cell>
          <cell r="T232" t="e">
            <v>#N/A</v>
          </cell>
          <cell r="U232" t="e">
            <v>#N/A</v>
          </cell>
          <cell r="V232" t="e">
            <v>#N/A</v>
          </cell>
          <cell r="W232" t="e">
            <v>#N/A</v>
          </cell>
          <cell r="AA232">
            <v>0</v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</row>
        <row r="233">
          <cell r="R233" t="str">
            <v>DOM FIN FIB28</v>
          </cell>
          <cell r="S233" t="e">
            <v>#N/A</v>
          </cell>
          <cell r="T233" t="e">
            <v>#N/A</v>
          </cell>
          <cell r="U233" t="e">
            <v>#N/A</v>
          </cell>
          <cell r="V233" t="e">
            <v>#N/A</v>
          </cell>
          <cell r="W233" t="e">
            <v>#N/A</v>
          </cell>
          <cell r="AA233">
            <v>0</v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</row>
        <row r="234">
          <cell r="R234" t="str">
            <v>DOM FIN FIB29</v>
          </cell>
          <cell r="S234" t="e">
            <v>#N/A</v>
          </cell>
          <cell r="T234" t="e">
            <v>#N/A</v>
          </cell>
          <cell r="U234" t="e">
            <v>#N/A</v>
          </cell>
          <cell r="V234" t="e">
            <v>#N/A</v>
          </cell>
          <cell r="W234" t="e">
            <v>#N/A</v>
          </cell>
          <cell r="AA234">
            <v>0</v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</row>
        <row r="235">
          <cell r="R235" t="str">
            <v>DOM FIN FIDIR</v>
          </cell>
          <cell r="S235" t="e">
            <v>#N/A</v>
          </cell>
          <cell r="T235" t="e">
            <v>#N/A</v>
          </cell>
          <cell r="U235" t="e">
            <v>#N/A</v>
          </cell>
          <cell r="V235" t="e">
            <v>#N/A</v>
          </cell>
          <cell r="W235" t="e">
            <v>#N/A</v>
          </cell>
          <cell r="AA235">
            <v>0</v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</row>
        <row r="236">
          <cell r="R236" t="str">
            <v>DOM FIN FISOS</v>
          </cell>
          <cell r="S236" t="e">
            <v>#N/A</v>
          </cell>
          <cell r="T236" t="e">
            <v>#N/A</v>
          </cell>
          <cell r="U236" t="e">
            <v>#N/A</v>
          </cell>
          <cell r="V236" t="e">
            <v>#N/A</v>
          </cell>
          <cell r="W236" t="e">
            <v>#N/A</v>
          </cell>
          <cell r="AA236">
            <v>0</v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</row>
        <row r="237">
          <cell r="R237" t="str">
            <v>DOM FIN FITFR</v>
          </cell>
          <cell r="S237" t="e">
            <v>#N/A</v>
          </cell>
          <cell r="T237" t="e">
            <v>#N/A</v>
          </cell>
          <cell r="U237" t="e">
            <v>#N/A</v>
          </cell>
          <cell r="V237" t="e">
            <v>#N/A</v>
          </cell>
          <cell r="W237" t="e">
            <v>#N/A</v>
          </cell>
          <cell r="AA237">
            <v>0</v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</row>
        <row r="238">
          <cell r="R238" t="str">
            <v>DOM FIN FITS1</v>
          </cell>
          <cell r="S238" t="e">
            <v>#N/A</v>
          </cell>
          <cell r="T238" t="e">
            <v>#N/A</v>
          </cell>
          <cell r="U238" t="e">
            <v>#N/A</v>
          </cell>
          <cell r="V238" t="e">
            <v>#N/A</v>
          </cell>
          <cell r="W238" t="e">
            <v>#N/A</v>
          </cell>
          <cell r="AA238">
            <v>0</v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</row>
        <row r="239">
          <cell r="R239" t="str">
            <v>DOM FIN FITS2</v>
          </cell>
          <cell r="S239" t="e">
            <v>#N/A</v>
          </cell>
          <cell r="T239" t="e">
            <v>#N/A</v>
          </cell>
          <cell r="U239" t="e">
            <v>#N/A</v>
          </cell>
          <cell r="V239" t="e">
            <v>#N/A</v>
          </cell>
          <cell r="W239" t="e">
            <v>#N/A</v>
          </cell>
          <cell r="AA239">
            <v>0</v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</row>
        <row r="240">
          <cell r="R240" t="str">
            <v>DOM FRA OFPOP</v>
          </cell>
          <cell r="S240" t="e">
            <v>#N/A</v>
          </cell>
          <cell r="T240" t="e">
            <v>#N/A</v>
          </cell>
          <cell r="U240" t="e">
            <v>#N/A</v>
          </cell>
          <cell r="V240" t="e">
            <v>#N/A</v>
          </cell>
          <cell r="W240" t="e">
            <v>#N/A</v>
          </cell>
          <cell r="AA240">
            <v>0</v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</row>
        <row r="241">
          <cell r="R241" t="str">
            <v>DOM FRA MOBIL</v>
          </cell>
          <cell r="S241" t="e">
            <v>#N/A</v>
          </cell>
          <cell r="T241" t="e">
            <v>#N/A</v>
          </cell>
          <cell r="U241" t="e">
            <v>#N/A</v>
          </cell>
          <cell r="V241" t="e">
            <v>#N/A</v>
          </cell>
          <cell r="W241" t="e">
            <v>#N/A</v>
          </cell>
          <cell r="AA241">
            <v>0</v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</row>
        <row r="242">
          <cell r="R242" t="str">
            <v>DOM FRA MOBBO</v>
          </cell>
          <cell r="S242" t="e">
            <v>#N/A</v>
          </cell>
          <cell r="T242" t="e">
            <v>#N/A</v>
          </cell>
          <cell r="U242" t="e">
            <v>#N/A</v>
          </cell>
          <cell r="V242" t="e">
            <v>#N/A</v>
          </cell>
          <cell r="W242" t="e">
            <v>#N/A</v>
          </cell>
          <cell r="AA242">
            <v>0</v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</row>
        <row r="243">
          <cell r="R243" t="str">
            <v>DOM FRA FRMGL</v>
          </cell>
          <cell r="S243" t="e">
            <v>#N/A</v>
          </cell>
          <cell r="T243" t="e">
            <v>#N/A</v>
          </cell>
          <cell r="U243" t="e">
            <v>#N/A</v>
          </cell>
          <cell r="V243" t="e">
            <v>#N/A</v>
          </cell>
          <cell r="W243" t="e">
            <v>#N/A</v>
          </cell>
          <cell r="AA243">
            <v>0</v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</row>
        <row r="244">
          <cell r="R244" t="str">
            <v>DOM FRA MOBI1</v>
          </cell>
          <cell r="S244" t="e">
            <v>#N/A</v>
          </cell>
          <cell r="T244" t="e">
            <v>#N/A</v>
          </cell>
          <cell r="U244" t="e">
            <v>#N/A</v>
          </cell>
          <cell r="V244" t="e">
            <v>#N/A</v>
          </cell>
          <cell r="W244" t="e">
            <v>#N/A</v>
          </cell>
          <cell r="AA244">
            <v>0</v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</row>
        <row r="245">
          <cell r="R245" t="str">
            <v>DOM FRA MOBSF</v>
          </cell>
          <cell r="S245" t="e">
            <v>#N/A</v>
          </cell>
          <cell r="T245" t="e">
            <v>#N/A</v>
          </cell>
          <cell r="U245" t="e">
            <v>#N/A</v>
          </cell>
          <cell r="V245" t="e">
            <v>#N/A</v>
          </cell>
          <cell r="W245" t="e">
            <v>#N/A</v>
          </cell>
          <cell r="AA245">
            <v>0</v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</row>
        <row r="246">
          <cell r="R246" t="str">
            <v>DOM GUF MOB</v>
          </cell>
          <cell r="S246" t="e">
            <v>#N/A</v>
          </cell>
          <cell r="T246" t="e">
            <v>#N/A</v>
          </cell>
          <cell r="U246" t="e">
            <v>#N/A</v>
          </cell>
          <cell r="V246" t="e">
            <v>#N/A</v>
          </cell>
          <cell r="W246" t="e">
            <v>#N/A</v>
          </cell>
          <cell r="AA246">
            <v>0</v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</row>
        <row r="247">
          <cell r="R247" t="str">
            <v>DOM GUF FIX</v>
          </cell>
          <cell r="S247" t="e">
            <v>#N/A</v>
          </cell>
          <cell r="T247" t="e">
            <v>#N/A</v>
          </cell>
          <cell r="U247" t="e">
            <v>#N/A</v>
          </cell>
          <cell r="V247" t="e">
            <v>#N/A</v>
          </cell>
          <cell r="W247" t="e">
            <v>#N/A</v>
          </cell>
          <cell r="AA247">
            <v>0</v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</row>
        <row r="248">
          <cell r="R248" t="str">
            <v>DOM GUF GU1FR</v>
          </cell>
          <cell r="S248" t="e">
            <v>#N/A</v>
          </cell>
          <cell r="T248" t="e">
            <v>#N/A</v>
          </cell>
          <cell r="U248" t="e">
            <v>#N/A</v>
          </cell>
          <cell r="V248" t="e">
            <v>#N/A</v>
          </cell>
          <cell r="W248" t="e">
            <v>#N/A</v>
          </cell>
          <cell r="AA248">
            <v>0</v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</row>
        <row r="249">
          <cell r="R249" t="str">
            <v>DOM GUF GU1TS</v>
          </cell>
          <cell r="S249" t="e">
            <v>#N/A</v>
          </cell>
          <cell r="T249" t="e">
            <v>#N/A</v>
          </cell>
          <cell r="U249" t="e">
            <v>#N/A</v>
          </cell>
          <cell r="V249" t="e">
            <v>#N/A</v>
          </cell>
          <cell r="W249" t="e">
            <v>#N/A</v>
          </cell>
          <cell r="AA249">
            <v>0</v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</row>
        <row r="250">
          <cell r="R250" t="str">
            <v>DOM GUF GU300</v>
          </cell>
          <cell r="S250" t="e">
            <v>#N/A</v>
          </cell>
          <cell r="T250" t="e">
            <v>#N/A</v>
          </cell>
          <cell r="U250" t="e">
            <v>#N/A</v>
          </cell>
          <cell r="V250" t="e">
            <v>#N/A</v>
          </cell>
          <cell r="W250" t="e">
            <v>#N/A</v>
          </cell>
          <cell r="AA250">
            <v>0</v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</row>
        <row r="251">
          <cell r="R251" t="str">
            <v>DOM GUF GU301</v>
          </cell>
          <cell r="S251" t="e">
            <v>#N/A</v>
          </cell>
          <cell r="T251" t="e">
            <v>#N/A</v>
          </cell>
          <cell r="U251" t="e">
            <v>#N/A</v>
          </cell>
          <cell r="V251" t="e">
            <v>#N/A</v>
          </cell>
          <cell r="W251" t="e">
            <v>#N/A</v>
          </cell>
          <cell r="AA251">
            <v>0</v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</row>
        <row r="252">
          <cell r="R252" t="str">
            <v>DOM GUF GU302</v>
          </cell>
          <cell r="S252" t="e">
            <v>#N/A</v>
          </cell>
          <cell r="T252" t="e">
            <v>#N/A</v>
          </cell>
          <cell r="U252" t="e">
            <v>#N/A</v>
          </cell>
          <cell r="V252" t="e">
            <v>#N/A</v>
          </cell>
          <cell r="W252" t="e">
            <v>#N/A</v>
          </cell>
          <cell r="AA252">
            <v>0</v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</row>
        <row r="253">
          <cell r="R253" t="str">
            <v>DOM GUF GU303</v>
          </cell>
          <cell r="S253" t="e">
            <v>#N/A</v>
          </cell>
          <cell r="T253" t="e">
            <v>#N/A</v>
          </cell>
          <cell r="U253" t="e">
            <v>#N/A</v>
          </cell>
          <cell r="V253" t="e">
            <v>#N/A</v>
          </cell>
          <cell r="W253" t="e">
            <v>#N/A</v>
          </cell>
          <cell r="AA253">
            <v>0</v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</row>
        <row r="254">
          <cell r="R254" t="str">
            <v>DOM GUF GU304</v>
          </cell>
          <cell r="S254" t="e">
            <v>#N/A</v>
          </cell>
          <cell r="T254" t="e">
            <v>#N/A</v>
          </cell>
          <cell r="U254" t="e">
            <v>#N/A</v>
          </cell>
          <cell r="V254" t="e">
            <v>#N/A</v>
          </cell>
          <cell r="W254" t="e">
            <v>#N/A</v>
          </cell>
          <cell r="AA254">
            <v>0</v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</row>
        <row r="255">
          <cell r="R255" t="str">
            <v>DOM GUF GU305</v>
          </cell>
          <cell r="S255" t="e">
            <v>#N/A</v>
          </cell>
          <cell r="T255" t="e">
            <v>#N/A</v>
          </cell>
          <cell r="U255" t="e">
            <v>#N/A</v>
          </cell>
          <cell r="V255" t="e">
            <v>#N/A</v>
          </cell>
          <cell r="W255" t="e">
            <v>#N/A</v>
          </cell>
          <cell r="AA255">
            <v>0</v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</row>
        <row r="256">
          <cell r="R256" t="str">
            <v>DOM GUF GU306</v>
          </cell>
          <cell r="S256" t="e">
            <v>#N/A</v>
          </cell>
          <cell r="T256" t="e">
            <v>#N/A</v>
          </cell>
          <cell r="U256" t="e">
            <v>#N/A</v>
          </cell>
          <cell r="V256" t="e">
            <v>#N/A</v>
          </cell>
          <cell r="W256" t="e">
            <v>#N/A</v>
          </cell>
          <cell r="AA256">
            <v>0</v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</row>
        <row r="257">
          <cell r="R257" t="str">
            <v>DOM GUF GU307</v>
          </cell>
          <cell r="S257" t="e">
            <v>#N/A</v>
          </cell>
          <cell r="T257" t="e">
            <v>#N/A</v>
          </cell>
          <cell r="U257" t="e">
            <v>#N/A</v>
          </cell>
          <cell r="V257" t="e">
            <v>#N/A</v>
          </cell>
          <cell r="W257" t="e">
            <v>#N/A</v>
          </cell>
          <cell r="AA257">
            <v>0</v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</row>
        <row r="258">
          <cell r="R258" t="str">
            <v>DOM GUF GU308</v>
          </cell>
          <cell r="S258" t="e">
            <v>#N/A</v>
          </cell>
          <cell r="T258" t="e">
            <v>#N/A</v>
          </cell>
          <cell r="U258" t="e">
            <v>#N/A</v>
          </cell>
          <cell r="V258" t="e">
            <v>#N/A</v>
          </cell>
          <cell r="W258" t="e">
            <v>#N/A</v>
          </cell>
          <cell r="AA258">
            <v>0</v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</row>
        <row r="259">
          <cell r="R259" t="str">
            <v>DOM GUF GU309</v>
          </cell>
          <cell r="S259" t="e">
            <v>#N/A</v>
          </cell>
          <cell r="T259" t="e">
            <v>#N/A</v>
          </cell>
          <cell r="U259" t="e">
            <v>#N/A</v>
          </cell>
          <cell r="V259" t="e">
            <v>#N/A</v>
          </cell>
          <cell r="W259" t="e">
            <v>#N/A</v>
          </cell>
          <cell r="AA259">
            <v>0</v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</row>
        <row r="260">
          <cell r="R260" t="str">
            <v>DOM GUF GU310</v>
          </cell>
          <cell r="S260" t="e">
            <v>#N/A</v>
          </cell>
          <cell r="T260" t="e">
            <v>#N/A</v>
          </cell>
          <cell r="U260" t="e">
            <v>#N/A</v>
          </cell>
          <cell r="V260" t="e">
            <v>#N/A</v>
          </cell>
          <cell r="W260" t="e">
            <v>#N/A</v>
          </cell>
          <cell r="AA260">
            <v>0</v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</row>
        <row r="261">
          <cell r="R261" t="str">
            <v>DOM GUF GU311</v>
          </cell>
          <cell r="S261" t="e">
            <v>#N/A</v>
          </cell>
          <cell r="T261" t="e">
            <v>#N/A</v>
          </cell>
          <cell r="U261" t="e">
            <v>#N/A</v>
          </cell>
          <cell r="V261" t="e">
            <v>#N/A</v>
          </cell>
          <cell r="W261" t="e">
            <v>#N/A</v>
          </cell>
          <cell r="AA261">
            <v>0</v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</row>
        <row r="262">
          <cell r="R262" t="str">
            <v>DOM GUF GU312</v>
          </cell>
          <cell r="S262" t="e">
            <v>#N/A</v>
          </cell>
          <cell r="T262" t="e">
            <v>#N/A</v>
          </cell>
          <cell r="U262" t="e">
            <v>#N/A</v>
          </cell>
          <cell r="V262" t="e">
            <v>#N/A</v>
          </cell>
          <cell r="W262" t="e">
            <v>#N/A</v>
          </cell>
          <cell r="AA262">
            <v>0</v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</row>
        <row r="263">
          <cell r="R263" t="str">
            <v>DOM GUF GU313</v>
          </cell>
          <cell r="S263" t="e">
            <v>#N/A</v>
          </cell>
          <cell r="T263" t="e">
            <v>#N/A</v>
          </cell>
          <cell r="U263" t="e">
            <v>#N/A</v>
          </cell>
          <cell r="V263" t="e">
            <v>#N/A</v>
          </cell>
          <cell r="W263" t="e">
            <v>#N/A</v>
          </cell>
          <cell r="AA263">
            <v>0</v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</row>
        <row r="264">
          <cell r="R264" t="str">
            <v>DOM GUF GU314</v>
          </cell>
          <cell r="S264" t="e">
            <v>#N/A</v>
          </cell>
          <cell r="T264" t="e">
            <v>#N/A</v>
          </cell>
          <cell r="U264" t="e">
            <v>#N/A</v>
          </cell>
          <cell r="V264" t="e">
            <v>#N/A</v>
          </cell>
          <cell r="W264" t="e">
            <v>#N/A</v>
          </cell>
          <cell r="AA264">
            <v>0</v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</row>
        <row r="265">
          <cell r="R265" t="str">
            <v>DOM GUF GU315</v>
          </cell>
          <cell r="S265" t="e">
            <v>#N/A</v>
          </cell>
          <cell r="T265" t="e">
            <v>#N/A</v>
          </cell>
          <cell r="U265" t="e">
            <v>#N/A</v>
          </cell>
          <cell r="V265" t="e">
            <v>#N/A</v>
          </cell>
          <cell r="W265" t="e">
            <v>#N/A</v>
          </cell>
          <cell r="AA265">
            <v>0</v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</row>
        <row r="266">
          <cell r="R266" t="str">
            <v>DOM GUF GU316</v>
          </cell>
          <cell r="S266" t="e">
            <v>#N/A</v>
          </cell>
          <cell r="T266" t="e">
            <v>#N/A</v>
          </cell>
          <cell r="U266" t="e">
            <v>#N/A</v>
          </cell>
          <cell r="V266" t="e">
            <v>#N/A</v>
          </cell>
          <cell r="W266" t="e">
            <v>#N/A</v>
          </cell>
          <cell r="AA266">
            <v>0</v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</row>
        <row r="267">
          <cell r="R267" t="str">
            <v>DOM GUF GU317</v>
          </cell>
          <cell r="S267" t="e">
            <v>#N/A</v>
          </cell>
          <cell r="T267" t="e">
            <v>#N/A</v>
          </cell>
          <cell r="U267" t="e">
            <v>#N/A</v>
          </cell>
          <cell r="V267" t="e">
            <v>#N/A</v>
          </cell>
          <cell r="W267" t="e">
            <v>#N/A</v>
          </cell>
          <cell r="AA267">
            <v>0</v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</row>
        <row r="268">
          <cell r="R268" t="str">
            <v>DOM GUF GU318</v>
          </cell>
          <cell r="S268" t="e">
            <v>#N/A</v>
          </cell>
          <cell r="T268" t="e">
            <v>#N/A</v>
          </cell>
          <cell r="U268" t="e">
            <v>#N/A</v>
          </cell>
          <cell r="V268" t="e">
            <v>#N/A</v>
          </cell>
          <cell r="W268" t="e">
            <v>#N/A</v>
          </cell>
          <cell r="AA268">
            <v>0</v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</row>
        <row r="269">
          <cell r="R269" t="str">
            <v>DOM GUF GU319</v>
          </cell>
          <cell r="S269" t="e">
            <v>#N/A</v>
          </cell>
          <cell r="T269" t="e">
            <v>#N/A</v>
          </cell>
          <cell r="U269" t="e">
            <v>#N/A</v>
          </cell>
          <cell r="V269" t="e">
            <v>#N/A</v>
          </cell>
          <cell r="W269" t="e">
            <v>#N/A</v>
          </cell>
          <cell r="AA269">
            <v>0</v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</row>
        <row r="270">
          <cell r="R270" t="str">
            <v>DOM GUF GU320</v>
          </cell>
          <cell r="S270" t="e">
            <v>#N/A</v>
          </cell>
          <cell r="T270" t="e">
            <v>#N/A</v>
          </cell>
          <cell r="U270" t="e">
            <v>#N/A</v>
          </cell>
          <cell r="V270" t="e">
            <v>#N/A</v>
          </cell>
          <cell r="W270" t="e">
            <v>#N/A</v>
          </cell>
          <cell r="AA270">
            <v>0</v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</row>
        <row r="271">
          <cell r="R271" t="str">
            <v>DOM GUF GU321</v>
          </cell>
          <cell r="S271" t="e">
            <v>#N/A</v>
          </cell>
          <cell r="T271" t="e">
            <v>#N/A</v>
          </cell>
          <cell r="U271" t="e">
            <v>#N/A</v>
          </cell>
          <cell r="V271" t="e">
            <v>#N/A</v>
          </cell>
          <cell r="W271" t="e">
            <v>#N/A</v>
          </cell>
          <cell r="AA271">
            <v>0</v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</row>
        <row r="272">
          <cell r="R272" t="str">
            <v>DOM GUF GUVAS</v>
          </cell>
          <cell r="S272" t="e">
            <v>#N/A</v>
          </cell>
          <cell r="T272" t="e">
            <v>#N/A</v>
          </cell>
          <cell r="U272" t="e">
            <v>#N/A</v>
          </cell>
          <cell r="V272" t="e">
            <v>#N/A</v>
          </cell>
          <cell r="W272" t="e">
            <v>#N/A</v>
          </cell>
          <cell r="AA272">
            <v>0</v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</row>
        <row r="273">
          <cell r="R273" t="str">
            <v>DOM GUF GUSOS</v>
          </cell>
          <cell r="S273" t="e">
            <v>#N/A</v>
          </cell>
          <cell r="T273" t="e">
            <v>#N/A</v>
          </cell>
          <cell r="U273" t="e">
            <v>#N/A</v>
          </cell>
          <cell r="V273" t="e">
            <v>#N/A</v>
          </cell>
          <cell r="W273" t="e">
            <v>#N/A</v>
          </cell>
          <cell r="AA273">
            <v>0</v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</row>
        <row r="274">
          <cell r="R274" t="str">
            <v>DOM GUF GU860</v>
          </cell>
          <cell r="S274" t="e">
            <v>#N/A</v>
          </cell>
          <cell r="T274" t="e">
            <v>#N/A</v>
          </cell>
          <cell r="U274" t="e">
            <v>#N/A</v>
          </cell>
          <cell r="V274" t="e">
            <v>#N/A</v>
          </cell>
          <cell r="W274" t="e">
            <v>#N/A</v>
          </cell>
          <cell r="AA274">
            <v>0</v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</row>
        <row r="275">
          <cell r="R275" t="str">
            <v>DOM GUF GU82H</v>
          </cell>
          <cell r="S275" t="e">
            <v>#N/A</v>
          </cell>
          <cell r="T275" t="e">
            <v>#N/A</v>
          </cell>
          <cell r="U275" t="e">
            <v>#N/A</v>
          </cell>
          <cell r="V275" t="e">
            <v>#N/A</v>
          </cell>
          <cell r="W275" t="e">
            <v>#N/A</v>
          </cell>
          <cell r="AA275">
            <v>0</v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</row>
        <row r="276">
          <cell r="R276" t="str">
            <v>DOM GUF GU82L</v>
          </cell>
          <cell r="S276" t="e">
            <v>#N/A</v>
          </cell>
          <cell r="T276" t="e">
            <v>#N/A</v>
          </cell>
          <cell r="U276" t="e">
            <v>#N/A</v>
          </cell>
          <cell r="V276" t="e">
            <v>#N/A</v>
          </cell>
          <cell r="W276" t="e">
            <v>#N/A</v>
          </cell>
          <cell r="AA276">
            <v>0</v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</row>
        <row r="277">
          <cell r="R277" t="str">
            <v>DOM GUF GU825</v>
          </cell>
          <cell r="S277" t="e">
            <v>#N/A</v>
          </cell>
          <cell r="T277" t="e">
            <v>#N/A</v>
          </cell>
          <cell r="U277" t="e">
            <v>#N/A</v>
          </cell>
          <cell r="V277" t="e">
            <v>#N/A</v>
          </cell>
          <cell r="W277" t="e">
            <v>#N/A</v>
          </cell>
          <cell r="AA277">
            <v>0</v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</row>
        <row r="278">
          <cell r="R278" t="str">
            <v>DOM GUF GU89H</v>
          </cell>
          <cell r="S278" t="e">
            <v>#N/A</v>
          </cell>
          <cell r="T278" t="e">
            <v>#N/A</v>
          </cell>
          <cell r="U278" t="e">
            <v>#N/A</v>
          </cell>
          <cell r="V278" t="e">
            <v>#N/A</v>
          </cell>
          <cell r="W278" t="e">
            <v>#N/A</v>
          </cell>
          <cell r="AA278">
            <v>0</v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</row>
        <row r="279">
          <cell r="R279" t="str">
            <v>DOM GUF GU89L</v>
          </cell>
          <cell r="S279" t="e">
            <v>#N/A</v>
          </cell>
          <cell r="T279" t="e">
            <v>#N/A</v>
          </cell>
          <cell r="U279" t="e">
            <v>#N/A</v>
          </cell>
          <cell r="V279" t="e">
            <v>#N/A</v>
          </cell>
          <cell r="W279" t="e">
            <v>#N/A</v>
          </cell>
          <cell r="AA279">
            <v>0</v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</row>
        <row r="280">
          <cell r="R280" t="str">
            <v>DOM GUF GU891</v>
          </cell>
          <cell r="S280" t="e">
            <v>#N/A</v>
          </cell>
          <cell r="T280" t="e">
            <v>#N/A</v>
          </cell>
          <cell r="U280" t="e">
            <v>#N/A</v>
          </cell>
          <cell r="V280" t="e">
            <v>#N/A</v>
          </cell>
          <cell r="W280" t="e">
            <v>#N/A</v>
          </cell>
          <cell r="AA280">
            <v>0</v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</row>
        <row r="281">
          <cell r="R281" t="str">
            <v>DOM GUF GU892</v>
          </cell>
          <cell r="S281" t="e">
            <v>#N/A</v>
          </cell>
          <cell r="T281" t="e">
            <v>#N/A</v>
          </cell>
          <cell r="U281" t="e">
            <v>#N/A</v>
          </cell>
          <cell r="V281" t="e">
            <v>#N/A</v>
          </cell>
          <cell r="W281" t="e">
            <v>#N/A</v>
          </cell>
          <cell r="AA281">
            <v>0</v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</row>
        <row r="282">
          <cell r="R282" t="str">
            <v>DOM GUF GU897</v>
          </cell>
          <cell r="S282" t="e">
            <v>#N/A</v>
          </cell>
          <cell r="T282" t="e">
            <v>#N/A</v>
          </cell>
          <cell r="U282" t="e">
            <v>#N/A</v>
          </cell>
          <cell r="V282" t="e">
            <v>#N/A</v>
          </cell>
          <cell r="W282" t="e">
            <v>#N/A</v>
          </cell>
          <cell r="AA282">
            <v>0</v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</row>
        <row r="283">
          <cell r="R283" t="str">
            <v>DOM GUF GU899</v>
          </cell>
          <cell r="S283" t="e">
            <v>#N/A</v>
          </cell>
          <cell r="T283" t="e">
            <v>#N/A</v>
          </cell>
          <cell r="U283" t="e">
            <v>#N/A</v>
          </cell>
          <cell r="V283" t="e">
            <v>#N/A</v>
          </cell>
          <cell r="W283" t="e">
            <v>#N/A</v>
          </cell>
          <cell r="AA283">
            <v>0</v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</row>
        <row r="284">
          <cell r="R284" t="str">
            <v>DOM GUF GU006</v>
          </cell>
          <cell r="S284" t="e">
            <v>#N/A</v>
          </cell>
          <cell r="T284" t="e">
            <v>#N/A</v>
          </cell>
          <cell r="U284" t="e">
            <v>#N/A</v>
          </cell>
          <cell r="V284" t="e">
            <v>#N/A</v>
          </cell>
          <cell r="W284" t="e">
            <v>#N/A</v>
          </cell>
          <cell r="AA284">
            <v>0</v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</row>
        <row r="285">
          <cell r="R285" t="str">
            <v>DOM GUF GU218</v>
          </cell>
          <cell r="S285" t="e">
            <v>#N/A</v>
          </cell>
          <cell r="T285" t="e">
            <v>#N/A</v>
          </cell>
          <cell r="U285" t="e">
            <v>#N/A</v>
          </cell>
          <cell r="V285" t="e">
            <v>#N/A</v>
          </cell>
          <cell r="W285" t="e">
            <v>#N/A</v>
          </cell>
          <cell r="AA285">
            <v>0</v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</row>
        <row r="286">
          <cell r="R286" t="str">
            <v>DOM GUF GU222</v>
          </cell>
          <cell r="S286" t="e">
            <v>#N/A</v>
          </cell>
          <cell r="T286" t="e">
            <v>#N/A</v>
          </cell>
          <cell r="U286" t="e">
            <v>#N/A</v>
          </cell>
          <cell r="V286" t="e">
            <v>#N/A</v>
          </cell>
          <cell r="W286" t="e">
            <v>#N/A</v>
          </cell>
          <cell r="AA286">
            <v>0</v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</row>
        <row r="287">
          <cell r="R287" t="str">
            <v>DOM GUF GU700</v>
          </cell>
          <cell r="S287" t="e">
            <v>#N/A</v>
          </cell>
          <cell r="T287" t="e">
            <v>#N/A</v>
          </cell>
          <cell r="U287" t="e">
            <v>#N/A</v>
          </cell>
          <cell r="V287" t="e">
            <v>#N/A</v>
          </cell>
          <cell r="W287" t="e">
            <v>#N/A</v>
          </cell>
          <cell r="AA287">
            <v>0</v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</row>
        <row r="288">
          <cell r="R288" t="str">
            <v>DOM GUF GU710</v>
          </cell>
          <cell r="S288" t="e">
            <v>#N/A</v>
          </cell>
          <cell r="T288" t="e">
            <v>#N/A</v>
          </cell>
          <cell r="U288" t="e">
            <v>#N/A</v>
          </cell>
          <cell r="V288" t="e">
            <v>#N/A</v>
          </cell>
          <cell r="W288" t="e">
            <v>#N/A</v>
          </cell>
          <cell r="AA288">
            <v>0</v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</row>
        <row r="289">
          <cell r="R289" t="str">
            <v>DOM GUF GU711</v>
          </cell>
          <cell r="S289" t="e">
            <v>#N/A</v>
          </cell>
          <cell r="T289" t="e">
            <v>#N/A</v>
          </cell>
          <cell r="U289" t="e">
            <v>#N/A</v>
          </cell>
          <cell r="V289" t="e">
            <v>#N/A</v>
          </cell>
          <cell r="W289" t="e">
            <v>#N/A</v>
          </cell>
          <cell r="AA289">
            <v>0</v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R290" t="str">
            <v>DOM GUF GU712</v>
          </cell>
          <cell r="S290" t="e">
            <v>#N/A</v>
          </cell>
          <cell r="T290" t="e">
            <v>#N/A</v>
          </cell>
          <cell r="U290" t="e">
            <v>#N/A</v>
          </cell>
          <cell r="V290" t="e">
            <v>#N/A</v>
          </cell>
          <cell r="W290" t="e">
            <v>#N/A</v>
          </cell>
          <cell r="AA290">
            <v>0</v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R291" t="str">
            <v>DOM GUF GU888</v>
          </cell>
          <cell r="S291" t="e">
            <v>#N/A</v>
          </cell>
          <cell r="T291" t="e">
            <v>#N/A</v>
          </cell>
          <cell r="U291" t="e">
            <v>#N/A</v>
          </cell>
          <cell r="V291" t="e">
            <v>#N/A</v>
          </cell>
          <cell r="W291" t="e">
            <v>#N/A</v>
          </cell>
          <cell r="AA291">
            <v>0</v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R292" t="str">
            <v>DOM GUF GUFRE</v>
          </cell>
          <cell r="S292" t="e">
            <v>#N/A</v>
          </cell>
          <cell r="T292" t="e">
            <v>#N/A</v>
          </cell>
          <cell r="U292" t="e">
            <v>#N/A</v>
          </cell>
          <cell r="V292" t="e">
            <v>#N/A</v>
          </cell>
          <cell r="W292" t="e">
            <v>#N/A</v>
          </cell>
          <cell r="AA292">
            <v>0</v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R293" t="str">
            <v>DOM GUF GU810</v>
          </cell>
          <cell r="S293" t="e">
            <v>#N/A</v>
          </cell>
          <cell r="T293" t="e">
            <v>#N/A</v>
          </cell>
          <cell r="U293" t="e">
            <v>#N/A</v>
          </cell>
          <cell r="V293" t="e">
            <v>#N/A</v>
          </cell>
          <cell r="W293" t="e">
            <v>#N/A</v>
          </cell>
          <cell r="AA293">
            <v>0</v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R294" t="str">
            <v>DOM GEO MOB</v>
          </cell>
          <cell r="S294" t="e">
            <v>#N/A</v>
          </cell>
          <cell r="T294" t="e">
            <v>#N/A</v>
          </cell>
          <cell r="U294" t="e">
            <v>#N/A</v>
          </cell>
          <cell r="V294" t="e">
            <v>#N/A</v>
          </cell>
          <cell r="W294" t="e">
            <v>#N/A</v>
          </cell>
          <cell r="AA294">
            <v>0</v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R295" t="str">
            <v>DOM GEO GEMGE</v>
          </cell>
          <cell r="S295" t="e">
            <v>#N/A</v>
          </cell>
          <cell r="T295" t="e">
            <v>#N/A</v>
          </cell>
          <cell r="U295" t="e">
            <v>#N/A</v>
          </cell>
          <cell r="V295" t="e">
            <v>#N/A</v>
          </cell>
          <cell r="W295" t="e">
            <v>#N/A</v>
          </cell>
          <cell r="AA295">
            <v>0</v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R296" t="str">
            <v>DOM GEO FIX</v>
          </cell>
          <cell r="S296" t="e">
            <v>#N/A</v>
          </cell>
          <cell r="T296" t="e">
            <v>#N/A</v>
          </cell>
          <cell r="U296" t="e">
            <v>#N/A</v>
          </cell>
          <cell r="V296" t="e">
            <v>#N/A</v>
          </cell>
          <cell r="W296" t="e">
            <v>#N/A</v>
          </cell>
          <cell r="AA296">
            <v>0</v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R297" t="str">
            <v>DOM GER GEVPN</v>
          </cell>
          <cell r="S297" t="e">
            <v>#N/A</v>
          </cell>
          <cell r="T297" t="e">
            <v>#N/A</v>
          </cell>
          <cell r="U297" t="e">
            <v>#N/A</v>
          </cell>
          <cell r="V297" t="e">
            <v>#N/A</v>
          </cell>
          <cell r="W297" t="e">
            <v>#N/A</v>
          </cell>
          <cell r="AA297">
            <v>0</v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R298" t="str">
            <v>DOM GER GMOTH</v>
          </cell>
          <cell r="S298" t="e">
            <v>#N/A</v>
          </cell>
          <cell r="T298" t="e">
            <v>#N/A</v>
          </cell>
          <cell r="U298" t="e">
            <v>#N/A</v>
          </cell>
          <cell r="V298" t="e">
            <v>#N/A</v>
          </cell>
          <cell r="W298" t="e">
            <v>#N/A</v>
          </cell>
          <cell r="AA298">
            <v>0</v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R299" t="str">
            <v>DOM GER GEMEP</v>
          </cell>
          <cell r="S299" t="e">
            <v>#N/A</v>
          </cell>
          <cell r="T299" t="e">
            <v>#N/A</v>
          </cell>
          <cell r="U299" t="e">
            <v>#N/A</v>
          </cell>
          <cell r="V299" t="e">
            <v>#N/A</v>
          </cell>
          <cell r="W299" t="e">
            <v>#N/A</v>
          </cell>
          <cell r="AA299">
            <v>0</v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R300" t="str">
            <v>DOM GER GEMO2</v>
          </cell>
          <cell r="S300" t="e">
            <v>#N/A</v>
          </cell>
          <cell r="T300" t="e">
            <v>#N/A</v>
          </cell>
          <cell r="U300" t="e">
            <v>#N/A</v>
          </cell>
          <cell r="V300" t="e">
            <v>#N/A</v>
          </cell>
          <cell r="W300" t="e">
            <v>#N/A</v>
          </cell>
          <cell r="AA300">
            <v>0</v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R301" t="str">
            <v>DOM GER GMMOB</v>
          </cell>
          <cell r="S301" t="e">
            <v>#N/A</v>
          </cell>
          <cell r="T301" t="e">
            <v>#N/A</v>
          </cell>
          <cell r="U301" t="e">
            <v>#N/A</v>
          </cell>
          <cell r="V301" t="e">
            <v>#N/A</v>
          </cell>
          <cell r="W301" t="e">
            <v>#N/A</v>
          </cell>
          <cell r="AA301">
            <v>0</v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R302" t="str">
            <v>DOM GER GEMTM</v>
          </cell>
          <cell r="S302" t="e">
            <v>#N/A</v>
          </cell>
          <cell r="T302" t="e">
            <v>#N/A</v>
          </cell>
          <cell r="U302" t="e">
            <v>#N/A</v>
          </cell>
          <cell r="V302" t="e">
            <v>#N/A</v>
          </cell>
          <cell r="W302" t="e">
            <v>#N/A</v>
          </cell>
          <cell r="AA302">
            <v>0</v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R303" t="str">
            <v>DOM GER GEMVO</v>
          </cell>
          <cell r="S303" t="e">
            <v>#N/A</v>
          </cell>
          <cell r="T303" t="e">
            <v>#N/A</v>
          </cell>
          <cell r="U303" t="e">
            <v>#N/A</v>
          </cell>
          <cell r="V303" t="e">
            <v>#N/A</v>
          </cell>
          <cell r="W303" t="e">
            <v>#N/A</v>
          </cell>
          <cell r="AA303">
            <v>0</v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R304" t="str">
            <v>DOM GER GEDIR</v>
          </cell>
          <cell r="S304" t="e">
            <v>#N/A</v>
          </cell>
          <cell r="T304" t="e">
            <v>#N/A</v>
          </cell>
          <cell r="U304" t="e">
            <v>#N/A</v>
          </cell>
          <cell r="V304" t="e">
            <v>#N/A</v>
          </cell>
          <cell r="W304" t="e">
            <v>#N/A</v>
          </cell>
          <cell r="AA304">
            <v>0</v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  <row r="305">
          <cell r="R305" t="str">
            <v>DOM GER GEEMN</v>
          </cell>
          <cell r="S305" t="e">
            <v>#N/A</v>
          </cell>
          <cell r="T305" t="e">
            <v>#N/A</v>
          </cell>
          <cell r="U305" t="e">
            <v>#N/A</v>
          </cell>
          <cell r="V305" t="e">
            <v>#N/A</v>
          </cell>
          <cell r="W305" t="e">
            <v>#N/A</v>
          </cell>
          <cell r="AA305">
            <v>0</v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</row>
        <row r="306">
          <cell r="R306" t="str">
            <v>DOM GER GEONL</v>
          </cell>
          <cell r="S306" t="e">
            <v>#N/A</v>
          </cell>
          <cell r="T306" t="e">
            <v>#N/A</v>
          </cell>
          <cell r="U306" t="e">
            <v>#N/A</v>
          </cell>
          <cell r="V306" t="e">
            <v>#N/A</v>
          </cell>
          <cell r="W306" t="e">
            <v>#N/A</v>
          </cell>
          <cell r="AA306">
            <v>0</v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</row>
        <row r="307">
          <cell r="R307" t="str">
            <v>DOM GER PAGE</v>
          </cell>
          <cell r="S307" t="e">
            <v>#N/A</v>
          </cell>
          <cell r="T307" t="e">
            <v>#N/A</v>
          </cell>
          <cell r="U307" t="e">
            <v>#N/A</v>
          </cell>
          <cell r="V307" t="e">
            <v>#N/A</v>
          </cell>
          <cell r="W307" t="e">
            <v>#N/A</v>
          </cell>
          <cell r="AA307">
            <v>0</v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</row>
        <row r="308">
          <cell r="R308" t="str">
            <v>DOM GER GEPN1</v>
          </cell>
          <cell r="S308" t="e">
            <v>#N/A</v>
          </cell>
          <cell r="T308" t="e">
            <v>#N/A</v>
          </cell>
          <cell r="U308" t="e">
            <v>#N/A</v>
          </cell>
          <cell r="V308" t="e">
            <v>#N/A</v>
          </cell>
          <cell r="W308" t="e">
            <v>#N/A</v>
          </cell>
          <cell r="AA308">
            <v>0</v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</row>
        <row r="309">
          <cell r="R309" t="str">
            <v>DOM GER GEPAD</v>
          </cell>
          <cell r="S309" t="e">
            <v>#N/A</v>
          </cell>
          <cell r="T309" t="e">
            <v>#N/A</v>
          </cell>
          <cell r="U309" t="e">
            <v>#N/A</v>
          </cell>
          <cell r="V309" t="e">
            <v>#N/A</v>
          </cell>
          <cell r="W309" t="e">
            <v>#N/A</v>
          </cell>
          <cell r="AA309">
            <v>0</v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</row>
        <row r="310">
          <cell r="R310" t="str">
            <v>DOM GER GEPDL</v>
          </cell>
          <cell r="S310" t="e">
            <v>#N/A</v>
          </cell>
          <cell r="T310" t="e">
            <v>#N/A</v>
          </cell>
          <cell r="U310" t="e">
            <v>#N/A</v>
          </cell>
          <cell r="V310" t="e">
            <v>#N/A</v>
          </cell>
          <cell r="W310" t="e">
            <v>#N/A</v>
          </cell>
          <cell r="AA310">
            <v>0</v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</row>
        <row r="311">
          <cell r="R311" t="str">
            <v>DOM GER GEPEN</v>
          </cell>
          <cell r="S311" t="e">
            <v>#N/A</v>
          </cell>
          <cell r="T311" t="e">
            <v>#N/A</v>
          </cell>
          <cell r="U311" t="e">
            <v>#N/A</v>
          </cell>
          <cell r="V311" t="e">
            <v>#N/A</v>
          </cell>
          <cell r="W311" t="e">
            <v>#N/A</v>
          </cell>
          <cell r="AA311">
            <v>0</v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</row>
        <row r="312">
          <cell r="R312" t="str">
            <v>DOM GER GEPIN</v>
          </cell>
          <cell r="S312" t="e">
            <v>#N/A</v>
          </cell>
          <cell r="T312" t="e">
            <v>#N/A</v>
          </cell>
          <cell r="U312" t="e">
            <v>#N/A</v>
          </cell>
          <cell r="V312" t="e">
            <v>#N/A</v>
          </cell>
          <cell r="W312" t="e">
            <v>#N/A</v>
          </cell>
          <cell r="AA312">
            <v>0</v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</row>
        <row r="313">
          <cell r="R313" t="str">
            <v>DOM GER GETS1</v>
          </cell>
          <cell r="S313" t="e">
            <v>#N/A</v>
          </cell>
          <cell r="T313" t="e">
            <v>#N/A</v>
          </cell>
          <cell r="U313" t="e">
            <v>#N/A</v>
          </cell>
          <cell r="V313" t="e">
            <v>#N/A</v>
          </cell>
          <cell r="W313" t="e">
            <v>#N/A</v>
          </cell>
          <cell r="AA313">
            <v>0</v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</row>
        <row r="314">
          <cell r="R314" t="str">
            <v>DOM GER GETS2</v>
          </cell>
          <cell r="S314" t="e">
            <v>#N/A</v>
          </cell>
          <cell r="T314" t="e">
            <v>#N/A</v>
          </cell>
          <cell r="U314" t="e">
            <v>#N/A</v>
          </cell>
          <cell r="V314" t="e">
            <v>#N/A</v>
          </cell>
          <cell r="W314" t="e">
            <v>#N/A</v>
          </cell>
          <cell r="AA314">
            <v>0</v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</row>
        <row r="315">
          <cell r="R315" t="str">
            <v>DOM GER GETS3</v>
          </cell>
          <cell r="S315" t="e">
            <v>#N/A</v>
          </cell>
          <cell r="T315" t="e">
            <v>#N/A</v>
          </cell>
          <cell r="U315" t="e">
            <v>#N/A</v>
          </cell>
          <cell r="V315" t="e">
            <v>#N/A</v>
          </cell>
          <cell r="W315" t="e">
            <v>#N/A</v>
          </cell>
          <cell r="AA315">
            <v>0</v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</row>
        <row r="316">
          <cell r="R316" t="str">
            <v>DOM GER GETS4</v>
          </cell>
          <cell r="S316" t="e">
            <v>#N/A</v>
          </cell>
          <cell r="T316" t="e">
            <v>#N/A</v>
          </cell>
          <cell r="U316" t="e">
            <v>#N/A</v>
          </cell>
          <cell r="V316" t="e">
            <v>#N/A</v>
          </cell>
          <cell r="W316" t="e">
            <v>#N/A</v>
          </cell>
          <cell r="AA316">
            <v>0</v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</row>
        <row r="317">
          <cell r="R317" t="str">
            <v>DOM GER GETS5</v>
          </cell>
          <cell r="S317" t="e">
            <v>#N/A</v>
          </cell>
          <cell r="T317" t="e">
            <v>#N/A</v>
          </cell>
          <cell r="U317" t="e">
            <v>#N/A</v>
          </cell>
          <cell r="V317" t="e">
            <v>#N/A</v>
          </cell>
          <cell r="W317" t="e">
            <v>#N/A</v>
          </cell>
          <cell r="AA317">
            <v>0</v>
          </cell>
          <cell r="AB317" t="str">
            <v/>
          </cell>
          <cell r="AC317" t="str">
            <v/>
          </cell>
          <cell r="AD317" t="str">
            <v/>
          </cell>
          <cell r="AE317" t="str">
            <v/>
          </cell>
        </row>
        <row r="318">
          <cell r="R318" t="str">
            <v>DOM GER GETS6</v>
          </cell>
          <cell r="S318" t="e">
            <v>#N/A</v>
          </cell>
          <cell r="T318" t="e">
            <v>#N/A</v>
          </cell>
          <cell r="U318" t="e">
            <v>#N/A</v>
          </cell>
          <cell r="V318" t="e">
            <v>#N/A</v>
          </cell>
          <cell r="W318" t="e">
            <v>#N/A</v>
          </cell>
          <cell r="AA318">
            <v>0</v>
          </cell>
          <cell r="AB318" t="str">
            <v/>
          </cell>
          <cell r="AC318" t="str">
            <v/>
          </cell>
          <cell r="AD318" t="str">
            <v/>
          </cell>
          <cell r="AE318" t="str">
            <v/>
          </cell>
        </row>
        <row r="319">
          <cell r="R319" t="str">
            <v>DOM GER GETS7</v>
          </cell>
          <cell r="S319" t="e">
            <v>#N/A</v>
          </cell>
          <cell r="T319" t="e">
            <v>#N/A</v>
          </cell>
          <cell r="U319" t="e">
            <v>#N/A</v>
          </cell>
          <cell r="V319" t="e">
            <v>#N/A</v>
          </cell>
          <cell r="W319" t="e">
            <v>#N/A</v>
          </cell>
          <cell r="AA319">
            <v>0</v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</row>
        <row r="320">
          <cell r="R320" t="str">
            <v>DOM GER GESOC</v>
          </cell>
          <cell r="S320" t="e">
            <v>#N/A</v>
          </cell>
          <cell r="T320" t="e">
            <v>#N/A</v>
          </cell>
          <cell r="U320" t="e">
            <v>#N/A</v>
          </cell>
          <cell r="V320" t="e">
            <v>#N/A</v>
          </cell>
          <cell r="W320" t="e">
            <v>#N/A</v>
          </cell>
          <cell r="AA320">
            <v>0</v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</row>
        <row r="321">
          <cell r="R321" t="str">
            <v>DOM GER GEV01</v>
          </cell>
          <cell r="S321" t="e">
            <v>#N/A</v>
          </cell>
          <cell r="T321" t="e">
            <v>#N/A</v>
          </cell>
          <cell r="U321" t="e">
            <v>#N/A</v>
          </cell>
          <cell r="V321" t="e">
            <v>#N/A</v>
          </cell>
          <cell r="W321" t="e">
            <v>#N/A</v>
          </cell>
          <cell r="AA321">
            <v>0</v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</row>
        <row r="322">
          <cell r="R322" t="str">
            <v>DOM GER GEV02</v>
          </cell>
          <cell r="S322" t="e">
            <v>#N/A</v>
          </cell>
          <cell r="T322" t="e">
            <v>#N/A</v>
          </cell>
          <cell r="U322" t="e">
            <v>#N/A</v>
          </cell>
          <cell r="V322" t="e">
            <v>#N/A</v>
          </cell>
          <cell r="W322" t="e">
            <v>#N/A</v>
          </cell>
          <cell r="AA322">
            <v>0</v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</row>
        <row r="323">
          <cell r="R323" t="str">
            <v>DOM GER GEV03</v>
          </cell>
          <cell r="S323" t="e">
            <v>#N/A</v>
          </cell>
          <cell r="T323" t="e">
            <v>#N/A</v>
          </cell>
          <cell r="U323" t="e">
            <v>#N/A</v>
          </cell>
          <cell r="V323" t="e">
            <v>#N/A</v>
          </cell>
          <cell r="W323" t="e">
            <v>#N/A</v>
          </cell>
          <cell r="AA323">
            <v>0</v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</row>
        <row r="324">
          <cell r="R324" t="str">
            <v>DOM GER GEV04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AA324">
            <v>0</v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</row>
        <row r="325">
          <cell r="R325" t="str">
            <v>DOM GER GEV05</v>
          </cell>
          <cell r="S325" t="e">
            <v>#N/A</v>
          </cell>
          <cell r="T325" t="e">
            <v>#N/A</v>
          </cell>
          <cell r="U325" t="e">
            <v>#N/A</v>
          </cell>
          <cell r="V325" t="e">
            <v>#N/A</v>
          </cell>
          <cell r="W325" t="e">
            <v>#N/A</v>
          </cell>
          <cell r="AA325">
            <v>0</v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</row>
        <row r="326">
          <cell r="R326" t="str">
            <v>DOM GER GETFR</v>
          </cell>
          <cell r="S326" t="e">
            <v>#N/A</v>
          </cell>
          <cell r="T326" t="e">
            <v>#N/A</v>
          </cell>
          <cell r="U326" t="e">
            <v>#N/A</v>
          </cell>
          <cell r="V326" t="e">
            <v>#N/A</v>
          </cell>
          <cell r="W326" t="e">
            <v>#N/A</v>
          </cell>
          <cell r="AA326">
            <v>0</v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</row>
        <row r="327">
          <cell r="R327" t="str">
            <v>DOM GIB MOB</v>
          </cell>
          <cell r="S327" t="e">
            <v>#N/A</v>
          </cell>
          <cell r="T327" t="e">
            <v>#N/A</v>
          </cell>
          <cell r="U327" t="e">
            <v>#N/A</v>
          </cell>
          <cell r="V327" t="e">
            <v>#N/A</v>
          </cell>
          <cell r="W327" t="e">
            <v>#N/A</v>
          </cell>
          <cell r="AA327">
            <v>0</v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</row>
        <row r="328">
          <cell r="R328" t="str">
            <v>DOM GIB FIX</v>
          </cell>
          <cell r="S328" t="e">
            <v>#N/A</v>
          </cell>
          <cell r="T328" t="e">
            <v>#N/A</v>
          </cell>
          <cell r="U328" t="e">
            <v>#N/A</v>
          </cell>
          <cell r="V328" t="e">
            <v>#N/A</v>
          </cell>
          <cell r="W328" t="e">
            <v>#N/A</v>
          </cell>
          <cell r="AA328">
            <v>0</v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</row>
        <row r="329">
          <cell r="R329" t="str">
            <v>DOM GRC MOBGR</v>
          </cell>
          <cell r="S329" t="e">
            <v>#N/A</v>
          </cell>
          <cell r="T329" t="e">
            <v>#N/A</v>
          </cell>
          <cell r="U329" t="e">
            <v>#N/A</v>
          </cell>
          <cell r="V329" t="e">
            <v>#N/A</v>
          </cell>
          <cell r="W329" t="e">
            <v>#N/A</v>
          </cell>
          <cell r="AA329">
            <v>0</v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</row>
        <row r="330">
          <cell r="R330" t="str">
            <v>DOM GRC GRMCO</v>
          </cell>
          <cell r="S330" t="e">
            <v>#N/A</v>
          </cell>
          <cell r="T330" t="e">
            <v>#N/A</v>
          </cell>
          <cell r="U330" t="e">
            <v>#N/A</v>
          </cell>
          <cell r="V330" t="e">
            <v>#N/A</v>
          </cell>
          <cell r="W330" t="e">
            <v>#N/A</v>
          </cell>
          <cell r="AA330">
            <v>0</v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</row>
        <row r="331">
          <cell r="R331" t="str">
            <v>DOM GRC FIXGR</v>
          </cell>
          <cell r="S331" t="e">
            <v>#N/A</v>
          </cell>
          <cell r="T331" t="e">
            <v>#N/A</v>
          </cell>
          <cell r="U331" t="e">
            <v>#N/A</v>
          </cell>
          <cell r="V331" t="e">
            <v>#N/A</v>
          </cell>
          <cell r="W331" t="e">
            <v>#N/A</v>
          </cell>
          <cell r="AA331">
            <v>0</v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</row>
        <row r="332">
          <cell r="R332" t="str">
            <v>DOM GLP MOB</v>
          </cell>
          <cell r="S332" t="e">
            <v>#N/A</v>
          </cell>
          <cell r="T332" t="e">
            <v>#N/A</v>
          </cell>
          <cell r="U332" t="e">
            <v>#N/A</v>
          </cell>
          <cell r="V332" t="e">
            <v>#N/A</v>
          </cell>
          <cell r="W332" t="e">
            <v>#N/A</v>
          </cell>
          <cell r="AA332">
            <v>0</v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</row>
        <row r="333">
          <cell r="R333" t="str">
            <v>DOM GLP FIX</v>
          </cell>
          <cell r="S333" t="e">
            <v>#N/A</v>
          </cell>
          <cell r="T333" t="e">
            <v>#N/A</v>
          </cell>
          <cell r="U333" t="e">
            <v>#N/A</v>
          </cell>
          <cell r="V333" t="e">
            <v>#N/A</v>
          </cell>
          <cell r="W333" t="e">
            <v>#N/A</v>
          </cell>
          <cell r="AA333">
            <v>0</v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</row>
        <row r="334">
          <cell r="R334" t="str">
            <v>DOM GLP GL1FR</v>
          </cell>
          <cell r="S334" t="e">
            <v>#N/A</v>
          </cell>
          <cell r="T334" t="e">
            <v>#N/A</v>
          </cell>
          <cell r="U334" t="e">
            <v>#N/A</v>
          </cell>
          <cell r="V334" t="e">
            <v>#N/A</v>
          </cell>
          <cell r="W334" t="e">
            <v>#N/A</v>
          </cell>
          <cell r="AA334">
            <v>0</v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</row>
        <row r="335">
          <cell r="R335" t="str">
            <v>DOM GLP GL1TS</v>
          </cell>
          <cell r="S335" t="e">
            <v>#N/A</v>
          </cell>
          <cell r="T335" t="e">
            <v>#N/A</v>
          </cell>
          <cell r="U335" t="e">
            <v>#N/A</v>
          </cell>
          <cell r="V335" t="e">
            <v>#N/A</v>
          </cell>
          <cell r="W335" t="e">
            <v>#N/A</v>
          </cell>
          <cell r="AA335">
            <v>0</v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</row>
        <row r="336">
          <cell r="R336" t="str">
            <v>DOM GLP GL300</v>
          </cell>
          <cell r="S336" t="e">
            <v>#N/A</v>
          </cell>
          <cell r="T336" t="e">
            <v>#N/A</v>
          </cell>
          <cell r="U336" t="e">
            <v>#N/A</v>
          </cell>
          <cell r="V336" t="e">
            <v>#N/A</v>
          </cell>
          <cell r="W336" t="e">
            <v>#N/A</v>
          </cell>
          <cell r="AA336">
            <v>0</v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</row>
        <row r="337">
          <cell r="R337" t="str">
            <v>DOM GLP GL301</v>
          </cell>
          <cell r="S337" t="e">
            <v>#N/A</v>
          </cell>
          <cell r="T337" t="e">
            <v>#N/A</v>
          </cell>
          <cell r="U337" t="e">
            <v>#N/A</v>
          </cell>
          <cell r="V337" t="e">
            <v>#N/A</v>
          </cell>
          <cell r="W337" t="e">
            <v>#N/A</v>
          </cell>
          <cell r="AA337">
            <v>0</v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</row>
        <row r="338">
          <cell r="R338" t="str">
            <v>DOM GLP GL302</v>
          </cell>
          <cell r="S338" t="e">
            <v>#N/A</v>
          </cell>
          <cell r="T338" t="e">
            <v>#N/A</v>
          </cell>
          <cell r="U338" t="e">
            <v>#N/A</v>
          </cell>
          <cell r="V338" t="e">
            <v>#N/A</v>
          </cell>
          <cell r="W338" t="e">
            <v>#N/A</v>
          </cell>
          <cell r="AA338">
            <v>0</v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</row>
        <row r="339">
          <cell r="R339" t="str">
            <v>DOM GLP GL303</v>
          </cell>
          <cell r="S339" t="e">
            <v>#N/A</v>
          </cell>
          <cell r="T339" t="e">
            <v>#N/A</v>
          </cell>
          <cell r="U339" t="e">
            <v>#N/A</v>
          </cell>
          <cell r="V339" t="e">
            <v>#N/A</v>
          </cell>
          <cell r="W339" t="e">
            <v>#N/A</v>
          </cell>
          <cell r="AA339">
            <v>0</v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</row>
        <row r="340">
          <cell r="R340" t="str">
            <v>DOM GLP GL304</v>
          </cell>
          <cell r="S340" t="e">
            <v>#N/A</v>
          </cell>
          <cell r="T340" t="e">
            <v>#N/A</v>
          </cell>
          <cell r="U340" t="e">
            <v>#N/A</v>
          </cell>
          <cell r="V340" t="e">
            <v>#N/A</v>
          </cell>
          <cell r="W340" t="e">
            <v>#N/A</v>
          </cell>
          <cell r="AA340">
            <v>0</v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</row>
        <row r="341">
          <cell r="R341" t="str">
            <v>DOM GLP GL305</v>
          </cell>
          <cell r="S341" t="e">
            <v>#N/A</v>
          </cell>
          <cell r="T341" t="e">
            <v>#N/A</v>
          </cell>
          <cell r="U341" t="e">
            <v>#N/A</v>
          </cell>
          <cell r="V341" t="e">
            <v>#N/A</v>
          </cell>
          <cell r="W341" t="e">
            <v>#N/A</v>
          </cell>
          <cell r="AA341">
            <v>0</v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</row>
        <row r="342">
          <cell r="R342" t="str">
            <v>DOM GLP GL306</v>
          </cell>
          <cell r="S342" t="e">
            <v>#N/A</v>
          </cell>
          <cell r="T342" t="e">
            <v>#N/A</v>
          </cell>
          <cell r="U342" t="e">
            <v>#N/A</v>
          </cell>
          <cell r="V342" t="e">
            <v>#N/A</v>
          </cell>
          <cell r="W342" t="e">
            <v>#N/A</v>
          </cell>
          <cell r="AA342">
            <v>0</v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</row>
        <row r="343">
          <cell r="R343" t="str">
            <v>DOM GLP GL307</v>
          </cell>
          <cell r="S343" t="e">
            <v>#N/A</v>
          </cell>
          <cell r="T343" t="e">
            <v>#N/A</v>
          </cell>
          <cell r="U343" t="e">
            <v>#N/A</v>
          </cell>
          <cell r="V343" t="e">
            <v>#N/A</v>
          </cell>
          <cell r="W343" t="e">
            <v>#N/A</v>
          </cell>
          <cell r="AA343">
            <v>0</v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</row>
        <row r="344">
          <cell r="R344" t="str">
            <v>DOM GLP GL315</v>
          </cell>
          <cell r="S344" t="e">
            <v>#N/A</v>
          </cell>
          <cell r="T344" t="e">
            <v>#N/A</v>
          </cell>
          <cell r="U344" t="e">
            <v>#N/A</v>
          </cell>
          <cell r="V344" t="e">
            <v>#N/A</v>
          </cell>
          <cell r="W344" t="e">
            <v>#N/A</v>
          </cell>
          <cell r="AA344">
            <v>0</v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</row>
        <row r="345">
          <cell r="R345" t="str">
            <v>DOM GLP GL308</v>
          </cell>
          <cell r="S345" t="e">
            <v>#N/A</v>
          </cell>
          <cell r="T345" t="e">
            <v>#N/A</v>
          </cell>
          <cell r="U345" t="e">
            <v>#N/A</v>
          </cell>
          <cell r="V345" t="e">
            <v>#N/A</v>
          </cell>
          <cell r="W345" t="e">
            <v>#N/A</v>
          </cell>
          <cell r="AA345">
            <v>0</v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</row>
        <row r="346">
          <cell r="R346" t="str">
            <v>DOM GLP GL309</v>
          </cell>
          <cell r="S346" t="e">
            <v>#N/A</v>
          </cell>
          <cell r="T346" t="e">
            <v>#N/A</v>
          </cell>
          <cell r="U346" t="e">
            <v>#N/A</v>
          </cell>
          <cell r="V346" t="e">
            <v>#N/A</v>
          </cell>
          <cell r="W346" t="e">
            <v>#N/A</v>
          </cell>
          <cell r="AA346">
            <v>0</v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</row>
        <row r="347">
          <cell r="R347" t="str">
            <v>DOM GLP GL310</v>
          </cell>
          <cell r="S347" t="e">
            <v>#N/A</v>
          </cell>
          <cell r="T347" t="e">
            <v>#N/A</v>
          </cell>
          <cell r="U347" t="e">
            <v>#N/A</v>
          </cell>
          <cell r="V347" t="e">
            <v>#N/A</v>
          </cell>
          <cell r="W347" t="e">
            <v>#N/A</v>
          </cell>
          <cell r="AA347">
            <v>0</v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</row>
        <row r="348">
          <cell r="R348" t="str">
            <v>DOM GLP GL311</v>
          </cell>
          <cell r="S348" t="e">
            <v>#N/A</v>
          </cell>
          <cell r="T348" t="e">
            <v>#N/A</v>
          </cell>
          <cell r="U348" t="e">
            <v>#N/A</v>
          </cell>
          <cell r="V348" t="e">
            <v>#N/A</v>
          </cell>
          <cell r="W348" t="e">
            <v>#N/A</v>
          </cell>
          <cell r="AA348">
            <v>0</v>
          </cell>
          <cell r="AB348" t="str">
            <v/>
          </cell>
          <cell r="AC348" t="str">
            <v/>
          </cell>
          <cell r="AD348" t="str">
            <v/>
          </cell>
          <cell r="AE348" t="str">
            <v/>
          </cell>
        </row>
        <row r="349">
          <cell r="R349" t="str">
            <v>DOM GLP GL312</v>
          </cell>
          <cell r="S349" t="e">
            <v>#N/A</v>
          </cell>
          <cell r="T349" t="e">
            <v>#N/A</v>
          </cell>
          <cell r="U349" t="e">
            <v>#N/A</v>
          </cell>
          <cell r="V349" t="e">
            <v>#N/A</v>
          </cell>
          <cell r="W349" t="e">
            <v>#N/A</v>
          </cell>
          <cell r="AA349">
            <v>0</v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</row>
        <row r="350">
          <cell r="R350" t="str">
            <v>DOM GLP GL313</v>
          </cell>
          <cell r="S350" t="e">
            <v>#N/A</v>
          </cell>
          <cell r="T350" t="e">
            <v>#N/A</v>
          </cell>
          <cell r="U350" t="e">
            <v>#N/A</v>
          </cell>
          <cell r="V350" t="e">
            <v>#N/A</v>
          </cell>
          <cell r="W350" t="e">
            <v>#N/A</v>
          </cell>
          <cell r="AA350">
            <v>0</v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</row>
        <row r="351">
          <cell r="R351" t="str">
            <v>DOM GLP GL314</v>
          </cell>
          <cell r="S351" t="e">
            <v>#N/A</v>
          </cell>
          <cell r="T351" t="e">
            <v>#N/A</v>
          </cell>
          <cell r="U351" t="e">
            <v>#N/A</v>
          </cell>
          <cell r="V351" t="e">
            <v>#N/A</v>
          </cell>
          <cell r="W351" t="e">
            <v>#N/A</v>
          </cell>
          <cell r="AA351">
            <v>0</v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</row>
        <row r="352">
          <cell r="R352" t="str">
            <v>DOM GLP GL316</v>
          </cell>
          <cell r="S352" t="e">
            <v>#N/A</v>
          </cell>
          <cell r="T352" t="e">
            <v>#N/A</v>
          </cell>
          <cell r="U352" t="e">
            <v>#N/A</v>
          </cell>
          <cell r="V352" t="e">
            <v>#N/A</v>
          </cell>
          <cell r="W352" t="e">
            <v>#N/A</v>
          </cell>
          <cell r="AA352">
            <v>0</v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</row>
        <row r="353">
          <cell r="R353" t="str">
            <v>DOM GLP GL317</v>
          </cell>
          <cell r="S353" t="e">
            <v>#N/A</v>
          </cell>
          <cell r="T353" t="e">
            <v>#N/A</v>
          </cell>
          <cell r="U353" t="e">
            <v>#N/A</v>
          </cell>
          <cell r="V353" t="e">
            <v>#N/A</v>
          </cell>
          <cell r="W353" t="e">
            <v>#N/A</v>
          </cell>
          <cell r="AA353">
            <v>0</v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</row>
        <row r="354">
          <cell r="R354" t="str">
            <v>DOM GLP GL318</v>
          </cell>
          <cell r="S354" t="e">
            <v>#N/A</v>
          </cell>
          <cell r="T354" t="e">
            <v>#N/A</v>
          </cell>
          <cell r="U354" t="e">
            <v>#N/A</v>
          </cell>
          <cell r="V354" t="e">
            <v>#N/A</v>
          </cell>
          <cell r="W354" t="e">
            <v>#N/A</v>
          </cell>
          <cell r="AA354">
            <v>0</v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</row>
        <row r="355">
          <cell r="R355" t="str">
            <v>DOM GLP GL319</v>
          </cell>
          <cell r="S355" t="e">
            <v>#N/A</v>
          </cell>
          <cell r="T355" t="e">
            <v>#N/A</v>
          </cell>
          <cell r="U355" t="e">
            <v>#N/A</v>
          </cell>
          <cell r="V355" t="e">
            <v>#N/A</v>
          </cell>
          <cell r="W355" t="e">
            <v>#N/A</v>
          </cell>
          <cell r="AA355">
            <v>0</v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</row>
        <row r="356">
          <cell r="R356" t="str">
            <v>DOM GLP GL320</v>
          </cell>
          <cell r="S356" t="e">
            <v>#N/A</v>
          </cell>
          <cell r="T356" t="e">
            <v>#N/A</v>
          </cell>
          <cell r="U356" t="e">
            <v>#N/A</v>
          </cell>
          <cell r="V356" t="e">
            <v>#N/A</v>
          </cell>
          <cell r="W356" t="e">
            <v>#N/A</v>
          </cell>
          <cell r="AA356">
            <v>0</v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</row>
        <row r="357">
          <cell r="R357" t="str">
            <v>DOM GLP GL321</v>
          </cell>
          <cell r="S357" t="e">
            <v>#N/A</v>
          </cell>
          <cell r="T357" t="e">
            <v>#N/A</v>
          </cell>
          <cell r="U357" t="e">
            <v>#N/A</v>
          </cell>
          <cell r="V357" t="e">
            <v>#N/A</v>
          </cell>
          <cell r="W357" t="e">
            <v>#N/A</v>
          </cell>
          <cell r="AA357">
            <v>0</v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</row>
        <row r="358">
          <cell r="R358" t="str">
            <v>DOM GLP GLVAS</v>
          </cell>
          <cell r="S358" t="e">
            <v>#N/A</v>
          </cell>
          <cell r="T358" t="e">
            <v>#N/A</v>
          </cell>
          <cell r="U358" t="e">
            <v>#N/A</v>
          </cell>
          <cell r="V358" t="e">
            <v>#N/A</v>
          </cell>
          <cell r="W358" t="e">
            <v>#N/A</v>
          </cell>
          <cell r="AA358">
            <v>0</v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</row>
        <row r="359">
          <cell r="R359" t="str">
            <v>DOM GLP GLSOS</v>
          </cell>
          <cell r="S359" t="e">
            <v>#N/A</v>
          </cell>
          <cell r="T359" t="e">
            <v>#N/A</v>
          </cell>
          <cell r="U359" t="e">
            <v>#N/A</v>
          </cell>
          <cell r="V359" t="e">
            <v>#N/A</v>
          </cell>
          <cell r="W359" t="e">
            <v>#N/A</v>
          </cell>
          <cell r="AA359">
            <v>0</v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</row>
        <row r="360">
          <cell r="R360" t="str">
            <v>DOM GLP GL860</v>
          </cell>
          <cell r="S360" t="e">
            <v>#N/A</v>
          </cell>
          <cell r="T360" t="e">
            <v>#N/A</v>
          </cell>
          <cell r="U360" t="e">
            <v>#N/A</v>
          </cell>
          <cell r="V360" t="e">
            <v>#N/A</v>
          </cell>
          <cell r="W360" t="e">
            <v>#N/A</v>
          </cell>
          <cell r="AA360">
            <v>0</v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</row>
        <row r="361">
          <cell r="R361" t="str">
            <v>DOM GLP GL82H</v>
          </cell>
          <cell r="S361" t="e">
            <v>#N/A</v>
          </cell>
          <cell r="T361" t="e">
            <v>#N/A</v>
          </cell>
          <cell r="U361" t="e">
            <v>#N/A</v>
          </cell>
          <cell r="V361" t="e">
            <v>#N/A</v>
          </cell>
          <cell r="W361" t="e">
            <v>#N/A</v>
          </cell>
          <cell r="AA361">
            <v>0</v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</row>
        <row r="362">
          <cell r="R362" t="str">
            <v>DOM GLP GL82L</v>
          </cell>
          <cell r="S362" t="e">
            <v>#N/A</v>
          </cell>
          <cell r="T362" t="e">
            <v>#N/A</v>
          </cell>
          <cell r="U362" t="e">
            <v>#N/A</v>
          </cell>
          <cell r="V362" t="e">
            <v>#N/A</v>
          </cell>
          <cell r="W362" t="e">
            <v>#N/A</v>
          </cell>
          <cell r="AA362">
            <v>0</v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</row>
        <row r="363">
          <cell r="R363" t="str">
            <v>DOM GLP GL825</v>
          </cell>
          <cell r="S363" t="e">
            <v>#N/A</v>
          </cell>
          <cell r="T363" t="e">
            <v>#N/A</v>
          </cell>
          <cell r="U363" t="e">
            <v>#N/A</v>
          </cell>
          <cell r="V363" t="e">
            <v>#N/A</v>
          </cell>
          <cell r="W363" t="e">
            <v>#N/A</v>
          </cell>
          <cell r="AA363">
            <v>0</v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</row>
        <row r="364">
          <cell r="R364" t="str">
            <v>DOM GLP GL89H</v>
          </cell>
          <cell r="S364" t="e">
            <v>#N/A</v>
          </cell>
          <cell r="T364" t="e">
            <v>#N/A</v>
          </cell>
          <cell r="U364" t="e">
            <v>#N/A</v>
          </cell>
          <cell r="V364" t="e">
            <v>#N/A</v>
          </cell>
          <cell r="W364" t="e">
            <v>#N/A</v>
          </cell>
          <cell r="AA364">
            <v>0</v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</row>
        <row r="365">
          <cell r="R365" t="str">
            <v>DOM GLP GL89L</v>
          </cell>
          <cell r="S365" t="e">
            <v>#N/A</v>
          </cell>
          <cell r="T365" t="e">
            <v>#N/A</v>
          </cell>
          <cell r="U365" t="e">
            <v>#N/A</v>
          </cell>
          <cell r="V365" t="e">
            <v>#N/A</v>
          </cell>
          <cell r="W365" t="e">
            <v>#N/A</v>
          </cell>
          <cell r="AA365">
            <v>0</v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</row>
        <row r="366">
          <cell r="R366" t="str">
            <v>DOM GLP GL891</v>
          </cell>
          <cell r="S366" t="e">
            <v>#N/A</v>
          </cell>
          <cell r="T366" t="e">
            <v>#N/A</v>
          </cell>
          <cell r="U366" t="e">
            <v>#N/A</v>
          </cell>
          <cell r="V366" t="e">
            <v>#N/A</v>
          </cell>
          <cell r="W366" t="e">
            <v>#N/A</v>
          </cell>
          <cell r="AA366">
            <v>0</v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</row>
        <row r="367">
          <cell r="R367" t="str">
            <v>DOM GLP GL892</v>
          </cell>
          <cell r="S367" t="e">
            <v>#N/A</v>
          </cell>
          <cell r="T367" t="e">
            <v>#N/A</v>
          </cell>
          <cell r="U367" t="e">
            <v>#N/A</v>
          </cell>
          <cell r="V367" t="e">
            <v>#N/A</v>
          </cell>
          <cell r="W367" t="e">
            <v>#N/A</v>
          </cell>
          <cell r="AA367">
            <v>0</v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</row>
        <row r="368">
          <cell r="R368" t="str">
            <v>DOM GLP GL897</v>
          </cell>
          <cell r="S368" t="e">
            <v>#N/A</v>
          </cell>
          <cell r="T368" t="e">
            <v>#N/A</v>
          </cell>
          <cell r="U368" t="e">
            <v>#N/A</v>
          </cell>
          <cell r="V368" t="e">
            <v>#N/A</v>
          </cell>
          <cell r="W368" t="e">
            <v>#N/A</v>
          </cell>
          <cell r="AA368">
            <v>0</v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</row>
        <row r="369">
          <cell r="R369" t="str">
            <v>DOM GLP GL899</v>
          </cell>
          <cell r="S369" t="e">
            <v>#N/A</v>
          </cell>
          <cell r="T369" t="e">
            <v>#N/A</v>
          </cell>
          <cell r="U369" t="e">
            <v>#N/A</v>
          </cell>
          <cell r="V369" t="e">
            <v>#N/A</v>
          </cell>
          <cell r="W369" t="e">
            <v>#N/A</v>
          </cell>
          <cell r="AA369">
            <v>0</v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</row>
        <row r="370">
          <cell r="R370" t="str">
            <v>DOM GLP GL006</v>
          </cell>
          <cell r="S370" t="e">
            <v>#N/A</v>
          </cell>
          <cell r="T370" t="e">
            <v>#N/A</v>
          </cell>
          <cell r="U370" t="e">
            <v>#N/A</v>
          </cell>
          <cell r="V370" t="e">
            <v>#N/A</v>
          </cell>
          <cell r="W370" t="e">
            <v>#N/A</v>
          </cell>
          <cell r="AA370">
            <v>0</v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</row>
        <row r="371">
          <cell r="R371" t="str">
            <v>DOM GLP GL218</v>
          </cell>
          <cell r="S371" t="e">
            <v>#N/A</v>
          </cell>
          <cell r="T371" t="e">
            <v>#N/A</v>
          </cell>
          <cell r="U371" t="e">
            <v>#N/A</v>
          </cell>
          <cell r="V371" t="e">
            <v>#N/A</v>
          </cell>
          <cell r="W371" t="e">
            <v>#N/A</v>
          </cell>
          <cell r="AA371">
            <v>0</v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</row>
        <row r="372">
          <cell r="R372" t="str">
            <v>DOM GLP GL222</v>
          </cell>
          <cell r="S372" t="e">
            <v>#N/A</v>
          </cell>
          <cell r="T372" t="e">
            <v>#N/A</v>
          </cell>
          <cell r="U372" t="e">
            <v>#N/A</v>
          </cell>
          <cell r="V372" t="e">
            <v>#N/A</v>
          </cell>
          <cell r="W372" t="e">
            <v>#N/A</v>
          </cell>
          <cell r="AA372">
            <v>0</v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</row>
        <row r="373">
          <cell r="R373" t="str">
            <v>DOM GLP GL700</v>
          </cell>
          <cell r="S373" t="e">
            <v>#N/A</v>
          </cell>
          <cell r="T373" t="e">
            <v>#N/A</v>
          </cell>
          <cell r="U373" t="e">
            <v>#N/A</v>
          </cell>
          <cell r="V373" t="e">
            <v>#N/A</v>
          </cell>
          <cell r="W373" t="e">
            <v>#N/A</v>
          </cell>
          <cell r="AA373">
            <v>0</v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</row>
        <row r="374">
          <cell r="R374" t="str">
            <v>DOM GLP GL710</v>
          </cell>
          <cell r="S374" t="e">
            <v>#N/A</v>
          </cell>
          <cell r="T374" t="e">
            <v>#N/A</v>
          </cell>
          <cell r="U374" t="e">
            <v>#N/A</v>
          </cell>
          <cell r="V374" t="e">
            <v>#N/A</v>
          </cell>
          <cell r="W374" t="e">
            <v>#N/A</v>
          </cell>
          <cell r="AA374">
            <v>0</v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</row>
        <row r="375">
          <cell r="R375" t="str">
            <v>DOM GLP GL711</v>
          </cell>
          <cell r="S375" t="e">
            <v>#N/A</v>
          </cell>
          <cell r="T375" t="e">
            <v>#N/A</v>
          </cell>
          <cell r="U375" t="e">
            <v>#N/A</v>
          </cell>
          <cell r="V375" t="e">
            <v>#N/A</v>
          </cell>
          <cell r="W375" t="e">
            <v>#N/A</v>
          </cell>
          <cell r="AA375">
            <v>0</v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</row>
        <row r="376">
          <cell r="R376" t="str">
            <v>DOM GLP GL712</v>
          </cell>
          <cell r="S376" t="e">
            <v>#N/A</v>
          </cell>
          <cell r="T376" t="e">
            <v>#N/A</v>
          </cell>
          <cell r="U376" t="e">
            <v>#N/A</v>
          </cell>
          <cell r="V376" t="e">
            <v>#N/A</v>
          </cell>
          <cell r="W376" t="e">
            <v>#N/A</v>
          </cell>
          <cell r="AA376">
            <v>0</v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</row>
        <row r="377">
          <cell r="R377" t="str">
            <v>DOM GLP GL888</v>
          </cell>
          <cell r="S377" t="e">
            <v>#N/A</v>
          </cell>
          <cell r="T377" t="e">
            <v>#N/A</v>
          </cell>
          <cell r="U377" t="e">
            <v>#N/A</v>
          </cell>
          <cell r="V377" t="e">
            <v>#N/A</v>
          </cell>
          <cell r="W377" t="e">
            <v>#N/A</v>
          </cell>
          <cell r="AA377">
            <v>0</v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</row>
        <row r="378">
          <cell r="R378" t="str">
            <v>DOM GLP GLFRE</v>
          </cell>
          <cell r="S378" t="e">
            <v>#N/A</v>
          </cell>
          <cell r="T378" t="e">
            <v>#N/A</v>
          </cell>
          <cell r="U378" t="e">
            <v>#N/A</v>
          </cell>
          <cell r="V378" t="e">
            <v>#N/A</v>
          </cell>
          <cell r="W378" t="e">
            <v>#N/A</v>
          </cell>
          <cell r="AA378">
            <v>0</v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</row>
        <row r="379">
          <cell r="R379" t="str">
            <v>DOM GLP GL810</v>
          </cell>
          <cell r="S379" t="e">
            <v>#N/A</v>
          </cell>
          <cell r="T379" t="e">
            <v>#N/A</v>
          </cell>
          <cell r="U379" t="e">
            <v>#N/A</v>
          </cell>
          <cell r="V379" t="e">
            <v>#N/A</v>
          </cell>
          <cell r="W379" t="e">
            <v>#N/A</v>
          </cell>
          <cell r="AA379">
            <v>0</v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</row>
        <row r="380">
          <cell r="R380" t="str">
            <v>DOM GUM FIX</v>
          </cell>
          <cell r="S380" t="e">
            <v>#N/A</v>
          </cell>
          <cell r="T380" t="e">
            <v>#N/A</v>
          </cell>
          <cell r="U380" t="e">
            <v>#N/A</v>
          </cell>
          <cell r="V380" t="e">
            <v>#N/A</v>
          </cell>
          <cell r="W380" t="e">
            <v>#N/A</v>
          </cell>
          <cell r="AA380">
            <v>0</v>
          </cell>
          <cell r="AB380" t="str">
            <v/>
          </cell>
          <cell r="AC380" t="str">
            <v/>
          </cell>
          <cell r="AD380" t="str">
            <v/>
          </cell>
          <cell r="AE380" t="str">
            <v/>
          </cell>
        </row>
        <row r="381">
          <cell r="R381" t="str">
            <v>DOM HKG MOB</v>
          </cell>
          <cell r="S381" t="e">
            <v>#N/A</v>
          </cell>
          <cell r="T381" t="e">
            <v>#N/A</v>
          </cell>
          <cell r="U381" t="e">
            <v>#N/A</v>
          </cell>
          <cell r="V381" t="e">
            <v>#N/A</v>
          </cell>
          <cell r="W381" t="e">
            <v>#N/A</v>
          </cell>
          <cell r="AA381">
            <v>0</v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</row>
        <row r="382">
          <cell r="R382" t="str">
            <v>DOM HKG HKG1</v>
          </cell>
          <cell r="S382" t="e">
            <v>#N/A</v>
          </cell>
          <cell r="T382" t="e">
            <v>#N/A</v>
          </cell>
          <cell r="U382" t="e">
            <v>#N/A</v>
          </cell>
          <cell r="V382" t="e">
            <v>#N/A</v>
          </cell>
          <cell r="W382" t="e">
            <v>#N/A</v>
          </cell>
          <cell r="AA382">
            <v>0</v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</row>
        <row r="383">
          <cell r="R383" t="str">
            <v>DOM HKG HKACC</v>
          </cell>
          <cell r="S383" t="e">
            <v>#N/A</v>
          </cell>
          <cell r="T383" t="e">
            <v>#N/A</v>
          </cell>
          <cell r="U383" t="e">
            <v>#N/A</v>
          </cell>
          <cell r="V383" t="e">
            <v>#N/A</v>
          </cell>
          <cell r="W383" t="e">
            <v>#N/A</v>
          </cell>
          <cell r="AA383">
            <v>0</v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</row>
        <row r="384">
          <cell r="R384" t="str">
            <v>DOM HKG HKDIR</v>
          </cell>
          <cell r="S384" t="e">
            <v>#N/A</v>
          </cell>
          <cell r="T384" t="e">
            <v>#N/A</v>
          </cell>
          <cell r="U384" t="e">
            <v>#N/A</v>
          </cell>
          <cell r="V384" t="e">
            <v>#N/A</v>
          </cell>
          <cell r="W384" t="e">
            <v>#N/A</v>
          </cell>
          <cell r="AA384">
            <v>0</v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</row>
        <row r="385">
          <cell r="R385" t="str">
            <v>DOM HKG HKSOS</v>
          </cell>
          <cell r="S385" t="e">
            <v>#N/A</v>
          </cell>
          <cell r="T385" t="e">
            <v>#N/A</v>
          </cell>
          <cell r="U385" t="e">
            <v>#N/A</v>
          </cell>
          <cell r="V385" t="e">
            <v>#N/A</v>
          </cell>
          <cell r="W385" t="e">
            <v>#N/A</v>
          </cell>
          <cell r="AA385">
            <v>0</v>
          </cell>
          <cell r="AB385" t="str">
            <v/>
          </cell>
          <cell r="AC385" t="str">
            <v/>
          </cell>
          <cell r="AD385" t="str">
            <v/>
          </cell>
          <cell r="AE385" t="str">
            <v/>
          </cell>
        </row>
        <row r="386">
          <cell r="R386" t="str">
            <v>DOM HKG HKHLP</v>
          </cell>
          <cell r="S386" t="e">
            <v>#N/A</v>
          </cell>
          <cell r="T386" t="e">
            <v>#N/A</v>
          </cell>
          <cell r="U386" t="e">
            <v>#N/A</v>
          </cell>
          <cell r="V386" t="e">
            <v>#N/A</v>
          </cell>
          <cell r="W386" t="e">
            <v>#N/A</v>
          </cell>
          <cell r="AA386">
            <v>0</v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</row>
        <row r="387">
          <cell r="R387" t="str">
            <v>DOM HKG HKPAG</v>
          </cell>
          <cell r="S387" t="e">
            <v>#N/A</v>
          </cell>
          <cell r="T387" t="e">
            <v>#N/A</v>
          </cell>
          <cell r="U387" t="e">
            <v>#N/A</v>
          </cell>
          <cell r="V387" t="e">
            <v>#N/A</v>
          </cell>
          <cell r="W387" t="e">
            <v>#N/A</v>
          </cell>
          <cell r="AA387">
            <v>0</v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</row>
        <row r="388">
          <cell r="R388" t="str">
            <v>DOM HKG HKTIM</v>
          </cell>
          <cell r="S388" t="e">
            <v>#N/A</v>
          </cell>
          <cell r="T388" t="e">
            <v>#N/A</v>
          </cell>
          <cell r="U388" t="e">
            <v>#N/A</v>
          </cell>
          <cell r="V388" t="e">
            <v>#N/A</v>
          </cell>
          <cell r="W388" t="e">
            <v>#N/A</v>
          </cell>
          <cell r="AA388">
            <v>0</v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</row>
        <row r="389">
          <cell r="R389" t="str">
            <v>DOM HKG HKFRE</v>
          </cell>
          <cell r="S389" t="e">
            <v>#N/A</v>
          </cell>
          <cell r="T389" t="e">
            <v>#N/A</v>
          </cell>
          <cell r="U389" t="e">
            <v>#N/A</v>
          </cell>
          <cell r="V389" t="e">
            <v>#N/A</v>
          </cell>
          <cell r="W389" t="e">
            <v>#N/A</v>
          </cell>
          <cell r="AA389">
            <v>0</v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</row>
        <row r="390">
          <cell r="R390" t="str">
            <v>DOM HKG HKVAS</v>
          </cell>
          <cell r="S390" t="e">
            <v>#N/A</v>
          </cell>
          <cell r="T390" t="e">
            <v>#N/A</v>
          </cell>
          <cell r="U390" t="e">
            <v>#N/A</v>
          </cell>
          <cell r="V390" t="e">
            <v>#N/A</v>
          </cell>
          <cell r="W390" t="e">
            <v>#N/A</v>
          </cell>
          <cell r="AA390">
            <v>0</v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</row>
        <row r="391">
          <cell r="R391" t="str">
            <v>DOM HUN MOBIL</v>
          </cell>
          <cell r="S391" t="e">
            <v>#N/A</v>
          </cell>
          <cell r="T391" t="e">
            <v>#N/A</v>
          </cell>
          <cell r="U391" t="e">
            <v>#N/A</v>
          </cell>
          <cell r="V391" t="e">
            <v>#N/A</v>
          </cell>
          <cell r="W391" t="e">
            <v>#N/A</v>
          </cell>
          <cell r="AA391">
            <v>0</v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</row>
        <row r="392">
          <cell r="R392" t="str">
            <v>DOM HUN HUMT</v>
          </cell>
          <cell r="S392" t="e">
            <v>#N/A</v>
          </cell>
          <cell r="T392" t="e">
            <v>#N/A</v>
          </cell>
          <cell r="U392" t="e">
            <v>#N/A</v>
          </cell>
          <cell r="V392" t="e">
            <v>#N/A</v>
          </cell>
          <cell r="W392" t="e">
            <v>#N/A</v>
          </cell>
          <cell r="AA392">
            <v>0</v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</row>
        <row r="393">
          <cell r="R393" t="str">
            <v>DOM HUN FIX</v>
          </cell>
          <cell r="S393" t="e">
            <v>#N/A</v>
          </cell>
          <cell r="T393" t="e">
            <v>#N/A</v>
          </cell>
          <cell r="U393" t="e">
            <v>#N/A</v>
          </cell>
          <cell r="V393" t="e">
            <v>#N/A</v>
          </cell>
          <cell r="W393" t="e">
            <v>#N/A</v>
          </cell>
          <cell r="AA393">
            <v>0</v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</row>
        <row r="394">
          <cell r="R394" t="str">
            <v>DOM HUN T40</v>
          </cell>
          <cell r="S394" t="e">
            <v>#N/A</v>
          </cell>
          <cell r="T394" t="e">
            <v>#N/A</v>
          </cell>
          <cell r="U394" t="e">
            <v>#N/A</v>
          </cell>
          <cell r="V394" t="e">
            <v>#N/A</v>
          </cell>
          <cell r="W394" t="e">
            <v>#N/A</v>
          </cell>
          <cell r="AA394">
            <v>0</v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</row>
        <row r="395">
          <cell r="R395" t="str">
            <v>DOM ISL ISLMO</v>
          </cell>
          <cell r="S395" t="e">
            <v>#N/A</v>
          </cell>
          <cell r="T395" t="e">
            <v>#N/A</v>
          </cell>
          <cell r="U395" t="e">
            <v>#N/A</v>
          </cell>
          <cell r="V395" t="e">
            <v>#N/A</v>
          </cell>
          <cell r="W395" t="e">
            <v>#N/A</v>
          </cell>
          <cell r="AA395">
            <v>0</v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</row>
        <row r="396">
          <cell r="R396" t="str">
            <v>DOM ISL ISL01</v>
          </cell>
          <cell r="S396" t="e">
            <v>#N/A</v>
          </cell>
          <cell r="T396" t="e">
            <v>#N/A</v>
          </cell>
          <cell r="U396" t="e">
            <v>#N/A</v>
          </cell>
          <cell r="V396" t="e">
            <v>#N/A</v>
          </cell>
          <cell r="W396" t="e">
            <v>#N/A</v>
          </cell>
          <cell r="AA396">
            <v>0</v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</row>
        <row r="397">
          <cell r="R397" t="str">
            <v>DOM IRL DUBAR</v>
          </cell>
          <cell r="S397" t="e">
            <v>#N/A</v>
          </cell>
          <cell r="T397" t="e">
            <v>#N/A</v>
          </cell>
          <cell r="U397" t="e">
            <v>#N/A</v>
          </cell>
          <cell r="V397" t="e">
            <v>#N/A</v>
          </cell>
          <cell r="W397" t="e">
            <v>#N/A</v>
          </cell>
          <cell r="AA397">
            <v>0</v>
          </cell>
          <cell r="AB397" t="str">
            <v/>
          </cell>
          <cell r="AC397" t="str">
            <v/>
          </cell>
          <cell r="AD397" t="str">
            <v/>
          </cell>
          <cell r="AE397" t="str">
            <v/>
          </cell>
        </row>
        <row r="398">
          <cell r="R398" t="str">
            <v>DOM IRL MOBAR</v>
          </cell>
          <cell r="S398" t="e">
            <v>#N/A</v>
          </cell>
          <cell r="T398" t="e">
            <v>#N/A</v>
          </cell>
          <cell r="U398" t="e">
            <v>#N/A</v>
          </cell>
          <cell r="V398" t="e">
            <v>#N/A</v>
          </cell>
          <cell r="W398" t="e">
            <v>#N/A</v>
          </cell>
          <cell r="AA398">
            <v>0</v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</row>
        <row r="399">
          <cell r="R399" t="str">
            <v>DOM IRL IEMBE</v>
          </cell>
          <cell r="S399" t="e">
            <v>#N/A</v>
          </cell>
          <cell r="T399" t="e">
            <v>#N/A</v>
          </cell>
          <cell r="U399" t="e">
            <v>#N/A</v>
          </cell>
          <cell r="V399" t="e">
            <v>#N/A</v>
          </cell>
          <cell r="W399" t="e">
            <v>#N/A</v>
          </cell>
          <cell r="AA399">
            <v>0</v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</row>
        <row r="400">
          <cell r="R400" t="str">
            <v>DOM IRL IECSS</v>
          </cell>
          <cell r="S400" t="e">
            <v>#N/A</v>
          </cell>
          <cell r="T400" t="e">
            <v>#N/A</v>
          </cell>
          <cell r="U400" t="e">
            <v>#N/A</v>
          </cell>
          <cell r="V400" t="e">
            <v>#N/A</v>
          </cell>
          <cell r="W400" t="e">
            <v>#N/A</v>
          </cell>
          <cell r="AA400">
            <v>0</v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</row>
        <row r="401">
          <cell r="R401" t="str">
            <v>DOM IRL IEDQS</v>
          </cell>
          <cell r="S401" t="e">
            <v>#N/A</v>
          </cell>
          <cell r="T401" t="e">
            <v>#N/A</v>
          </cell>
          <cell r="U401" t="e">
            <v>#N/A</v>
          </cell>
          <cell r="V401" t="e">
            <v>#N/A</v>
          </cell>
          <cell r="W401" t="e">
            <v>#N/A</v>
          </cell>
          <cell r="AA401">
            <v>0</v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</row>
        <row r="402">
          <cell r="R402" t="str">
            <v>DOM IRL IEEHS</v>
          </cell>
          <cell r="S402" t="e">
            <v>#N/A</v>
          </cell>
          <cell r="T402" t="e">
            <v>#N/A</v>
          </cell>
          <cell r="U402" t="e">
            <v>#N/A</v>
          </cell>
          <cell r="V402" t="e">
            <v>#N/A</v>
          </cell>
          <cell r="W402" t="e">
            <v>#N/A</v>
          </cell>
          <cell r="AA402">
            <v>0</v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</row>
        <row r="403">
          <cell r="R403" t="str">
            <v>DOM IRL IEFRE</v>
          </cell>
          <cell r="S403" t="e">
            <v>#N/A</v>
          </cell>
          <cell r="T403" t="e">
            <v>#N/A</v>
          </cell>
          <cell r="U403" t="e">
            <v>#N/A</v>
          </cell>
          <cell r="V403" t="e">
            <v>#N/A</v>
          </cell>
          <cell r="W403" t="e">
            <v>#N/A</v>
          </cell>
          <cell r="AA403">
            <v>0</v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</row>
        <row r="404">
          <cell r="R404" t="str">
            <v>DOM IRL IEHHS</v>
          </cell>
          <cell r="S404" t="e">
            <v>#N/A</v>
          </cell>
          <cell r="T404" t="e">
            <v>#N/A</v>
          </cell>
          <cell r="U404" t="e">
            <v>#N/A</v>
          </cell>
          <cell r="V404" t="e">
            <v>#N/A</v>
          </cell>
          <cell r="W404" t="e">
            <v>#N/A</v>
          </cell>
          <cell r="AA404">
            <v>0</v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</row>
        <row r="405">
          <cell r="R405" t="str">
            <v>DOM IRL IEPFF</v>
          </cell>
          <cell r="S405" t="e">
            <v>#N/A</v>
          </cell>
          <cell r="T405" t="e">
            <v>#N/A</v>
          </cell>
          <cell r="U405" t="e">
            <v>#N/A</v>
          </cell>
          <cell r="V405" t="e">
            <v>#N/A</v>
          </cell>
          <cell r="W405" t="e">
            <v>#N/A</v>
          </cell>
          <cell r="AA405">
            <v>0</v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</row>
        <row r="406">
          <cell r="R406" t="str">
            <v>DOM IRL IEILO</v>
          </cell>
          <cell r="S406" t="e">
            <v>#N/A</v>
          </cell>
          <cell r="T406" t="e">
            <v>#N/A</v>
          </cell>
          <cell r="U406" t="e">
            <v>#N/A</v>
          </cell>
          <cell r="V406" t="e">
            <v>#N/A</v>
          </cell>
          <cell r="W406" t="e">
            <v>#N/A</v>
          </cell>
          <cell r="AA406">
            <v>0</v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</row>
        <row r="407">
          <cell r="R407" t="str">
            <v>DOM IRL IEPYG</v>
          </cell>
          <cell r="S407" t="e">
            <v>#N/A</v>
          </cell>
          <cell r="T407" t="e">
            <v>#N/A</v>
          </cell>
          <cell r="U407" t="e">
            <v>#N/A</v>
          </cell>
          <cell r="V407" t="e">
            <v>#N/A</v>
          </cell>
          <cell r="W407" t="e">
            <v>#N/A</v>
          </cell>
          <cell r="AA407">
            <v>0</v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</row>
        <row r="408">
          <cell r="R408" t="str">
            <v>DOM IRL IEPNS</v>
          </cell>
          <cell r="S408" t="e">
            <v>#N/A</v>
          </cell>
          <cell r="T408" t="e">
            <v>#N/A</v>
          </cell>
          <cell r="U408" t="e">
            <v>#N/A</v>
          </cell>
          <cell r="V408" t="e">
            <v>#N/A</v>
          </cell>
          <cell r="W408" t="e">
            <v>#N/A</v>
          </cell>
          <cell r="AA408">
            <v>0</v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</row>
        <row r="409">
          <cell r="R409" t="str">
            <v>DOM IRL IEPC1</v>
          </cell>
          <cell r="S409" t="e">
            <v>#N/A</v>
          </cell>
          <cell r="T409" t="e">
            <v>#N/A</v>
          </cell>
          <cell r="U409" t="e">
            <v>#N/A</v>
          </cell>
          <cell r="V409" t="e">
            <v>#N/A</v>
          </cell>
          <cell r="W409" t="e">
            <v>#N/A</v>
          </cell>
          <cell r="AA409">
            <v>0</v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</row>
        <row r="410">
          <cell r="R410" t="str">
            <v>DOM IRL IEPC2</v>
          </cell>
          <cell r="S410" t="e">
            <v>#N/A</v>
          </cell>
          <cell r="T410" t="e">
            <v>#N/A</v>
          </cell>
          <cell r="U410" t="e">
            <v>#N/A</v>
          </cell>
          <cell r="V410" t="e">
            <v>#N/A</v>
          </cell>
          <cell r="W410" t="e">
            <v>#N/A</v>
          </cell>
          <cell r="AA410">
            <v>0</v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</row>
        <row r="411">
          <cell r="R411" t="str">
            <v>DOM IRL IEPC3</v>
          </cell>
          <cell r="S411" t="e">
            <v>#N/A</v>
          </cell>
          <cell r="T411" t="e">
            <v>#N/A</v>
          </cell>
          <cell r="U411" t="e">
            <v>#N/A</v>
          </cell>
          <cell r="V411" t="e">
            <v>#N/A</v>
          </cell>
          <cell r="W411" t="e">
            <v>#N/A</v>
          </cell>
          <cell r="AA411">
            <v>0</v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</row>
        <row r="412">
          <cell r="R412" t="str">
            <v>DOM IRL IEPC4</v>
          </cell>
          <cell r="S412" t="e">
            <v>#N/A</v>
          </cell>
          <cell r="T412" t="e">
            <v>#N/A</v>
          </cell>
          <cell r="U412" t="e">
            <v>#N/A</v>
          </cell>
          <cell r="V412" t="e">
            <v>#N/A</v>
          </cell>
          <cell r="W412" t="e">
            <v>#N/A</v>
          </cell>
          <cell r="AA412">
            <v>0</v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</row>
        <row r="413">
          <cell r="R413" t="str">
            <v>DOM IRL IEPC5</v>
          </cell>
          <cell r="S413" t="e">
            <v>#N/A</v>
          </cell>
          <cell r="T413" t="e">
            <v>#N/A</v>
          </cell>
          <cell r="U413" t="e">
            <v>#N/A</v>
          </cell>
          <cell r="V413" t="e">
            <v>#N/A</v>
          </cell>
          <cell r="W413" t="e">
            <v>#N/A</v>
          </cell>
          <cell r="AA413">
            <v>0</v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</row>
        <row r="414">
          <cell r="R414" t="str">
            <v>DOM IRL IEPC6</v>
          </cell>
          <cell r="S414" t="e">
            <v>#N/A</v>
          </cell>
          <cell r="T414" t="e">
            <v>#N/A</v>
          </cell>
          <cell r="U414" t="e">
            <v>#N/A</v>
          </cell>
          <cell r="V414" t="e">
            <v>#N/A</v>
          </cell>
          <cell r="W414" t="e">
            <v>#N/A</v>
          </cell>
          <cell r="AA414">
            <v>0</v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</row>
        <row r="415">
          <cell r="R415" t="str">
            <v>DOM IRL IEPC7</v>
          </cell>
          <cell r="S415" t="e">
            <v>#N/A</v>
          </cell>
          <cell r="T415" t="e">
            <v>#N/A</v>
          </cell>
          <cell r="U415" t="e">
            <v>#N/A</v>
          </cell>
          <cell r="V415" t="e">
            <v>#N/A</v>
          </cell>
          <cell r="W415" t="e">
            <v>#N/A</v>
          </cell>
          <cell r="AA415">
            <v>0</v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</row>
        <row r="416">
          <cell r="R416" t="str">
            <v>DOM IRL IEPM1</v>
          </cell>
          <cell r="S416" t="e">
            <v>#N/A</v>
          </cell>
          <cell r="T416" t="e">
            <v>#N/A</v>
          </cell>
          <cell r="U416" t="e">
            <v>#N/A</v>
          </cell>
          <cell r="V416" t="e">
            <v>#N/A</v>
          </cell>
          <cell r="W416" t="e">
            <v>#N/A</v>
          </cell>
          <cell r="AA416">
            <v>0</v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</row>
        <row r="417">
          <cell r="R417" t="str">
            <v>DOM IRL IEPM2</v>
          </cell>
          <cell r="S417" t="e">
            <v>#N/A</v>
          </cell>
          <cell r="T417" t="e">
            <v>#N/A</v>
          </cell>
          <cell r="U417" t="e">
            <v>#N/A</v>
          </cell>
          <cell r="V417" t="e">
            <v>#N/A</v>
          </cell>
          <cell r="W417" t="e">
            <v>#N/A</v>
          </cell>
          <cell r="AA417">
            <v>0</v>
          </cell>
          <cell r="AB417" t="str">
            <v/>
          </cell>
          <cell r="AC417" t="str">
            <v/>
          </cell>
          <cell r="AD417" t="str">
            <v/>
          </cell>
          <cell r="AE417" t="str">
            <v/>
          </cell>
        </row>
        <row r="418">
          <cell r="R418" t="str">
            <v>DOM IRL IEPM3</v>
          </cell>
          <cell r="S418" t="e">
            <v>#N/A</v>
          </cell>
          <cell r="T418" t="e">
            <v>#N/A</v>
          </cell>
          <cell r="U418" t="e">
            <v>#N/A</v>
          </cell>
          <cell r="V418" t="e">
            <v>#N/A</v>
          </cell>
          <cell r="W418" t="e">
            <v>#N/A</v>
          </cell>
          <cell r="AA418">
            <v>0</v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</row>
        <row r="419">
          <cell r="R419" t="str">
            <v>DOM IRL IEPM4</v>
          </cell>
          <cell r="S419" t="e">
            <v>#N/A</v>
          </cell>
          <cell r="T419" t="e">
            <v>#N/A</v>
          </cell>
          <cell r="U419" t="e">
            <v>#N/A</v>
          </cell>
          <cell r="V419" t="e">
            <v>#N/A</v>
          </cell>
          <cell r="W419" t="e">
            <v>#N/A</v>
          </cell>
          <cell r="AA419">
            <v>0</v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</row>
        <row r="420">
          <cell r="R420" t="str">
            <v>DOM IRL IEPM5</v>
          </cell>
          <cell r="S420" t="e">
            <v>#N/A</v>
          </cell>
          <cell r="T420" t="e">
            <v>#N/A</v>
          </cell>
          <cell r="U420" t="e">
            <v>#N/A</v>
          </cell>
          <cell r="V420" t="e">
            <v>#N/A</v>
          </cell>
          <cell r="W420" t="e">
            <v>#N/A</v>
          </cell>
          <cell r="AA420">
            <v>0</v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</row>
        <row r="421">
          <cell r="R421" t="str">
            <v>DOM IRL IEPM6</v>
          </cell>
          <cell r="S421" t="e">
            <v>#N/A</v>
          </cell>
          <cell r="T421" t="e">
            <v>#N/A</v>
          </cell>
          <cell r="U421" t="e">
            <v>#N/A</v>
          </cell>
          <cell r="V421" t="e">
            <v>#N/A</v>
          </cell>
          <cell r="W421" t="e">
            <v>#N/A</v>
          </cell>
          <cell r="AA421">
            <v>0</v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</row>
        <row r="422">
          <cell r="R422" t="str">
            <v>DOM IRL IEPM7</v>
          </cell>
          <cell r="S422" t="e">
            <v>#N/A</v>
          </cell>
          <cell r="T422" t="e">
            <v>#N/A</v>
          </cell>
          <cell r="U422" t="e">
            <v>#N/A</v>
          </cell>
          <cell r="V422" t="e">
            <v>#N/A</v>
          </cell>
          <cell r="W422" t="e">
            <v>#N/A</v>
          </cell>
          <cell r="AA422">
            <v>0</v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</row>
        <row r="423">
          <cell r="R423" t="str">
            <v>DOM IRL IEPM8</v>
          </cell>
          <cell r="S423" t="e">
            <v>#N/A</v>
          </cell>
          <cell r="T423" t="e">
            <v>#N/A</v>
          </cell>
          <cell r="U423" t="e">
            <v>#N/A</v>
          </cell>
          <cell r="V423" t="e">
            <v>#N/A</v>
          </cell>
          <cell r="W423" t="e">
            <v>#N/A</v>
          </cell>
          <cell r="AA423">
            <v>0</v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</row>
        <row r="424">
          <cell r="R424" t="str">
            <v>DOM IRL IESCC</v>
          </cell>
          <cell r="S424" t="e">
            <v>#N/A</v>
          </cell>
          <cell r="T424" t="e">
            <v>#N/A</v>
          </cell>
          <cell r="U424" t="e">
            <v>#N/A</v>
          </cell>
          <cell r="V424" t="e">
            <v>#N/A</v>
          </cell>
          <cell r="W424" t="e">
            <v>#N/A</v>
          </cell>
          <cell r="AA424">
            <v>0</v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</row>
        <row r="425">
          <cell r="R425" t="str">
            <v>DOM IRL IESCM</v>
          </cell>
          <cell r="S425" t="e">
            <v>#N/A</v>
          </cell>
          <cell r="T425" t="e">
            <v>#N/A</v>
          </cell>
          <cell r="U425" t="e">
            <v>#N/A</v>
          </cell>
          <cell r="V425" t="e">
            <v>#N/A</v>
          </cell>
          <cell r="W425" t="e">
            <v>#N/A</v>
          </cell>
          <cell r="AA425">
            <v>0</v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</row>
        <row r="426">
          <cell r="R426" t="str">
            <v>DOM IRL IEUAS</v>
          </cell>
          <cell r="S426" t="e">
            <v>#N/A</v>
          </cell>
          <cell r="T426" t="e">
            <v>#N/A</v>
          </cell>
          <cell r="U426" t="e">
            <v>#N/A</v>
          </cell>
          <cell r="V426" t="e">
            <v>#N/A</v>
          </cell>
          <cell r="W426" t="e">
            <v>#N/A</v>
          </cell>
          <cell r="AA426">
            <v>0</v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</row>
        <row r="427">
          <cell r="R427" t="str">
            <v>DOM IRL IEIPN</v>
          </cell>
          <cell r="S427" t="e">
            <v>#N/A</v>
          </cell>
          <cell r="T427" t="e">
            <v>#N/A</v>
          </cell>
          <cell r="U427" t="e">
            <v>#N/A</v>
          </cell>
          <cell r="V427" t="e">
            <v>#N/A</v>
          </cell>
          <cell r="W427" t="e">
            <v>#N/A</v>
          </cell>
          <cell r="AA427">
            <v>0</v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</row>
        <row r="428">
          <cell r="R428" t="str">
            <v>DOM ITA REST</v>
          </cell>
          <cell r="S428" t="e">
            <v>#N/A</v>
          </cell>
          <cell r="T428" t="e">
            <v>#N/A</v>
          </cell>
          <cell r="U428" t="e">
            <v>#N/A</v>
          </cell>
          <cell r="V428" t="e">
            <v>#N/A</v>
          </cell>
          <cell r="W428" t="e">
            <v>#N/A</v>
          </cell>
          <cell r="AA428">
            <v>0</v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</row>
        <row r="429">
          <cell r="R429" t="str">
            <v>DOM ITA ZITA7</v>
          </cell>
          <cell r="S429" t="e">
            <v>#N/A</v>
          </cell>
          <cell r="T429" t="e">
            <v>#N/A</v>
          </cell>
          <cell r="U429" t="e">
            <v>#N/A</v>
          </cell>
          <cell r="V429" t="e">
            <v>#N/A</v>
          </cell>
          <cell r="W429" t="e">
            <v>#N/A</v>
          </cell>
          <cell r="AA429">
            <v>0</v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</row>
        <row r="430">
          <cell r="R430" t="str">
            <v>DOM ITA ZITA9</v>
          </cell>
          <cell r="S430" t="e">
            <v>#N/A</v>
          </cell>
          <cell r="T430" t="e">
            <v>#N/A</v>
          </cell>
          <cell r="U430" t="e">
            <v>#N/A</v>
          </cell>
          <cell r="V430" t="e">
            <v>#N/A</v>
          </cell>
          <cell r="W430" t="e">
            <v>#N/A</v>
          </cell>
          <cell r="AA430">
            <v>0</v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</row>
        <row r="431">
          <cell r="R431" t="str">
            <v>DOM ITA ZITA8</v>
          </cell>
          <cell r="S431" t="e">
            <v>#N/A</v>
          </cell>
          <cell r="T431" t="e">
            <v>#N/A</v>
          </cell>
          <cell r="U431" t="e">
            <v>#N/A</v>
          </cell>
          <cell r="V431" t="e">
            <v>#N/A</v>
          </cell>
          <cell r="W431" t="e">
            <v>#N/A</v>
          </cell>
          <cell r="AA431">
            <v>0</v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</row>
        <row r="432">
          <cell r="R432" t="str">
            <v>DOM ITA ZIT10</v>
          </cell>
          <cell r="S432" t="e">
            <v>#N/A</v>
          </cell>
          <cell r="T432" t="e">
            <v>#N/A</v>
          </cell>
          <cell r="U432" t="e">
            <v>#N/A</v>
          </cell>
          <cell r="V432" t="e">
            <v>#N/A</v>
          </cell>
          <cell r="W432" t="e">
            <v>#N/A</v>
          </cell>
          <cell r="AA432">
            <v>0</v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</row>
        <row r="433">
          <cell r="R433" t="str">
            <v>DOM ITA ITPR5</v>
          </cell>
          <cell r="S433" t="e">
            <v>#N/A</v>
          </cell>
          <cell r="T433" t="e">
            <v>#N/A</v>
          </cell>
          <cell r="U433" t="e">
            <v>#N/A</v>
          </cell>
          <cell r="V433" t="e">
            <v>#N/A</v>
          </cell>
          <cell r="W433" t="e">
            <v>#N/A</v>
          </cell>
          <cell r="AA433">
            <v>0</v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</row>
        <row r="434">
          <cell r="R434" t="str">
            <v>DOM ITA ITCCS</v>
          </cell>
          <cell r="S434" t="e">
            <v>#N/A</v>
          </cell>
          <cell r="T434" t="e">
            <v>#N/A</v>
          </cell>
          <cell r="U434" t="e">
            <v>#N/A</v>
          </cell>
          <cell r="V434" t="e">
            <v>#N/A</v>
          </cell>
          <cell r="W434" t="e">
            <v>#N/A</v>
          </cell>
          <cell r="AA434">
            <v>0</v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</row>
        <row r="435">
          <cell r="R435" t="str">
            <v>DOM ITA ITDIR</v>
          </cell>
          <cell r="S435" t="e">
            <v>#N/A</v>
          </cell>
          <cell r="T435" t="e">
            <v>#N/A</v>
          </cell>
          <cell r="U435" t="e">
            <v>#N/A</v>
          </cell>
          <cell r="V435" t="e">
            <v>#N/A</v>
          </cell>
          <cell r="W435" t="e">
            <v>#N/A</v>
          </cell>
          <cell r="AA435">
            <v>0</v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</row>
        <row r="436">
          <cell r="R436" t="str">
            <v>DOM ITA ITSOS</v>
          </cell>
          <cell r="S436" t="e">
            <v>#N/A</v>
          </cell>
          <cell r="T436" t="e">
            <v>#N/A</v>
          </cell>
          <cell r="U436" t="e">
            <v>#N/A</v>
          </cell>
          <cell r="V436" t="e">
            <v>#N/A</v>
          </cell>
          <cell r="W436" t="e">
            <v>#N/A</v>
          </cell>
          <cell r="AA436">
            <v>0</v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</row>
        <row r="437">
          <cell r="R437" t="str">
            <v>DOM ITA ITPR7</v>
          </cell>
          <cell r="S437" t="e">
            <v>#N/A</v>
          </cell>
          <cell r="T437" t="e">
            <v>#N/A</v>
          </cell>
          <cell r="U437" t="e">
            <v>#N/A</v>
          </cell>
          <cell r="V437" t="e">
            <v>#N/A</v>
          </cell>
          <cell r="W437" t="e">
            <v>#N/A</v>
          </cell>
          <cell r="AA437">
            <v>0</v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</row>
        <row r="438">
          <cell r="R438" t="str">
            <v>DOM ITA ITEUN</v>
          </cell>
          <cell r="S438" t="e">
            <v>#N/A</v>
          </cell>
          <cell r="T438" t="e">
            <v>#N/A</v>
          </cell>
          <cell r="U438" t="e">
            <v>#N/A</v>
          </cell>
          <cell r="V438" t="e">
            <v>#N/A</v>
          </cell>
          <cell r="W438" t="e">
            <v>#N/A</v>
          </cell>
          <cell r="AA438">
            <v>0</v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</row>
        <row r="439">
          <cell r="R439" t="str">
            <v>DOM ITA ITIA1</v>
          </cell>
          <cell r="S439" t="e">
            <v>#N/A</v>
          </cell>
          <cell r="T439" t="e">
            <v>#N/A</v>
          </cell>
          <cell r="U439" t="e">
            <v>#N/A</v>
          </cell>
          <cell r="V439" t="e">
            <v>#N/A</v>
          </cell>
          <cell r="W439" t="e">
            <v>#N/A</v>
          </cell>
          <cell r="AA439">
            <v>0</v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</row>
        <row r="440">
          <cell r="R440" t="str">
            <v>DOM ITA ITPR4</v>
          </cell>
          <cell r="S440" t="e">
            <v>#N/A</v>
          </cell>
          <cell r="T440" t="e">
            <v>#N/A</v>
          </cell>
          <cell r="U440" t="e">
            <v>#N/A</v>
          </cell>
          <cell r="V440" t="e">
            <v>#N/A</v>
          </cell>
          <cell r="W440" t="e">
            <v>#N/A</v>
          </cell>
          <cell r="AA440">
            <v>0</v>
          </cell>
          <cell r="AB440" t="str">
            <v/>
          </cell>
          <cell r="AC440" t="str">
            <v/>
          </cell>
          <cell r="AD440" t="str">
            <v/>
          </cell>
          <cell r="AE440" t="str">
            <v/>
          </cell>
        </row>
        <row r="441">
          <cell r="R441" t="str">
            <v>DOM ITA ITPR3</v>
          </cell>
          <cell r="S441" t="e">
            <v>#N/A</v>
          </cell>
          <cell r="T441" t="e">
            <v>#N/A</v>
          </cell>
          <cell r="U441" t="e">
            <v>#N/A</v>
          </cell>
          <cell r="V441" t="e">
            <v>#N/A</v>
          </cell>
          <cell r="W441" t="e">
            <v>#N/A</v>
          </cell>
          <cell r="AA441">
            <v>0</v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</row>
        <row r="442">
          <cell r="R442" t="str">
            <v>DOM ITA ITSC3</v>
          </cell>
          <cell r="S442" t="e">
            <v>#N/A</v>
          </cell>
          <cell r="T442" t="e">
            <v>#N/A</v>
          </cell>
          <cell r="U442" t="e">
            <v>#N/A</v>
          </cell>
          <cell r="V442" t="e">
            <v>#N/A</v>
          </cell>
          <cell r="W442" t="e">
            <v>#N/A</v>
          </cell>
          <cell r="AA442">
            <v>0</v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</row>
        <row r="443">
          <cell r="R443" t="str">
            <v>DOM ITA ITIA2</v>
          </cell>
          <cell r="S443" t="e">
            <v>#N/A</v>
          </cell>
          <cell r="T443" t="e">
            <v>#N/A</v>
          </cell>
          <cell r="U443" t="e">
            <v>#N/A</v>
          </cell>
          <cell r="V443" t="e">
            <v>#N/A</v>
          </cell>
          <cell r="W443" t="e">
            <v>#N/A</v>
          </cell>
          <cell r="AA443">
            <v>0</v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</row>
        <row r="444">
          <cell r="R444" t="str">
            <v>DOM ITA ITIA3</v>
          </cell>
          <cell r="S444" t="e">
            <v>#N/A</v>
          </cell>
          <cell r="T444" t="e">
            <v>#N/A</v>
          </cell>
          <cell r="U444" t="e">
            <v>#N/A</v>
          </cell>
          <cell r="V444" t="e">
            <v>#N/A</v>
          </cell>
          <cell r="W444" t="e">
            <v>#N/A</v>
          </cell>
          <cell r="AA444">
            <v>0</v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</row>
        <row r="445">
          <cell r="R445" t="str">
            <v>DOM ITA ITIA4</v>
          </cell>
          <cell r="S445" t="e">
            <v>#N/A</v>
          </cell>
          <cell r="T445" t="e">
            <v>#N/A</v>
          </cell>
          <cell r="U445" t="e">
            <v>#N/A</v>
          </cell>
          <cell r="V445" t="e">
            <v>#N/A</v>
          </cell>
          <cell r="W445" t="e">
            <v>#N/A</v>
          </cell>
          <cell r="AA445">
            <v>0</v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</row>
        <row r="446">
          <cell r="R446" t="str">
            <v>DOM ITA ITPR6</v>
          </cell>
          <cell r="S446" t="e">
            <v>#N/A</v>
          </cell>
          <cell r="T446" t="e">
            <v>#N/A</v>
          </cell>
          <cell r="U446" t="e">
            <v>#N/A</v>
          </cell>
          <cell r="V446" t="e">
            <v>#N/A</v>
          </cell>
          <cell r="W446" t="e">
            <v>#N/A</v>
          </cell>
          <cell r="AA446">
            <v>0</v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</row>
        <row r="447">
          <cell r="R447" t="str">
            <v>DOM ITA ITNOM</v>
          </cell>
          <cell r="S447" t="e">
            <v>#N/A</v>
          </cell>
          <cell r="T447" t="e">
            <v>#N/A</v>
          </cell>
          <cell r="U447" t="e">
            <v>#N/A</v>
          </cell>
          <cell r="V447" t="e">
            <v>#N/A</v>
          </cell>
          <cell r="W447" t="e">
            <v>#N/A</v>
          </cell>
          <cell r="AA447">
            <v>0</v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</row>
        <row r="448">
          <cell r="R448" t="str">
            <v>DOM ITA ITPB1</v>
          </cell>
          <cell r="S448" t="e">
            <v>#N/A</v>
          </cell>
          <cell r="T448" t="e">
            <v>#N/A</v>
          </cell>
          <cell r="U448" t="e">
            <v>#N/A</v>
          </cell>
          <cell r="V448" t="e">
            <v>#N/A</v>
          </cell>
          <cell r="W448" t="e">
            <v>#N/A</v>
          </cell>
          <cell r="AA448">
            <v>0</v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</row>
        <row r="449">
          <cell r="R449" t="str">
            <v>DOM ITA ITPRA</v>
          </cell>
          <cell r="S449" t="e">
            <v>#N/A</v>
          </cell>
          <cell r="T449" t="e">
            <v>#N/A</v>
          </cell>
          <cell r="U449" t="e">
            <v>#N/A</v>
          </cell>
          <cell r="V449" t="e">
            <v>#N/A</v>
          </cell>
          <cell r="W449" t="e">
            <v>#N/A</v>
          </cell>
          <cell r="AA449">
            <v>0</v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</row>
        <row r="450">
          <cell r="R450" t="str">
            <v>DOM ITA ITPRB</v>
          </cell>
          <cell r="S450" t="e">
            <v>#N/A</v>
          </cell>
          <cell r="T450" t="e">
            <v>#N/A</v>
          </cell>
          <cell r="U450" t="e">
            <v>#N/A</v>
          </cell>
          <cell r="V450" t="e">
            <v>#N/A</v>
          </cell>
          <cell r="W450" t="e">
            <v>#N/A</v>
          </cell>
          <cell r="AA450">
            <v>0</v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</row>
        <row r="451">
          <cell r="R451" t="str">
            <v>DOM ITA ITPRC</v>
          </cell>
          <cell r="S451" t="e">
            <v>#N/A</v>
          </cell>
          <cell r="T451" t="e">
            <v>#N/A</v>
          </cell>
          <cell r="U451" t="e">
            <v>#N/A</v>
          </cell>
          <cell r="V451" t="e">
            <v>#N/A</v>
          </cell>
          <cell r="W451" t="e">
            <v>#N/A</v>
          </cell>
          <cell r="AA451">
            <v>0</v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</row>
        <row r="452">
          <cell r="R452" t="str">
            <v>DOM ITA ITPRD</v>
          </cell>
          <cell r="S452" t="e">
            <v>#N/A</v>
          </cell>
          <cell r="T452" t="e">
            <v>#N/A</v>
          </cell>
          <cell r="U452" t="e">
            <v>#N/A</v>
          </cell>
          <cell r="V452" t="e">
            <v>#N/A</v>
          </cell>
          <cell r="W452" t="e">
            <v>#N/A</v>
          </cell>
          <cell r="AA452">
            <v>0</v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</row>
        <row r="453">
          <cell r="R453" t="str">
            <v>DOM ITA ITPRE</v>
          </cell>
          <cell r="S453" t="e">
            <v>#N/A</v>
          </cell>
          <cell r="T453" t="e">
            <v>#N/A</v>
          </cell>
          <cell r="U453" t="e">
            <v>#N/A</v>
          </cell>
          <cell r="V453" t="e">
            <v>#N/A</v>
          </cell>
          <cell r="W453" t="e">
            <v>#N/A</v>
          </cell>
          <cell r="AA453">
            <v>0</v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</row>
        <row r="454">
          <cell r="R454" t="str">
            <v>DOM ITA ITPRF</v>
          </cell>
          <cell r="S454" t="e">
            <v>#N/A</v>
          </cell>
          <cell r="T454" t="e">
            <v>#N/A</v>
          </cell>
          <cell r="U454" t="e">
            <v>#N/A</v>
          </cell>
          <cell r="V454" t="e">
            <v>#N/A</v>
          </cell>
          <cell r="W454" t="e">
            <v>#N/A</v>
          </cell>
          <cell r="AA454">
            <v>0</v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</row>
        <row r="455">
          <cell r="R455" t="str">
            <v>DOM ITA ITVPN</v>
          </cell>
          <cell r="S455" t="e">
            <v>#N/A</v>
          </cell>
          <cell r="T455" t="e">
            <v>#N/A</v>
          </cell>
          <cell r="U455" t="e">
            <v>#N/A</v>
          </cell>
          <cell r="V455" t="e">
            <v>#N/A</v>
          </cell>
          <cell r="W455" t="e">
            <v>#N/A</v>
          </cell>
          <cell r="AA455">
            <v>0</v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</row>
        <row r="456">
          <cell r="R456" t="str">
            <v>DOM ITA ITSAT</v>
          </cell>
          <cell r="S456" t="e">
            <v>#N/A</v>
          </cell>
          <cell r="T456" t="e">
            <v>#N/A</v>
          </cell>
          <cell r="U456" t="e">
            <v>#N/A</v>
          </cell>
          <cell r="V456" t="e">
            <v>#N/A</v>
          </cell>
          <cell r="W456" t="e">
            <v>#N/A</v>
          </cell>
          <cell r="AA456">
            <v>0</v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</row>
        <row r="457">
          <cell r="R457" t="str">
            <v>DOM ITA ITSC1</v>
          </cell>
          <cell r="S457" t="e">
            <v>#N/A</v>
          </cell>
          <cell r="T457" t="e">
            <v>#N/A</v>
          </cell>
          <cell r="U457" t="e">
            <v>#N/A</v>
          </cell>
          <cell r="V457" t="e">
            <v>#N/A</v>
          </cell>
          <cell r="W457" t="e">
            <v>#N/A</v>
          </cell>
          <cell r="AA457">
            <v>0</v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</row>
        <row r="458">
          <cell r="R458" t="str">
            <v>DOM ITA ITSC2</v>
          </cell>
          <cell r="S458" t="e">
            <v>#N/A</v>
          </cell>
          <cell r="T458" t="e">
            <v>#N/A</v>
          </cell>
          <cell r="U458" t="e">
            <v>#N/A</v>
          </cell>
          <cell r="V458" t="e">
            <v>#N/A</v>
          </cell>
          <cell r="W458" t="e">
            <v>#N/A</v>
          </cell>
          <cell r="AA458">
            <v>0</v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</row>
        <row r="459">
          <cell r="R459" t="str">
            <v>DOM ITA ITSC4</v>
          </cell>
          <cell r="S459" t="e">
            <v>#N/A</v>
          </cell>
          <cell r="T459" t="e">
            <v>#N/A</v>
          </cell>
          <cell r="U459" t="e">
            <v>#N/A</v>
          </cell>
          <cell r="V459" t="e">
            <v>#N/A</v>
          </cell>
          <cell r="W459" t="e">
            <v>#N/A</v>
          </cell>
          <cell r="AA459">
            <v>0</v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</row>
        <row r="460">
          <cell r="R460" t="str">
            <v>DOM ITA ITSC0</v>
          </cell>
          <cell r="S460" t="e">
            <v>#N/A</v>
          </cell>
          <cell r="T460" t="e">
            <v>#N/A</v>
          </cell>
          <cell r="U460" t="e">
            <v>#N/A</v>
          </cell>
          <cell r="V460" t="e">
            <v>#N/A</v>
          </cell>
          <cell r="W460" t="e">
            <v>#N/A</v>
          </cell>
          <cell r="AA460">
            <v>0</v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</row>
        <row r="461">
          <cell r="R461" t="str">
            <v>DOM ITA ITSB1</v>
          </cell>
          <cell r="S461" t="e">
            <v>#N/A</v>
          </cell>
          <cell r="T461" t="e">
            <v>#N/A</v>
          </cell>
          <cell r="U461" t="e">
            <v>#N/A</v>
          </cell>
          <cell r="V461" t="e">
            <v>#N/A</v>
          </cell>
          <cell r="W461" t="e">
            <v>#N/A</v>
          </cell>
          <cell r="AA461">
            <v>0</v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</row>
        <row r="462">
          <cell r="R462" t="str">
            <v>DOM ITA ITSB2</v>
          </cell>
          <cell r="S462" t="e">
            <v>#N/A</v>
          </cell>
          <cell r="T462" t="e">
            <v>#N/A</v>
          </cell>
          <cell r="U462" t="e">
            <v>#N/A</v>
          </cell>
          <cell r="V462" t="e">
            <v>#N/A</v>
          </cell>
          <cell r="W462" t="e">
            <v>#N/A</v>
          </cell>
          <cell r="AA462">
            <v>0</v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</row>
        <row r="463">
          <cell r="R463" t="str">
            <v>DOM ITA ITSSV</v>
          </cell>
          <cell r="S463" t="e">
            <v>#N/A</v>
          </cell>
          <cell r="T463" t="e">
            <v>#N/A</v>
          </cell>
          <cell r="U463" t="e">
            <v>#N/A</v>
          </cell>
          <cell r="V463" t="e">
            <v>#N/A</v>
          </cell>
          <cell r="W463" t="e">
            <v>#N/A</v>
          </cell>
          <cell r="AA463">
            <v>0</v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</row>
        <row r="464">
          <cell r="R464" t="str">
            <v>DOM ITA ITFRE</v>
          </cell>
          <cell r="S464" t="e">
            <v>#N/A</v>
          </cell>
          <cell r="T464" t="e">
            <v>#N/A</v>
          </cell>
          <cell r="U464" t="e">
            <v>#N/A</v>
          </cell>
          <cell r="V464" t="e">
            <v>#N/A</v>
          </cell>
          <cell r="W464" t="e">
            <v>#N/A</v>
          </cell>
          <cell r="AA464">
            <v>0</v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</row>
        <row r="465">
          <cell r="R465" t="str">
            <v>DOM ITA ITSHN</v>
          </cell>
          <cell r="S465" t="e">
            <v>#N/A</v>
          </cell>
          <cell r="T465" t="e">
            <v>#N/A</v>
          </cell>
          <cell r="U465" t="e">
            <v>#N/A</v>
          </cell>
          <cell r="V465" t="e">
            <v>#N/A</v>
          </cell>
          <cell r="W465" t="e">
            <v>#N/A</v>
          </cell>
          <cell r="AA465">
            <v>0</v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</row>
        <row r="466">
          <cell r="R466" t="str">
            <v>DOM JAM MOB</v>
          </cell>
          <cell r="S466" t="e">
            <v>#N/A</v>
          </cell>
          <cell r="T466" t="e">
            <v>#N/A</v>
          </cell>
          <cell r="U466" t="e">
            <v>#N/A</v>
          </cell>
          <cell r="V466" t="e">
            <v>#N/A</v>
          </cell>
          <cell r="W466" t="e">
            <v>#N/A</v>
          </cell>
          <cell r="AA466">
            <v>0</v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</row>
        <row r="467">
          <cell r="R467" t="str">
            <v>DOM JAM FIX</v>
          </cell>
          <cell r="S467" t="e">
            <v>#N/A</v>
          </cell>
          <cell r="T467" t="e">
            <v>#N/A</v>
          </cell>
          <cell r="U467" t="e">
            <v>#N/A</v>
          </cell>
          <cell r="V467" t="e">
            <v>#N/A</v>
          </cell>
          <cell r="W467" t="e">
            <v>#N/A</v>
          </cell>
          <cell r="AA467">
            <v>0</v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</row>
        <row r="468">
          <cell r="R468" t="str">
            <v>DOM JPN CJPN3</v>
          </cell>
          <cell r="S468" t="e">
            <v>#N/A</v>
          </cell>
          <cell r="T468" t="e">
            <v>#N/A</v>
          </cell>
          <cell r="U468" t="e">
            <v>#N/A</v>
          </cell>
          <cell r="V468" t="e">
            <v>#N/A</v>
          </cell>
          <cell r="W468" t="e">
            <v>#N/A</v>
          </cell>
          <cell r="AA468">
            <v>0</v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</row>
        <row r="469">
          <cell r="R469" t="str">
            <v>DOM JPN OPAR</v>
          </cell>
          <cell r="S469" t="e">
            <v>#N/A</v>
          </cell>
          <cell r="T469" t="e">
            <v>#N/A</v>
          </cell>
          <cell r="U469" t="e">
            <v>#N/A</v>
          </cell>
          <cell r="V469" t="e">
            <v>#N/A</v>
          </cell>
          <cell r="W469" t="e">
            <v>#N/A</v>
          </cell>
          <cell r="AA469">
            <v>0</v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</row>
        <row r="470">
          <cell r="R470" t="str">
            <v>DOM KEN KEFIX</v>
          </cell>
          <cell r="S470" t="e">
            <v>#N/A</v>
          </cell>
          <cell r="T470" t="e">
            <v>#N/A</v>
          </cell>
          <cell r="U470" t="e">
            <v>#N/A</v>
          </cell>
          <cell r="V470" t="e">
            <v>#N/A</v>
          </cell>
          <cell r="W470" t="e">
            <v>#N/A</v>
          </cell>
          <cell r="AA470">
            <v>0</v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</row>
        <row r="471">
          <cell r="R471" t="str">
            <v>DOM KEN KEMOB</v>
          </cell>
          <cell r="S471" t="e">
            <v>#N/A</v>
          </cell>
          <cell r="T471" t="e">
            <v>#N/A</v>
          </cell>
          <cell r="U471" t="e">
            <v>#N/A</v>
          </cell>
          <cell r="V471" t="e">
            <v>#N/A</v>
          </cell>
          <cell r="W471" t="e">
            <v>#N/A</v>
          </cell>
          <cell r="AA471">
            <v>0</v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</row>
        <row r="472">
          <cell r="R472" t="str">
            <v>DOM KOR KMOB</v>
          </cell>
          <cell r="S472" t="e">
            <v>#N/A</v>
          </cell>
          <cell r="T472" t="e">
            <v>#N/A</v>
          </cell>
          <cell r="U472" t="e">
            <v>#N/A</v>
          </cell>
          <cell r="V472" t="e">
            <v>#N/A</v>
          </cell>
          <cell r="W472" t="e">
            <v>#N/A</v>
          </cell>
          <cell r="AA472">
            <v>0</v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</row>
        <row r="473">
          <cell r="R473" t="str">
            <v>DOM KOR SKOR</v>
          </cell>
          <cell r="S473" t="e">
            <v>#N/A</v>
          </cell>
          <cell r="T473" t="e">
            <v>#N/A</v>
          </cell>
          <cell r="U473" t="e">
            <v>#N/A</v>
          </cell>
          <cell r="V473" t="e">
            <v>#N/A</v>
          </cell>
          <cell r="W473" t="e">
            <v>#N/A</v>
          </cell>
          <cell r="AA473">
            <v>0</v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</row>
        <row r="474">
          <cell r="R474" t="str">
            <v>DOM LVA MOB</v>
          </cell>
          <cell r="S474" t="e">
            <v>#N/A</v>
          </cell>
          <cell r="T474" t="e">
            <v>#N/A</v>
          </cell>
          <cell r="U474" t="e">
            <v>#N/A</v>
          </cell>
          <cell r="V474" t="e">
            <v>#N/A</v>
          </cell>
          <cell r="W474" t="e">
            <v>#N/A</v>
          </cell>
          <cell r="AA474">
            <v>0</v>
          </cell>
          <cell r="AB474" t="str">
            <v/>
          </cell>
          <cell r="AC474" t="str">
            <v/>
          </cell>
          <cell r="AD474" t="str">
            <v/>
          </cell>
          <cell r="AE474" t="str">
            <v/>
          </cell>
        </row>
        <row r="475">
          <cell r="R475" t="str">
            <v>DOM LVA LVMLM</v>
          </cell>
          <cell r="S475" t="e">
            <v>#N/A</v>
          </cell>
          <cell r="T475" t="e">
            <v>#N/A</v>
          </cell>
          <cell r="U475" t="e">
            <v>#N/A</v>
          </cell>
          <cell r="V475" t="e">
            <v>#N/A</v>
          </cell>
          <cell r="W475" t="e">
            <v>#N/A</v>
          </cell>
          <cell r="AA475">
            <v>0</v>
          </cell>
          <cell r="AB475" t="str">
            <v/>
          </cell>
          <cell r="AC475" t="str">
            <v/>
          </cell>
          <cell r="AD475" t="str">
            <v/>
          </cell>
          <cell r="AE475" t="str">
            <v/>
          </cell>
        </row>
        <row r="476">
          <cell r="R476" t="str">
            <v>DOM LVA FIX</v>
          </cell>
          <cell r="S476" t="e">
            <v>#N/A</v>
          </cell>
          <cell r="T476" t="e">
            <v>#N/A</v>
          </cell>
          <cell r="U476" t="e">
            <v>#N/A</v>
          </cell>
          <cell r="V476" t="e">
            <v>#N/A</v>
          </cell>
          <cell r="W476" t="e">
            <v>#N/A</v>
          </cell>
          <cell r="AA476">
            <v>0</v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</row>
        <row r="477">
          <cell r="R477" t="str">
            <v>DOM LIE MOB</v>
          </cell>
          <cell r="S477" t="e">
            <v>#N/A</v>
          </cell>
          <cell r="T477" t="e">
            <v>#N/A</v>
          </cell>
          <cell r="U477" t="e">
            <v>#N/A</v>
          </cell>
          <cell r="V477" t="e">
            <v>#N/A</v>
          </cell>
          <cell r="W477" t="e">
            <v>#N/A</v>
          </cell>
          <cell r="AA477">
            <v>0</v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</row>
        <row r="478">
          <cell r="R478" t="str">
            <v>DOM LIE LIMOR</v>
          </cell>
          <cell r="S478" t="e">
            <v>#N/A</v>
          </cell>
          <cell r="T478" t="e">
            <v>#N/A</v>
          </cell>
          <cell r="U478" t="e">
            <v>#N/A</v>
          </cell>
          <cell r="V478" t="e">
            <v>#N/A</v>
          </cell>
          <cell r="W478" t="e">
            <v>#N/A</v>
          </cell>
          <cell r="AA478">
            <v>0</v>
          </cell>
          <cell r="AB478" t="str">
            <v/>
          </cell>
          <cell r="AC478" t="str">
            <v/>
          </cell>
          <cell r="AD478" t="str">
            <v/>
          </cell>
          <cell r="AE478" t="str">
            <v/>
          </cell>
        </row>
        <row r="479">
          <cell r="R479" t="str">
            <v>DOM LIE FIX</v>
          </cell>
          <cell r="S479" t="e">
            <v>#N/A</v>
          </cell>
          <cell r="T479" t="e">
            <v>#N/A</v>
          </cell>
          <cell r="U479" t="e">
            <v>#N/A</v>
          </cell>
          <cell r="V479" t="e">
            <v>#N/A</v>
          </cell>
          <cell r="W479" t="e">
            <v>#N/A</v>
          </cell>
          <cell r="AA479">
            <v>0</v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</row>
        <row r="480">
          <cell r="R480" t="str">
            <v>DOM LTU MOB</v>
          </cell>
          <cell r="S480" t="e">
            <v>#N/A</v>
          </cell>
          <cell r="T480" t="e">
            <v>#N/A</v>
          </cell>
          <cell r="U480" t="e">
            <v>#N/A</v>
          </cell>
          <cell r="V480" t="e">
            <v>#N/A</v>
          </cell>
          <cell r="W480" t="e">
            <v>#N/A</v>
          </cell>
          <cell r="AA480">
            <v>0</v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</row>
        <row r="481">
          <cell r="R481" t="str">
            <v>DOM LTU LTMOM</v>
          </cell>
          <cell r="S481" t="e">
            <v>#N/A</v>
          </cell>
          <cell r="T481" t="e">
            <v>#N/A</v>
          </cell>
          <cell r="U481" t="e">
            <v>#N/A</v>
          </cell>
          <cell r="V481" t="e">
            <v>#N/A</v>
          </cell>
          <cell r="W481" t="e">
            <v>#N/A</v>
          </cell>
          <cell r="AA481">
            <v>0</v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</row>
        <row r="482">
          <cell r="R482" t="str">
            <v>DOM LTU FIX</v>
          </cell>
          <cell r="S482" t="e">
            <v>#N/A</v>
          </cell>
          <cell r="T482" t="e">
            <v>#N/A</v>
          </cell>
          <cell r="U482" t="e">
            <v>#N/A</v>
          </cell>
          <cell r="V482" t="e">
            <v>#N/A</v>
          </cell>
          <cell r="W482" t="e">
            <v>#N/A</v>
          </cell>
          <cell r="AA482">
            <v>0</v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</row>
        <row r="483">
          <cell r="R483" t="str">
            <v>DOM LUX AREA1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AA483">
            <v>0</v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</row>
        <row r="484">
          <cell r="R484" t="str">
            <v>DOM LUX AREA6</v>
          </cell>
          <cell r="S484" t="e">
            <v>#N/A</v>
          </cell>
          <cell r="T484" t="e">
            <v>#N/A</v>
          </cell>
          <cell r="U484" t="e">
            <v>#N/A</v>
          </cell>
          <cell r="V484" t="e">
            <v>#N/A</v>
          </cell>
          <cell r="W484" t="e">
            <v>#N/A</v>
          </cell>
          <cell r="AA484">
            <v>0</v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</row>
        <row r="485">
          <cell r="R485" t="str">
            <v>DOM LUX LXNS2</v>
          </cell>
          <cell r="S485" t="e">
            <v>#N/A</v>
          </cell>
          <cell r="T485" t="e">
            <v>#N/A</v>
          </cell>
          <cell r="U485" t="e">
            <v>#N/A</v>
          </cell>
          <cell r="V485" t="e">
            <v>#N/A</v>
          </cell>
          <cell r="W485" t="e">
            <v>#N/A</v>
          </cell>
          <cell r="AA485">
            <v>0</v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</row>
        <row r="486">
          <cell r="R486" t="str">
            <v>DOM LUX AREA2</v>
          </cell>
          <cell r="S486" t="e">
            <v>#N/A</v>
          </cell>
          <cell r="T486" t="e">
            <v>#N/A</v>
          </cell>
          <cell r="U486" t="e">
            <v>#N/A</v>
          </cell>
          <cell r="V486" t="e">
            <v>#N/A</v>
          </cell>
          <cell r="W486" t="e">
            <v>#N/A</v>
          </cell>
          <cell r="AA486">
            <v>0</v>
          </cell>
          <cell r="AB486" t="str">
            <v/>
          </cell>
          <cell r="AC486" t="str">
            <v/>
          </cell>
          <cell r="AD486" t="str">
            <v/>
          </cell>
          <cell r="AE486" t="str">
            <v/>
          </cell>
        </row>
        <row r="487">
          <cell r="R487" t="str">
            <v>DOM LUX LXMJO</v>
          </cell>
          <cell r="S487" t="e">
            <v>#N/A</v>
          </cell>
          <cell r="T487" t="e">
            <v>#N/A</v>
          </cell>
          <cell r="U487" t="e">
            <v>#N/A</v>
          </cell>
          <cell r="V487" t="e">
            <v>#N/A</v>
          </cell>
          <cell r="W487" t="e">
            <v>#N/A</v>
          </cell>
          <cell r="AA487">
            <v>0</v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</row>
        <row r="488">
          <cell r="R488" t="str">
            <v>DOM LUX LXMVO</v>
          </cell>
          <cell r="S488" t="e">
            <v>#N/A</v>
          </cell>
          <cell r="T488" t="e">
            <v>#N/A</v>
          </cell>
          <cell r="U488" t="e">
            <v>#N/A</v>
          </cell>
          <cell r="V488" t="e">
            <v>#N/A</v>
          </cell>
          <cell r="W488" t="e">
            <v>#N/A</v>
          </cell>
          <cell r="AA488">
            <v>0</v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</row>
        <row r="489">
          <cell r="R489" t="str">
            <v>DOM LUX LXMTA</v>
          </cell>
          <cell r="S489" t="e">
            <v>#N/A</v>
          </cell>
          <cell r="T489" t="e">
            <v>#N/A</v>
          </cell>
          <cell r="U489" t="e">
            <v>#N/A</v>
          </cell>
          <cell r="V489" t="e">
            <v>#N/A</v>
          </cell>
          <cell r="W489" t="e">
            <v>#N/A</v>
          </cell>
          <cell r="AA489">
            <v>0</v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</row>
        <row r="490">
          <cell r="R490" t="str">
            <v>DOM LUX CLOCK</v>
          </cell>
          <cell r="S490" t="e">
            <v>#N/A</v>
          </cell>
          <cell r="T490" t="e">
            <v>#N/A</v>
          </cell>
          <cell r="U490" t="e">
            <v>#N/A</v>
          </cell>
          <cell r="V490" t="e">
            <v>#N/A</v>
          </cell>
          <cell r="W490" t="e">
            <v>#N/A</v>
          </cell>
          <cell r="AA490">
            <v>0</v>
          </cell>
          <cell r="AB490" t="str">
            <v/>
          </cell>
          <cell r="AC490" t="str">
            <v/>
          </cell>
          <cell r="AD490" t="str">
            <v/>
          </cell>
          <cell r="AE490" t="str">
            <v/>
          </cell>
        </row>
        <row r="491">
          <cell r="R491" t="str">
            <v>DOM LUX LXCSV</v>
          </cell>
          <cell r="S491" t="e">
            <v>#N/A</v>
          </cell>
          <cell r="T491" t="e">
            <v>#N/A</v>
          </cell>
          <cell r="U491" t="e">
            <v>#N/A</v>
          </cell>
          <cell r="V491" t="e">
            <v>#N/A</v>
          </cell>
          <cell r="W491" t="e">
            <v>#N/A</v>
          </cell>
          <cell r="AA491">
            <v>0</v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</row>
        <row r="492">
          <cell r="R492" t="str">
            <v>DOM LUX LXDIN</v>
          </cell>
          <cell r="S492" t="e">
            <v>#N/A</v>
          </cell>
          <cell r="T492" t="e">
            <v>#N/A</v>
          </cell>
          <cell r="U492" t="e">
            <v>#N/A</v>
          </cell>
          <cell r="V492" t="e">
            <v>#N/A</v>
          </cell>
          <cell r="W492" t="e">
            <v>#N/A</v>
          </cell>
          <cell r="AA492">
            <v>0</v>
          </cell>
          <cell r="AB492" t="str">
            <v/>
          </cell>
          <cell r="AC492" t="str">
            <v/>
          </cell>
          <cell r="AD492" t="str">
            <v/>
          </cell>
          <cell r="AE492" t="str">
            <v/>
          </cell>
        </row>
        <row r="493">
          <cell r="R493" t="str">
            <v>DOM LUX AREA7</v>
          </cell>
          <cell r="S493" t="e">
            <v>#N/A</v>
          </cell>
          <cell r="T493" t="e">
            <v>#N/A</v>
          </cell>
          <cell r="U493" t="e">
            <v>#N/A</v>
          </cell>
          <cell r="V493" t="e">
            <v>#N/A</v>
          </cell>
          <cell r="W493" t="e">
            <v>#N/A</v>
          </cell>
          <cell r="AA493">
            <v>0</v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</row>
        <row r="494">
          <cell r="R494" t="str">
            <v>DOM LUX LXEMS</v>
          </cell>
          <cell r="S494" t="e">
            <v>#N/A</v>
          </cell>
          <cell r="T494" t="e">
            <v>#N/A</v>
          </cell>
          <cell r="U494" t="e">
            <v>#N/A</v>
          </cell>
          <cell r="V494" t="e">
            <v>#N/A</v>
          </cell>
          <cell r="W494" t="e">
            <v>#N/A</v>
          </cell>
          <cell r="AA494">
            <v>0</v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</row>
        <row r="495">
          <cell r="R495" t="str">
            <v>DOM LUX LXEUH</v>
          </cell>
          <cell r="S495" t="e">
            <v>#N/A</v>
          </cell>
          <cell r="T495" t="e">
            <v>#N/A</v>
          </cell>
          <cell r="U495" t="e">
            <v>#N/A</v>
          </cell>
          <cell r="V495" t="e">
            <v>#N/A</v>
          </cell>
          <cell r="W495" t="e">
            <v>#N/A</v>
          </cell>
          <cell r="AA495">
            <v>0</v>
          </cell>
          <cell r="AB495" t="str">
            <v/>
          </cell>
          <cell r="AC495" t="str">
            <v/>
          </cell>
          <cell r="AD495" t="str">
            <v/>
          </cell>
          <cell r="AE495" t="str">
            <v/>
          </cell>
        </row>
        <row r="496">
          <cell r="R496" t="str">
            <v>DOM LUX LXIS1</v>
          </cell>
          <cell r="S496" t="e">
            <v>#N/A</v>
          </cell>
          <cell r="T496" t="e">
            <v>#N/A</v>
          </cell>
          <cell r="U496" t="e">
            <v>#N/A</v>
          </cell>
          <cell r="V496" t="e">
            <v>#N/A</v>
          </cell>
          <cell r="W496" t="e">
            <v>#N/A</v>
          </cell>
          <cell r="AA496">
            <v>0</v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</row>
        <row r="497">
          <cell r="R497" t="str">
            <v>DOM LUX LXIS2</v>
          </cell>
          <cell r="S497" t="e">
            <v>#N/A</v>
          </cell>
          <cell r="T497" t="e">
            <v>#N/A</v>
          </cell>
          <cell r="U497" t="e">
            <v>#N/A</v>
          </cell>
          <cell r="V497" t="e">
            <v>#N/A</v>
          </cell>
          <cell r="W497" t="e">
            <v>#N/A</v>
          </cell>
          <cell r="AA497">
            <v>0</v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</row>
        <row r="498">
          <cell r="R498" t="str">
            <v>DOM LUX LXIS3</v>
          </cell>
          <cell r="S498" t="e">
            <v>#N/A</v>
          </cell>
          <cell r="T498" t="e">
            <v>#N/A</v>
          </cell>
          <cell r="U498" t="e">
            <v>#N/A</v>
          </cell>
          <cell r="V498" t="e">
            <v>#N/A</v>
          </cell>
          <cell r="W498" t="e">
            <v>#N/A</v>
          </cell>
          <cell r="AA498">
            <v>0</v>
          </cell>
          <cell r="AB498" t="str">
            <v/>
          </cell>
          <cell r="AC498" t="str">
            <v/>
          </cell>
          <cell r="AD498" t="str">
            <v/>
          </cell>
          <cell r="AE498" t="str">
            <v/>
          </cell>
        </row>
        <row r="499">
          <cell r="R499" t="str">
            <v>DOM LUX LXOTS</v>
          </cell>
          <cell r="S499" t="e">
            <v>#N/A</v>
          </cell>
          <cell r="T499" t="e">
            <v>#N/A</v>
          </cell>
          <cell r="U499" t="e">
            <v>#N/A</v>
          </cell>
          <cell r="V499" t="e">
            <v>#N/A</v>
          </cell>
          <cell r="W499" t="e">
            <v>#N/A</v>
          </cell>
          <cell r="AA499">
            <v>0</v>
          </cell>
          <cell r="AB499" t="str">
            <v/>
          </cell>
          <cell r="AC499" t="str">
            <v/>
          </cell>
          <cell r="AD499" t="str">
            <v/>
          </cell>
          <cell r="AE499" t="str">
            <v/>
          </cell>
        </row>
        <row r="500">
          <cell r="R500" t="str">
            <v>DOM LUX LXP1C</v>
          </cell>
          <cell r="S500" t="e">
            <v>#N/A</v>
          </cell>
          <cell r="T500" t="e">
            <v>#N/A</v>
          </cell>
          <cell r="U500" t="e">
            <v>#N/A</v>
          </cell>
          <cell r="V500" t="e">
            <v>#N/A</v>
          </cell>
          <cell r="W500" t="e">
            <v>#N/A</v>
          </cell>
          <cell r="AA500">
            <v>0</v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</row>
        <row r="501">
          <cell r="R501" t="str">
            <v>DOM LUX LXP1M</v>
          </cell>
          <cell r="S501" t="e">
            <v>#N/A</v>
          </cell>
          <cell r="T501" t="e">
            <v>#N/A</v>
          </cell>
          <cell r="U501" t="e">
            <v>#N/A</v>
          </cell>
          <cell r="V501" t="e">
            <v>#N/A</v>
          </cell>
          <cell r="W501" t="e">
            <v>#N/A</v>
          </cell>
          <cell r="AA501">
            <v>0</v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</row>
        <row r="502">
          <cell r="R502" t="str">
            <v>DOM LUX LXP2C</v>
          </cell>
          <cell r="S502" t="e">
            <v>#N/A</v>
          </cell>
          <cell r="T502" t="e">
            <v>#N/A</v>
          </cell>
          <cell r="U502" t="e">
            <v>#N/A</v>
          </cell>
          <cell r="V502" t="e">
            <v>#N/A</v>
          </cell>
          <cell r="W502" t="e">
            <v>#N/A</v>
          </cell>
          <cell r="AA502">
            <v>0</v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</row>
        <row r="503">
          <cell r="R503" t="str">
            <v>DOM LUX LXP2M</v>
          </cell>
          <cell r="S503" t="e">
            <v>#N/A</v>
          </cell>
          <cell r="T503" t="e">
            <v>#N/A</v>
          </cell>
          <cell r="U503" t="e">
            <v>#N/A</v>
          </cell>
          <cell r="V503" t="e">
            <v>#N/A</v>
          </cell>
          <cell r="W503" t="e">
            <v>#N/A</v>
          </cell>
          <cell r="AA503">
            <v>0</v>
          </cell>
          <cell r="AB503" t="str">
            <v/>
          </cell>
          <cell r="AC503" t="str">
            <v/>
          </cell>
          <cell r="AD503" t="str">
            <v/>
          </cell>
          <cell r="AE503" t="str">
            <v/>
          </cell>
        </row>
        <row r="504">
          <cell r="R504" t="str">
            <v>DOM LUX LXP3C</v>
          </cell>
          <cell r="S504" t="e">
            <v>#N/A</v>
          </cell>
          <cell r="T504" t="e">
            <v>#N/A</v>
          </cell>
          <cell r="U504" t="e">
            <v>#N/A</v>
          </cell>
          <cell r="V504" t="e">
            <v>#N/A</v>
          </cell>
          <cell r="W504" t="e">
            <v>#N/A</v>
          </cell>
          <cell r="AA504">
            <v>0</v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</row>
        <row r="505">
          <cell r="R505" t="str">
            <v>DOM LUX LXP3M</v>
          </cell>
          <cell r="S505" t="e">
            <v>#N/A</v>
          </cell>
          <cell r="T505" t="e">
            <v>#N/A</v>
          </cell>
          <cell r="U505" t="e">
            <v>#N/A</v>
          </cell>
          <cell r="V505" t="e">
            <v>#N/A</v>
          </cell>
          <cell r="W505" t="e">
            <v>#N/A</v>
          </cell>
          <cell r="AA505">
            <v>0</v>
          </cell>
          <cell r="AB505" t="str">
            <v/>
          </cell>
          <cell r="AC505" t="str">
            <v/>
          </cell>
          <cell r="AD505" t="str">
            <v/>
          </cell>
          <cell r="AE505" t="str">
            <v/>
          </cell>
        </row>
        <row r="506">
          <cell r="R506" t="str">
            <v>DOM LUX LXP4C</v>
          </cell>
          <cell r="S506" t="e">
            <v>#N/A</v>
          </cell>
          <cell r="T506" t="e">
            <v>#N/A</v>
          </cell>
          <cell r="U506" t="e">
            <v>#N/A</v>
          </cell>
          <cell r="V506" t="e">
            <v>#N/A</v>
          </cell>
          <cell r="W506" t="e">
            <v>#N/A</v>
          </cell>
          <cell r="AA506">
            <v>0</v>
          </cell>
          <cell r="AB506" t="str">
            <v/>
          </cell>
          <cell r="AC506" t="str">
            <v/>
          </cell>
          <cell r="AD506" t="str">
            <v/>
          </cell>
          <cell r="AE506" t="str">
            <v/>
          </cell>
        </row>
        <row r="507">
          <cell r="R507" t="str">
            <v>DOM LUX LXP4M</v>
          </cell>
          <cell r="S507" t="e">
            <v>#N/A</v>
          </cell>
          <cell r="T507" t="e">
            <v>#N/A</v>
          </cell>
          <cell r="U507" t="e">
            <v>#N/A</v>
          </cell>
          <cell r="V507" t="e">
            <v>#N/A</v>
          </cell>
          <cell r="W507" t="e">
            <v>#N/A</v>
          </cell>
          <cell r="AA507">
            <v>0</v>
          </cell>
          <cell r="AB507" t="str">
            <v/>
          </cell>
          <cell r="AC507" t="str">
            <v/>
          </cell>
          <cell r="AD507" t="str">
            <v/>
          </cell>
          <cell r="AE507" t="str">
            <v/>
          </cell>
        </row>
        <row r="508">
          <cell r="R508" t="str">
            <v>DOM LUX LXP5C</v>
          </cell>
          <cell r="S508" t="e">
            <v>#N/A</v>
          </cell>
          <cell r="T508" t="e">
            <v>#N/A</v>
          </cell>
          <cell r="U508" t="e">
            <v>#N/A</v>
          </cell>
          <cell r="V508" t="e">
            <v>#N/A</v>
          </cell>
          <cell r="W508" t="e">
            <v>#N/A</v>
          </cell>
          <cell r="AA508">
            <v>0</v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</row>
        <row r="509">
          <cell r="R509" t="str">
            <v>DOM LUX LXP5M</v>
          </cell>
          <cell r="S509" t="e">
            <v>#N/A</v>
          </cell>
          <cell r="T509" t="e">
            <v>#N/A</v>
          </cell>
          <cell r="U509" t="e">
            <v>#N/A</v>
          </cell>
          <cell r="V509" t="e">
            <v>#N/A</v>
          </cell>
          <cell r="W509" t="e">
            <v>#N/A</v>
          </cell>
          <cell r="AA509">
            <v>0</v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</row>
        <row r="510">
          <cell r="R510" t="str">
            <v>DOM LUX LXP6C</v>
          </cell>
          <cell r="S510" t="e">
            <v>#N/A</v>
          </cell>
          <cell r="T510" t="e">
            <v>#N/A</v>
          </cell>
          <cell r="U510" t="e">
            <v>#N/A</v>
          </cell>
          <cell r="V510" t="e">
            <v>#N/A</v>
          </cell>
          <cell r="W510" t="e">
            <v>#N/A</v>
          </cell>
          <cell r="AA510">
            <v>0</v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</row>
        <row r="511">
          <cell r="R511" t="str">
            <v>DOM LUX LXP6M</v>
          </cell>
          <cell r="S511" t="e">
            <v>#N/A</v>
          </cell>
          <cell r="T511" t="e">
            <v>#N/A</v>
          </cell>
          <cell r="U511" t="e">
            <v>#N/A</v>
          </cell>
          <cell r="V511" t="e">
            <v>#N/A</v>
          </cell>
          <cell r="W511" t="e">
            <v>#N/A</v>
          </cell>
          <cell r="AA511">
            <v>0</v>
          </cell>
          <cell r="AB511" t="str">
            <v/>
          </cell>
          <cell r="AC511" t="str">
            <v/>
          </cell>
          <cell r="AD511" t="str">
            <v/>
          </cell>
          <cell r="AE511" t="str">
            <v/>
          </cell>
        </row>
        <row r="512">
          <cell r="R512" t="str">
            <v>DOM LUX LXP7C</v>
          </cell>
          <cell r="S512" t="e">
            <v>#N/A</v>
          </cell>
          <cell r="T512" t="e">
            <v>#N/A</v>
          </cell>
          <cell r="U512" t="e">
            <v>#N/A</v>
          </cell>
          <cell r="V512" t="e">
            <v>#N/A</v>
          </cell>
          <cell r="W512" t="e">
            <v>#N/A</v>
          </cell>
          <cell r="AA512">
            <v>0</v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</row>
        <row r="513">
          <cell r="R513" t="str">
            <v>DOM LUX LXP7M</v>
          </cell>
          <cell r="S513" t="e">
            <v>#N/A</v>
          </cell>
          <cell r="T513" t="e">
            <v>#N/A</v>
          </cell>
          <cell r="U513" t="e">
            <v>#N/A</v>
          </cell>
          <cell r="V513" t="e">
            <v>#N/A</v>
          </cell>
          <cell r="W513" t="e">
            <v>#N/A</v>
          </cell>
          <cell r="AA513">
            <v>0</v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</row>
        <row r="514">
          <cell r="R514" t="str">
            <v>DOM LUX LXP8C</v>
          </cell>
          <cell r="S514" t="e">
            <v>#N/A</v>
          </cell>
          <cell r="T514" t="e">
            <v>#N/A</v>
          </cell>
          <cell r="U514" t="e">
            <v>#N/A</v>
          </cell>
          <cell r="V514" t="e">
            <v>#N/A</v>
          </cell>
          <cell r="W514" t="e">
            <v>#N/A</v>
          </cell>
          <cell r="AA514">
            <v>0</v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</row>
        <row r="515">
          <cell r="R515" t="str">
            <v>DOM LUX LXP8M</v>
          </cell>
          <cell r="S515" t="e">
            <v>#N/A</v>
          </cell>
          <cell r="T515" t="e">
            <v>#N/A</v>
          </cell>
          <cell r="U515" t="e">
            <v>#N/A</v>
          </cell>
          <cell r="V515" t="e">
            <v>#N/A</v>
          </cell>
          <cell r="W515" t="e">
            <v>#N/A</v>
          </cell>
          <cell r="AA515">
            <v>0</v>
          </cell>
          <cell r="AB515" t="str">
            <v/>
          </cell>
          <cell r="AC515" t="str">
            <v/>
          </cell>
          <cell r="AD515" t="str">
            <v/>
          </cell>
          <cell r="AE515" t="str">
            <v/>
          </cell>
        </row>
        <row r="516">
          <cell r="R516" t="str">
            <v>DOM LUX LXSC1</v>
          </cell>
          <cell r="S516" t="e">
            <v>#N/A</v>
          </cell>
          <cell r="T516" t="e">
            <v>#N/A</v>
          </cell>
          <cell r="U516" t="e">
            <v>#N/A</v>
          </cell>
          <cell r="V516" t="e">
            <v>#N/A</v>
          </cell>
          <cell r="W516" t="e">
            <v>#N/A</v>
          </cell>
          <cell r="AA516">
            <v>0</v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</row>
        <row r="517">
          <cell r="R517" t="str">
            <v>DOM LUX LXTS</v>
          </cell>
          <cell r="S517" t="e">
            <v>#N/A</v>
          </cell>
          <cell r="T517" t="e">
            <v>#N/A</v>
          </cell>
          <cell r="U517" t="e">
            <v>#N/A</v>
          </cell>
          <cell r="V517" t="e">
            <v>#N/A</v>
          </cell>
          <cell r="W517" t="e">
            <v>#N/A</v>
          </cell>
          <cell r="AA517">
            <v>0</v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</row>
        <row r="518">
          <cell r="R518" t="str">
            <v>DOM LUX LXTF</v>
          </cell>
          <cell r="S518" t="e">
            <v>#N/A</v>
          </cell>
          <cell r="T518" t="e">
            <v>#N/A</v>
          </cell>
          <cell r="U518" t="e">
            <v>#N/A</v>
          </cell>
          <cell r="V518" t="e">
            <v>#N/A</v>
          </cell>
          <cell r="W518" t="e">
            <v>#N/A</v>
          </cell>
          <cell r="AA518">
            <v>0</v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</row>
        <row r="519">
          <cell r="R519" t="str">
            <v>DOM MYS MMOB</v>
          </cell>
          <cell r="S519" t="e">
            <v>#N/A</v>
          </cell>
          <cell r="T519" t="e">
            <v>#N/A</v>
          </cell>
          <cell r="U519" t="e">
            <v>#N/A</v>
          </cell>
          <cell r="V519" t="e">
            <v>#N/A</v>
          </cell>
          <cell r="W519" t="e">
            <v>#N/A</v>
          </cell>
          <cell r="AA519">
            <v>0</v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</row>
        <row r="520">
          <cell r="R520" t="str">
            <v>DOM MYS MALA</v>
          </cell>
          <cell r="S520" t="e">
            <v>#N/A</v>
          </cell>
          <cell r="T520" t="e">
            <v>#N/A</v>
          </cell>
          <cell r="U520" t="e">
            <v>#N/A</v>
          </cell>
          <cell r="V520" t="e">
            <v>#N/A</v>
          </cell>
          <cell r="W520" t="e">
            <v>#N/A</v>
          </cell>
          <cell r="AA520">
            <v>0</v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</row>
        <row r="521">
          <cell r="R521" t="str">
            <v>DOM MLT MOB</v>
          </cell>
          <cell r="S521" t="e">
            <v>#N/A</v>
          </cell>
          <cell r="T521" t="e">
            <v>#N/A</v>
          </cell>
          <cell r="U521" t="e">
            <v>#N/A</v>
          </cell>
          <cell r="V521" t="e">
            <v>#N/A</v>
          </cell>
          <cell r="W521" t="e">
            <v>#N/A</v>
          </cell>
          <cell r="AA521">
            <v>0</v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</row>
        <row r="522">
          <cell r="R522" t="str">
            <v>DOM MLT FIX</v>
          </cell>
          <cell r="S522" t="e">
            <v>#N/A</v>
          </cell>
          <cell r="T522" t="e">
            <v>#N/A</v>
          </cell>
          <cell r="U522" t="e">
            <v>#N/A</v>
          </cell>
          <cell r="V522" t="e">
            <v>#N/A</v>
          </cell>
          <cell r="W522" t="e">
            <v>#N/A</v>
          </cell>
          <cell r="AA522">
            <v>0</v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</row>
        <row r="523">
          <cell r="R523" t="str">
            <v>DOM MTQ MOB</v>
          </cell>
          <cell r="S523" t="e">
            <v>#N/A</v>
          </cell>
          <cell r="T523" t="e">
            <v>#N/A</v>
          </cell>
          <cell r="U523" t="e">
            <v>#N/A</v>
          </cell>
          <cell r="V523" t="e">
            <v>#N/A</v>
          </cell>
          <cell r="W523" t="e">
            <v>#N/A</v>
          </cell>
          <cell r="AA523">
            <v>0</v>
          </cell>
          <cell r="AB523" t="str">
            <v/>
          </cell>
          <cell r="AC523" t="str">
            <v/>
          </cell>
          <cell r="AD523" t="str">
            <v/>
          </cell>
          <cell r="AE523" t="str">
            <v/>
          </cell>
        </row>
        <row r="524">
          <cell r="R524" t="str">
            <v>DOM MTQ FIX</v>
          </cell>
          <cell r="S524" t="e">
            <v>#N/A</v>
          </cell>
          <cell r="T524" t="e">
            <v>#N/A</v>
          </cell>
          <cell r="U524" t="e">
            <v>#N/A</v>
          </cell>
          <cell r="V524" t="e">
            <v>#N/A</v>
          </cell>
          <cell r="W524" t="e">
            <v>#N/A</v>
          </cell>
          <cell r="AA524">
            <v>0</v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</row>
        <row r="525">
          <cell r="R525" t="str">
            <v>DOM MTQ MQ1FR</v>
          </cell>
          <cell r="S525" t="e">
            <v>#N/A</v>
          </cell>
          <cell r="T525" t="e">
            <v>#N/A</v>
          </cell>
          <cell r="U525" t="e">
            <v>#N/A</v>
          </cell>
          <cell r="V525" t="e">
            <v>#N/A</v>
          </cell>
          <cell r="W525" t="e">
            <v>#N/A</v>
          </cell>
          <cell r="AA525">
            <v>0</v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</row>
        <row r="526">
          <cell r="R526" t="str">
            <v>DOM MTQ MQ1TS</v>
          </cell>
          <cell r="S526" t="e">
            <v>#N/A</v>
          </cell>
          <cell r="T526" t="e">
            <v>#N/A</v>
          </cell>
          <cell r="U526" t="e">
            <v>#N/A</v>
          </cell>
          <cell r="V526" t="e">
            <v>#N/A</v>
          </cell>
          <cell r="W526" t="e">
            <v>#N/A</v>
          </cell>
          <cell r="AA526">
            <v>0</v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</row>
        <row r="527">
          <cell r="R527" t="str">
            <v>DOM MTQ MQ300</v>
          </cell>
          <cell r="S527" t="e">
            <v>#N/A</v>
          </cell>
          <cell r="T527" t="e">
            <v>#N/A</v>
          </cell>
          <cell r="U527" t="e">
            <v>#N/A</v>
          </cell>
          <cell r="V527" t="e">
            <v>#N/A</v>
          </cell>
          <cell r="W527" t="e">
            <v>#N/A</v>
          </cell>
          <cell r="AA527">
            <v>0</v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</row>
        <row r="528">
          <cell r="R528" t="str">
            <v>DOM MTQ MQ301</v>
          </cell>
          <cell r="S528" t="e">
            <v>#N/A</v>
          </cell>
          <cell r="T528" t="e">
            <v>#N/A</v>
          </cell>
          <cell r="U528" t="e">
            <v>#N/A</v>
          </cell>
          <cell r="V528" t="e">
            <v>#N/A</v>
          </cell>
          <cell r="W528" t="e">
            <v>#N/A</v>
          </cell>
          <cell r="AA528">
            <v>0</v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</row>
        <row r="529">
          <cell r="R529" t="str">
            <v>DOM MTQ MQ302</v>
          </cell>
          <cell r="S529" t="e">
            <v>#N/A</v>
          </cell>
          <cell r="T529" t="e">
            <v>#N/A</v>
          </cell>
          <cell r="U529" t="e">
            <v>#N/A</v>
          </cell>
          <cell r="V529" t="e">
            <v>#N/A</v>
          </cell>
          <cell r="W529" t="e">
            <v>#N/A</v>
          </cell>
          <cell r="AA529">
            <v>0</v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</row>
        <row r="530">
          <cell r="R530" t="str">
            <v>DOM MTQ MQ303</v>
          </cell>
          <cell r="S530" t="e">
            <v>#N/A</v>
          </cell>
          <cell r="T530" t="e">
            <v>#N/A</v>
          </cell>
          <cell r="U530" t="e">
            <v>#N/A</v>
          </cell>
          <cell r="V530" t="e">
            <v>#N/A</v>
          </cell>
          <cell r="W530" t="e">
            <v>#N/A</v>
          </cell>
          <cell r="AA530">
            <v>0</v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</row>
        <row r="531">
          <cell r="R531" t="str">
            <v>DOM MTQ MQ304</v>
          </cell>
          <cell r="S531" t="e">
            <v>#N/A</v>
          </cell>
          <cell r="T531" t="e">
            <v>#N/A</v>
          </cell>
          <cell r="U531" t="e">
            <v>#N/A</v>
          </cell>
          <cell r="V531" t="e">
            <v>#N/A</v>
          </cell>
          <cell r="W531" t="e">
            <v>#N/A</v>
          </cell>
          <cell r="AA531">
            <v>0</v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</row>
        <row r="532">
          <cell r="R532" t="str">
            <v>DOM MTQ MQ305</v>
          </cell>
          <cell r="S532" t="e">
            <v>#N/A</v>
          </cell>
          <cell r="T532" t="e">
            <v>#N/A</v>
          </cell>
          <cell r="U532" t="e">
            <v>#N/A</v>
          </cell>
          <cell r="V532" t="e">
            <v>#N/A</v>
          </cell>
          <cell r="W532" t="e">
            <v>#N/A</v>
          </cell>
          <cell r="AA532">
            <v>0</v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</row>
        <row r="533">
          <cell r="R533" t="str">
            <v>DOM MTQ MQ306</v>
          </cell>
          <cell r="S533" t="e">
            <v>#N/A</v>
          </cell>
          <cell r="T533" t="e">
            <v>#N/A</v>
          </cell>
          <cell r="U533" t="e">
            <v>#N/A</v>
          </cell>
          <cell r="V533" t="e">
            <v>#N/A</v>
          </cell>
          <cell r="W533" t="e">
            <v>#N/A</v>
          </cell>
          <cell r="AA533">
            <v>0</v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</row>
        <row r="534">
          <cell r="R534" t="str">
            <v>DOM MTQ MQ307</v>
          </cell>
          <cell r="S534" t="e">
            <v>#N/A</v>
          </cell>
          <cell r="T534" t="e">
            <v>#N/A</v>
          </cell>
          <cell r="U534" t="e">
            <v>#N/A</v>
          </cell>
          <cell r="V534" t="e">
            <v>#N/A</v>
          </cell>
          <cell r="W534" t="e">
            <v>#N/A</v>
          </cell>
          <cell r="AA534">
            <v>0</v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</row>
        <row r="535">
          <cell r="R535" t="str">
            <v>DOM MTQ MQ308</v>
          </cell>
          <cell r="S535" t="e">
            <v>#N/A</v>
          </cell>
          <cell r="T535" t="e">
            <v>#N/A</v>
          </cell>
          <cell r="U535" t="e">
            <v>#N/A</v>
          </cell>
          <cell r="V535" t="e">
            <v>#N/A</v>
          </cell>
          <cell r="W535" t="e">
            <v>#N/A</v>
          </cell>
          <cell r="AA535">
            <v>0</v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</row>
        <row r="536">
          <cell r="R536" t="str">
            <v>DOM MTQ MQ309</v>
          </cell>
          <cell r="S536" t="e">
            <v>#N/A</v>
          </cell>
          <cell r="T536" t="e">
            <v>#N/A</v>
          </cell>
          <cell r="U536" t="e">
            <v>#N/A</v>
          </cell>
          <cell r="V536" t="e">
            <v>#N/A</v>
          </cell>
          <cell r="W536" t="e">
            <v>#N/A</v>
          </cell>
          <cell r="AA536">
            <v>0</v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</row>
        <row r="537">
          <cell r="R537" t="str">
            <v>DOM MTQ MQ310</v>
          </cell>
          <cell r="S537" t="e">
            <v>#N/A</v>
          </cell>
          <cell r="T537" t="e">
            <v>#N/A</v>
          </cell>
          <cell r="U537" t="e">
            <v>#N/A</v>
          </cell>
          <cell r="V537" t="e">
            <v>#N/A</v>
          </cell>
          <cell r="W537" t="e">
            <v>#N/A</v>
          </cell>
          <cell r="AA537">
            <v>0</v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</row>
        <row r="538">
          <cell r="R538" t="str">
            <v>DOM MTQ MQ311</v>
          </cell>
          <cell r="S538" t="e">
            <v>#N/A</v>
          </cell>
          <cell r="T538" t="e">
            <v>#N/A</v>
          </cell>
          <cell r="U538" t="e">
            <v>#N/A</v>
          </cell>
          <cell r="V538" t="e">
            <v>#N/A</v>
          </cell>
          <cell r="W538" t="e">
            <v>#N/A</v>
          </cell>
          <cell r="AA538">
            <v>0</v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</row>
        <row r="539">
          <cell r="R539" t="str">
            <v>DOM MTQ MQ312</v>
          </cell>
          <cell r="S539" t="e">
            <v>#N/A</v>
          </cell>
          <cell r="T539" t="e">
            <v>#N/A</v>
          </cell>
          <cell r="U539" t="e">
            <v>#N/A</v>
          </cell>
          <cell r="V539" t="e">
            <v>#N/A</v>
          </cell>
          <cell r="W539" t="e">
            <v>#N/A</v>
          </cell>
          <cell r="AA539">
            <v>0</v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</row>
        <row r="540">
          <cell r="R540" t="str">
            <v>DOM MTQ MQ313</v>
          </cell>
          <cell r="S540" t="e">
            <v>#N/A</v>
          </cell>
          <cell r="T540" t="e">
            <v>#N/A</v>
          </cell>
          <cell r="U540" t="e">
            <v>#N/A</v>
          </cell>
          <cell r="V540" t="e">
            <v>#N/A</v>
          </cell>
          <cell r="W540" t="e">
            <v>#N/A</v>
          </cell>
          <cell r="AA540">
            <v>0</v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</row>
        <row r="541">
          <cell r="R541" t="str">
            <v>DOM MTQ MQ314</v>
          </cell>
          <cell r="S541" t="e">
            <v>#N/A</v>
          </cell>
          <cell r="T541" t="e">
            <v>#N/A</v>
          </cell>
          <cell r="U541" t="e">
            <v>#N/A</v>
          </cell>
          <cell r="V541" t="e">
            <v>#N/A</v>
          </cell>
          <cell r="W541" t="e">
            <v>#N/A</v>
          </cell>
          <cell r="AA541">
            <v>0</v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</row>
        <row r="542">
          <cell r="R542" t="str">
            <v>DOM MTQ MQ315</v>
          </cell>
          <cell r="S542" t="e">
            <v>#N/A</v>
          </cell>
          <cell r="T542" t="e">
            <v>#N/A</v>
          </cell>
          <cell r="U542" t="e">
            <v>#N/A</v>
          </cell>
          <cell r="V542" t="e">
            <v>#N/A</v>
          </cell>
          <cell r="W542" t="e">
            <v>#N/A</v>
          </cell>
          <cell r="AA542">
            <v>0</v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</row>
        <row r="543">
          <cell r="R543" t="str">
            <v>DOM MTQ MQ316</v>
          </cell>
          <cell r="S543" t="e">
            <v>#N/A</v>
          </cell>
          <cell r="T543" t="e">
            <v>#N/A</v>
          </cell>
          <cell r="U543" t="e">
            <v>#N/A</v>
          </cell>
          <cell r="V543" t="e">
            <v>#N/A</v>
          </cell>
          <cell r="W543" t="e">
            <v>#N/A</v>
          </cell>
          <cell r="AA543">
            <v>0</v>
          </cell>
          <cell r="AB543" t="str">
            <v/>
          </cell>
          <cell r="AC543" t="str">
            <v/>
          </cell>
          <cell r="AD543" t="str">
            <v/>
          </cell>
          <cell r="AE543" t="str">
            <v/>
          </cell>
        </row>
        <row r="544">
          <cell r="R544" t="str">
            <v>DOM MTQ MQ317</v>
          </cell>
          <cell r="S544" t="e">
            <v>#N/A</v>
          </cell>
          <cell r="T544" t="e">
            <v>#N/A</v>
          </cell>
          <cell r="U544" t="e">
            <v>#N/A</v>
          </cell>
          <cell r="V544" t="e">
            <v>#N/A</v>
          </cell>
          <cell r="W544" t="e">
            <v>#N/A</v>
          </cell>
          <cell r="AA544">
            <v>0</v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</row>
        <row r="545">
          <cell r="R545" t="str">
            <v>DOM MTQ MQ318</v>
          </cell>
          <cell r="S545" t="e">
            <v>#N/A</v>
          </cell>
          <cell r="T545" t="e">
            <v>#N/A</v>
          </cell>
          <cell r="U545" t="e">
            <v>#N/A</v>
          </cell>
          <cell r="V545" t="e">
            <v>#N/A</v>
          </cell>
          <cell r="W545" t="e">
            <v>#N/A</v>
          </cell>
          <cell r="AA545">
            <v>0</v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</row>
        <row r="546">
          <cell r="R546" t="str">
            <v>DOM MTQ MQ319</v>
          </cell>
          <cell r="S546" t="e">
            <v>#N/A</v>
          </cell>
          <cell r="T546" t="e">
            <v>#N/A</v>
          </cell>
          <cell r="U546" t="e">
            <v>#N/A</v>
          </cell>
          <cell r="V546" t="e">
            <v>#N/A</v>
          </cell>
          <cell r="W546" t="e">
            <v>#N/A</v>
          </cell>
          <cell r="AA546">
            <v>0</v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</row>
        <row r="547">
          <cell r="R547" t="str">
            <v>DOM MTQ MQ320</v>
          </cell>
          <cell r="S547" t="e">
            <v>#N/A</v>
          </cell>
          <cell r="T547" t="e">
            <v>#N/A</v>
          </cell>
          <cell r="U547" t="e">
            <v>#N/A</v>
          </cell>
          <cell r="V547" t="e">
            <v>#N/A</v>
          </cell>
          <cell r="W547" t="e">
            <v>#N/A</v>
          </cell>
          <cell r="AA547">
            <v>0</v>
          </cell>
          <cell r="AB547" t="str">
            <v/>
          </cell>
          <cell r="AC547" t="str">
            <v/>
          </cell>
          <cell r="AD547" t="str">
            <v/>
          </cell>
          <cell r="AE547" t="str">
            <v/>
          </cell>
        </row>
        <row r="548">
          <cell r="R548" t="str">
            <v>DOM MTQ MQ321</v>
          </cell>
          <cell r="S548" t="e">
            <v>#N/A</v>
          </cell>
          <cell r="T548" t="e">
            <v>#N/A</v>
          </cell>
          <cell r="U548" t="e">
            <v>#N/A</v>
          </cell>
          <cell r="V548" t="e">
            <v>#N/A</v>
          </cell>
          <cell r="W548" t="e">
            <v>#N/A</v>
          </cell>
          <cell r="AA548">
            <v>0</v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</row>
        <row r="549">
          <cell r="R549" t="str">
            <v>DOM MTQ MQVAS</v>
          </cell>
          <cell r="S549" t="e">
            <v>#N/A</v>
          </cell>
          <cell r="T549" t="e">
            <v>#N/A</v>
          </cell>
          <cell r="U549" t="e">
            <v>#N/A</v>
          </cell>
          <cell r="V549" t="e">
            <v>#N/A</v>
          </cell>
          <cell r="W549" t="e">
            <v>#N/A</v>
          </cell>
          <cell r="AA549">
            <v>0</v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</row>
        <row r="550">
          <cell r="R550" t="str">
            <v>DOM MTQ MQSOS</v>
          </cell>
          <cell r="S550" t="e">
            <v>#N/A</v>
          </cell>
          <cell r="T550" t="e">
            <v>#N/A</v>
          </cell>
          <cell r="U550" t="e">
            <v>#N/A</v>
          </cell>
          <cell r="V550" t="e">
            <v>#N/A</v>
          </cell>
          <cell r="W550" t="e">
            <v>#N/A</v>
          </cell>
          <cell r="AA550">
            <v>0</v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</row>
        <row r="551">
          <cell r="R551" t="str">
            <v>DOM MTQ MQ860</v>
          </cell>
          <cell r="S551" t="e">
            <v>#N/A</v>
          </cell>
          <cell r="T551" t="e">
            <v>#N/A</v>
          </cell>
          <cell r="U551" t="e">
            <v>#N/A</v>
          </cell>
          <cell r="V551" t="e">
            <v>#N/A</v>
          </cell>
          <cell r="W551" t="e">
            <v>#N/A</v>
          </cell>
          <cell r="AA551">
            <v>0</v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</row>
        <row r="552">
          <cell r="R552" t="str">
            <v>DOM MTQ MQ82H</v>
          </cell>
          <cell r="S552" t="e">
            <v>#N/A</v>
          </cell>
          <cell r="T552" t="e">
            <v>#N/A</v>
          </cell>
          <cell r="U552" t="e">
            <v>#N/A</v>
          </cell>
          <cell r="V552" t="e">
            <v>#N/A</v>
          </cell>
          <cell r="W552" t="e">
            <v>#N/A</v>
          </cell>
          <cell r="AA552">
            <v>0</v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</row>
        <row r="553">
          <cell r="R553" t="str">
            <v>DOM MTQ MQ82L</v>
          </cell>
          <cell r="S553" t="e">
            <v>#N/A</v>
          </cell>
          <cell r="T553" t="e">
            <v>#N/A</v>
          </cell>
          <cell r="U553" t="e">
            <v>#N/A</v>
          </cell>
          <cell r="V553" t="e">
            <v>#N/A</v>
          </cell>
          <cell r="W553" t="e">
            <v>#N/A</v>
          </cell>
          <cell r="AA553">
            <v>0</v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</row>
        <row r="554">
          <cell r="R554" t="str">
            <v>DOM MTQ MQ825</v>
          </cell>
          <cell r="S554" t="e">
            <v>#N/A</v>
          </cell>
          <cell r="T554" t="e">
            <v>#N/A</v>
          </cell>
          <cell r="U554" t="e">
            <v>#N/A</v>
          </cell>
          <cell r="V554" t="e">
            <v>#N/A</v>
          </cell>
          <cell r="W554" t="e">
            <v>#N/A</v>
          </cell>
          <cell r="AA554">
            <v>0</v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</row>
        <row r="555">
          <cell r="R555" t="str">
            <v>DOM MTQ MQ89H</v>
          </cell>
          <cell r="S555" t="e">
            <v>#N/A</v>
          </cell>
          <cell r="T555" t="e">
            <v>#N/A</v>
          </cell>
          <cell r="U555" t="e">
            <v>#N/A</v>
          </cell>
          <cell r="V555" t="e">
            <v>#N/A</v>
          </cell>
          <cell r="W555" t="e">
            <v>#N/A</v>
          </cell>
          <cell r="AA555">
            <v>0</v>
          </cell>
          <cell r="AB555" t="str">
            <v/>
          </cell>
          <cell r="AC555" t="str">
            <v/>
          </cell>
          <cell r="AD555" t="str">
            <v/>
          </cell>
          <cell r="AE555" t="str">
            <v/>
          </cell>
        </row>
        <row r="556">
          <cell r="R556" t="str">
            <v>DOM MTQ MQ89L</v>
          </cell>
          <cell r="S556" t="e">
            <v>#N/A</v>
          </cell>
          <cell r="T556" t="e">
            <v>#N/A</v>
          </cell>
          <cell r="U556" t="e">
            <v>#N/A</v>
          </cell>
          <cell r="V556" t="e">
            <v>#N/A</v>
          </cell>
          <cell r="W556" t="e">
            <v>#N/A</v>
          </cell>
          <cell r="AA556">
            <v>0</v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</row>
        <row r="557">
          <cell r="R557" t="str">
            <v>DOM MTQ MQ891</v>
          </cell>
          <cell r="S557" t="e">
            <v>#N/A</v>
          </cell>
          <cell r="T557" t="e">
            <v>#N/A</v>
          </cell>
          <cell r="U557" t="e">
            <v>#N/A</v>
          </cell>
          <cell r="V557" t="e">
            <v>#N/A</v>
          </cell>
          <cell r="W557" t="e">
            <v>#N/A</v>
          </cell>
          <cell r="AA557">
            <v>0</v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</row>
        <row r="558">
          <cell r="R558" t="str">
            <v>DOM MTQ MQ892</v>
          </cell>
          <cell r="S558" t="e">
            <v>#N/A</v>
          </cell>
          <cell r="T558" t="e">
            <v>#N/A</v>
          </cell>
          <cell r="U558" t="e">
            <v>#N/A</v>
          </cell>
          <cell r="V558" t="e">
            <v>#N/A</v>
          </cell>
          <cell r="W558" t="e">
            <v>#N/A</v>
          </cell>
          <cell r="AA558">
            <v>0</v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</row>
        <row r="559">
          <cell r="R559" t="str">
            <v>DOM MTQ MQ897</v>
          </cell>
          <cell r="S559" t="e">
            <v>#N/A</v>
          </cell>
          <cell r="T559" t="e">
            <v>#N/A</v>
          </cell>
          <cell r="U559" t="e">
            <v>#N/A</v>
          </cell>
          <cell r="V559" t="e">
            <v>#N/A</v>
          </cell>
          <cell r="W559" t="e">
            <v>#N/A</v>
          </cell>
          <cell r="AA559">
            <v>0</v>
          </cell>
          <cell r="AB559" t="str">
            <v/>
          </cell>
          <cell r="AC559" t="str">
            <v/>
          </cell>
          <cell r="AD559" t="str">
            <v/>
          </cell>
          <cell r="AE559" t="str">
            <v/>
          </cell>
        </row>
        <row r="560">
          <cell r="R560" t="str">
            <v>DOM MTQ MQ899</v>
          </cell>
          <cell r="S560" t="e">
            <v>#N/A</v>
          </cell>
          <cell r="T560" t="e">
            <v>#N/A</v>
          </cell>
          <cell r="U560" t="e">
            <v>#N/A</v>
          </cell>
          <cell r="V560" t="e">
            <v>#N/A</v>
          </cell>
          <cell r="W560" t="e">
            <v>#N/A</v>
          </cell>
          <cell r="AA560">
            <v>0</v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</row>
        <row r="561">
          <cell r="R561" t="str">
            <v>DOM MTQ MQ006</v>
          </cell>
          <cell r="S561" t="e">
            <v>#N/A</v>
          </cell>
          <cell r="T561" t="e">
            <v>#N/A</v>
          </cell>
          <cell r="U561" t="e">
            <v>#N/A</v>
          </cell>
          <cell r="V561" t="e">
            <v>#N/A</v>
          </cell>
          <cell r="W561" t="e">
            <v>#N/A</v>
          </cell>
          <cell r="AA561">
            <v>0</v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</row>
        <row r="562">
          <cell r="R562" t="str">
            <v>DOM MTQ MQ218</v>
          </cell>
          <cell r="S562" t="e">
            <v>#N/A</v>
          </cell>
          <cell r="T562" t="e">
            <v>#N/A</v>
          </cell>
          <cell r="U562" t="e">
            <v>#N/A</v>
          </cell>
          <cell r="V562" t="e">
            <v>#N/A</v>
          </cell>
          <cell r="W562" t="e">
            <v>#N/A</v>
          </cell>
          <cell r="AA562">
            <v>0</v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</row>
        <row r="563">
          <cell r="R563" t="str">
            <v>DOM MTQ MQ222</v>
          </cell>
          <cell r="S563" t="e">
            <v>#N/A</v>
          </cell>
          <cell r="T563" t="e">
            <v>#N/A</v>
          </cell>
          <cell r="U563" t="e">
            <v>#N/A</v>
          </cell>
          <cell r="V563" t="e">
            <v>#N/A</v>
          </cell>
          <cell r="W563" t="e">
            <v>#N/A</v>
          </cell>
          <cell r="AA563">
            <v>0</v>
          </cell>
          <cell r="AB563" t="str">
            <v/>
          </cell>
          <cell r="AC563" t="str">
            <v/>
          </cell>
          <cell r="AD563" t="str">
            <v/>
          </cell>
          <cell r="AE563" t="str">
            <v/>
          </cell>
        </row>
        <row r="564">
          <cell r="R564" t="str">
            <v>DOM MTQ MQ700</v>
          </cell>
          <cell r="S564" t="e">
            <v>#N/A</v>
          </cell>
          <cell r="T564" t="e">
            <v>#N/A</v>
          </cell>
          <cell r="U564" t="e">
            <v>#N/A</v>
          </cell>
          <cell r="V564" t="e">
            <v>#N/A</v>
          </cell>
          <cell r="W564" t="e">
            <v>#N/A</v>
          </cell>
          <cell r="AA564">
            <v>0</v>
          </cell>
          <cell r="AB564" t="str">
            <v/>
          </cell>
          <cell r="AC564" t="str">
            <v/>
          </cell>
          <cell r="AD564" t="str">
            <v/>
          </cell>
          <cell r="AE564" t="str">
            <v/>
          </cell>
        </row>
        <row r="565">
          <cell r="R565" t="str">
            <v>DOM MTQ MQ710</v>
          </cell>
          <cell r="S565" t="e">
            <v>#N/A</v>
          </cell>
          <cell r="T565" t="e">
            <v>#N/A</v>
          </cell>
          <cell r="U565" t="e">
            <v>#N/A</v>
          </cell>
          <cell r="V565" t="e">
            <v>#N/A</v>
          </cell>
          <cell r="W565" t="e">
            <v>#N/A</v>
          </cell>
          <cell r="AA565">
            <v>0</v>
          </cell>
          <cell r="AB565" t="str">
            <v/>
          </cell>
          <cell r="AC565" t="str">
            <v/>
          </cell>
          <cell r="AD565" t="str">
            <v/>
          </cell>
          <cell r="AE565" t="str">
            <v/>
          </cell>
        </row>
        <row r="566">
          <cell r="R566" t="str">
            <v>DOM MTQ MQ711</v>
          </cell>
          <cell r="S566" t="e">
            <v>#N/A</v>
          </cell>
          <cell r="T566" t="e">
            <v>#N/A</v>
          </cell>
          <cell r="U566" t="e">
            <v>#N/A</v>
          </cell>
          <cell r="V566" t="e">
            <v>#N/A</v>
          </cell>
          <cell r="W566" t="e">
            <v>#N/A</v>
          </cell>
          <cell r="AA566">
            <v>0</v>
          </cell>
          <cell r="AB566" t="str">
            <v/>
          </cell>
          <cell r="AC566" t="str">
            <v/>
          </cell>
          <cell r="AD566" t="str">
            <v/>
          </cell>
          <cell r="AE566" t="str">
            <v/>
          </cell>
        </row>
        <row r="567">
          <cell r="R567" t="str">
            <v>DOM MTQ MQ712</v>
          </cell>
          <cell r="S567" t="e">
            <v>#N/A</v>
          </cell>
          <cell r="T567" t="e">
            <v>#N/A</v>
          </cell>
          <cell r="U567" t="e">
            <v>#N/A</v>
          </cell>
          <cell r="V567" t="e">
            <v>#N/A</v>
          </cell>
          <cell r="W567" t="e">
            <v>#N/A</v>
          </cell>
          <cell r="AA567">
            <v>0</v>
          </cell>
          <cell r="AB567" t="str">
            <v/>
          </cell>
          <cell r="AC567" t="str">
            <v/>
          </cell>
          <cell r="AD567" t="str">
            <v/>
          </cell>
          <cell r="AE567" t="str">
            <v/>
          </cell>
        </row>
        <row r="568">
          <cell r="R568" t="str">
            <v>DOM MTQ MQ888</v>
          </cell>
          <cell r="S568" t="e">
            <v>#N/A</v>
          </cell>
          <cell r="T568" t="e">
            <v>#N/A</v>
          </cell>
          <cell r="U568" t="e">
            <v>#N/A</v>
          </cell>
          <cell r="V568" t="e">
            <v>#N/A</v>
          </cell>
          <cell r="W568" t="e">
            <v>#N/A</v>
          </cell>
          <cell r="AA568">
            <v>0</v>
          </cell>
          <cell r="AB568" t="str">
            <v/>
          </cell>
          <cell r="AC568" t="str">
            <v/>
          </cell>
          <cell r="AD568" t="str">
            <v/>
          </cell>
          <cell r="AE568" t="str">
            <v/>
          </cell>
        </row>
        <row r="569">
          <cell r="R569" t="str">
            <v>DOM MTQ MQFRE</v>
          </cell>
          <cell r="S569" t="e">
            <v>#N/A</v>
          </cell>
          <cell r="T569" t="e">
            <v>#N/A</v>
          </cell>
          <cell r="U569" t="e">
            <v>#N/A</v>
          </cell>
          <cell r="V569" t="e">
            <v>#N/A</v>
          </cell>
          <cell r="W569" t="e">
            <v>#N/A</v>
          </cell>
          <cell r="AA569">
            <v>0</v>
          </cell>
          <cell r="AB569" t="str">
            <v/>
          </cell>
          <cell r="AC569" t="str">
            <v/>
          </cell>
          <cell r="AD569" t="str">
            <v/>
          </cell>
          <cell r="AE569" t="str">
            <v/>
          </cell>
        </row>
        <row r="570">
          <cell r="R570" t="str">
            <v>DOM MTQ MQ810</v>
          </cell>
          <cell r="S570" t="e">
            <v>#N/A</v>
          </cell>
          <cell r="T570" t="e">
            <v>#N/A</v>
          </cell>
          <cell r="U570" t="e">
            <v>#N/A</v>
          </cell>
          <cell r="V570" t="e">
            <v>#N/A</v>
          </cell>
          <cell r="W570" t="e">
            <v>#N/A</v>
          </cell>
          <cell r="AA570">
            <v>0</v>
          </cell>
          <cell r="AB570" t="str">
            <v/>
          </cell>
          <cell r="AC570" t="str">
            <v/>
          </cell>
          <cell r="AD570" t="str">
            <v/>
          </cell>
          <cell r="AE570" t="str">
            <v/>
          </cell>
        </row>
        <row r="571">
          <cell r="R571" t="str">
            <v>DOM MAY YTFIX</v>
          </cell>
          <cell r="S571" t="e">
            <v>#N/A</v>
          </cell>
          <cell r="T571" t="e">
            <v>#N/A</v>
          </cell>
          <cell r="U571" t="e">
            <v>#N/A</v>
          </cell>
          <cell r="V571" t="e">
            <v>#N/A</v>
          </cell>
          <cell r="W571" t="e">
            <v>#N/A</v>
          </cell>
          <cell r="AA571">
            <v>0</v>
          </cell>
          <cell r="AB571" t="str">
            <v/>
          </cell>
          <cell r="AC571" t="str">
            <v/>
          </cell>
          <cell r="AD571" t="str">
            <v/>
          </cell>
          <cell r="AE571" t="str">
            <v/>
          </cell>
        </row>
        <row r="572">
          <cell r="R572" t="str">
            <v>DOM MAY YTMOB</v>
          </cell>
          <cell r="S572" t="e">
            <v>#N/A</v>
          </cell>
          <cell r="T572" t="e">
            <v>#N/A</v>
          </cell>
          <cell r="U572" t="e">
            <v>#N/A</v>
          </cell>
          <cell r="V572" t="e">
            <v>#N/A</v>
          </cell>
          <cell r="W572" t="e">
            <v>#N/A</v>
          </cell>
          <cell r="AA572">
            <v>0</v>
          </cell>
          <cell r="AB572" t="str">
            <v/>
          </cell>
          <cell r="AC572" t="str">
            <v/>
          </cell>
          <cell r="AD572" t="str">
            <v/>
          </cell>
          <cell r="AE572" t="str">
            <v/>
          </cell>
        </row>
        <row r="573">
          <cell r="R573" t="str">
            <v>DOM MAY MY1FR</v>
          </cell>
          <cell r="S573" t="e">
            <v>#N/A</v>
          </cell>
          <cell r="T573" t="e">
            <v>#N/A</v>
          </cell>
          <cell r="U573" t="e">
            <v>#N/A</v>
          </cell>
          <cell r="V573" t="e">
            <v>#N/A</v>
          </cell>
          <cell r="W573" t="e">
            <v>#N/A</v>
          </cell>
          <cell r="AA573">
            <v>0</v>
          </cell>
          <cell r="AB573" t="str">
            <v/>
          </cell>
          <cell r="AC573" t="str">
            <v/>
          </cell>
          <cell r="AD573" t="str">
            <v/>
          </cell>
          <cell r="AE573" t="str">
            <v/>
          </cell>
        </row>
        <row r="574">
          <cell r="R574" t="str">
            <v>DOM MAY MY1TS</v>
          </cell>
          <cell r="S574" t="e">
            <v>#N/A</v>
          </cell>
          <cell r="T574" t="e">
            <v>#N/A</v>
          </cell>
          <cell r="U574" t="e">
            <v>#N/A</v>
          </cell>
          <cell r="V574" t="e">
            <v>#N/A</v>
          </cell>
          <cell r="W574" t="e">
            <v>#N/A</v>
          </cell>
          <cell r="AA574">
            <v>0</v>
          </cell>
          <cell r="AB574" t="str">
            <v/>
          </cell>
          <cell r="AC574" t="str">
            <v/>
          </cell>
          <cell r="AD574" t="str">
            <v/>
          </cell>
          <cell r="AE574" t="str">
            <v/>
          </cell>
        </row>
        <row r="575">
          <cell r="R575" t="str">
            <v>DOM MAY MY300</v>
          </cell>
          <cell r="S575" t="e">
            <v>#N/A</v>
          </cell>
          <cell r="T575" t="e">
            <v>#N/A</v>
          </cell>
          <cell r="U575" t="e">
            <v>#N/A</v>
          </cell>
          <cell r="V575" t="e">
            <v>#N/A</v>
          </cell>
          <cell r="W575" t="e">
            <v>#N/A</v>
          </cell>
          <cell r="AA575">
            <v>0</v>
          </cell>
          <cell r="AB575" t="str">
            <v/>
          </cell>
          <cell r="AC575" t="str">
            <v/>
          </cell>
          <cell r="AD575" t="str">
            <v/>
          </cell>
          <cell r="AE575" t="str">
            <v/>
          </cell>
        </row>
        <row r="576">
          <cell r="R576" t="str">
            <v>DOM MAY MY301</v>
          </cell>
          <cell r="S576" t="e">
            <v>#N/A</v>
          </cell>
          <cell r="T576" t="e">
            <v>#N/A</v>
          </cell>
          <cell r="U576" t="e">
            <v>#N/A</v>
          </cell>
          <cell r="V576" t="e">
            <v>#N/A</v>
          </cell>
          <cell r="W576" t="e">
            <v>#N/A</v>
          </cell>
          <cell r="AA576">
            <v>0</v>
          </cell>
          <cell r="AB576" t="str">
            <v/>
          </cell>
          <cell r="AC576" t="str">
            <v/>
          </cell>
          <cell r="AD576" t="str">
            <v/>
          </cell>
          <cell r="AE576" t="str">
            <v/>
          </cell>
        </row>
        <row r="577">
          <cell r="R577" t="str">
            <v>DOM MAY MY302</v>
          </cell>
          <cell r="S577" t="e">
            <v>#N/A</v>
          </cell>
          <cell r="T577" t="e">
            <v>#N/A</v>
          </cell>
          <cell r="U577" t="e">
            <v>#N/A</v>
          </cell>
          <cell r="V577" t="e">
            <v>#N/A</v>
          </cell>
          <cell r="W577" t="e">
            <v>#N/A</v>
          </cell>
          <cell r="AA577">
            <v>0</v>
          </cell>
          <cell r="AB577" t="str">
            <v/>
          </cell>
          <cell r="AC577" t="str">
            <v/>
          </cell>
          <cell r="AD577" t="str">
            <v/>
          </cell>
          <cell r="AE577" t="str">
            <v/>
          </cell>
        </row>
        <row r="578">
          <cell r="R578" t="str">
            <v>DOM MAY MY303</v>
          </cell>
          <cell r="S578" t="e">
            <v>#N/A</v>
          </cell>
          <cell r="T578" t="e">
            <v>#N/A</v>
          </cell>
          <cell r="U578" t="e">
            <v>#N/A</v>
          </cell>
          <cell r="V578" t="e">
            <v>#N/A</v>
          </cell>
          <cell r="W578" t="e">
            <v>#N/A</v>
          </cell>
          <cell r="AA578">
            <v>0</v>
          </cell>
          <cell r="AB578" t="str">
            <v/>
          </cell>
          <cell r="AC578" t="str">
            <v/>
          </cell>
          <cell r="AD578" t="str">
            <v/>
          </cell>
          <cell r="AE578" t="str">
            <v/>
          </cell>
        </row>
        <row r="579">
          <cell r="R579" t="str">
            <v>DOM MAY MY304</v>
          </cell>
          <cell r="S579" t="e">
            <v>#N/A</v>
          </cell>
          <cell r="T579" t="e">
            <v>#N/A</v>
          </cell>
          <cell r="U579" t="e">
            <v>#N/A</v>
          </cell>
          <cell r="V579" t="e">
            <v>#N/A</v>
          </cell>
          <cell r="W579" t="e">
            <v>#N/A</v>
          </cell>
          <cell r="AA579">
            <v>0</v>
          </cell>
          <cell r="AB579" t="str">
            <v/>
          </cell>
          <cell r="AC579" t="str">
            <v/>
          </cell>
          <cell r="AD579" t="str">
            <v/>
          </cell>
          <cell r="AE579" t="str">
            <v/>
          </cell>
        </row>
        <row r="580">
          <cell r="R580" t="str">
            <v>DOM MAY MY305</v>
          </cell>
          <cell r="S580" t="e">
            <v>#N/A</v>
          </cell>
          <cell r="T580" t="e">
            <v>#N/A</v>
          </cell>
          <cell r="U580" t="e">
            <v>#N/A</v>
          </cell>
          <cell r="V580" t="e">
            <v>#N/A</v>
          </cell>
          <cell r="W580" t="e">
            <v>#N/A</v>
          </cell>
          <cell r="AA580">
            <v>0</v>
          </cell>
          <cell r="AB580" t="str">
            <v/>
          </cell>
          <cell r="AC580" t="str">
            <v/>
          </cell>
          <cell r="AD580" t="str">
            <v/>
          </cell>
          <cell r="AE580" t="str">
            <v/>
          </cell>
        </row>
        <row r="581">
          <cell r="R581" t="str">
            <v>DOM MAY MY306</v>
          </cell>
          <cell r="S581" t="e">
            <v>#N/A</v>
          </cell>
          <cell r="T581" t="e">
            <v>#N/A</v>
          </cell>
          <cell r="U581" t="e">
            <v>#N/A</v>
          </cell>
          <cell r="V581" t="e">
            <v>#N/A</v>
          </cell>
          <cell r="W581" t="e">
            <v>#N/A</v>
          </cell>
          <cell r="AA581">
            <v>0</v>
          </cell>
          <cell r="AB581" t="str">
            <v/>
          </cell>
          <cell r="AC581" t="str">
            <v/>
          </cell>
          <cell r="AD581" t="str">
            <v/>
          </cell>
          <cell r="AE581" t="str">
            <v/>
          </cell>
        </row>
        <row r="582">
          <cell r="R582" t="str">
            <v>DOM MAY MY307</v>
          </cell>
          <cell r="S582" t="e">
            <v>#N/A</v>
          </cell>
          <cell r="T582" t="e">
            <v>#N/A</v>
          </cell>
          <cell r="U582" t="e">
            <v>#N/A</v>
          </cell>
          <cell r="V582" t="e">
            <v>#N/A</v>
          </cell>
          <cell r="W582" t="e">
            <v>#N/A</v>
          </cell>
          <cell r="AA582">
            <v>0</v>
          </cell>
          <cell r="AB582" t="str">
            <v/>
          </cell>
          <cell r="AC582" t="str">
            <v/>
          </cell>
          <cell r="AD582" t="str">
            <v/>
          </cell>
          <cell r="AE582" t="str">
            <v/>
          </cell>
        </row>
        <row r="583">
          <cell r="R583" t="str">
            <v>DOM MAY MY308</v>
          </cell>
          <cell r="S583" t="e">
            <v>#N/A</v>
          </cell>
          <cell r="T583" t="e">
            <v>#N/A</v>
          </cell>
          <cell r="U583" t="e">
            <v>#N/A</v>
          </cell>
          <cell r="V583" t="e">
            <v>#N/A</v>
          </cell>
          <cell r="W583" t="e">
            <v>#N/A</v>
          </cell>
          <cell r="AA583">
            <v>0</v>
          </cell>
          <cell r="AB583" t="str">
            <v/>
          </cell>
          <cell r="AC583" t="str">
            <v/>
          </cell>
          <cell r="AD583" t="str">
            <v/>
          </cell>
          <cell r="AE583" t="str">
            <v/>
          </cell>
        </row>
        <row r="584">
          <cell r="R584" t="str">
            <v>DOM MAY MY309</v>
          </cell>
          <cell r="S584" t="e">
            <v>#N/A</v>
          </cell>
          <cell r="T584" t="e">
            <v>#N/A</v>
          </cell>
          <cell r="U584" t="e">
            <v>#N/A</v>
          </cell>
          <cell r="V584" t="e">
            <v>#N/A</v>
          </cell>
          <cell r="W584" t="e">
            <v>#N/A</v>
          </cell>
          <cell r="AA584">
            <v>0</v>
          </cell>
          <cell r="AB584" t="str">
            <v/>
          </cell>
          <cell r="AC584" t="str">
            <v/>
          </cell>
          <cell r="AD584" t="str">
            <v/>
          </cell>
          <cell r="AE584" t="str">
            <v/>
          </cell>
        </row>
        <row r="585">
          <cell r="R585" t="str">
            <v>DOM MAY MY310</v>
          </cell>
          <cell r="S585" t="e">
            <v>#N/A</v>
          </cell>
          <cell r="T585" t="e">
            <v>#N/A</v>
          </cell>
          <cell r="U585" t="e">
            <v>#N/A</v>
          </cell>
          <cell r="V585" t="e">
            <v>#N/A</v>
          </cell>
          <cell r="W585" t="e">
            <v>#N/A</v>
          </cell>
          <cell r="AA585">
            <v>0</v>
          </cell>
          <cell r="AB585" t="str">
            <v/>
          </cell>
          <cell r="AC585" t="str">
            <v/>
          </cell>
          <cell r="AD585" t="str">
            <v/>
          </cell>
          <cell r="AE585" t="str">
            <v/>
          </cell>
        </row>
        <row r="586">
          <cell r="R586" t="str">
            <v>DOM MAY MY311</v>
          </cell>
          <cell r="S586" t="e">
            <v>#N/A</v>
          </cell>
          <cell r="T586" t="e">
            <v>#N/A</v>
          </cell>
          <cell r="U586" t="e">
            <v>#N/A</v>
          </cell>
          <cell r="V586" t="e">
            <v>#N/A</v>
          </cell>
          <cell r="W586" t="e">
            <v>#N/A</v>
          </cell>
          <cell r="AA586">
            <v>0</v>
          </cell>
          <cell r="AB586" t="str">
            <v/>
          </cell>
          <cell r="AC586" t="str">
            <v/>
          </cell>
          <cell r="AD586" t="str">
            <v/>
          </cell>
          <cell r="AE586" t="str">
            <v/>
          </cell>
        </row>
        <row r="587">
          <cell r="R587" t="str">
            <v>DOM MAY MY312</v>
          </cell>
          <cell r="S587" t="e">
            <v>#N/A</v>
          </cell>
          <cell r="T587" t="e">
            <v>#N/A</v>
          </cell>
          <cell r="U587" t="e">
            <v>#N/A</v>
          </cell>
          <cell r="V587" t="e">
            <v>#N/A</v>
          </cell>
          <cell r="W587" t="e">
            <v>#N/A</v>
          </cell>
          <cell r="AA587">
            <v>0</v>
          </cell>
          <cell r="AB587" t="str">
            <v/>
          </cell>
          <cell r="AC587" t="str">
            <v/>
          </cell>
          <cell r="AD587" t="str">
            <v/>
          </cell>
          <cell r="AE587" t="str">
            <v/>
          </cell>
        </row>
        <row r="588">
          <cell r="R588" t="str">
            <v>DOM MAY MY313</v>
          </cell>
          <cell r="S588" t="e">
            <v>#N/A</v>
          </cell>
          <cell r="T588" t="e">
            <v>#N/A</v>
          </cell>
          <cell r="U588" t="e">
            <v>#N/A</v>
          </cell>
          <cell r="V588" t="e">
            <v>#N/A</v>
          </cell>
          <cell r="W588" t="e">
            <v>#N/A</v>
          </cell>
          <cell r="AA588">
            <v>0</v>
          </cell>
          <cell r="AB588" t="str">
            <v/>
          </cell>
          <cell r="AC588" t="str">
            <v/>
          </cell>
          <cell r="AD588" t="str">
            <v/>
          </cell>
          <cell r="AE588" t="str">
            <v/>
          </cell>
        </row>
        <row r="589">
          <cell r="R589" t="str">
            <v>DOM MAY MY314</v>
          </cell>
          <cell r="S589" t="e">
            <v>#N/A</v>
          </cell>
          <cell r="T589" t="e">
            <v>#N/A</v>
          </cell>
          <cell r="U589" t="e">
            <v>#N/A</v>
          </cell>
          <cell r="V589" t="e">
            <v>#N/A</v>
          </cell>
          <cell r="W589" t="e">
            <v>#N/A</v>
          </cell>
          <cell r="AA589">
            <v>0</v>
          </cell>
          <cell r="AB589" t="str">
            <v/>
          </cell>
          <cell r="AC589" t="str">
            <v/>
          </cell>
          <cell r="AD589" t="str">
            <v/>
          </cell>
          <cell r="AE589" t="str">
            <v/>
          </cell>
        </row>
        <row r="590">
          <cell r="R590" t="str">
            <v>DOM MAY MY315</v>
          </cell>
          <cell r="S590" t="e">
            <v>#N/A</v>
          </cell>
          <cell r="T590" t="e">
            <v>#N/A</v>
          </cell>
          <cell r="U590" t="e">
            <v>#N/A</v>
          </cell>
          <cell r="V590" t="e">
            <v>#N/A</v>
          </cell>
          <cell r="W590" t="e">
            <v>#N/A</v>
          </cell>
          <cell r="AA590">
            <v>0</v>
          </cell>
          <cell r="AB590" t="str">
            <v/>
          </cell>
          <cell r="AC590" t="str">
            <v/>
          </cell>
          <cell r="AD590" t="str">
            <v/>
          </cell>
          <cell r="AE590" t="str">
            <v/>
          </cell>
        </row>
        <row r="591">
          <cell r="R591" t="str">
            <v>DOM MAY MY316</v>
          </cell>
          <cell r="S591" t="e">
            <v>#N/A</v>
          </cell>
          <cell r="T591" t="e">
            <v>#N/A</v>
          </cell>
          <cell r="U591" t="e">
            <v>#N/A</v>
          </cell>
          <cell r="V591" t="e">
            <v>#N/A</v>
          </cell>
          <cell r="W591" t="e">
            <v>#N/A</v>
          </cell>
          <cell r="AA591">
            <v>0</v>
          </cell>
          <cell r="AB591" t="str">
            <v/>
          </cell>
          <cell r="AC591" t="str">
            <v/>
          </cell>
          <cell r="AD591" t="str">
            <v/>
          </cell>
          <cell r="AE591" t="str">
            <v/>
          </cell>
        </row>
        <row r="592">
          <cell r="R592" t="str">
            <v>DOM MAY MY317</v>
          </cell>
          <cell r="S592" t="e">
            <v>#N/A</v>
          </cell>
          <cell r="T592" t="e">
            <v>#N/A</v>
          </cell>
          <cell r="U592" t="e">
            <v>#N/A</v>
          </cell>
          <cell r="V592" t="e">
            <v>#N/A</v>
          </cell>
          <cell r="W592" t="e">
            <v>#N/A</v>
          </cell>
          <cell r="AA592">
            <v>0</v>
          </cell>
          <cell r="AB592" t="str">
            <v/>
          </cell>
          <cell r="AC592" t="str">
            <v/>
          </cell>
          <cell r="AD592" t="str">
            <v/>
          </cell>
          <cell r="AE592" t="str">
            <v/>
          </cell>
        </row>
        <row r="593">
          <cell r="R593" t="str">
            <v>DOM MAY MY318</v>
          </cell>
          <cell r="S593" t="e">
            <v>#N/A</v>
          </cell>
          <cell r="T593" t="e">
            <v>#N/A</v>
          </cell>
          <cell r="U593" t="e">
            <v>#N/A</v>
          </cell>
          <cell r="V593" t="e">
            <v>#N/A</v>
          </cell>
          <cell r="W593" t="e">
            <v>#N/A</v>
          </cell>
          <cell r="AA593">
            <v>0</v>
          </cell>
          <cell r="AB593" t="str">
            <v/>
          </cell>
          <cell r="AC593" t="str">
            <v/>
          </cell>
          <cell r="AD593" t="str">
            <v/>
          </cell>
          <cell r="AE593" t="str">
            <v/>
          </cell>
        </row>
        <row r="594">
          <cell r="R594" t="str">
            <v>DOM MAY MY319</v>
          </cell>
          <cell r="S594" t="e">
            <v>#N/A</v>
          </cell>
          <cell r="T594" t="e">
            <v>#N/A</v>
          </cell>
          <cell r="U594" t="e">
            <v>#N/A</v>
          </cell>
          <cell r="V594" t="e">
            <v>#N/A</v>
          </cell>
          <cell r="W594" t="e">
            <v>#N/A</v>
          </cell>
          <cell r="AA594">
            <v>0</v>
          </cell>
          <cell r="AB594" t="str">
            <v/>
          </cell>
          <cell r="AC594" t="str">
            <v/>
          </cell>
          <cell r="AD594" t="str">
            <v/>
          </cell>
          <cell r="AE594" t="str">
            <v/>
          </cell>
        </row>
        <row r="595">
          <cell r="R595" t="str">
            <v>DOM MAY MY320</v>
          </cell>
          <cell r="S595" t="e">
            <v>#N/A</v>
          </cell>
          <cell r="T595" t="e">
            <v>#N/A</v>
          </cell>
          <cell r="U595" t="e">
            <v>#N/A</v>
          </cell>
          <cell r="V595" t="e">
            <v>#N/A</v>
          </cell>
          <cell r="W595" t="e">
            <v>#N/A</v>
          </cell>
          <cell r="AA595">
            <v>0</v>
          </cell>
          <cell r="AB595" t="str">
            <v/>
          </cell>
          <cell r="AC595" t="str">
            <v/>
          </cell>
          <cell r="AD595" t="str">
            <v/>
          </cell>
          <cell r="AE595" t="str">
            <v/>
          </cell>
        </row>
        <row r="596">
          <cell r="R596" t="str">
            <v>DOM MAY MY321</v>
          </cell>
          <cell r="S596" t="e">
            <v>#N/A</v>
          </cell>
          <cell r="T596" t="e">
            <v>#N/A</v>
          </cell>
          <cell r="U596" t="e">
            <v>#N/A</v>
          </cell>
          <cell r="V596" t="e">
            <v>#N/A</v>
          </cell>
          <cell r="W596" t="e">
            <v>#N/A</v>
          </cell>
          <cell r="AA596">
            <v>0</v>
          </cell>
          <cell r="AB596" t="str">
            <v/>
          </cell>
          <cell r="AC596" t="str">
            <v/>
          </cell>
          <cell r="AD596" t="str">
            <v/>
          </cell>
          <cell r="AE596" t="str">
            <v/>
          </cell>
        </row>
        <row r="597">
          <cell r="R597" t="str">
            <v>DOM MAY MYVAS</v>
          </cell>
          <cell r="S597" t="e">
            <v>#N/A</v>
          </cell>
          <cell r="T597" t="e">
            <v>#N/A</v>
          </cell>
          <cell r="U597" t="e">
            <v>#N/A</v>
          </cell>
          <cell r="V597" t="e">
            <v>#N/A</v>
          </cell>
          <cell r="W597" t="e">
            <v>#N/A</v>
          </cell>
          <cell r="AA597">
            <v>0</v>
          </cell>
          <cell r="AB597" t="str">
            <v/>
          </cell>
          <cell r="AC597" t="str">
            <v/>
          </cell>
          <cell r="AD597" t="str">
            <v/>
          </cell>
          <cell r="AE597" t="str">
            <v/>
          </cell>
        </row>
        <row r="598">
          <cell r="R598" t="str">
            <v>DOM MAY MYSOS</v>
          </cell>
          <cell r="S598" t="e">
            <v>#N/A</v>
          </cell>
          <cell r="T598" t="e">
            <v>#N/A</v>
          </cell>
          <cell r="U598" t="e">
            <v>#N/A</v>
          </cell>
          <cell r="V598" t="e">
            <v>#N/A</v>
          </cell>
          <cell r="W598" t="e">
            <v>#N/A</v>
          </cell>
          <cell r="AA598">
            <v>0</v>
          </cell>
          <cell r="AB598" t="str">
            <v/>
          </cell>
          <cell r="AC598" t="str">
            <v/>
          </cell>
          <cell r="AD598" t="str">
            <v/>
          </cell>
          <cell r="AE598" t="str">
            <v/>
          </cell>
        </row>
        <row r="599">
          <cell r="R599" t="str">
            <v>DOM MAY MY860</v>
          </cell>
          <cell r="S599" t="e">
            <v>#N/A</v>
          </cell>
          <cell r="T599" t="e">
            <v>#N/A</v>
          </cell>
          <cell r="U599" t="e">
            <v>#N/A</v>
          </cell>
          <cell r="V599" t="e">
            <v>#N/A</v>
          </cell>
          <cell r="W599" t="e">
            <v>#N/A</v>
          </cell>
          <cell r="AA599">
            <v>0</v>
          </cell>
          <cell r="AB599" t="str">
            <v/>
          </cell>
          <cell r="AC599" t="str">
            <v/>
          </cell>
          <cell r="AD599" t="str">
            <v/>
          </cell>
          <cell r="AE599" t="str">
            <v/>
          </cell>
        </row>
        <row r="600">
          <cell r="R600" t="str">
            <v>DOM MAY MY82H</v>
          </cell>
          <cell r="S600" t="e">
            <v>#N/A</v>
          </cell>
          <cell r="T600" t="e">
            <v>#N/A</v>
          </cell>
          <cell r="U600" t="e">
            <v>#N/A</v>
          </cell>
          <cell r="V600" t="e">
            <v>#N/A</v>
          </cell>
          <cell r="W600" t="e">
            <v>#N/A</v>
          </cell>
          <cell r="AA600">
            <v>0</v>
          </cell>
          <cell r="AB600" t="str">
            <v/>
          </cell>
          <cell r="AC600" t="str">
            <v/>
          </cell>
          <cell r="AD600" t="str">
            <v/>
          </cell>
          <cell r="AE600" t="str">
            <v/>
          </cell>
        </row>
        <row r="601">
          <cell r="R601" t="str">
            <v>DOM MAY MY82L</v>
          </cell>
          <cell r="S601" t="e">
            <v>#N/A</v>
          </cell>
          <cell r="T601" t="e">
            <v>#N/A</v>
          </cell>
          <cell r="U601" t="e">
            <v>#N/A</v>
          </cell>
          <cell r="V601" t="e">
            <v>#N/A</v>
          </cell>
          <cell r="W601" t="e">
            <v>#N/A</v>
          </cell>
          <cell r="AA601">
            <v>0</v>
          </cell>
          <cell r="AB601" t="str">
            <v/>
          </cell>
          <cell r="AC601" t="str">
            <v/>
          </cell>
          <cell r="AD601" t="str">
            <v/>
          </cell>
          <cell r="AE601" t="str">
            <v/>
          </cell>
        </row>
        <row r="602">
          <cell r="R602" t="str">
            <v>DOM MAY MY825</v>
          </cell>
          <cell r="S602" t="e">
            <v>#N/A</v>
          </cell>
          <cell r="T602" t="e">
            <v>#N/A</v>
          </cell>
          <cell r="U602" t="e">
            <v>#N/A</v>
          </cell>
          <cell r="V602" t="e">
            <v>#N/A</v>
          </cell>
          <cell r="W602" t="e">
            <v>#N/A</v>
          </cell>
          <cell r="AA602">
            <v>0</v>
          </cell>
          <cell r="AB602" t="str">
            <v/>
          </cell>
          <cell r="AC602" t="str">
            <v/>
          </cell>
          <cell r="AD602" t="str">
            <v/>
          </cell>
          <cell r="AE602" t="str">
            <v/>
          </cell>
        </row>
        <row r="603">
          <cell r="R603" t="str">
            <v>DOM MAY MY89H</v>
          </cell>
          <cell r="S603" t="e">
            <v>#N/A</v>
          </cell>
          <cell r="T603" t="e">
            <v>#N/A</v>
          </cell>
          <cell r="U603" t="e">
            <v>#N/A</v>
          </cell>
          <cell r="V603" t="e">
            <v>#N/A</v>
          </cell>
          <cell r="W603" t="e">
            <v>#N/A</v>
          </cell>
          <cell r="AA603">
            <v>0</v>
          </cell>
          <cell r="AB603" t="str">
            <v/>
          </cell>
          <cell r="AC603" t="str">
            <v/>
          </cell>
          <cell r="AD603" t="str">
            <v/>
          </cell>
          <cell r="AE603" t="str">
            <v/>
          </cell>
        </row>
        <row r="604">
          <cell r="R604" t="str">
            <v>DOM MAY MY89L</v>
          </cell>
          <cell r="S604" t="e">
            <v>#N/A</v>
          </cell>
          <cell r="T604" t="e">
            <v>#N/A</v>
          </cell>
          <cell r="U604" t="e">
            <v>#N/A</v>
          </cell>
          <cell r="V604" t="e">
            <v>#N/A</v>
          </cell>
          <cell r="W604" t="e">
            <v>#N/A</v>
          </cell>
          <cell r="AA604">
            <v>0</v>
          </cell>
          <cell r="AB604" t="str">
            <v/>
          </cell>
          <cell r="AC604" t="str">
            <v/>
          </cell>
          <cell r="AD604" t="str">
            <v/>
          </cell>
          <cell r="AE604" t="str">
            <v/>
          </cell>
        </row>
        <row r="605">
          <cell r="R605" t="str">
            <v>DOM MAY MY891</v>
          </cell>
          <cell r="S605" t="e">
            <v>#N/A</v>
          </cell>
          <cell r="T605" t="e">
            <v>#N/A</v>
          </cell>
          <cell r="U605" t="e">
            <v>#N/A</v>
          </cell>
          <cell r="V605" t="e">
            <v>#N/A</v>
          </cell>
          <cell r="W605" t="e">
            <v>#N/A</v>
          </cell>
          <cell r="AA605">
            <v>0</v>
          </cell>
          <cell r="AB605" t="str">
            <v/>
          </cell>
          <cell r="AC605" t="str">
            <v/>
          </cell>
          <cell r="AD605" t="str">
            <v/>
          </cell>
          <cell r="AE605" t="str">
            <v/>
          </cell>
        </row>
        <row r="606">
          <cell r="R606" t="str">
            <v>DOM MAY MY892</v>
          </cell>
          <cell r="S606" t="e">
            <v>#N/A</v>
          </cell>
          <cell r="T606" t="e">
            <v>#N/A</v>
          </cell>
          <cell r="U606" t="e">
            <v>#N/A</v>
          </cell>
          <cell r="V606" t="e">
            <v>#N/A</v>
          </cell>
          <cell r="W606" t="e">
            <v>#N/A</v>
          </cell>
          <cell r="AA606">
            <v>0</v>
          </cell>
          <cell r="AB606" t="str">
            <v/>
          </cell>
          <cell r="AC606" t="str">
            <v/>
          </cell>
          <cell r="AD606" t="str">
            <v/>
          </cell>
          <cell r="AE606" t="str">
            <v/>
          </cell>
        </row>
        <row r="607">
          <cell r="R607" t="str">
            <v>DOM MAY MY897</v>
          </cell>
          <cell r="S607" t="e">
            <v>#N/A</v>
          </cell>
          <cell r="T607" t="e">
            <v>#N/A</v>
          </cell>
          <cell r="U607" t="e">
            <v>#N/A</v>
          </cell>
          <cell r="V607" t="e">
            <v>#N/A</v>
          </cell>
          <cell r="W607" t="e">
            <v>#N/A</v>
          </cell>
          <cell r="AA607">
            <v>0</v>
          </cell>
          <cell r="AB607" t="str">
            <v/>
          </cell>
          <cell r="AC607" t="str">
            <v/>
          </cell>
          <cell r="AD607" t="str">
            <v/>
          </cell>
          <cell r="AE607" t="str">
            <v/>
          </cell>
        </row>
        <row r="608">
          <cell r="R608" t="str">
            <v>DOM MAY MY899</v>
          </cell>
          <cell r="S608" t="e">
            <v>#N/A</v>
          </cell>
          <cell r="T608" t="e">
            <v>#N/A</v>
          </cell>
          <cell r="U608" t="e">
            <v>#N/A</v>
          </cell>
          <cell r="V608" t="e">
            <v>#N/A</v>
          </cell>
          <cell r="W608" t="e">
            <v>#N/A</v>
          </cell>
          <cell r="AA608">
            <v>0</v>
          </cell>
          <cell r="AB608" t="str">
            <v/>
          </cell>
          <cell r="AC608" t="str">
            <v/>
          </cell>
          <cell r="AD608" t="str">
            <v/>
          </cell>
          <cell r="AE608" t="str">
            <v/>
          </cell>
        </row>
        <row r="609">
          <cell r="R609" t="str">
            <v>DOM MAY MY006</v>
          </cell>
          <cell r="S609" t="e">
            <v>#N/A</v>
          </cell>
          <cell r="T609" t="e">
            <v>#N/A</v>
          </cell>
          <cell r="U609" t="e">
            <v>#N/A</v>
          </cell>
          <cell r="V609" t="e">
            <v>#N/A</v>
          </cell>
          <cell r="W609" t="e">
            <v>#N/A</v>
          </cell>
          <cell r="AA609">
            <v>0</v>
          </cell>
          <cell r="AB609" t="str">
            <v/>
          </cell>
          <cell r="AC609" t="str">
            <v/>
          </cell>
          <cell r="AD609" t="str">
            <v/>
          </cell>
          <cell r="AE609" t="str">
            <v/>
          </cell>
        </row>
        <row r="610">
          <cell r="R610" t="str">
            <v>DOM MAY MY218</v>
          </cell>
          <cell r="S610" t="e">
            <v>#N/A</v>
          </cell>
          <cell r="T610" t="e">
            <v>#N/A</v>
          </cell>
          <cell r="U610" t="e">
            <v>#N/A</v>
          </cell>
          <cell r="V610" t="e">
            <v>#N/A</v>
          </cell>
          <cell r="W610" t="e">
            <v>#N/A</v>
          </cell>
          <cell r="AA610">
            <v>0</v>
          </cell>
          <cell r="AB610" t="str">
            <v/>
          </cell>
          <cell r="AC610" t="str">
            <v/>
          </cell>
          <cell r="AD610" t="str">
            <v/>
          </cell>
          <cell r="AE610" t="str">
            <v/>
          </cell>
        </row>
        <row r="611">
          <cell r="R611" t="str">
            <v>DOM MAY MY222</v>
          </cell>
          <cell r="S611" t="e">
            <v>#N/A</v>
          </cell>
          <cell r="T611" t="e">
            <v>#N/A</v>
          </cell>
          <cell r="U611" t="e">
            <v>#N/A</v>
          </cell>
          <cell r="V611" t="e">
            <v>#N/A</v>
          </cell>
          <cell r="W611" t="e">
            <v>#N/A</v>
          </cell>
          <cell r="AA611">
            <v>0</v>
          </cell>
          <cell r="AB611" t="str">
            <v/>
          </cell>
          <cell r="AC611" t="str">
            <v/>
          </cell>
          <cell r="AD611" t="str">
            <v/>
          </cell>
          <cell r="AE611" t="str">
            <v/>
          </cell>
        </row>
        <row r="612">
          <cell r="R612" t="str">
            <v>DOM MAY MY700</v>
          </cell>
          <cell r="S612" t="e">
            <v>#N/A</v>
          </cell>
          <cell r="T612" t="e">
            <v>#N/A</v>
          </cell>
          <cell r="U612" t="e">
            <v>#N/A</v>
          </cell>
          <cell r="V612" t="e">
            <v>#N/A</v>
          </cell>
          <cell r="W612" t="e">
            <v>#N/A</v>
          </cell>
          <cell r="AA612">
            <v>0</v>
          </cell>
          <cell r="AB612" t="str">
            <v/>
          </cell>
          <cell r="AC612" t="str">
            <v/>
          </cell>
          <cell r="AD612" t="str">
            <v/>
          </cell>
          <cell r="AE612" t="str">
            <v/>
          </cell>
        </row>
        <row r="613">
          <cell r="R613" t="str">
            <v>DOM MAY MY710</v>
          </cell>
          <cell r="S613" t="e">
            <v>#N/A</v>
          </cell>
          <cell r="T613" t="e">
            <v>#N/A</v>
          </cell>
          <cell r="U613" t="e">
            <v>#N/A</v>
          </cell>
          <cell r="V613" t="e">
            <v>#N/A</v>
          </cell>
          <cell r="W613" t="e">
            <v>#N/A</v>
          </cell>
          <cell r="AA613">
            <v>0</v>
          </cell>
          <cell r="AB613" t="str">
            <v/>
          </cell>
          <cell r="AC613" t="str">
            <v/>
          </cell>
          <cell r="AD613" t="str">
            <v/>
          </cell>
          <cell r="AE613" t="str">
            <v/>
          </cell>
        </row>
        <row r="614">
          <cell r="R614" t="str">
            <v>DOM MAY MY711</v>
          </cell>
          <cell r="S614" t="e">
            <v>#N/A</v>
          </cell>
          <cell r="T614" t="e">
            <v>#N/A</v>
          </cell>
          <cell r="U614" t="e">
            <v>#N/A</v>
          </cell>
          <cell r="V614" t="e">
            <v>#N/A</v>
          </cell>
          <cell r="W614" t="e">
            <v>#N/A</v>
          </cell>
          <cell r="AA614">
            <v>0</v>
          </cell>
          <cell r="AB614" t="str">
            <v/>
          </cell>
          <cell r="AC614" t="str">
            <v/>
          </cell>
          <cell r="AD614" t="str">
            <v/>
          </cell>
          <cell r="AE614" t="str">
            <v/>
          </cell>
        </row>
        <row r="615">
          <cell r="R615" t="str">
            <v>DOM MAY MY712</v>
          </cell>
          <cell r="S615" t="e">
            <v>#N/A</v>
          </cell>
          <cell r="T615" t="e">
            <v>#N/A</v>
          </cell>
          <cell r="U615" t="e">
            <v>#N/A</v>
          </cell>
          <cell r="V615" t="e">
            <v>#N/A</v>
          </cell>
          <cell r="W615" t="e">
            <v>#N/A</v>
          </cell>
          <cell r="AA615">
            <v>0</v>
          </cell>
          <cell r="AB615" t="str">
            <v/>
          </cell>
          <cell r="AC615" t="str">
            <v/>
          </cell>
          <cell r="AD615" t="str">
            <v/>
          </cell>
          <cell r="AE615" t="str">
            <v/>
          </cell>
        </row>
        <row r="616">
          <cell r="R616" t="str">
            <v>DOM MAY MY888</v>
          </cell>
          <cell r="S616" t="e">
            <v>#N/A</v>
          </cell>
          <cell r="T616" t="e">
            <v>#N/A</v>
          </cell>
          <cell r="U616" t="e">
            <v>#N/A</v>
          </cell>
          <cell r="V616" t="e">
            <v>#N/A</v>
          </cell>
          <cell r="W616" t="e">
            <v>#N/A</v>
          </cell>
          <cell r="AA616">
            <v>0</v>
          </cell>
          <cell r="AB616" t="str">
            <v/>
          </cell>
          <cell r="AC616" t="str">
            <v/>
          </cell>
          <cell r="AD616" t="str">
            <v/>
          </cell>
          <cell r="AE616" t="str">
            <v/>
          </cell>
        </row>
        <row r="617">
          <cell r="R617" t="str">
            <v>DOM MAY MYFRE</v>
          </cell>
          <cell r="S617" t="e">
            <v>#N/A</v>
          </cell>
          <cell r="T617" t="e">
            <v>#N/A</v>
          </cell>
          <cell r="U617" t="e">
            <v>#N/A</v>
          </cell>
          <cell r="V617" t="e">
            <v>#N/A</v>
          </cell>
          <cell r="W617" t="e">
            <v>#N/A</v>
          </cell>
          <cell r="AA617">
            <v>0</v>
          </cell>
          <cell r="AB617" t="str">
            <v/>
          </cell>
          <cell r="AC617" t="str">
            <v/>
          </cell>
          <cell r="AD617" t="str">
            <v/>
          </cell>
          <cell r="AE617" t="str">
            <v/>
          </cell>
        </row>
        <row r="618">
          <cell r="R618" t="str">
            <v>DOM MAY MY810</v>
          </cell>
          <cell r="S618" t="e">
            <v>#N/A</v>
          </cell>
          <cell r="T618" t="e">
            <v>#N/A</v>
          </cell>
          <cell r="U618" t="e">
            <v>#N/A</v>
          </cell>
          <cell r="V618" t="e">
            <v>#N/A</v>
          </cell>
          <cell r="W618" t="e">
            <v>#N/A</v>
          </cell>
          <cell r="AA618">
            <v>0</v>
          </cell>
          <cell r="AB618" t="str">
            <v/>
          </cell>
          <cell r="AC618" t="str">
            <v/>
          </cell>
          <cell r="AD618" t="str">
            <v/>
          </cell>
          <cell r="AE618" t="str">
            <v/>
          </cell>
        </row>
        <row r="619">
          <cell r="R619" t="str">
            <v>DOM NDL OPAR</v>
          </cell>
          <cell r="S619" t="e">
            <v>#N/A</v>
          </cell>
          <cell r="T619" t="e">
            <v>#N/A</v>
          </cell>
          <cell r="U619" t="e">
            <v>#N/A</v>
          </cell>
          <cell r="V619" t="e">
            <v>#N/A</v>
          </cell>
          <cell r="W619" t="e">
            <v>#N/A</v>
          </cell>
          <cell r="AA619">
            <v>0</v>
          </cell>
          <cell r="AB619" t="str">
            <v/>
          </cell>
          <cell r="AC619" t="str">
            <v/>
          </cell>
          <cell r="AD619" t="str">
            <v/>
          </cell>
          <cell r="AE619" t="str">
            <v/>
          </cell>
        </row>
        <row r="620">
          <cell r="R620" t="str">
            <v>DOM NDL NDKPN</v>
          </cell>
          <cell r="S620" t="e">
            <v>#N/A</v>
          </cell>
          <cell r="T620" t="e">
            <v>#N/A</v>
          </cell>
          <cell r="U620" t="e">
            <v>#N/A</v>
          </cell>
          <cell r="V620" t="e">
            <v>#N/A</v>
          </cell>
          <cell r="W620" t="e">
            <v>#N/A</v>
          </cell>
          <cell r="AA620">
            <v>0</v>
          </cell>
          <cell r="AB620" t="str">
            <v/>
          </cell>
          <cell r="AC620" t="str">
            <v/>
          </cell>
          <cell r="AD620" t="str">
            <v/>
          </cell>
          <cell r="AE620" t="str">
            <v/>
          </cell>
        </row>
        <row r="621">
          <cell r="R621" t="str">
            <v>DOM NDL CNDL3</v>
          </cell>
          <cell r="S621" t="e">
            <v>#N/A</v>
          </cell>
          <cell r="T621" t="e">
            <v>#N/A</v>
          </cell>
          <cell r="U621" t="e">
            <v>#N/A</v>
          </cell>
          <cell r="V621" t="e">
            <v>#N/A</v>
          </cell>
          <cell r="W621" t="e">
            <v>#N/A</v>
          </cell>
          <cell r="AA621">
            <v>0</v>
          </cell>
          <cell r="AB621" t="str">
            <v/>
          </cell>
          <cell r="AC621" t="str">
            <v/>
          </cell>
          <cell r="AD621" t="str">
            <v/>
          </cell>
          <cell r="AE621" t="str">
            <v/>
          </cell>
        </row>
        <row r="622">
          <cell r="R622" t="str">
            <v>DOM NDL NDTMO</v>
          </cell>
          <cell r="S622" t="e">
            <v>#N/A</v>
          </cell>
          <cell r="T622" t="e">
            <v>#N/A</v>
          </cell>
          <cell r="U622" t="e">
            <v>#N/A</v>
          </cell>
          <cell r="V622" t="e">
            <v>#N/A</v>
          </cell>
          <cell r="W622" t="e">
            <v>#N/A</v>
          </cell>
          <cell r="AA622">
            <v>0</v>
          </cell>
          <cell r="AB622" t="str">
            <v/>
          </cell>
          <cell r="AC622" t="str">
            <v/>
          </cell>
          <cell r="AD622" t="str">
            <v/>
          </cell>
          <cell r="AE622" t="str">
            <v/>
          </cell>
        </row>
        <row r="623">
          <cell r="R623" t="str">
            <v>DOM NDL NDVOD</v>
          </cell>
          <cell r="S623" t="e">
            <v>#N/A</v>
          </cell>
          <cell r="T623" t="e">
            <v>#N/A</v>
          </cell>
          <cell r="U623" t="e">
            <v>#N/A</v>
          </cell>
          <cell r="V623" t="e">
            <v>#N/A</v>
          </cell>
          <cell r="W623" t="e">
            <v>#N/A</v>
          </cell>
          <cell r="AA623">
            <v>0</v>
          </cell>
          <cell r="AB623" t="str">
            <v/>
          </cell>
          <cell r="AC623" t="str">
            <v/>
          </cell>
          <cell r="AD623" t="str">
            <v/>
          </cell>
          <cell r="AE623" t="str">
            <v/>
          </cell>
        </row>
        <row r="624">
          <cell r="R624" t="str">
            <v>DOM NDL NDACC</v>
          </cell>
          <cell r="S624" t="e">
            <v>#N/A</v>
          </cell>
          <cell r="T624" t="e">
            <v>#N/A</v>
          </cell>
          <cell r="U624" t="e">
            <v>#N/A</v>
          </cell>
          <cell r="V624" t="e">
            <v>#N/A</v>
          </cell>
          <cell r="W624" t="e">
            <v>#N/A</v>
          </cell>
          <cell r="AA624">
            <v>0</v>
          </cell>
          <cell r="AB624" t="str">
            <v/>
          </cell>
          <cell r="AC624" t="str">
            <v/>
          </cell>
          <cell r="AD624" t="str">
            <v/>
          </cell>
          <cell r="AE624" t="str">
            <v/>
          </cell>
        </row>
        <row r="625">
          <cell r="R625" t="str">
            <v>DOM NDL NDCOR</v>
          </cell>
          <cell r="S625" t="e">
            <v>#N/A</v>
          </cell>
          <cell r="T625" t="e">
            <v>#N/A</v>
          </cell>
          <cell r="U625" t="e">
            <v>#N/A</v>
          </cell>
          <cell r="V625" t="e">
            <v>#N/A</v>
          </cell>
          <cell r="W625" t="e">
            <v>#N/A</v>
          </cell>
          <cell r="AA625">
            <v>0</v>
          </cell>
          <cell r="AB625" t="str">
            <v/>
          </cell>
          <cell r="AC625" t="str">
            <v/>
          </cell>
          <cell r="AD625" t="str">
            <v/>
          </cell>
          <cell r="AE625" t="str">
            <v/>
          </cell>
        </row>
        <row r="626">
          <cell r="R626" t="str">
            <v>DOM NDL NDDIR</v>
          </cell>
          <cell r="S626" t="e">
            <v>#N/A</v>
          </cell>
          <cell r="T626" t="e">
            <v>#N/A</v>
          </cell>
          <cell r="U626" t="e">
            <v>#N/A</v>
          </cell>
          <cell r="V626" t="e">
            <v>#N/A</v>
          </cell>
          <cell r="W626" t="e">
            <v>#N/A</v>
          </cell>
          <cell r="AA626">
            <v>0</v>
          </cell>
          <cell r="AB626" t="str">
            <v/>
          </cell>
          <cell r="AC626" t="str">
            <v/>
          </cell>
          <cell r="AD626" t="str">
            <v/>
          </cell>
          <cell r="AE626" t="str">
            <v/>
          </cell>
        </row>
        <row r="627">
          <cell r="R627" t="str">
            <v>DOM NDL NDDI2</v>
          </cell>
          <cell r="S627" t="e">
            <v>#N/A</v>
          </cell>
          <cell r="T627" t="e">
            <v>#N/A</v>
          </cell>
          <cell r="U627" t="e">
            <v>#N/A</v>
          </cell>
          <cell r="V627" t="e">
            <v>#N/A</v>
          </cell>
          <cell r="W627" t="e">
            <v>#N/A</v>
          </cell>
          <cell r="AA627">
            <v>0</v>
          </cell>
          <cell r="AB627" t="str">
            <v/>
          </cell>
          <cell r="AC627" t="str">
            <v/>
          </cell>
          <cell r="AD627" t="str">
            <v/>
          </cell>
          <cell r="AE627" t="str">
            <v/>
          </cell>
        </row>
        <row r="628">
          <cell r="R628" t="str">
            <v>DOM NDL NDDI3</v>
          </cell>
          <cell r="S628" t="e">
            <v>#N/A</v>
          </cell>
          <cell r="T628" t="e">
            <v>#N/A</v>
          </cell>
          <cell r="U628" t="e">
            <v>#N/A</v>
          </cell>
          <cell r="V628" t="e">
            <v>#N/A</v>
          </cell>
          <cell r="W628" t="e">
            <v>#N/A</v>
          </cell>
          <cell r="AA628">
            <v>0</v>
          </cell>
          <cell r="AB628" t="str">
            <v/>
          </cell>
          <cell r="AC628" t="str">
            <v/>
          </cell>
          <cell r="AD628" t="str">
            <v/>
          </cell>
          <cell r="AE628" t="str">
            <v/>
          </cell>
        </row>
        <row r="629">
          <cell r="R629" t="str">
            <v>DOM NDL NDDI4</v>
          </cell>
          <cell r="S629" t="e">
            <v>#N/A</v>
          </cell>
          <cell r="T629" t="e">
            <v>#N/A</v>
          </cell>
          <cell r="U629" t="e">
            <v>#N/A</v>
          </cell>
          <cell r="V629" t="e">
            <v>#N/A</v>
          </cell>
          <cell r="W629" t="e">
            <v>#N/A</v>
          </cell>
          <cell r="AA629">
            <v>0</v>
          </cell>
          <cell r="AB629" t="str">
            <v/>
          </cell>
          <cell r="AC629" t="str">
            <v/>
          </cell>
          <cell r="AD629" t="str">
            <v/>
          </cell>
          <cell r="AE629" t="str">
            <v/>
          </cell>
        </row>
        <row r="630">
          <cell r="R630" t="str">
            <v>DOM NDL NDDI5</v>
          </cell>
          <cell r="S630" t="e">
            <v>#N/A</v>
          </cell>
          <cell r="T630" t="e">
            <v>#N/A</v>
          </cell>
          <cell r="U630" t="e">
            <v>#N/A</v>
          </cell>
          <cell r="V630" t="e">
            <v>#N/A</v>
          </cell>
          <cell r="W630" t="e">
            <v>#N/A</v>
          </cell>
          <cell r="AA630">
            <v>0</v>
          </cell>
          <cell r="AB630" t="str">
            <v/>
          </cell>
          <cell r="AC630" t="str">
            <v/>
          </cell>
          <cell r="AD630" t="str">
            <v/>
          </cell>
          <cell r="AE630" t="str">
            <v/>
          </cell>
        </row>
        <row r="631">
          <cell r="R631" t="str">
            <v>DOM NDL NDDI6</v>
          </cell>
          <cell r="S631" t="e">
            <v>#N/A</v>
          </cell>
          <cell r="T631" t="e">
            <v>#N/A</v>
          </cell>
          <cell r="U631" t="e">
            <v>#N/A</v>
          </cell>
          <cell r="V631" t="e">
            <v>#N/A</v>
          </cell>
          <cell r="W631" t="e">
            <v>#N/A</v>
          </cell>
          <cell r="AA631">
            <v>0</v>
          </cell>
          <cell r="AB631" t="str">
            <v/>
          </cell>
          <cell r="AC631" t="str">
            <v/>
          </cell>
          <cell r="AD631" t="str">
            <v/>
          </cell>
          <cell r="AE631" t="str">
            <v/>
          </cell>
        </row>
        <row r="632">
          <cell r="R632" t="str">
            <v>DOM NDL NDDI7</v>
          </cell>
          <cell r="S632" t="e">
            <v>#N/A</v>
          </cell>
          <cell r="T632" t="e">
            <v>#N/A</v>
          </cell>
          <cell r="U632" t="e">
            <v>#N/A</v>
          </cell>
          <cell r="V632" t="e">
            <v>#N/A</v>
          </cell>
          <cell r="W632" t="e">
            <v>#N/A</v>
          </cell>
          <cell r="AA632">
            <v>0</v>
          </cell>
          <cell r="AB632" t="str">
            <v/>
          </cell>
          <cell r="AC632" t="str">
            <v/>
          </cell>
          <cell r="AD632" t="str">
            <v/>
          </cell>
          <cell r="AE632" t="str">
            <v/>
          </cell>
        </row>
        <row r="633">
          <cell r="R633" t="str">
            <v>DOM NDL NDSOS</v>
          </cell>
          <cell r="S633" t="e">
            <v>#N/A</v>
          </cell>
          <cell r="T633" t="e">
            <v>#N/A</v>
          </cell>
          <cell r="U633" t="e">
            <v>#N/A</v>
          </cell>
          <cell r="V633" t="e">
            <v>#N/A</v>
          </cell>
          <cell r="W633" t="e">
            <v>#N/A</v>
          </cell>
          <cell r="AA633">
            <v>0</v>
          </cell>
          <cell r="AB633" t="str">
            <v/>
          </cell>
          <cell r="AC633" t="str">
            <v/>
          </cell>
          <cell r="AD633" t="str">
            <v/>
          </cell>
          <cell r="AE633" t="str">
            <v/>
          </cell>
        </row>
        <row r="634">
          <cell r="R634" t="str">
            <v>DOM NDL NDHLP</v>
          </cell>
          <cell r="S634" t="e">
            <v>#N/A</v>
          </cell>
          <cell r="T634" t="e">
            <v>#N/A</v>
          </cell>
          <cell r="U634" t="e">
            <v>#N/A</v>
          </cell>
          <cell r="V634" t="e">
            <v>#N/A</v>
          </cell>
          <cell r="W634" t="e">
            <v>#N/A</v>
          </cell>
          <cell r="AA634">
            <v>0</v>
          </cell>
          <cell r="AB634" t="str">
            <v/>
          </cell>
          <cell r="AC634" t="str">
            <v/>
          </cell>
          <cell r="AD634" t="str">
            <v/>
          </cell>
          <cell r="AE634" t="str">
            <v/>
          </cell>
        </row>
        <row r="635">
          <cell r="R635" t="str">
            <v>DOM NDL NDI10</v>
          </cell>
          <cell r="S635" t="e">
            <v>#N/A</v>
          </cell>
          <cell r="T635" t="e">
            <v>#N/A</v>
          </cell>
          <cell r="U635" t="e">
            <v>#N/A</v>
          </cell>
          <cell r="V635" t="e">
            <v>#N/A</v>
          </cell>
          <cell r="W635" t="e">
            <v>#N/A</v>
          </cell>
          <cell r="AA635">
            <v>0</v>
          </cell>
          <cell r="AB635" t="str">
            <v/>
          </cell>
          <cell r="AC635" t="str">
            <v/>
          </cell>
          <cell r="AD635" t="str">
            <v/>
          </cell>
          <cell r="AE635" t="str">
            <v/>
          </cell>
        </row>
        <row r="636">
          <cell r="R636" t="str">
            <v>DOM NDL NDI11</v>
          </cell>
          <cell r="S636" t="e">
            <v>#N/A</v>
          </cell>
          <cell r="T636" t="e">
            <v>#N/A</v>
          </cell>
          <cell r="U636" t="e">
            <v>#N/A</v>
          </cell>
          <cell r="V636" t="e">
            <v>#N/A</v>
          </cell>
          <cell r="W636" t="e">
            <v>#N/A</v>
          </cell>
          <cell r="AA636">
            <v>0</v>
          </cell>
          <cell r="AB636" t="str">
            <v/>
          </cell>
          <cell r="AC636" t="str">
            <v/>
          </cell>
          <cell r="AD636" t="str">
            <v/>
          </cell>
          <cell r="AE636" t="str">
            <v/>
          </cell>
        </row>
        <row r="637">
          <cell r="R637" t="str">
            <v>DOM NDL NDI12</v>
          </cell>
          <cell r="S637" t="e">
            <v>#N/A</v>
          </cell>
          <cell r="T637" t="e">
            <v>#N/A</v>
          </cell>
          <cell r="U637" t="e">
            <v>#N/A</v>
          </cell>
          <cell r="V637" t="e">
            <v>#N/A</v>
          </cell>
          <cell r="W637" t="e">
            <v>#N/A</v>
          </cell>
          <cell r="AA637">
            <v>0</v>
          </cell>
          <cell r="AB637" t="str">
            <v/>
          </cell>
          <cell r="AC637" t="str">
            <v/>
          </cell>
          <cell r="AD637" t="str">
            <v/>
          </cell>
          <cell r="AE637" t="str">
            <v/>
          </cell>
        </row>
        <row r="638">
          <cell r="R638" t="str">
            <v>DOM NDL NDI13</v>
          </cell>
          <cell r="S638" t="e">
            <v>#N/A</v>
          </cell>
          <cell r="T638" t="e">
            <v>#N/A</v>
          </cell>
          <cell r="U638" t="e">
            <v>#N/A</v>
          </cell>
          <cell r="V638" t="e">
            <v>#N/A</v>
          </cell>
          <cell r="W638" t="e">
            <v>#N/A</v>
          </cell>
          <cell r="AA638">
            <v>0</v>
          </cell>
          <cell r="AB638" t="str">
            <v/>
          </cell>
          <cell r="AC638" t="str">
            <v/>
          </cell>
          <cell r="AD638" t="str">
            <v/>
          </cell>
          <cell r="AE638" t="str">
            <v/>
          </cell>
        </row>
        <row r="639">
          <cell r="R639" t="str">
            <v>DOM NDL NDI14</v>
          </cell>
          <cell r="S639" t="e">
            <v>#N/A</v>
          </cell>
          <cell r="T639" t="e">
            <v>#N/A</v>
          </cell>
          <cell r="U639" t="e">
            <v>#N/A</v>
          </cell>
          <cell r="V639" t="e">
            <v>#N/A</v>
          </cell>
          <cell r="W639" t="e">
            <v>#N/A</v>
          </cell>
          <cell r="AA639">
            <v>0</v>
          </cell>
          <cell r="AB639" t="str">
            <v/>
          </cell>
          <cell r="AC639" t="str">
            <v/>
          </cell>
          <cell r="AD639" t="str">
            <v/>
          </cell>
          <cell r="AE639" t="str">
            <v/>
          </cell>
        </row>
        <row r="640">
          <cell r="R640" t="str">
            <v>DOM NDL NDI15</v>
          </cell>
          <cell r="S640" t="e">
            <v>#N/A</v>
          </cell>
          <cell r="T640" t="e">
            <v>#N/A</v>
          </cell>
          <cell r="U640" t="e">
            <v>#N/A</v>
          </cell>
          <cell r="V640" t="e">
            <v>#N/A</v>
          </cell>
          <cell r="W640" t="e">
            <v>#N/A</v>
          </cell>
          <cell r="AA640">
            <v>0</v>
          </cell>
          <cell r="AB640" t="str">
            <v/>
          </cell>
          <cell r="AC640" t="str">
            <v/>
          </cell>
          <cell r="AD640" t="str">
            <v/>
          </cell>
          <cell r="AE640" t="str">
            <v/>
          </cell>
        </row>
        <row r="641">
          <cell r="R641" t="str">
            <v>DOM NDL NDI16</v>
          </cell>
          <cell r="S641" t="e">
            <v>#N/A</v>
          </cell>
          <cell r="T641" t="e">
            <v>#N/A</v>
          </cell>
          <cell r="U641" t="e">
            <v>#N/A</v>
          </cell>
          <cell r="V641" t="e">
            <v>#N/A</v>
          </cell>
          <cell r="W641" t="e">
            <v>#N/A</v>
          </cell>
          <cell r="AA641">
            <v>0</v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</row>
        <row r="642">
          <cell r="R642" t="str">
            <v>DOM NDL NDI17</v>
          </cell>
          <cell r="S642" t="e">
            <v>#N/A</v>
          </cell>
          <cell r="T642" t="e">
            <v>#N/A</v>
          </cell>
          <cell r="U642" t="e">
            <v>#N/A</v>
          </cell>
          <cell r="V642" t="e">
            <v>#N/A</v>
          </cell>
          <cell r="W642" t="e">
            <v>#N/A</v>
          </cell>
          <cell r="AA642">
            <v>0</v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</row>
        <row r="643">
          <cell r="R643" t="str">
            <v>DOM NDL NDI18</v>
          </cell>
          <cell r="S643" t="e">
            <v>#N/A</v>
          </cell>
          <cell r="T643" t="e">
            <v>#N/A</v>
          </cell>
          <cell r="U643" t="e">
            <v>#N/A</v>
          </cell>
          <cell r="V643" t="e">
            <v>#N/A</v>
          </cell>
          <cell r="W643" t="e">
            <v>#N/A</v>
          </cell>
          <cell r="AA643">
            <v>0</v>
          </cell>
          <cell r="AB643" t="str">
            <v/>
          </cell>
          <cell r="AC643" t="str">
            <v/>
          </cell>
          <cell r="AD643" t="str">
            <v/>
          </cell>
          <cell r="AE643" t="str">
            <v/>
          </cell>
        </row>
        <row r="644">
          <cell r="R644" t="str">
            <v>DOM NDL NDI19</v>
          </cell>
          <cell r="S644" t="e">
            <v>#N/A</v>
          </cell>
          <cell r="T644" t="e">
            <v>#N/A</v>
          </cell>
          <cell r="U644" t="e">
            <v>#N/A</v>
          </cell>
          <cell r="V644" t="e">
            <v>#N/A</v>
          </cell>
          <cell r="W644" t="e">
            <v>#N/A</v>
          </cell>
          <cell r="AA644">
            <v>0</v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</row>
        <row r="645">
          <cell r="R645" t="str">
            <v>DOM NDL NDI20</v>
          </cell>
          <cell r="S645" t="e">
            <v>#N/A</v>
          </cell>
          <cell r="T645" t="e">
            <v>#N/A</v>
          </cell>
          <cell r="U645" t="e">
            <v>#N/A</v>
          </cell>
          <cell r="V645" t="e">
            <v>#N/A</v>
          </cell>
          <cell r="W645" t="e">
            <v>#N/A</v>
          </cell>
          <cell r="AA645">
            <v>0</v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</row>
        <row r="646">
          <cell r="R646" t="str">
            <v>DOM NDL NDI21</v>
          </cell>
          <cell r="S646" t="e">
            <v>#N/A</v>
          </cell>
          <cell r="T646" t="e">
            <v>#N/A</v>
          </cell>
          <cell r="U646" t="e">
            <v>#N/A</v>
          </cell>
          <cell r="V646" t="e">
            <v>#N/A</v>
          </cell>
          <cell r="W646" t="e">
            <v>#N/A</v>
          </cell>
          <cell r="AA646">
            <v>0</v>
          </cell>
          <cell r="AB646" t="str">
            <v/>
          </cell>
          <cell r="AC646" t="str">
            <v/>
          </cell>
          <cell r="AD646" t="str">
            <v/>
          </cell>
          <cell r="AE646" t="str">
            <v/>
          </cell>
        </row>
        <row r="647">
          <cell r="R647" t="str">
            <v>DOM NDL NDI22</v>
          </cell>
          <cell r="S647" t="e">
            <v>#N/A</v>
          </cell>
          <cell r="T647" t="e">
            <v>#N/A</v>
          </cell>
          <cell r="U647" t="e">
            <v>#N/A</v>
          </cell>
          <cell r="V647" t="e">
            <v>#N/A</v>
          </cell>
          <cell r="W647" t="e">
            <v>#N/A</v>
          </cell>
          <cell r="AA647">
            <v>0</v>
          </cell>
          <cell r="AB647" t="str">
            <v/>
          </cell>
          <cell r="AC647" t="str">
            <v/>
          </cell>
          <cell r="AD647" t="str">
            <v/>
          </cell>
          <cell r="AE647" t="str">
            <v/>
          </cell>
        </row>
        <row r="648">
          <cell r="R648" t="str">
            <v>DOM NDL NDI23</v>
          </cell>
          <cell r="S648" t="e">
            <v>#N/A</v>
          </cell>
          <cell r="T648" t="e">
            <v>#N/A</v>
          </cell>
          <cell r="U648" t="e">
            <v>#N/A</v>
          </cell>
          <cell r="V648" t="e">
            <v>#N/A</v>
          </cell>
          <cell r="W648" t="e">
            <v>#N/A</v>
          </cell>
          <cell r="AA648">
            <v>0</v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</row>
        <row r="649">
          <cell r="R649" t="str">
            <v>DOM NDL NDI24</v>
          </cell>
          <cell r="S649" t="e">
            <v>#N/A</v>
          </cell>
          <cell r="T649" t="e">
            <v>#N/A</v>
          </cell>
          <cell r="U649" t="e">
            <v>#N/A</v>
          </cell>
          <cell r="V649" t="e">
            <v>#N/A</v>
          </cell>
          <cell r="W649" t="e">
            <v>#N/A</v>
          </cell>
          <cell r="AA649">
            <v>0</v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</row>
        <row r="650">
          <cell r="R650" t="str">
            <v>DOM NDL NDI25</v>
          </cell>
          <cell r="S650" t="e">
            <v>#N/A</v>
          </cell>
          <cell r="T650" t="e">
            <v>#N/A</v>
          </cell>
          <cell r="U650" t="e">
            <v>#N/A</v>
          </cell>
          <cell r="V650" t="e">
            <v>#N/A</v>
          </cell>
          <cell r="W650" t="e">
            <v>#N/A</v>
          </cell>
          <cell r="AA650">
            <v>0</v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</row>
        <row r="651">
          <cell r="R651" t="str">
            <v>DOM NDL NDI26</v>
          </cell>
          <cell r="S651" t="e">
            <v>#N/A</v>
          </cell>
          <cell r="T651" t="e">
            <v>#N/A</v>
          </cell>
          <cell r="U651" t="e">
            <v>#N/A</v>
          </cell>
          <cell r="V651" t="e">
            <v>#N/A</v>
          </cell>
          <cell r="W651" t="e">
            <v>#N/A</v>
          </cell>
          <cell r="AA651">
            <v>0</v>
          </cell>
          <cell r="AB651" t="str">
            <v/>
          </cell>
          <cell r="AC651" t="str">
            <v/>
          </cell>
          <cell r="AD651" t="str">
            <v/>
          </cell>
          <cell r="AE651" t="str">
            <v/>
          </cell>
        </row>
        <row r="652">
          <cell r="R652" t="str">
            <v>DOM NDL NDI27</v>
          </cell>
          <cell r="S652" t="e">
            <v>#N/A</v>
          </cell>
          <cell r="T652" t="e">
            <v>#N/A</v>
          </cell>
          <cell r="U652" t="e">
            <v>#N/A</v>
          </cell>
          <cell r="V652" t="e">
            <v>#N/A</v>
          </cell>
          <cell r="W652" t="e">
            <v>#N/A</v>
          </cell>
          <cell r="AA652">
            <v>0</v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</row>
        <row r="653">
          <cell r="R653" t="str">
            <v>DOM NDL NDI28</v>
          </cell>
          <cell r="S653" t="e">
            <v>#N/A</v>
          </cell>
          <cell r="T653" t="e">
            <v>#N/A</v>
          </cell>
          <cell r="U653" t="e">
            <v>#N/A</v>
          </cell>
          <cell r="V653" t="e">
            <v>#N/A</v>
          </cell>
          <cell r="W653" t="e">
            <v>#N/A</v>
          </cell>
          <cell r="AA653">
            <v>0</v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</row>
        <row r="654">
          <cell r="R654" t="str">
            <v>DOM NDL NDI29</v>
          </cell>
          <cell r="S654" t="e">
            <v>#N/A</v>
          </cell>
          <cell r="T654" t="e">
            <v>#N/A</v>
          </cell>
          <cell r="U654" t="e">
            <v>#N/A</v>
          </cell>
          <cell r="V654" t="e">
            <v>#N/A</v>
          </cell>
          <cell r="W654" t="e">
            <v>#N/A</v>
          </cell>
          <cell r="AA654">
            <v>0</v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</row>
        <row r="655">
          <cell r="R655" t="str">
            <v>DOM NDL NDI30</v>
          </cell>
          <cell r="S655" t="e">
            <v>#N/A</v>
          </cell>
          <cell r="T655" t="e">
            <v>#N/A</v>
          </cell>
          <cell r="U655" t="e">
            <v>#N/A</v>
          </cell>
          <cell r="V655" t="e">
            <v>#N/A</v>
          </cell>
          <cell r="W655" t="e">
            <v>#N/A</v>
          </cell>
          <cell r="AA655">
            <v>0</v>
          </cell>
          <cell r="AB655" t="str">
            <v/>
          </cell>
          <cell r="AC655" t="str">
            <v/>
          </cell>
          <cell r="AD655" t="str">
            <v/>
          </cell>
          <cell r="AE655" t="str">
            <v/>
          </cell>
        </row>
        <row r="656">
          <cell r="R656" t="str">
            <v>DOM NDL NDI31</v>
          </cell>
          <cell r="S656" t="e">
            <v>#N/A</v>
          </cell>
          <cell r="T656" t="e">
            <v>#N/A</v>
          </cell>
          <cell r="U656" t="e">
            <v>#N/A</v>
          </cell>
          <cell r="V656" t="e">
            <v>#N/A</v>
          </cell>
          <cell r="W656" t="e">
            <v>#N/A</v>
          </cell>
          <cell r="AA656">
            <v>0</v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</row>
        <row r="657">
          <cell r="R657" t="str">
            <v>DOM NDL NDI32</v>
          </cell>
          <cell r="S657" t="e">
            <v>#N/A</v>
          </cell>
          <cell r="T657" t="e">
            <v>#N/A</v>
          </cell>
          <cell r="U657" t="e">
            <v>#N/A</v>
          </cell>
          <cell r="V657" t="e">
            <v>#N/A</v>
          </cell>
          <cell r="W657" t="e">
            <v>#N/A</v>
          </cell>
          <cell r="AA657">
            <v>0</v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</row>
        <row r="658">
          <cell r="R658" t="str">
            <v>DOM NDL NDI33</v>
          </cell>
          <cell r="S658" t="e">
            <v>#N/A</v>
          </cell>
          <cell r="T658" t="e">
            <v>#N/A</v>
          </cell>
          <cell r="U658" t="e">
            <v>#N/A</v>
          </cell>
          <cell r="V658" t="e">
            <v>#N/A</v>
          </cell>
          <cell r="W658" t="e">
            <v>#N/A</v>
          </cell>
          <cell r="AA658">
            <v>0</v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</row>
        <row r="659">
          <cell r="R659" t="str">
            <v>DOM NDL NDI34</v>
          </cell>
          <cell r="S659" t="e">
            <v>#N/A</v>
          </cell>
          <cell r="T659" t="e">
            <v>#N/A</v>
          </cell>
          <cell r="U659" t="e">
            <v>#N/A</v>
          </cell>
          <cell r="V659" t="e">
            <v>#N/A</v>
          </cell>
          <cell r="W659" t="e">
            <v>#N/A</v>
          </cell>
          <cell r="AA659">
            <v>0</v>
          </cell>
          <cell r="AB659" t="str">
            <v/>
          </cell>
          <cell r="AC659" t="str">
            <v/>
          </cell>
          <cell r="AD659" t="str">
            <v/>
          </cell>
          <cell r="AE659" t="str">
            <v/>
          </cell>
        </row>
        <row r="660">
          <cell r="R660" t="str">
            <v>DOM NDL NDI35</v>
          </cell>
          <cell r="S660" t="e">
            <v>#N/A</v>
          </cell>
          <cell r="T660" t="e">
            <v>#N/A</v>
          </cell>
          <cell r="U660" t="e">
            <v>#N/A</v>
          </cell>
          <cell r="V660" t="e">
            <v>#N/A</v>
          </cell>
          <cell r="W660" t="e">
            <v>#N/A</v>
          </cell>
          <cell r="AA660">
            <v>0</v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</row>
        <row r="661">
          <cell r="R661" t="str">
            <v>DOM NDL NDI36</v>
          </cell>
          <cell r="S661" t="e">
            <v>#N/A</v>
          </cell>
          <cell r="T661" t="e">
            <v>#N/A</v>
          </cell>
          <cell r="U661" t="e">
            <v>#N/A</v>
          </cell>
          <cell r="V661" t="e">
            <v>#N/A</v>
          </cell>
          <cell r="W661" t="e">
            <v>#N/A</v>
          </cell>
          <cell r="AA661">
            <v>0</v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</row>
        <row r="662">
          <cell r="R662" t="str">
            <v>DOM NDL NDI37</v>
          </cell>
          <cell r="S662" t="e">
            <v>#N/A</v>
          </cell>
          <cell r="T662" t="e">
            <v>#N/A</v>
          </cell>
          <cell r="U662" t="e">
            <v>#N/A</v>
          </cell>
          <cell r="V662" t="e">
            <v>#N/A</v>
          </cell>
          <cell r="W662" t="e">
            <v>#N/A</v>
          </cell>
          <cell r="AA662">
            <v>0</v>
          </cell>
          <cell r="AB662" t="str">
            <v/>
          </cell>
          <cell r="AC662" t="str">
            <v/>
          </cell>
          <cell r="AD662" t="str">
            <v/>
          </cell>
          <cell r="AE662" t="str">
            <v/>
          </cell>
        </row>
        <row r="663">
          <cell r="R663" t="str">
            <v>DOM NDL NDI38</v>
          </cell>
          <cell r="S663" t="e">
            <v>#N/A</v>
          </cell>
          <cell r="T663" t="e">
            <v>#N/A</v>
          </cell>
          <cell r="U663" t="e">
            <v>#N/A</v>
          </cell>
          <cell r="V663" t="e">
            <v>#N/A</v>
          </cell>
          <cell r="W663" t="e">
            <v>#N/A</v>
          </cell>
          <cell r="AA663">
            <v>0</v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</row>
        <row r="664">
          <cell r="R664" t="str">
            <v>DOM NDL NDI39</v>
          </cell>
          <cell r="S664" t="e">
            <v>#N/A</v>
          </cell>
          <cell r="T664" t="e">
            <v>#N/A</v>
          </cell>
          <cell r="U664" t="e">
            <v>#N/A</v>
          </cell>
          <cell r="V664" t="e">
            <v>#N/A</v>
          </cell>
          <cell r="W664" t="e">
            <v>#N/A</v>
          </cell>
          <cell r="AA664">
            <v>0</v>
          </cell>
          <cell r="AB664" t="str">
            <v/>
          </cell>
          <cell r="AC664" t="str">
            <v/>
          </cell>
          <cell r="AD664" t="str">
            <v/>
          </cell>
          <cell r="AE664" t="str">
            <v/>
          </cell>
        </row>
        <row r="665">
          <cell r="R665" t="str">
            <v>DOM NDL NDI40</v>
          </cell>
          <cell r="S665" t="e">
            <v>#N/A</v>
          </cell>
          <cell r="T665" t="e">
            <v>#N/A</v>
          </cell>
          <cell r="U665" t="e">
            <v>#N/A</v>
          </cell>
          <cell r="V665" t="e">
            <v>#N/A</v>
          </cell>
          <cell r="W665" t="e">
            <v>#N/A</v>
          </cell>
          <cell r="AA665">
            <v>0</v>
          </cell>
          <cell r="AB665" t="str">
            <v/>
          </cell>
          <cell r="AC665" t="str">
            <v/>
          </cell>
          <cell r="AD665" t="str">
            <v/>
          </cell>
          <cell r="AE665" t="str">
            <v/>
          </cell>
        </row>
        <row r="666">
          <cell r="R666" t="str">
            <v>DOM NDL NDI60</v>
          </cell>
          <cell r="S666" t="e">
            <v>#N/A</v>
          </cell>
          <cell r="T666" t="e">
            <v>#N/A</v>
          </cell>
          <cell r="U666" t="e">
            <v>#N/A</v>
          </cell>
          <cell r="V666" t="e">
            <v>#N/A</v>
          </cell>
          <cell r="W666" t="e">
            <v>#N/A</v>
          </cell>
          <cell r="AA666">
            <v>0</v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</row>
        <row r="667">
          <cell r="R667" t="str">
            <v>DOM NDL NDI61</v>
          </cell>
          <cell r="S667" t="e">
            <v>#N/A</v>
          </cell>
          <cell r="T667" t="e">
            <v>#N/A</v>
          </cell>
          <cell r="U667" t="e">
            <v>#N/A</v>
          </cell>
          <cell r="V667" t="e">
            <v>#N/A</v>
          </cell>
          <cell r="W667" t="e">
            <v>#N/A</v>
          </cell>
          <cell r="AA667">
            <v>0</v>
          </cell>
          <cell r="AB667" t="str">
            <v/>
          </cell>
          <cell r="AC667" t="str">
            <v/>
          </cell>
          <cell r="AD667" t="str">
            <v/>
          </cell>
          <cell r="AE667" t="str">
            <v/>
          </cell>
        </row>
        <row r="668">
          <cell r="R668" t="str">
            <v>DOM NDL NDI62</v>
          </cell>
          <cell r="S668" t="e">
            <v>#N/A</v>
          </cell>
          <cell r="T668" t="e">
            <v>#N/A</v>
          </cell>
          <cell r="U668" t="e">
            <v>#N/A</v>
          </cell>
          <cell r="V668" t="e">
            <v>#N/A</v>
          </cell>
          <cell r="W668" t="e">
            <v>#N/A</v>
          </cell>
          <cell r="AA668">
            <v>0</v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</row>
        <row r="669">
          <cell r="R669" t="str">
            <v>DOM NDL NDI63</v>
          </cell>
          <cell r="S669" t="e">
            <v>#N/A</v>
          </cell>
          <cell r="T669" t="e">
            <v>#N/A</v>
          </cell>
          <cell r="U669" t="e">
            <v>#N/A</v>
          </cell>
          <cell r="V669" t="e">
            <v>#N/A</v>
          </cell>
          <cell r="W669" t="e">
            <v>#N/A</v>
          </cell>
          <cell r="AA669">
            <v>0</v>
          </cell>
          <cell r="AB669" t="str">
            <v/>
          </cell>
          <cell r="AC669" t="str">
            <v/>
          </cell>
          <cell r="AD669" t="str">
            <v/>
          </cell>
          <cell r="AE669" t="str">
            <v/>
          </cell>
        </row>
        <row r="670">
          <cell r="R670" t="str">
            <v>DOM NDL NDI64</v>
          </cell>
          <cell r="S670" t="e">
            <v>#N/A</v>
          </cell>
          <cell r="T670" t="e">
            <v>#N/A</v>
          </cell>
          <cell r="U670" t="e">
            <v>#N/A</v>
          </cell>
          <cell r="V670" t="e">
            <v>#N/A</v>
          </cell>
          <cell r="W670" t="e">
            <v>#N/A</v>
          </cell>
          <cell r="AA670">
            <v>0</v>
          </cell>
          <cell r="AB670" t="str">
            <v/>
          </cell>
          <cell r="AC670" t="str">
            <v/>
          </cell>
          <cell r="AD670" t="str">
            <v/>
          </cell>
          <cell r="AE670" t="str">
            <v/>
          </cell>
        </row>
        <row r="671">
          <cell r="R671" t="str">
            <v>DOM NDL NDI65</v>
          </cell>
          <cell r="S671" t="e">
            <v>#N/A</v>
          </cell>
          <cell r="T671" t="e">
            <v>#N/A</v>
          </cell>
          <cell r="U671" t="e">
            <v>#N/A</v>
          </cell>
          <cell r="V671" t="e">
            <v>#N/A</v>
          </cell>
          <cell r="W671" t="e">
            <v>#N/A</v>
          </cell>
          <cell r="AA671">
            <v>0</v>
          </cell>
          <cell r="AB671" t="str">
            <v/>
          </cell>
          <cell r="AC671" t="str">
            <v/>
          </cell>
          <cell r="AD671" t="str">
            <v/>
          </cell>
          <cell r="AE671" t="str">
            <v/>
          </cell>
        </row>
        <row r="672">
          <cell r="R672" t="str">
            <v>DOM NDL NDI66</v>
          </cell>
          <cell r="S672" t="e">
            <v>#N/A</v>
          </cell>
          <cell r="T672" t="e">
            <v>#N/A</v>
          </cell>
          <cell r="U672" t="e">
            <v>#N/A</v>
          </cell>
          <cell r="V672" t="e">
            <v>#N/A</v>
          </cell>
          <cell r="W672" t="e">
            <v>#N/A</v>
          </cell>
          <cell r="AA672">
            <v>0</v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</row>
        <row r="673">
          <cell r="R673" t="str">
            <v>DOM NDL NDI67</v>
          </cell>
          <cell r="S673" t="e">
            <v>#N/A</v>
          </cell>
          <cell r="T673" t="e">
            <v>#N/A</v>
          </cell>
          <cell r="U673" t="e">
            <v>#N/A</v>
          </cell>
          <cell r="V673" t="e">
            <v>#N/A</v>
          </cell>
          <cell r="W673" t="e">
            <v>#N/A</v>
          </cell>
          <cell r="AA673">
            <v>0</v>
          </cell>
          <cell r="AB673" t="str">
            <v/>
          </cell>
          <cell r="AC673" t="str">
            <v/>
          </cell>
          <cell r="AD673" t="str">
            <v/>
          </cell>
          <cell r="AE673" t="str">
            <v/>
          </cell>
        </row>
        <row r="674">
          <cell r="R674" t="str">
            <v>DOM NDL NDI68</v>
          </cell>
          <cell r="S674" t="e">
            <v>#N/A</v>
          </cell>
          <cell r="T674" t="e">
            <v>#N/A</v>
          </cell>
          <cell r="U674" t="e">
            <v>#N/A</v>
          </cell>
          <cell r="V674" t="e">
            <v>#N/A</v>
          </cell>
          <cell r="W674" t="e">
            <v>#N/A</v>
          </cell>
          <cell r="AA674">
            <v>0</v>
          </cell>
          <cell r="AB674" t="str">
            <v/>
          </cell>
          <cell r="AC674" t="str">
            <v/>
          </cell>
          <cell r="AD674" t="str">
            <v/>
          </cell>
          <cell r="AE674" t="str">
            <v/>
          </cell>
        </row>
        <row r="675">
          <cell r="R675" t="str">
            <v>DOM NDL NDI69</v>
          </cell>
          <cell r="S675" t="e">
            <v>#N/A</v>
          </cell>
          <cell r="T675" t="e">
            <v>#N/A</v>
          </cell>
          <cell r="U675" t="e">
            <v>#N/A</v>
          </cell>
          <cell r="V675" t="e">
            <v>#N/A</v>
          </cell>
          <cell r="W675" t="e">
            <v>#N/A</v>
          </cell>
          <cell r="AA675">
            <v>0</v>
          </cell>
          <cell r="AB675" t="str">
            <v/>
          </cell>
          <cell r="AC675" t="str">
            <v/>
          </cell>
          <cell r="AD675" t="str">
            <v/>
          </cell>
          <cell r="AE675" t="str">
            <v/>
          </cell>
        </row>
        <row r="676">
          <cell r="R676" t="str">
            <v>DOM NDL NDI70</v>
          </cell>
          <cell r="S676" t="e">
            <v>#N/A</v>
          </cell>
          <cell r="T676" t="e">
            <v>#N/A</v>
          </cell>
          <cell r="U676" t="e">
            <v>#N/A</v>
          </cell>
          <cell r="V676" t="e">
            <v>#N/A</v>
          </cell>
          <cell r="W676" t="e">
            <v>#N/A</v>
          </cell>
          <cell r="AA676">
            <v>0</v>
          </cell>
          <cell r="AB676" t="str">
            <v/>
          </cell>
          <cell r="AC676" t="str">
            <v/>
          </cell>
          <cell r="AD676" t="str">
            <v/>
          </cell>
          <cell r="AE676" t="str">
            <v/>
          </cell>
        </row>
        <row r="677">
          <cell r="R677" t="str">
            <v>DOM NDL NDI71</v>
          </cell>
          <cell r="S677" t="e">
            <v>#N/A</v>
          </cell>
          <cell r="T677" t="e">
            <v>#N/A</v>
          </cell>
          <cell r="U677" t="e">
            <v>#N/A</v>
          </cell>
          <cell r="V677" t="e">
            <v>#N/A</v>
          </cell>
          <cell r="W677" t="e">
            <v>#N/A</v>
          </cell>
          <cell r="AA677">
            <v>0</v>
          </cell>
          <cell r="AB677" t="str">
            <v/>
          </cell>
          <cell r="AC677" t="str">
            <v/>
          </cell>
          <cell r="AD677" t="str">
            <v/>
          </cell>
          <cell r="AE677" t="str">
            <v/>
          </cell>
        </row>
        <row r="678">
          <cell r="R678" t="str">
            <v>DOM NDL NDI72</v>
          </cell>
          <cell r="S678" t="e">
            <v>#N/A</v>
          </cell>
          <cell r="T678" t="e">
            <v>#N/A</v>
          </cell>
          <cell r="U678" t="e">
            <v>#N/A</v>
          </cell>
          <cell r="V678" t="e">
            <v>#N/A</v>
          </cell>
          <cell r="W678" t="e">
            <v>#N/A</v>
          </cell>
          <cell r="AA678">
            <v>0</v>
          </cell>
          <cell r="AB678" t="str">
            <v/>
          </cell>
          <cell r="AC678" t="str">
            <v/>
          </cell>
          <cell r="AD678" t="str">
            <v/>
          </cell>
          <cell r="AE678" t="str">
            <v/>
          </cell>
        </row>
        <row r="679">
          <cell r="R679" t="str">
            <v>DOM NDL NDI73</v>
          </cell>
          <cell r="S679" t="e">
            <v>#N/A</v>
          </cell>
          <cell r="T679" t="e">
            <v>#N/A</v>
          </cell>
          <cell r="U679" t="e">
            <v>#N/A</v>
          </cell>
          <cell r="V679" t="e">
            <v>#N/A</v>
          </cell>
          <cell r="W679" t="e">
            <v>#N/A</v>
          </cell>
          <cell r="AA679">
            <v>0</v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</row>
        <row r="680">
          <cell r="R680" t="str">
            <v>DOM NDL NDI74</v>
          </cell>
          <cell r="S680" t="e">
            <v>#N/A</v>
          </cell>
          <cell r="T680" t="e">
            <v>#N/A</v>
          </cell>
          <cell r="U680" t="e">
            <v>#N/A</v>
          </cell>
          <cell r="V680" t="e">
            <v>#N/A</v>
          </cell>
          <cell r="W680" t="e">
            <v>#N/A</v>
          </cell>
          <cell r="AA680">
            <v>0</v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</row>
        <row r="681">
          <cell r="R681" t="str">
            <v>DOM NDL NDI75</v>
          </cell>
          <cell r="S681" t="e">
            <v>#N/A</v>
          </cell>
          <cell r="T681" t="e">
            <v>#N/A</v>
          </cell>
          <cell r="U681" t="e">
            <v>#N/A</v>
          </cell>
          <cell r="V681" t="e">
            <v>#N/A</v>
          </cell>
          <cell r="W681" t="e">
            <v>#N/A</v>
          </cell>
          <cell r="AA681">
            <v>0</v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</row>
        <row r="682">
          <cell r="R682" t="str">
            <v>DOM NDL NDI76</v>
          </cell>
          <cell r="S682" t="e">
            <v>#N/A</v>
          </cell>
          <cell r="T682" t="e">
            <v>#N/A</v>
          </cell>
          <cell r="U682" t="e">
            <v>#N/A</v>
          </cell>
          <cell r="V682" t="e">
            <v>#N/A</v>
          </cell>
          <cell r="W682" t="e">
            <v>#N/A</v>
          </cell>
          <cell r="AA682">
            <v>0</v>
          </cell>
          <cell r="AB682" t="str">
            <v/>
          </cell>
          <cell r="AC682" t="str">
            <v/>
          </cell>
          <cell r="AD682" t="str">
            <v/>
          </cell>
          <cell r="AE682" t="str">
            <v/>
          </cell>
        </row>
        <row r="683">
          <cell r="R683" t="str">
            <v>DOM NDL NDI77</v>
          </cell>
          <cell r="S683" t="e">
            <v>#N/A</v>
          </cell>
          <cell r="T683" t="e">
            <v>#N/A</v>
          </cell>
          <cell r="U683" t="e">
            <v>#N/A</v>
          </cell>
          <cell r="V683" t="e">
            <v>#N/A</v>
          </cell>
          <cell r="W683" t="e">
            <v>#N/A</v>
          </cell>
          <cell r="AA683">
            <v>0</v>
          </cell>
          <cell r="AB683" t="str">
            <v/>
          </cell>
          <cell r="AC683" t="str">
            <v/>
          </cell>
          <cell r="AD683" t="str">
            <v/>
          </cell>
          <cell r="AE683" t="str">
            <v/>
          </cell>
        </row>
        <row r="684">
          <cell r="R684" t="str">
            <v>DOM NDL NDI78</v>
          </cell>
          <cell r="S684" t="e">
            <v>#N/A</v>
          </cell>
          <cell r="T684" t="e">
            <v>#N/A</v>
          </cell>
          <cell r="U684" t="e">
            <v>#N/A</v>
          </cell>
          <cell r="V684" t="e">
            <v>#N/A</v>
          </cell>
          <cell r="W684" t="e">
            <v>#N/A</v>
          </cell>
          <cell r="AA684">
            <v>0</v>
          </cell>
          <cell r="AB684" t="str">
            <v/>
          </cell>
          <cell r="AC684" t="str">
            <v/>
          </cell>
          <cell r="AD684" t="str">
            <v/>
          </cell>
          <cell r="AE684" t="str">
            <v/>
          </cell>
        </row>
        <row r="685">
          <cell r="R685" t="str">
            <v>DOM NDL NDI79</v>
          </cell>
          <cell r="S685" t="e">
            <v>#N/A</v>
          </cell>
          <cell r="T685" t="e">
            <v>#N/A</v>
          </cell>
          <cell r="U685" t="e">
            <v>#N/A</v>
          </cell>
          <cell r="V685" t="e">
            <v>#N/A</v>
          </cell>
          <cell r="W685" t="e">
            <v>#N/A</v>
          </cell>
          <cell r="AA685">
            <v>0</v>
          </cell>
          <cell r="AB685" t="str">
            <v/>
          </cell>
          <cell r="AC685" t="str">
            <v/>
          </cell>
          <cell r="AD685" t="str">
            <v/>
          </cell>
          <cell r="AE685" t="str">
            <v/>
          </cell>
        </row>
        <row r="686">
          <cell r="R686" t="str">
            <v>DOM NDL NDI80</v>
          </cell>
          <cell r="S686" t="e">
            <v>#N/A</v>
          </cell>
          <cell r="T686" t="e">
            <v>#N/A</v>
          </cell>
          <cell r="U686" t="e">
            <v>#N/A</v>
          </cell>
          <cell r="V686" t="e">
            <v>#N/A</v>
          </cell>
          <cell r="W686" t="e">
            <v>#N/A</v>
          </cell>
          <cell r="AA686">
            <v>0</v>
          </cell>
          <cell r="AB686" t="str">
            <v/>
          </cell>
          <cell r="AC686" t="str">
            <v/>
          </cell>
          <cell r="AD686" t="str">
            <v/>
          </cell>
          <cell r="AE686" t="str">
            <v/>
          </cell>
        </row>
        <row r="687">
          <cell r="R687" t="str">
            <v>DOM NDL NDI81</v>
          </cell>
          <cell r="S687" t="e">
            <v>#N/A</v>
          </cell>
          <cell r="T687" t="e">
            <v>#N/A</v>
          </cell>
          <cell r="U687" t="e">
            <v>#N/A</v>
          </cell>
          <cell r="V687" t="e">
            <v>#N/A</v>
          </cell>
          <cell r="W687" t="e">
            <v>#N/A</v>
          </cell>
          <cell r="AA687">
            <v>0</v>
          </cell>
          <cell r="AB687" t="str">
            <v/>
          </cell>
          <cell r="AC687" t="str">
            <v/>
          </cell>
          <cell r="AD687" t="str">
            <v/>
          </cell>
          <cell r="AE687" t="str">
            <v/>
          </cell>
        </row>
        <row r="688">
          <cell r="R688" t="str">
            <v>DOM NDL NDI82</v>
          </cell>
          <cell r="S688" t="e">
            <v>#N/A</v>
          </cell>
          <cell r="T688" t="e">
            <v>#N/A</v>
          </cell>
          <cell r="U688" t="e">
            <v>#N/A</v>
          </cell>
          <cell r="V688" t="e">
            <v>#N/A</v>
          </cell>
          <cell r="W688" t="e">
            <v>#N/A</v>
          </cell>
          <cell r="AA688">
            <v>0</v>
          </cell>
          <cell r="AB688" t="str">
            <v/>
          </cell>
          <cell r="AC688" t="str">
            <v/>
          </cell>
          <cell r="AD688" t="str">
            <v/>
          </cell>
          <cell r="AE688" t="str">
            <v/>
          </cell>
        </row>
        <row r="689">
          <cell r="R689" t="str">
            <v>DOM NDL NDI83</v>
          </cell>
          <cell r="S689" t="e">
            <v>#N/A</v>
          </cell>
          <cell r="T689" t="e">
            <v>#N/A</v>
          </cell>
          <cell r="U689" t="e">
            <v>#N/A</v>
          </cell>
          <cell r="V689" t="e">
            <v>#N/A</v>
          </cell>
          <cell r="W689" t="e">
            <v>#N/A</v>
          </cell>
          <cell r="AA689">
            <v>0</v>
          </cell>
          <cell r="AB689" t="str">
            <v/>
          </cell>
          <cell r="AC689" t="str">
            <v/>
          </cell>
          <cell r="AD689" t="str">
            <v/>
          </cell>
          <cell r="AE689" t="str">
            <v/>
          </cell>
        </row>
        <row r="690">
          <cell r="R690" t="str">
            <v>DOM NDL NDIPN</v>
          </cell>
          <cell r="S690" t="e">
            <v>#N/A</v>
          </cell>
          <cell r="T690" t="e">
            <v>#N/A</v>
          </cell>
          <cell r="U690" t="e">
            <v>#N/A</v>
          </cell>
          <cell r="V690" t="e">
            <v>#N/A</v>
          </cell>
          <cell r="W690" t="e">
            <v>#N/A</v>
          </cell>
          <cell r="AA690">
            <v>0</v>
          </cell>
          <cell r="AB690" t="str">
            <v/>
          </cell>
          <cell r="AC690" t="str">
            <v/>
          </cell>
          <cell r="AD690" t="str">
            <v/>
          </cell>
          <cell r="AE690" t="str">
            <v/>
          </cell>
        </row>
        <row r="691">
          <cell r="R691" t="str">
            <v>DOM NDL NDPGC</v>
          </cell>
          <cell r="S691" t="e">
            <v>#N/A</v>
          </cell>
          <cell r="T691" t="e">
            <v>#N/A</v>
          </cell>
          <cell r="U691" t="e">
            <v>#N/A</v>
          </cell>
          <cell r="V691" t="e">
            <v>#N/A</v>
          </cell>
          <cell r="W691" t="e">
            <v>#N/A</v>
          </cell>
          <cell r="AA691">
            <v>0</v>
          </cell>
          <cell r="AB691" t="str">
            <v/>
          </cell>
          <cell r="AC691" t="str">
            <v/>
          </cell>
          <cell r="AD691" t="str">
            <v/>
          </cell>
          <cell r="AE691" t="str">
            <v/>
          </cell>
        </row>
        <row r="692">
          <cell r="R692" t="str">
            <v>DOM NDL NDPGM</v>
          </cell>
          <cell r="S692" t="e">
            <v>#N/A</v>
          </cell>
          <cell r="T692" t="e">
            <v>#N/A</v>
          </cell>
          <cell r="U692" t="e">
            <v>#N/A</v>
          </cell>
          <cell r="V692" t="e">
            <v>#N/A</v>
          </cell>
          <cell r="W692" t="e">
            <v>#N/A</v>
          </cell>
          <cell r="AA692">
            <v>0</v>
          </cell>
          <cell r="AB692" t="str">
            <v/>
          </cell>
          <cell r="AC692" t="str">
            <v/>
          </cell>
          <cell r="AD692" t="str">
            <v/>
          </cell>
          <cell r="AE692" t="str">
            <v/>
          </cell>
        </row>
        <row r="693">
          <cell r="R693" t="str">
            <v>DOM NDL NDG01</v>
          </cell>
          <cell r="S693" t="e">
            <v>#N/A</v>
          </cell>
          <cell r="T693" t="e">
            <v>#N/A</v>
          </cell>
          <cell r="U693" t="e">
            <v>#N/A</v>
          </cell>
          <cell r="V693" t="e">
            <v>#N/A</v>
          </cell>
          <cell r="W693" t="e">
            <v>#N/A</v>
          </cell>
          <cell r="AA693">
            <v>0</v>
          </cell>
          <cell r="AB693" t="str">
            <v/>
          </cell>
          <cell r="AC693" t="str">
            <v/>
          </cell>
          <cell r="AD693" t="str">
            <v/>
          </cell>
          <cell r="AE693" t="str">
            <v/>
          </cell>
        </row>
        <row r="694">
          <cell r="R694" t="str">
            <v>DOM NDL NDG10</v>
          </cell>
          <cell r="S694" t="e">
            <v>#N/A</v>
          </cell>
          <cell r="T694" t="e">
            <v>#N/A</v>
          </cell>
          <cell r="U694" t="e">
            <v>#N/A</v>
          </cell>
          <cell r="V694" t="e">
            <v>#N/A</v>
          </cell>
          <cell r="W694" t="e">
            <v>#N/A</v>
          </cell>
          <cell r="AA694">
            <v>0</v>
          </cell>
          <cell r="AB694" t="str">
            <v/>
          </cell>
          <cell r="AC694" t="str">
            <v/>
          </cell>
          <cell r="AD694" t="str">
            <v/>
          </cell>
          <cell r="AE694" t="str">
            <v/>
          </cell>
        </row>
        <row r="695">
          <cell r="R695" t="str">
            <v>DOM NDL NDG11</v>
          </cell>
          <cell r="S695" t="e">
            <v>#N/A</v>
          </cell>
          <cell r="T695" t="e">
            <v>#N/A</v>
          </cell>
          <cell r="U695" t="e">
            <v>#N/A</v>
          </cell>
          <cell r="V695" t="e">
            <v>#N/A</v>
          </cell>
          <cell r="W695" t="e">
            <v>#N/A</v>
          </cell>
          <cell r="AA695">
            <v>0</v>
          </cell>
          <cell r="AB695" t="str">
            <v/>
          </cell>
          <cell r="AC695" t="str">
            <v/>
          </cell>
          <cell r="AD695" t="str">
            <v/>
          </cell>
          <cell r="AE695" t="str">
            <v/>
          </cell>
        </row>
        <row r="696">
          <cell r="R696" t="str">
            <v>DOM NDL NDG12</v>
          </cell>
          <cell r="S696" t="e">
            <v>#N/A</v>
          </cell>
          <cell r="T696" t="e">
            <v>#N/A</v>
          </cell>
          <cell r="U696" t="e">
            <v>#N/A</v>
          </cell>
          <cell r="V696" t="e">
            <v>#N/A</v>
          </cell>
          <cell r="W696" t="e">
            <v>#N/A</v>
          </cell>
          <cell r="AA696">
            <v>0</v>
          </cell>
          <cell r="AB696" t="str">
            <v/>
          </cell>
          <cell r="AC696" t="str">
            <v/>
          </cell>
          <cell r="AD696" t="str">
            <v/>
          </cell>
          <cell r="AE696" t="str">
            <v/>
          </cell>
        </row>
        <row r="697">
          <cell r="R697" t="str">
            <v>DOM NDL NDG13</v>
          </cell>
          <cell r="S697" t="e">
            <v>#N/A</v>
          </cell>
          <cell r="T697" t="e">
            <v>#N/A</v>
          </cell>
          <cell r="U697" t="e">
            <v>#N/A</v>
          </cell>
          <cell r="V697" t="e">
            <v>#N/A</v>
          </cell>
          <cell r="W697" t="e">
            <v>#N/A</v>
          </cell>
          <cell r="AA697">
            <v>0</v>
          </cell>
          <cell r="AB697" t="str">
            <v/>
          </cell>
          <cell r="AC697" t="str">
            <v/>
          </cell>
          <cell r="AD697" t="str">
            <v/>
          </cell>
          <cell r="AE697" t="str">
            <v/>
          </cell>
        </row>
        <row r="698">
          <cell r="R698" t="str">
            <v>DOM NDL NDG14</v>
          </cell>
          <cell r="S698" t="e">
            <v>#N/A</v>
          </cell>
          <cell r="T698" t="e">
            <v>#N/A</v>
          </cell>
          <cell r="U698" t="e">
            <v>#N/A</v>
          </cell>
          <cell r="V698" t="e">
            <v>#N/A</v>
          </cell>
          <cell r="W698" t="e">
            <v>#N/A</v>
          </cell>
          <cell r="AA698">
            <v>0</v>
          </cell>
          <cell r="AB698" t="str">
            <v/>
          </cell>
          <cell r="AC698" t="str">
            <v/>
          </cell>
          <cell r="AD698" t="str">
            <v/>
          </cell>
          <cell r="AE698" t="str">
            <v/>
          </cell>
        </row>
        <row r="699">
          <cell r="R699" t="str">
            <v>DOM NDL NDG15</v>
          </cell>
          <cell r="S699" t="e">
            <v>#N/A</v>
          </cell>
          <cell r="T699" t="e">
            <v>#N/A</v>
          </cell>
          <cell r="U699" t="e">
            <v>#N/A</v>
          </cell>
          <cell r="V699" t="e">
            <v>#N/A</v>
          </cell>
          <cell r="W699" t="e">
            <v>#N/A</v>
          </cell>
          <cell r="AA699">
            <v>0</v>
          </cell>
          <cell r="AB699" t="str">
            <v/>
          </cell>
          <cell r="AC699" t="str">
            <v/>
          </cell>
          <cell r="AD699" t="str">
            <v/>
          </cell>
          <cell r="AE699" t="str">
            <v/>
          </cell>
        </row>
        <row r="700">
          <cell r="R700" t="str">
            <v>DOM NDL NDG16</v>
          </cell>
          <cell r="S700" t="e">
            <v>#N/A</v>
          </cell>
          <cell r="T700" t="e">
            <v>#N/A</v>
          </cell>
          <cell r="U700" t="e">
            <v>#N/A</v>
          </cell>
          <cell r="V700" t="e">
            <v>#N/A</v>
          </cell>
          <cell r="W700" t="e">
            <v>#N/A</v>
          </cell>
          <cell r="AA700">
            <v>0</v>
          </cell>
          <cell r="AB700" t="str">
            <v/>
          </cell>
          <cell r="AC700" t="str">
            <v/>
          </cell>
          <cell r="AD700" t="str">
            <v/>
          </cell>
          <cell r="AE700" t="str">
            <v/>
          </cell>
        </row>
        <row r="701">
          <cell r="R701" t="str">
            <v>DOM NDL NDG17</v>
          </cell>
          <cell r="S701" t="e">
            <v>#N/A</v>
          </cell>
          <cell r="T701" t="e">
            <v>#N/A</v>
          </cell>
          <cell r="U701" t="e">
            <v>#N/A</v>
          </cell>
          <cell r="V701" t="e">
            <v>#N/A</v>
          </cell>
          <cell r="W701" t="e">
            <v>#N/A</v>
          </cell>
          <cell r="AA701">
            <v>0</v>
          </cell>
          <cell r="AB701" t="str">
            <v/>
          </cell>
          <cell r="AC701" t="str">
            <v/>
          </cell>
          <cell r="AD701" t="str">
            <v/>
          </cell>
          <cell r="AE701" t="str">
            <v/>
          </cell>
        </row>
        <row r="702">
          <cell r="R702" t="str">
            <v>DOM NDL NDG18</v>
          </cell>
          <cell r="S702" t="e">
            <v>#N/A</v>
          </cell>
          <cell r="T702" t="e">
            <v>#N/A</v>
          </cell>
          <cell r="U702" t="e">
            <v>#N/A</v>
          </cell>
          <cell r="V702" t="e">
            <v>#N/A</v>
          </cell>
          <cell r="W702" t="e">
            <v>#N/A</v>
          </cell>
          <cell r="AA702">
            <v>0</v>
          </cell>
          <cell r="AB702" t="str">
            <v/>
          </cell>
          <cell r="AC702" t="str">
            <v/>
          </cell>
          <cell r="AD702" t="str">
            <v/>
          </cell>
          <cell r="AE702" t="str">
            <v/>
          </cell>
        </row>
        <row r="703">
          <cell r="R703" t="str">
            <v>DOM NDL NDG19</v>
          </cell>
          <cell r="S703" t="e">
            <v>#N/A</v>
          </cell>
          <cell r="T703" t="e">
            <v>#N/A</v>
          </cell>
          <cell r="U703" t="e">
            <v>#N/A</v>
          </cell>
          <cell r="V703" t="e">
            <v>#N/A</v>
          </cell>
          <cell r="W703" t="e">
            <v>#N/A</v>
          </cell>
          <cell r="AA703">
            <v>0</v>
          </cell>
          <cell r="AB703" t="str">
            <v/>
          </cell>
          <cell r="AC703" t="str">
            <v/>
          </cell>
          <cell r="AD703" t="str">
            <v/>
          </cell>
          <cell r="AE703" t="str">
            <v/>
          </cell>
        </row>
        <row r="704">
          <cell r="R704" t="str">
            <v>DOM NDL NDG02</v>
          </cell>
          <cell r="S704" t="e">
            <v>#N/A</v>
          </cell>
          <cell r="T704" t="e">
            <v>#N/A</v>
          </cell>
          <cell r="U704" t="e">
            <v>#N/A</v>
          </cell>
          <cell r="V704" t="e">
            <v>#N/A</v>
          </cell>
          <cell r="W704" t="e">
            <v>#N/A</v>
          </cell>
          <cell r="AA704">
            <v>0</v>
          </cell>
          <cell r="AB704" t="str">
            <v/>
          </cell>
          <cell r="AC704" t="str">
            <v/>
          </cell>
          <cell r="AD704" t="str">
            <v/>
          </cell>
          <cell r="AE704" t="str">
            <v/>
          </cell>
        </row>
        <row r="705">
          <cell r="R705" t="str">
            <v>DOM NDL NDG20</v>
          </cell>
          <cell r="S705" t="e">
            <v>#N/A</v>
          </cell>
          <cell r="T705" t="e">
            <v>#N/A</v>
          </cell>
          <cell r="U705" t="e">
            <v>#N/A</v>
          </cell>
          <cell r="V705" t="e">
            <v>#N/A</v>
          </cell>
          <cell r="W705" t="e">
            <v>#N/A</v>
          </cell>
          <cell r="AA705">
            <v>0</v>
          </cell>
          <cell r="AB705" t="str">
            <v/>
          </cell>
          <cell r="AC705" t="str">
            <v/>
          </cell>
          <cell r="AD705" t="str">
            <v/>
          </cell>
          <cell r="AE705" t="str">
            <v/>
          </cell>
        </row>
        <row r="706">
          <cell r="R706" t="str">
            <v>DOM NDL NDG21</v>
          </cell>
          <cell r="S706" t="e">
            <v>#N/A</v>
          </cell>
          <cell r="T706" t="e">
            <v>#N/A</v>
          </cell>
          <cell r="U706" t="e">
            <v>#N/A</v>
          </cell>
          <cell r="V706" t="e">
            <v>#N/A</v>
          </cell>
          <cell r="W706" t="e">
            <v>#N/A</v>
          </cell>
          <cell r="AA706">
            <v>0</v>
          </cell>
          <cell r="AB706" t="str">
            <v/>
          </cell>
          <cell r="AC706" t="str">
            <v/>
          </cell>
          <cell r="AD706" t="str">
            <v/>
          </cell>
          <cell r="AE706" t="str">
            <v/>
          </cell>
        </row>
        <row r="707">
          <cell r="R707" t="str">
            <v>DOM NDL NDG22</v>
          </cell>
          <cell r="S707" t="e">
            <v>#N/A</v>
          </cell>
          <cell r="T707" t="e">
            <v>#N/A</v>
          </cell>
          <cell r="U707" t="e">
            <v>#N/A</v>
          </cell>
          <cell r="V707" t="e">
            <v>#N/A</v>
          </cell>
          <cell r="W707" t="e">
            <v>#N/A</v>
          </cell>
          <cell r="AA707">
            <v>0</v>
          </cell>
          <cell r="AB707" t="str">
            <v/>
          </cell>
          <cell r="AC707" t="str">
            <v/>
          </cell>
          <cell r="AD707" t="str">
            <v/>
          </cell>
          <cell r="AE707" t="str">
            <v/>
          </cell>
        </row>
        <row r="708">
          <cell r="R708" t="str">
            <v>DOM NDL NDG23</v>
          </cell>
          <cell r="S708" t="e">
            <v>#N/A</v>
          </cell>
          <cell r="T708" t="e">
            <v>#N/A</v>
          </cell>
          <cell r="U708" t="e">
            <v>#N/A</v>
          </cell>
          <cell r="V708" t="e">
            <v>#N/A</v>
          </cell>
          <cell r="W708" t="e">
            <v>#N/A</v>
          </cell>
          <cell r="AA708">
            <v>0</v>
          </cell>
          <cell r="AB708" t="str">
            <v/>
          </cell>
          <cell r="AC708" t="str">
            <v/>
          </cell>
          <cell r="AD708" t="str">
            <v/>
          </cell>
          <cell r="AE708" t="str">
            <v/>
          </cell>
        </row>
        <row r="709">
          <cell r="R709" t="str">
            <v>DOM NDL NDG24</v>
          </cell>
          <cell r="S709" t="e">
            <v>#N/A</v>
          </cell>
          <cell r="T709" t="e">
            <v>#N/A</v>
          </cell>
          <cell r="U709" t="e">
            <v>#N/A</v>
          </cell>
          <cell r="V709" t="e">
            <v>#N/A</v>
          </cell>
          <cell r="W709" t="e">
            <v>#N/A</v>
          </cell>
          <cell r="AA709">
            <v>0</v>
          </cell>
          <cell r="AB709" t="str">
            <v/>
          </cell>
          <cell r="AC709" t="str">
            <v/>
          </cell>
          <cell r="AD709" t="str">
            <v/>
          </cell>
          <cell r="AE709" t="str">
            <v/>
          </cell>
        </row>
        <row r="710">
          <cell r="R710" t="str">
            <v>DOM NDL NDG25</v>
          </cell>
          <cell r="S710" t="e">
            <v>#N/A</v>
          </cell>
          <cell r="T710" t="e">
            <v>#N/A</v>
          </cell>
          <cell r="U710" t="e">
            <v>#N/A</v>
          </cell>
          <cell r="V710" t="e">
            <v>#N/A</v>
          </cell>
          <cell r="W710" t="e">
            <v>#N/A</v>
          </cell>
          <cell r="AA710">
            <v>0</v>
          </cell>
          <cell r="AB710" t="str">
            <v/>
          </cell>
          <cell r="AC710" t="str">
            <v/>
          </cell>
          <cell r="AD710" t="str">
            <v/>
          </cell>
          <cell r="AE710" t="str">
            <v/>
          </cell>
        </row>
        <row r="711">
          <cell r="R711" t="str">
            <v>DOM NDL NDG26</v>
          </cell>
          <cell r="S711" t="e">
            <v>#N/A</v>
          </cell>
          <cell r="T711" t="e">
            <v>#N/A</v>
          </cell>
          <cell r="U711" t="e">
            <v>#N/A</v>
          </cell>
          <cell r="V711" t="e">
            <v>#N/A</v>
          </cell>
          <cell r="W711" t="e">
            <v>#N/A</v>
          </cell>
          <cell r="AA711">
            <v>0</v>
          </cell>
          <cell r="AB711" t="str">
            <v/>
          </cell>
          <cell r="AC711" t="str">
            <v/>
          </cell>
          <cell r="AD711" t="str">
            <v/>
          </cell>
          <cell r="AE711" t="str">
            <v/>
          </cell>
        </row>
        <row r="712">
          <cell r="R712" t="str">
            <v>DOM NDL NDG27</v>
          </cell>
          <cell r="S712" t="e">
            <v>#N/A</v>
          </cell>
          <cell r="T712" t="e">
            <v>#N/A</v>
          </cell>
          <cell r="U712" t="e">
            <v>#N/A</v>
          </cell>
          <cell r="V712" t="e">
            <v>#N/A</v>
          </cell>
          <cell r="W712" t="e">
            <v>#N/A</v>
          </cell>
          <cell r="AA712">
            <v>0</v>
          </cell>
          <cell r="AB712" t="str">
            <v/>
          </cell>
          <cell r="AC712" t="str">
            <v/>
          </cell>
          <cell r="AD712" t="str">
            <v/>
          </cell>
          <cell r="AE712" t="str">
            <v/>
          </cell>
        </row>
        <row r="713">
          <cell r="R713" t="str">
            <v>DOM NDL NDG28</v>
          </cell>
          <cell r="S713" t="e">
            <v>#N/A</v>
          </cell>
          <cell r="T713" t="e">
            <v>#N/A</v>
          </cell>
          <cell r="U713" t="e">
            <v>#N/A</v>
          </cell>
          <cell r="V713" t="e">
            <v>#N/A</v>
          </cell>
          <cell r="W713" t="e">
            <v>#N/A</v>
          </cell>
          <cell r="AA713">
            <v>0</v>
          </cell>
          <cell r="AB713" t="str">
            <v/>
          </cell>
          <cell r="AC713" t="str">
            <v/>
          </cell>
          <cell r="AD713" t="str">
            <v/>
          </cell>
          <cell r="AE713" t="str">
            <v/>
          </cell>
        </row>
        <row r="714">
          <cell r="R714" t="str">
            <v>DOM NDL NDG29</v>
          </cell>
          <cell r="S714" t="e">
            <v>#N/A</v>
          </cell>
          <cell r="T714" t="e">
            <v>#N/A</v>
          </cell>
          <cell r="U714" t="e">
            <v>#N/A</v>
          </cell>
          <cell r="V714" t="e">
            <v>#N/A</v>
          </cell>
          <cell r="W714" t="e">
            <v>#N/A</v>
          </cell>
          <cell r="AA714">
            <v>0</v>
          </cell>
          <cell r="AB714" t="str">
            <v/>
          </cell>
          <cell r="AC714" t="str">
            <v/>
          </cell>
          <cell r="AD714" t="str">
            <v/>
          </cell>
          <cell r="AE714" t="str">
            <v/>
          </cell>
        </row>
        <row r="715">
          <cell r="R715" t="str">
            <v>DOM NDL NDG03</v>
          </cell>
          <cell r="S715" t="e">
            <v>#N/A</v>
          </cell>
          <cell r="T715" t="e">
            <v>#N/A</v>
          </cell>
          <cell r="U715" t="e">
            <v>#N/A</v>
          </cell>
          <cell r="V715" t="e">
            <v>#N/A</v>
          </cell>
          <cell r="W715" t="e">
            <v>#N/A</v>
          </cell>
          <cell r="AA715">
            <v>0</v>
          </cell>
          <cell r="AB715" t="str">
            <v/>
          </cell>
          <cell r="AC715" t="str">
            <v/>
          </cell>
          <cell r="AD715" t="str">
            <v/>
          </cell>
          <cell r="AE715" t="str">
            <v/>
          </cell>
        </row>
        <row r="716">
          <cell r="R716" t="str">
            <v>DOM NDL NDG30</v>
          </cell>
          <cell r="S716" t="e">
            <v>#N/A</v>
          </cell>
          <cell r="T716" t="e">
            <v>#N/A</v>
          </cell>
          <cell r="U716" t="e">
            <v>#N/A</v>
          </cell>
          <cell r="V716" t="e">
            <v>#N/A</v>
          </cell>
          <cell r="W716" t="e">
            <v>#N/A</v>
          </cell>
          <cell r="AA716">
            <v>0</v>
          </cell>
          <cell r="AB716" t="str">
            <v/>
          </cell>
          <cell r="AC716" t="str">
            <v/>
          </cell>
          <cell r="AD716" t="str">
            <v/>
          </cell>
          <cell r="AE716" t="str">
            <v/>
          </cell>
        </row>
        <row r="717">
          <cell r="R717" t="str">
            <v>DOM NDL NDG31</v>
          </cell>
          <cell r="S717" t="e">
            <v>#N/A</v>
          </cell>
          <cell r="T717" t="e">
            <v>#N/A</v>
          </cell>
          <cell r="U717" t="e">
            <v>#N/A</v>
          </cell>
          <cell r="V717" t="e">
            <v>#N/A</v>
          </cell>
          <cell r="W717" t="e">
            <v>#N/A</v>
          </cell>
          <cell r="AA717">
            <v>0</v>
          </cell>
          <cell r="AB717" t="str">
            <v/>
          </cell>
          <cell r="AC717" t="str">
            <v/>
          </cell>
          <cell r="AD717" t="str">
            <v/>
          </cell>
          <cell r="AE717" t="str">
            <v/>
          </cell>
        </row>
        <row r="718">
          <cell r="R718" t="str">
            <v>DOM NDL NDG32</v>
          </cell>
          <cell r="S718" t="e">
            <v>#N/A</v>
          </cell>
          <cell r="T718" t="e">
            <v>#N/A</v>
          </cell>
          <cell r="U718" t="e">
            <v>#N/A</v>
          </cell>
          <cell r="V718" t="e">
            <v>#N/A</v>
          </cell>
          <cell r="W718" t="e">
            <v>#N/A</v>
          </cell>
          <cell r="AA718">
            <v>0</v>
          </cell>
          <cell r="AB718" t="str">
            <v/>
          </cell>
          <cell r="AC718" t="str">
            <v/>
          </cell>
          <cell r="AD718" t="str">
            <v/>
          </cell>
          <cell r="AE718" t="str">
            <v/>
          </cell>
        </row>
        <row r="719">
          <cell r="R719" t="str">
            <v>DOM NDL NDG33</v>
          </cell>
          <cell r="S719" t="e">
            <v>#N/A</v>
          </cell>
          <cell r="T719" t="e">
            <v>#N/A</v>
          </cell>
          <cell r="U719" t="e">
            <v>#N/A</v>
          </cell>
          <cell r="V719" t="e">
            <v>#N/A</v>
          </cell>
          <cell r="W719" t="e">
            <v>#N/A</v>
          </cell>
          <cell r="AA719">
            <v>0</v>
          </cell>
          <cell r="AB719" t="str">
            <v/>
          </cell>
          <cell r="AC719" t="str">
            <v/>
          </cell>
          <cell r="AD719" t="str">
            <v/>
          </cell>
          <cell r="AE719" t="str">
            <v/>
          </cell>
        </row>
        <row r="720">
          <cell r="R720" t="str">
            <v>DOM NDL NDG34</v>
          </cell>
          <cell r="S720" t="e">
            <v>#N/A</v>
          </cell>
          <cell r="T720" t="e">
            <v>#N/A</v>
          </cell>
          <cell r="U720" t="e">
            <v>#N/A</v>
          </cell>
          <cell r="V720" t="e">
            <v>#N/A</v>
          </cell>
          <cell r="W720" t="e">
            <v>#N/A</v>
          </cell>
          <cell r="AA720">
            <v>0</v>
          </cell>
          <cell r="AB720" t="str">
            <v/>
          </cell>
          <cell r="AC720" t="str">
            <v/>
          </cell>
          <cell r="AD720" t="str">
            <v/>
          </cell>
          <cell r="AE720" t="str">
            <v/>
          </cell>
        </row>
        <row r="721">
          <cell r="R721" t="str">
            <v>DOM NDL NDG35</v>
          </cell>
          <cell r="S721" t="e">
            <v>#N/A</v>
          </cell>
          <cell r="T721" t="e">
            <v>#N/A</v>
          </cell>
          <cell r="U721" t="e">
            <v>#N/A</v>
          </cell>
          <cell r="V721" t="e">
            <v>#N/A</v>
          </cell>
          <cell r="W721" t="e">
            <v>#N/A</v>
          </cell>
          <cell r="AA721">
            <v>0</v>
          </cell>
          <cell r="AB721" t="str">
            <v/>
          </cell>
          <cell r="AC721" t="str">
            <v/>
          </cell>
          <cell r="AD721" t="str">
            <v/>
          </cell>
          <cell r="AE721" t="str">
            <v/>
          </cell>
        </row>
        <row r="722">
          <cell r="R722" t="str">
            <v>DOM NDL NDG36</v>
          </cell>
          <cell r="S722" t="e">
            <v>#N/A</v>
          </cell>
          <cell r="T722" t="e">
            <v>#N/A</v>
          </cell>
          <cell r="U722" t="e">
            <v>#N/A</v>
          </cell>
          <cell r="V722" t="e">
            <v>#N/A</v>
          </cell>
          <cell r="W722" t="e">
            <v>#N/A</v>
          </cell>
          <cell r="AA722">
            <v>0</v>
          </cell>
          <cell r="AB722" t="str">
            <v/>
          </cell>
          <cell r="AC722" t="str">
            <v/>
          </cell>
          <cell r="AD722" t="str">
            <v/>
          </cell>
          <cell r="AE722" t="str">
            <v/>
          </cell>
        </row>
        <row r="723">
          <cell r="R723" t="str">
            <v>DOM NDL NDG37</v>
          </cell>
          <cell r="S723" t="e">
            <v>#N/A</v>
          </cell>
          <cell r="T723" t="e">
            <v>#N/A</v>
          </cell>
          <cell r="U723" t="e">
            <v>#N/A</v>
          </cell>
          <cell r="V723" t="e">
            <v>#N/A</v>
          </cell>
          <cell r="W723" t="e">
            <v>#N/A</v>
          </cell>
          <cell r="AA723">
            <v>0</v>
          </cell>
          <cell r="AB723" t="str">
            <v/>
          </cell>
          <cell r="AC723" t="str">
            <v/>
          </cell>
          <cell r="AD723" t="str">
            <v/>
          </cell>
          <cell r="AE723" t="str">
            <v/>
          </cell>
        </row>
        <row r="724">
          <cell r="R724" t="str">
            <v>DOM NDL NDG38</v>
          </cell>
          <cell r="S724" t="e">
            <v>#N/A</v>
          </cell>
          <cell r="T724" t="e">
            <v>#N/A</v>
          </cell>
          <cell r="U724" t="e">
            <v>#N/A</v>
          </cell>
          <cell r="V724" t="e">
            <v>#N/A</v>
          </cell>
          <cell r="W724" t="e">
            <v>#N/A</v>
          </cell>
          <cell r="AA724">
            <v>0</v>
          </cell>
          <cell r="AB724" t="str">
            <v/>
          </cell>
          <cell r="AC724" t="str">
            <v/>
          </cell>
          <cell r="AD724" t="str">
            <v/>
          </cell>
          <cell r="AE724" t="str">
            <v/>
          </cell>
        </row>
        <row r="725">
          <cell r="R725" t="str">
            <v>DOM NDL NDG39</v>
          </cell>
          <cell r="S725" t="e">
            <v>#N/A</v>
          </cell>
          <cell r="T725" t="e">
            <v>#N/A</v>
          </cell>
          <cell r="U725" t="e">
            <v>#N/A</v>
          </cell>
          <cell r="V725" t="e">
            <v>#N/A</v>
          </cell>
          <cell r="W725" t="e">
            <v>#N/A</v>
          </cell>
          <cell r="AA725">
            <v>0</v>
          </cell>
          <cell r="AB725" t="str">
            <v/>
          </cell>
          <cell r="AC725" t="str">
            <v/>
          </cell>
          <cell r="AD725" t="str">
            <v/>
          </cell>
          <cell r="AE725" t="str">
            <v/>
          </cell>
        </row>
        <row r="726">
          <cell r="R726" t="str">
            <v>DOM NDL NDG04</v>
          </cell>
          <cell r="S726" t="e">
            <v>#N/A</v>
          </cell>
          <cell r="T726" t="e">
            <v>#N/A</v>
          </cell>
          <cell r="U726" t="e">
            <v>#N/A</v>
          </cell>
          <cell r="V726" t="e">
            <v>#N/A</v>
          </cell>
          <cell r="W726" t="e">
            <v>#N/A</v>
          </cell>
          <cell r="AA726">
            <v>0</v>
          </cell>
          <cell r="AB726" t="str">
            <v/>
          </cell>
          <cell r="AC726" t="str">
            <v/>
          </cell>
          <cell r="AD726" t="str">
            <v/>
          </cell>
          <cell r="AE726" t="str">
            <v/>
          </cell>
        </row>
        <row r="727">
          <cell r="R727" t="str">
            <v>DOM NDL NDG40</v>
          </cell>
          <cell r="S727" t="e">
            <v>#N/A</v>
          </cell>
          <cell r="T727" t="e">
            <v>#N/A</v>
          </cell>
          <cell r="U727" t="e">
            <v>#N/A</v>
          </cell>
          <cell r="V727" t="e">
            <v>#N/A</v>
          </cell>
          <cell r="W727" t="e">
            <v>#N/A</v>
          </cell>
          <cell r="AA727">
            <v>0</v>
          </cell>
          <cell r="AB727" t="str">
            <v/>
          </cell>
          <cell r="AC727" t="str">
            <v/>
          </cell>
          <cell r="AD727" t="str">
            <v/>
          </cell>
          <cell r="AE727" t="str">
            <v/>
          </cell>
        </row>
        <row r="728">
          <cell r="R728" t="str">
            <v>DOM NDL NDG41</v>
          </cell>
          <cell r="S728" t="e">
            <v>#N/A</v>
          </cell>
          <cell r="T728" t="e">
            <v>#N/A</v>
          </cell>
          <cell r="U728" t="e">
            <v>#N/A</v>
          </cell>
          <cell r="V728" t="e">
            <v>#N/A</v>
          </cell>
          <cell r="W728" t="e">
            <v>#N/A</v>
          </cell>
          <cell r="AA728">
            <v>0</v>
          </cell>
          <cell r="AB728" t="str">
            <v/>
          </cell>
          <cell r="AC728" t="str">
            <v/>
          </cell>
          <cell r="AD728" t="str">
            <v/>
          </cell>
          <cell r="AE728" t="str">
            <v/>
          </cell>
        </row>
        <row r="729">
          <cell r="R729" t="str">
            <v>DOM NDL NDG42</v>
          </cell>
          <cell r="S729" t="e">
            <v>#N/A</v>
          </cell>
          <cell r="T729" t="e">
            <v>#N/A</v>
          </cell>
          <cell r="U729" t="e">
            <v>#N/A</v>
          </cell>
          <cell r="V729" t="e">
            <v>#N/A</v>
          </cell>
          <cell r="W729" t="e">
            <v>#N/A</v>
          </cell>
          <cell r="AA729">
            <v>0</v>
          </cell>
          <cell r="AB729" t="str">
            <v/>
          </cell>
          <cell r="AC729" t="str">
            <v/>
          </cell>
          <cell r="AD729" t="str">
            <v/>
          </cell>
          <cell r="AE729" t="str">
            <v/>
          </cell>
        </row>
        <row r="730">
          <cell r="R730" t="str">
            <v>DOM NDL NDG43</v>
          </cell>
          <cell r="S730" t="e">
            <v>#N/A</v>
          </cell>
          <cell r="T730" t="e">
            <v>#N/A</v>
          </cell>
          <cell r="U730" t="e">
            <v>#N/A</v>
          </cell>
          <cell r="V730" t="e">
            <v>#N/A</v>
          </cell>
          <cell r="W730" t="e">
            <v>#N/A</v>
          </cell>
          <cell r="AA730">
            <v>0</v>
          </cell>
          <cell r="AB730" t="str">
            <v/>
          </cell>
          <cell r="AC730" t="str">
            <v/>
          </cell>
          <cell r="AD730" t="str">
            <v/>
          </cell>
          <cell r="AE730" t="str">
            <v/>
          </cell>
        </row>
        <row r="731">
          <cell r="R731" t="str">
            <v>DOM NDL NDG44</v>
          </cell>
          <cell r="S731" t="e">
            <v>#N/A</v>
          </cell>
          <cell r="T731" t="e">
            <v>#N/A</v>
          </cell>
          <cell r="U731" t="e">
            <v>#N/A</v>
          </cell>
          <cell r="V731" t="e">
            <v>#N/A</v>
          </cell>
          <cell r="W731" t="e">
            <v>#N/A</v>
          </cell>
          <cell r="AA731">
            <v>0</v>
          </cell>
          <cell r="AB731" t="str">
            <v/>
          </cell>
          <cell r="AC731" t="str">
            <v/>
          </cell>
          <cell r="AD731" t="str">
            <v/>
          </cell>
          <cell r="AE731" t="str">
            <v/>
          </cell>
        </row>
        <row r="732">
          <cell r="R732" t="str">
            <v>DOM NDL NDG45</v>
          </cell>
          <cell r="S732" t="e">
            <v>#N/A</v>
          </cell>
          <cell r="T732" t="e">
            <v>#N/A</v>
          </cell>
          <cell r="U732" t="e">
            <v>#N/A</v>
          </cell>
          <cell r="V732" t="e">
            <v>#N/A</v>
          </cell>
          <cell r="W732" t="e">
            <v>#N/A</v>
          </cell>
          <cell r="AA732">
            <v>0</v>
          </cell>
          <cell r="AB732" t="str">
            <v/>
          </cell>
          <cell r="AC732" t="str">
            <v/>
          </cell>
          <cell r="AD732" t="str">
            <v/>
          </cell>
          <cell r="AE732" t="str">
            <v/>
          </cell>
        </row>
        <row r="733">
          <cell r="R733" t="str">
            <v>DOM NDL NDG46</v>
          </cell>
          <cell r="S733" t="e">
            <v>#N/A</v>
          </cell>
          <cell r="T733" t="e">
            <v>#N/A</v>
          </cell>
          <cell r="U733" t="e">
            <v>#N/A</v>
          </cell>
          <cell r="V733" t="e">
            <v>#N/A</v>
          </cell>
          <cell r="W733" t="e">
            <v>#N/A</v>
          </cell>
          <cell r="AA733">
            <v>0</v>
          </cell>
          <cell r="AB733" t="str">
            <v/>
          </cell>
          <cell r="AC733" t="str">
            <v/>
          </cell>
          <cell r="AD733" t="str">
            <v/>
          </cell>
          <cell r="AE733" t="str">
            <v/>
          </cell>
        </row>
        <row r="734">
          <cell r="R734" t="str">
            <v>DOM NDL NDG05</v>
          </cell>
          <cell r="S734" t="e">
            <v>#N/A</v>
          </cell>
          <cell r="T734" t="e">
            <v>#N/A</v>
          </cell>
          <cell r="U734" t="e">
            <v>#N/A</v>
          </cell>
          <cell r="V734" t="e">
            <v>#N/A</v>
          </cell>
          <cell r="W734" t="e">
            <v>#N/A</v>
          </cell>
          <cell r="AA734">
            <v>0</v>
          </cell>
          <cell r="AB734" t="str">
            <v/>
          </cell>
          <cell r="AC734" t="str">
            <v/>
          </cell>
          <cell r="AD734" t="str">
            <v/>
          </cell>
          <cell r="AE734" t="str">
            <v/>
          </cell>
        </row>
        <row r="735">
          <cell r="R735" t="str">
            <v>DOM NDL NDG06</v>
          </cell>
          <cell r="S735" t="e">
            <v>#N/A</v>
          </cell>
          <cell r="T735" t="e">
            <v>#N/A</v>
          </cell>
          <cell r="U735" t="e">
            <v>#N/A</v>
          </cell>
          <cell r="V735" t="e">
            <v>#N/A</v>
          </cell>
          <cell r="W735" t="e">
            <v>#N/A</v>
          </cell>
          <cell r="AA735">
            <v>0</v>
          </cell>
          <cell r="AB735" t="str">
            <v/>
          </cell>
          <cell r="AC735" t="str">
            <v/>
          </cell>
          <cell r="AD735" t="str">
            <v/>
          </cell>
          <cell r="AE735" t="str">
            <v/>
          </cell>
        </row>
        <row r="736">
          <cell r="R736" t="str">
            <v>DOM NDL NDG07</v>
          </cell>
          <cell r="S736" t="e">
            <v>#N/A</v>
          </cell>
          <cell r="T736" t="e">
            <v>#N/A</v>
          </cell>
          <cell r="U736" t="e">
            <v>#N/A</v>
          </cell>
          <cell r="V736" t="e">
            <v>#N/A</v>
          </cell>
          <cell r="W736" t="e">
            <v>#N/A</v>
          </cell>
          <cell r="AA736">
            <v>0</v>
          </cell>
          <cell r="AB736" t="str">
            <v/>
          </cell>
          <cell r="AC736" t="str">
            <v/>
          </cell>
          <cell r="AD736" t="str">
            <v/>
          </cell>
          <cell r="AE736" t="str">
            <v/>
          </cell>
        </row>
        <row r="737">
          <cell r="R737" t="str">
            <v>DOM NDL NDG08</v>
          </cell>
          <cell r="S737" t="e">
            <v>#N/A</v>
          </cell>
          <cell r="T737" t="e">
            <v>#N/A</v>
          </cell>
          <cell r="U737" t="e">
            <v>#N/A</v>
          </cell>
          <cell r="V737" t="e">
            <v>#N/A</v>
          </cell>
          <cell r="W737" t="e">
            <v>#N/A</v>
          </cell>
          <cell r="AA737">
            <v>0</v>
          </cell>
          <cell r="AB737" t="str">
            <v/>
          </cell>
          <cell r="AC737" t="str">
            <v/>
          </cell>
          <cell r="AD737" t="str">
            <v/>
          </cell>
          <cell r="AE737" t="str">
            <v/>
          </cell>
        </row>
        <row r="738">
          <cell r="R738" t="str">
            <v>DOM NDL NDG09</v>
          </cell>
          <cell r="S738" t="e">
            <v>#N/A</v>
          </cell>
          <cell r="T738" t="e">
            <v>#N/A</v>
          </cell>
          <cell r="U738" t="e">
            <v>#N/A</v>
          </cell>
          <cell r="V738" t="e">
            <v>#N/A</v>
          </cell>
          <cell r="W738" t="e">
            <v>#N/A</v>
          </cell>
          <cell r="AA738">
            <v>0</v>
          </cell>
          <cell r="AB738" t="str">
            <v/>
          </cell>
          <cell r="AC738" t="str">
            <v/>
          </cell>
          <cell r="AD738" t="str">
            <v/>
          </cell>
          <cell r="AE738" t="str">
            <v/>
          </cell>
        </row>
        <row r="739">
          <cell r="R739" t="str">
            <v>DOM NDL NDG91</v>
          </cell>
          <cell r="S739" t="e">
            <v>#N/A</v>
          </cell>
          <cell r="T739" t="e">
            <v>#N/A</v>
          </cell>
          <cell r="U739" t="e">
            <v>#N/A</v>
          </cell>
          <cell r="V739" t="e">
            <v>#N/A</v>
          </cell>
          <cell r="W739" t="e">
            <v>#N/A</v>
          </cell>
          <cell r="AA739">
            <v>0</v>
          </cell>
          <cell r="AB739" t="str">
            <v/>
          </cell>
          <cell r="AC739" t="str">
            <v/>
          </cell>
          <cell r="AD739" t="str">
            <v/>
          </cell>
          <cell r="AE739" t="str">
            <v/>
          </cell>
        </row>
        <row r="740">
          <cell r="R740" t="str">
            <v>DOM NDL NDG92</v>
          </cell>
          <cell r="S740" t="e">
            <v>#N/A</v>
          </cell>
          <cell r="T740" t="e">
            <v>#N/A</v>
          </cell>
          <cell r="U740" t="e">
            <v>#N/A</v>
          </cell>
          <cell r="V740" t="e">
            <v>#N/A</v>
          </cell>
          <cell r="W740" t="e">
            <v>#N/A</v>
          </cell>
          <cell r="AA740">
            <v>0</v>
          </cell>
          <cell r="AB740" t="str">
            <v/>
          </cell>
          <cell r="AC740" t="str">
            <v/>
          </cell>
          <cell r="AD740" t="str">
            <v/>
          </cell>
          <cell r="AE740" t="str">
            <v/>
          </cell>
        </row>
        <row r="741">
          <cell r="R741" t="str">
            <v>DOM NDL NDG93</v>
          </cell>
          <cell r="S741" t="e">
            <v>#N/A</v>
          </cell>
          <cell r="T741" t="e">
            <v>#N/A</v>
          </cell>
          <cell r="U741" t="e">
            <v>#N/A</v>
          </cell>
          <cell r="V741" t="e">
            <v>#N/A</v>
          </cell>
          <cell r="W741" t="e">
            <v>#N/A</v>
          </cell>
          <cell r="AA741">
            <v>0</v>
          </cell>
          <cell r="AB741" t="str">
            <v/>
          </cell>
          <cell r="AC741" t="str">
            <v/>
          </cell>
          <cell r="AD741" t="str">
            <v/>
          </cell>
          <cell r="AE741" t="str">
            <v/>
          </cell>
        </row>
        <row r="742">
          <cell r="R742" t="str">
            <v>DOM NDL NDR01</v>
          </cell>
          <cell r="S742" t="e">
            <v>#N/A</v>
          </cell>
          <cell r="T742" t="e">
            <v>#N/A</v>
          </cell>
          <cell r="U742" t="e">
            <v>#N/A</v>
          </cell>
          <cell r="V742" t="e">
            <v>#N/A</v>
          </cell>
          <cell r="W742" t="e">
            <v>#N/A</v>
          </cell>
          <cell r="AA742">
            <v>0</v>
          </cell>
          <cell r="AB742" t="str">
            <v/>
          </cell>
          <cell r="AC742" t="str">
            <v/>
          </cell>
          <cell r="AD742" t="str">
            <v/>
          </cell>
          <cell r="AE742" t="str">
            <v/>
          </cell>
        </row>
        <row r="743">
          <cell r="R743" t="str">
            <v>DOM NDL NDR10</v>
          </cell>
          <cell r="S743" t="e">
            <v>#N/A</v>
          </cell>
          <cell r="T743" t="e">
            <v>#N/A</v>
          </cell>
          <cell r="U743" t="e">
            <v>#N/A</v>
          </cell>
          <cell r="V743" t="e">
            <v>#N/A</v>
          </cell>
          <cell r="W743" t="e">
            <v>#N/A</v>
          </cell>
          <cell r="AA743">
            <v>0</v>
          </cell>
          <cell r="AB743" t="str">
            <v/>
          </cell>
          <cell r="AC743" t="str">
            <v/>
          </cell>
          <cell r="AD743" t="str">
            <v/>
          </cell>
          <cell r="AE743" t="str">
            <v/>
          </cell>
        </row>
        <row r="744">
          <cell r="R744" t="str">
            <v>DOM NDL NDR11</v>
          </cell>
          <cell r="S744" t="e">
            <v>#N/A</v>
          </cell>
          <cell r="T744" t="e">
            <v>#N/A</v>
          </cell>
          <cell r="U744" t="e">
            <v>#N/A</v>
          </cell>
          <cell r="V744" t="e">
            <v>#N/A</v>
          </cell>
          <cell r="W744" t="e">
            <v>#N/A</v>
          </cell>
          <cell r="AA744">
            <v>0</v>
          </cell>
          <cell r="AB744" t="str">
            <v/>
          </cell>
          <cell r="AC744" t="str">
            <v/>
          </cell>
          <cell r="AD744" t="str">
            <v/>
          </cell>
          <cell r="AE744" t="str">
            <v/>
          </cell>
        </row>
        <row r="745">
          <cell r="R745" t="str">
            <v>DOM NDL NDR12</v>
          </cell>
          <cell r="S745" t="e">
            <v>#N/A</v>
          </cell>
          <cell r="T745" t="e">
            <v>#N/A</v>
          </cell>
          <cell r="U745" t="e">
            <v>#N/A</v>
          </cell>
          <cell r="V745" t="e">
            <v>#N/A</v>
          </cell>
          <cell r="W745" t="e">
            <v>#N/A</v>
          </cell>
          <cell r="AA745">
            <v>0</v>
          </cell>
          <cell r="AB745" t="str">
            <v/>
          </cell>
          <cell r="AC745" t="str">
            <v/>
          </cell>
          <cell r="AD745" t="str">
            <v/>
          </cell>
          <cell r="AE745" t="str">
            <v/>
          </cell>
        </row>
        <row r="746">
          <cell r="R746" t="str">
            <v>DOM NDL NDR13</v>
          </cell>
          <cell r="S746" t="e">
            <v>#N/A</v>
          </cell>
          <cell r="T746" t="e">
            <v>#N/A</v>
          </cell>
          <cell r="U746" t="e">
            <v>#N/A</v>
          </cell>
          <cell r="V746" t="e">
            <v>#N/A</v>
          </cell>
          <cell r="W746" t="e">
            <v>#N/A</v>
          </cell>
          <cell r="AA746">
            <v>0</v>
          </cell>
          <cell r="AB746" t="str">
            <v/>
          </cell>
          <cell r="AC746" t="str">
            <v/>
          </cell>
          <cell r="AD746" t="str">
            <v/>
          </cell>
          <cell r="AE746" t="str">
            <v/>
          </cell>
        </row>
        <row r="747">
          <cell r="R747" t="str">
            <v>DOM NDL NDR14</v>
          </cell>
          <cell r="S747" t="e">
            <v>#N/A</v>
          </cell>
          <cell r="T747" t="e">
            <v>#N/A</v>
          </cell>
          <cell r="U747" t="e">
            <v>#N/A</v>
          </cell>
          <cell r="V747" t="e">
            <v>#N/A</v>
          </cell>
          <cell r="W747" t="e">
            <v>#N/A</v>
          </cell>
          <cell r="AA747">
            <v>0</v>
          </cell>
          <cell r="AB747" t="str">
            <v/>
          </cell>
          <cell r="AC747" t="str">
            <v/>
          </cell>
          <cell r="AD747" t="str">
            <v/>
          </cell>
          <cell r="AE747" t="str">
            <v/>
          </cell>
        </row>
        <row r="748">
          <cell r="R748" t="str">
            <v>DOM NDL NDR15</v>
          </cell>
          <cell r="S748" t="e">
            <v>#N/A</v>
          </cell>
          <cell r="T748" t="e">
            <v>#N/A</v>
          </cell>
          <cell r="U748" t="e">
            <v>#N/A</v>
          </cell>
          <cell r="V748" t="e">
            <v>#N/A</v>
          </cell>
          <cell r="W748" t="e">
            <v>#N/A</v>
          </cell>
          <cell r="AA748">
            <v>0</v>
          </cell>
          <cell r="AB748" t="str">
            <v/>
          </cell>
          <cell r="AC748" t="str">
            <v/>
          </cell>
          <cell r="AD748" t="str">
            <v/>
          </cell>
          <cell r="AE748" t="str">
            <v/>
          </cell>
        </row>
        <row r="749">
          <cell r="R749" t="str">
            <v>DOM NDL NDR16</v>
          </cell>
          <cell r="S749" t="e">
            <v>#N/A</v>
          </cell>
          <cell r="T749" t="e">
            <v>#N/A</v>
          </cell>
          <cell r="U749" t="e">
            <v>#N/A</v>
          </cell>
          <cell r="V749" t="e">
            <v>#N/A</v>
          </cell>
          <cell r="W749" t="e">
            <v>#N/A</v>
          </cell>
          <cell r="AA749">
            <v>0</v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</row>
        <row r="750">
          <cell r="R750" t="str">
            <v>DOM NDL NDR17</v>
          </cell>
          <cell r="S750" t="e">
            <v>#N/A</v>
          </cell>
          <cell r="T750" t="e">
            <v>#N/A</v>
          </cell>
          <cell r="U750" t="e">
            <v>#N/A</v>
          </cell>
          <cell r="V750" t="e">
            <v>#N/A</v>
          </cell>
          <cell r="W750" t="e">
            <v>#N/A</v>
          </cell>
          <cell r="AA750">
            <v>0</v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</row>
        <row r="751">
          <cell r="R751" t="str">
            <v>DOM NDL NDR18</v>
          </cell>
          <cell r="S751" t="e">
            <v>#N/A</v>
          </cell>
          <cell r="T751" t="e">
            <v>#N/A</v>
          </cell>
          <cell r="U751" t="e">
            <v>#N/A</v>
          </cell>
          <cell r="V751" t="e">
            <v>#N/A</v>
          </cell>
          <cell r="W751" t="e">
            <v>#N/A</v>
          </cell>
          <cell r="AA751">
            <v>0</v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</row>
        <row r="752">
          <cell r="R752" t="str">
            <v>DOM NDL NDR19</v>
          </cell>
          <cell r="S752" t="e">
            <v>#N/A</v>
          </cell>
          <cell r="T752" t="e">
            <v>#N/A</v>
          </cell>
          <cell r="U752" t="e">
            <v>#N/A</v>
          </cell>
          <cell r="V752" t="e">
            <v>#N/A</v>
          </cell>
          <cell r="W752" t="e">
            <v>#N/A</v>
          </cell>
          <cell r="AA752">
            <v>0</v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</row>
        <row r="753">
          <cell r="R753" t="str">
            <v>DOM NDL NDR02</v>
          </cell>
          <cell r="S753" t="e">
            <v>#N/A</v>
          </cell>
          <cell r="T753" t="e">
            <v>#N/A</v>
          </cell>
          <cell r="U753" t="e">
            <v>#N/A</v>
          </cell>
          <cell r="V753" t="e">
            <v>#N/A</v>
          </cell>
          <cell r="W753" t="e">
            <v>#N/A</v>
          </cell>
          <cell r="AA753">
            <v>0</v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</row>
        <row r="754">
          <cell r="R754" t="str">
            <v>DOM NDL NDR20</v>
          </cell>
          <cell r="S754" t="e">
            <v>#N/A</v>
          </cell>
          <cell r="T754" t="e">
            <v>#N/A</v>
          </cell>
          <cell r="U754" t="e">
            <v>#N/A</v>
          </cell>
          <cell r="V754" t="e">
            <v>#N/A</v>
          </cell>
          <cell r="W754" t="e">
            <v>#N/A</v>
          </cell>
          <cell r="AA754">
            <v>0</v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</row>
        <row r="755">
          <cell r="R755" t="str">
            <v>DOM NDL NDR21</v>
          </cell>
          <cell r="S755" t="e">
            <v>#N/A</v>
          </cell>
          <cell r="T755" t="e">
            <v>#N/A</v>
          </cell>
          <cell r="U755" t="e">
            <v>#N/A</v>
          </cell>
          <cell r="V755" t="e">
            <v>#N/A</v>
          </cell>
          <cell r="W755" t="e">
            <v>#N/A</v>
          </cell>
          <cell r="AA755">
            <v>0</v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</row>
        <row r="756">
          <cell r="R756" t="str">
            <v>DOM NDL NDR22</v>
          </cell>
          <cell r="S756" t="e">
            <v>#N/A</v>
          </cell>
          <cell r="T756" t="e">
            <v>#N/A</v>
          </cell>
          <cell r="U756" t="e">
            <v>#N/A</v>
          </cell>
          <cell r="V756" t="e">
            <v>#N/A</v>
          </cell>
          <cell r="W756" t="e">
            <v>#N/A</v>
          </cell>
          <cell r="AA756">
            <v>0</v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</row>
        <row r="757">
          <cell r="R757" t="str">
            <v>DOM NDL NDR23</v>
          </cell>
          <cell r="S757" t="e">
            <v>#N/A</v>
          </cell>
          <cell r="T757" t="e">
            <v>#N/A</v>
          </cell>
          <cell r="U757" t="e">
            <v>#N/A</v>
          </cell>
          <cell r="V757" t="e">
            <v>#N/A</v>
          </cell>
          <cell r="W757" t="e">
            <v>#N/A</v>
          </cell>
          <cell r="AA757">
            <v>0</v>
          </cell>
          <cell r="AB757" t="str">
            <v/>
          </cell>
          <cell r="AC757" t="str">
            <v/>
          </cell>
          <cell r="AD757" t="str">
            <v/>
          </cell>
          <cell r="AE757" t="str">
            <v/>
          </cell>
        </row>
        <row r="758">
          <cell r="R758" t="str">
            <v>DOM NDL NDR24</v>
          </cell>
          <cell r="S758" t="e">
            <v>#N/A</v>
          </cell>
          <cell r="T758" t="e">
            <v>#N/A</v>
          </cell>
          <cell r="U758" t="e">
            <v>#N/A</v>
          </cell>
          <cell r="V758" t="e">
            <v>#N/A</v>
          </cell>
          <cell r="W758" t="e">
            <v>#N/A</v>
          </cell>
          <cell r="AA758">
            <v>0</v>
          </cell>
          <cell r="AB758" t="str">
            <v/>
          </cell>
          <cell r="AC758" t="str">
            <v/>
          </cell>
          <cell r="AD758" t="str">
            <v/>
          </cell>
          <cell r="AE758" t="str">
            <v/>
          </cell>
        </row>
        <row r="759">
          <cell r="R759" t="str">
            <v>DOM NDL NDR25</v>
          </cell>
          <cell r="S759" t="e">
            <v>#N/A</v>
          </cell>
          <cell r="T759" t="e">
            <v>#N/A</v>
          </cell>
          <cell r="U759" t="e">
            <v>#N/A</v>
          </cell>
          <cell r="V759" t="e">
            <v>#N/A</v>
          </cell>
          <cell r="W759" t="e">
            <v>#N/A</v>
          </cell>
          <cell r="AA759">
            <v>0</v>
          </cell>
          <cell r="AB759" t="str">
            <v/>
          </cell>
          <cell r="AC759" t="str">
            <v/>
          </cell>
          <cell r="AD759" t="str">
            <v/>
          </cell>
          <cell r="AE759" t="str">
            <v/>
          </cell>
        </row>
        <row r="760">
          <cell r="R760" t="str">
            <v>DOM NDL NDR26</v>
          </cell>
          <cell r="S760" t="e">
            <v>#N/A</v>
          </cell>
          <cell r="T760" t="e">
            <v>#N/A</v>
          </cell>
          <cell r="U760" t="e">
            <v>#N/A</v>
          </cell>
          <cell r="V760" t="e">
            <v>#N/A</v>
          </cell>
          <cell r="W760" t="e">
            <v>#N/A</v>
          </cell>
          <cell r="AA760">
            <v>0</v>
          </cell>
          <cell r="AB760" t="str">
            <v/>
          </cell>
          <cell r="AC760" t="str">
            <v/>
          </cell>
          <cell r="AD760" t="str">
            <v/>
          </cell>
          <cell r="AE760" t="str">
            <v/>
          </cell>
        </row>
        <row r="761">
          <cell r="R761" t="str">
            <v>DOM NDL NDR27</v>
          </cell>
          <cell r="S761" t="e">
            <v>#N/A</v>
          </cell>
          <cell r="T761" t="e">
            <v>#N/A</v>
          </cell>
          <cell r="U761" t="e">
            <v>#N/A</v>
          </cell>
          <cell r="V761" t="e">
            <v>#N/A</v>
          </cell>
          <cell r="W761" t="e">
            <v>#N/A</v>
          </cell>
          <cell r="AA761">
            <v>0</v>
          </cell>
          <cell r="AB761" t="str">
            <v/>
          </cell>
          <cell r="AC761" t="str">
            <v/>
          </cell>
          <cell r="AD761" t="str">
            <v/>
          </cell>
          <cell r="AE761" t="str">
            <v/>
          </cell>
        </row>
        <row r="762">
          <cell r="R762" t="str">
            <v>DOM NDL NDR28</v>
          </cell>
          <cell r="S762" t="e">
            <v>#N/A</v>
          </cell>
          <cell r="T762" t="e">
            <v>#N/A</v>
          </cell>
          <cell r="U762" t="e">
            <v>#N/A</v>
          </cell>
          <cell r="V762" t="e">
            <v>#N/A</v>
          </cell>
          <cell r="W762" t="e">
            <v>#N/A</v>
          </cell>
          <cell r="AA762">
            <v>0</v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</row>
        <row r="763">
          <cell r="R763" t="str">
            <v>DOM NDL NDR29</v>
          </cell>
          <cell r="S763" t="e">
            <v>#N/A</v>
          </cell>
          <cell r="T763" t="e">
            <v>#N/A</v>
          </cell>
          <cell r="U763" t="e">
            <v>#N/A</v>
          </cell>
          <cell r="V763" t="e">
            <v>#N/A</v>
          </cell>
          <cell r="W763" t="e">
            <v>#N/A</v>
          </cell>
          <cell r="AA763">
            <v>0</v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</row>
        <row r="764">
          <cell r="R764" t="str">
            <v>DOM NDL NDR03</v>
          </cell>
          <cell r="S764" t="e">
            <v>#N/A</v>
          </cell>
          <cell r="T764" t="e">
            <v>#N/A</v>
          </cell>
          <cell r="U764" t="e">
            <v>#N/A</v>
          </cell>
          <cell r="V764" t="e">
            <v>#N/A</v>
          </cell>
          <cell r="W764" t="e">
            <v>#N/A</v>
          </cell>
          <cell r="AA764">
            <v>0</v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</row>
        <row r="765">
          <cell r="R765" t="str">
            <v>DOM NDL NDR30</v>
          </cell>
          <cell r="S765" t="e">
            <v>#N/A</v>
          </cell>
          <cell r="T765" t="e">
            <v>#N/A</v>
          </cell>
          <cell r="U765" t="e">
            <v>#N/A</v>
          </cell>
          <cell r="V765" t="e">
            <v>#N/A</v>
          </cell>
          <cell r="W765" t="e">
            <v>#N/A</v>
          </cell>
          <cell r="AA765">
            <v>0</v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</row>
        <row r="766">
          <cell r="R766" t="str">
            <v>DOM NDL NDR31</v>
          </cell>
          <cell r="S766" t="e">
            <v>#N/A</v>
          </cell>
          <cell r="T766" t="e">
            <v>#N/A</v>
          </cell>
          <cell r="U766" t="e">
            <v>#N/A</v>
          </cell>
          <cell r="V766" t="e">
            <v>#N/A</v>
          </cell>
          <cell r="W766" t="e">
            <v>#N/A</v>
          </cell>
          <cell r="AA766">
            <v>0</v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</row>
        <row r="767">
          <cell r="R767" t="str">
            <v>DOM NDL NDR32</v>
          </cell>
          <cell r="S767" t="e">
            <v>#N/A</v>
          </cell>
          <cell r="T767" t="e">
            <v>#N/A</v>
          </cell>
          <cell r="U767" t="e">
            <v>#N/A</v>
          </cell>
          <cell r="V767" t="e">
            <v>#N/A</v>
          </cell>
          <cell r="W767" t="e">
            <v>#N/A</v>
          </cell>
          <cell r="AA767">
            <v>0</v>
          </cell>
          <cell r="AB767" t="str">
            <v/>
          </cell>
          <cell r="AC767" t="str">
            <v/>
          </cell>
          <cell r="AD767" t="str">
            <v/>
          </cell>
          <cell r="AE767" t="str">
            <v/>
          </cell>
        </row>
        <row r="768">
          <cell r="R768" t="str">
            <v>DOM NDL NDR33</v>
          </cell>
          <cell r="S768" t="e">
            <v>#N/A</v>
          </cell>
          <cell r="T768" t="e">
            <v>#N/A</v>
          </cell>
          <cell r="U768" t="e">
            <v>#N/A</v>
          </cell>
          <cell r="V768" t="e">
            <v>#N/A</v>
          </cell>
          <cell r="W768" t="e">
            <v>#N/A</v>
          </cell>
          <cell r="AA768">
            <v>0</v>
          </cell>
          <cell r="AB768" t="str">
            <v/>
          </cell>
          <cell r="AC768" t="str">
            <v/>
          </cell>
          <cell r="AD768" t="str">
            <v/>
          </cell>
          <cell r="AE768" t="str">
            <v/>
          </cell>
        </row>
        <row r="769">
          <cell r="R769" t="str">
            <v>DOM NDL NDR34</v>
          </cell>
          <cell r="S769" t="e">
            <v>#N/A</v>
          </cell>
          <cell r="T769" t="e">
            <v>#N/A</v>
          </cell>
          <cell r="U769" t="e">
            <v>#N/A</v>
          </cell>
          <cell r="V769" t="e">
            <v>#N/A</v>
          </cell>
          <cell r="W769" t="e">
            <v>#N/A</v>
          </cell>
          <cell r="AA769">
            <v>0</v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</row>
        <row r="770">
          <cell r="R770" t="str">
            <v>DOM NDL NDR35</v>
          </cell>
          <cell r="S770" t="e">
            <v>#N/A</v>
          </cell>
          <cell r="T770" t="e">
            <v>#N/A</v>
          </cell>
          <cell r="U770" t="e">
            <v>#N/A</v>
          </cell>
          <cell r="V770" t="e">
            <v>#N/A</v>
          </cell>
          <cell r="W770" t="e">
            <v>#N/A</v>
          </cell>
          <cell r="AA770">
            <v>0</v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</row>
        <row r="771">
          <cell r="R771" t="str">
            <v>DOM NDL NDR36</v>
          </cell>
          <cell r="S771" t="e">
            <v>#N/A</v>
          </cell>
          <cell r="T771" t="e">
            <v>#N/A</v>
          </cell>
          <cell r="U771" t="e">
            <v>#N/A</v>
          </cell>
          <cell r="V771" t="e">
            <v>#N/A</v>
          </cell>
          <cell r="W771" t="e">
            <v>#N/A</v>
          </cell>
          <cell r="AA771">
            <v>0</v>
          </cell>
          <cell r="AB771" t="str">
            <v/>
          </cell>
          <cell r="AC771" t="str">
            <v/>
          </cell>
          <cell r="AD771" t="str">
            <v/>
          </cell>
          <cell r="AE771" t="str">
            <v/>
          </cell>
        </row>
        <row r="772">
          <cell r="R772" t="str">
            <v>DOM NDL NDR37</v>
          </cell>
          <cell r="S772" t="e">
            <v>#N/A</v>
          </cell>
          <cell r="T772" t="e">
            <v>#N/A</v>
          </cell>
          <cell r="U772" t="e">
            <v>#N/A</v>
          </cell>
          <cell r="V772" t="e">
            <v>#N/A</v>
          </cell>
          <cell r="W772" t="e">
            <v>#N/A</v>
          </cell>
          <cell r="AA772">
            <v>0</v>
          </cell>
          <cell r="AB772" t="str">
            <v/>
          </cell>
          <cell r="AC772" t="str">
            <v/>
          </cell>
          <cell r="AD772" t="str">
            <v/>
          </cell>
          <cell r="AE772" t="str">
            <v/>
          </cell>
        </row>
        <row r="773">
          <cell r="R773" t="str">
            <v>DOM NDL NDR38</v>
          </cell>
          <cell r="S773" t="e">
            <v>#N/A</v>
          </cell>
          <cell r="T773" t="e">
            <v>#N/A</v>
          </cell>
          <cell r="U773" t="e">
            <v>#N/A</v>
          </cell>
          <cell r="V773" t="e">
            <v>#N/A</v>
          </cell>
          <cell r="W773" t="e">
            <v>#N/A</v>
          </cell>
          <cell r="AA773">
            <v>0</v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</row>
        <row r="774">
          <cell r="R774" t="str">
            <v>DOM NDL NDR39</v>
          </cell>
          <cell r="S774" t="e">
            <v>#N/A</v>
          </cell>
          <cell r="T774" t="e">
            <v>#N/A</v>
          </cell>
          <cell r="U774" t="e">
            <v>#N/A</v>
          </cell>
          <cell r="V774" t="e">
            <v>#N/A</v>
          </cell>
          <cell r="W774" t="e">
            <v>#N/A</v>
          </cell>
          <cell r="AA774">
            <v>0</v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</row>
        <row r="775">
          <cell r="R775" t="str">
            <v>DOM NDL NDR04</v>
          </cell>
          <cell r="S775" t="e">
            <v>#N/A</v>
          </cell>
          <cell r="T775" t="e">
            <v>#N/A</v>
          </cell>
          <cell r="U775" t="e">
            <v>#N/A</v>
          </cell>
          <cell r="V775" t="e">
            <v>#N/A</v>
          </cell>
          <cell r="W775" t="e">
            <v>#N/A</v>
          </cell>
          <cell r="AA775">
            <v>0</v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</row>
        <row r="776">
          <cell r="R776" t="str">
            <v>DOM NDL NDR40</v>
          </cell>
          <cell r="S776" t="e">
            <v>#N/A</v>
          </cell>
          <cell r="T776" t="e">
            <v>#N/A</v>
          </cell>
          <cell r="U776" t="e">
            <v>#N/A</v>
          </cell>
          <cell r="V776" t="e">
            <v>#N/A</v>
          </cell>
          <cell r="W776" t="e">
            <v>#N/A</v>
          </cell>
          <cell r="AA776">
            <v>0</v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</row>
        <row r="777">
          <cell r="R777" t="str">
            <v>DOM NDL NDR41</v>
          </cell>
          <cell r="S777" t="e">
            <v>#N/A</v>
          </cell>
          <cell r="T777" t="e">
            <v>#N/A</v>
          </cell>
          <cell r="U777" t="e">
            <v>#N/A</v>
          </cell>
          <cell r="V777" t="e">
            <v>#N/A</v>
          </cell>
          <cell r="W777" t="e">
            <v>#N/A</v>
          </cell>
          <cell r="AA777">
            <v>0</v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</row>
        <row r="778">
          <cell r="R778" t="str">
            <v>DOM NDL NDR42</v>
          </cell>
          <cell r="S778" t="e">
            <v>#N/A</v>
          </cell>
          <cell r="T778" t="e">
            <v>#N/A</v>
          </cell>
          <cell r="U778" t="e">
            <v>#N/A</v>
          </cell>
          <cell r="V778" t="e">
            <v>#N/A</v>
          </cell>
          <cell r="W778" t="e">
            <v>#N/A</v>
          </cell>
          <cell r="AA778">
            <v>0</v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</row>
        <row r="779">
          <cell r="R779" t="str">
            <v>DOM NDL NDR43</v>
          </cell>
          <cell r="S779" t="e">
            <v>#N/A</v>
          </cell>
          <cell r="T779" t="e">
            <v>#N/A</v>
          </cell>
          <cell r="U779" t="e">
            <v>#N/A</v>
          </cell>
          <cell r="V779" t="e">
            <v>#N/A</v>
          </cell>
          <cell r="W779" t="e">
            <v>#N/A</v>
          </cell>
          <cell r="AA779">
            <v>0</v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</row>
        <row r="780">
          <cell r="R780" t="str">
            <v>DOM NDL NDR44</v>
          </cell>
          <cell r="S780" t="e">
            <v>#N/A</v>
          </cell>
          <cell r="T780" t="e">
            <v>#N/A</v>
          </cell>
          <cell r="U780" t="e">
            <v>#N/A</v>
          </cell>
          <cell r="V780" t="e">
            <v>#N/A</v>
          </cell>
          <cell r="W780" t="e">
            <v>#N/A</v>
          </cell>
          <cell r="AA780">
            <v>0</v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</row>
        <row r="781">
          <cell r="R781" t="str">
            <v>DOM NDL NDR45</v>
          </cell>
          <cell r="S781" t="e">
            <v>#N/A</v>
          </cell>
          <cell r="T781" t="e">
            <v>#N/A</v>
          </cell>
          <cell r="U781" t="e">
            <v>#N/A</v>
          </cell>
          <cell r="V781" t="e">
            <v>#N/A</v>
          </cell>
          <cell r="W781" t="e">
            <v>#N/A</v>
          </cell>
          <cell r="AA781">
            <v>0</v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</row>
        <row r="782">
          <cell r="R782" t="str">
            <v>DOM NDL NDR46</v>
          </cell>
          <cell r="S782" t="e">
            <v>#N/A</v>
          </cell>
          <cell r="T782" t="e">
            <v>#N/A</v>
          </cell>
          <cell r="U782" t="e">
            <v>#N/A</v>
          </cell>
          <cell r="V782" t="e">
            <v>#N/A</v>
          </cell>
          <cell r="W782" t="e">
            <v>#N/A</v>
          </cell>
          <cell r="AA782">
            <v>0</v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</row>
        <row r="783">
          <cell r="R783" t="str">
            <v>DOM NDL NDR05</v>
          </cell>
          <cell r="S783" t="e">
            <v>#N/A</v>
          </cell>
          <cell r="T783" t="e">
            <v>#N/A</v>
          </cell>
          <cell r="U783" t="e">
            <v>#N/A</v>
          </cell>
          <cell r="V783" t="e">
            <v>#N/A</v>
          </cell>
          <cell r="W783" t="e">
            <v>#N/A</v>
          </cell>
          <cell r="AA783">
            <v>0</v>
          </cell>
          <cell r="AB783" t="str">
            <v/>
          </cell>
          <cell r="AC783" t="str">
            <v/>
          </cell>
          <cell r="AD783" t="str">
            <v/>
          </cell>
          <cell r="AE783" t="str">
            <v/>
          </cell>
        </row>
        <row r="784">
          <cell r="R784" t="str">
            <v>DOM NDL NDR06</v>
          </cell>
          <cell r="S784" t="e">
            <v>#N/A</v>
          </cell>
          <cell r="T784" t="e">
            <v>#N/A</v>
          </cell>
          <cell r="U784" t="e">
            <v>#N/A</v>
          </cell>
          <cell r="V784" t="e">
            <v>#N/A</v>
          </cell>
          <cell r="W784" t="e">
            <v>#N/A</v>
          </cell>
          <cell r="AA784">
            <v>0</v>
          </cell>
          <cell r="AB784" t="str">
            <v/>
          </cell>
          <cell r="AC784" t="str">
            <v/>
          </cell>
          <cell r="AD784" t="str">
            <v/>
          </cell>
          <cell r="AE784" t="str">
            <v/>
          </cell>
        </row>
        <row r="785">
          <cell r="R785" t="str">
            <v>DOM NDL NDR07</v>
          </cell>
          <cell r="S785" t="e">
            <v>#N/A</v>
          </cell>
          <cell r="T785" t="e">
            <v>#N/A</v>
          </cell>
          <cell r="U785" t="e">
            <v>#N/A</v>
          </cell>
          <cell r="V785" t="e">
            <v>#N/A</v>
          </cell>
          <cell r="W785" t="e">
            <v>#N/A</v>
          </cell>
          <cell r="AA785">
            <v>0</v>
          </cell>
          <cell r="AB785" t="str">
            <v/>
          </cell>
          <cell r="AC785" t="str">
            <v/>
          </cell>
          <cell r="AD785" t="str">
            <v/>
          </cell>
          <cell r="AE785" t="str">
            <v/>
          </cell>
        </row>
        <row r="786">
          <cell r="R786" t="str">
            <v>DOM NDL NDR08</v>
          </cell>
          <cell r="S786" t="e">
            <v>#N/A</v>
          </cell>
          <cell r="T786" t="e">
            <v>#N/A</v>
          </cell>
          <cell r="U786" t="e">
            <v>#N/A</v>
          </cell>
          <cell r="V786" t="e">
            <v>#N/A</v>
          </cell>
          <cell r="W786" t="e">
            <v>#N/A</v>
          </cell>
          <cell r="AA786">
            <v>0</v>
          </cell>
          <cell r="AB786" t="str">
            <v/>
          </cell>
          <cell r="AC786" t="str">
            <v/>
          </cell>
          <cell r="AD786" t="str">
            <v/>
          </cell>
          <cell r="AE786" t="str">
            <v/>
          </cell>
        </row>
        <row r="787">
          <cell r="R787" t="str">
            <v>DOM NDL NDR09</v>
          </cell>
          <cell r="S787" t="e">
            <v>#N/A</v>
          </cell>
          <cell r="T787" t="e">
            <v>#N/A</v>
          </cell>
          <cell r="U787" t="e">
            <v>#N/A</v>
          </cell>
          <cell r="V787" t="e">
            <v>#N/A</v>
          </cell>
          <cell r="W787" t="e">
            <v>#N/A</v>
          </cell>
          <cell r="AA787">
            <v>0</v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</row>
        <row r="788">
          <cell r="R788" t="str">
            <v>DOM NDL NDFRE</v>
          </cell>
          <cell r="S788" t="e">
            <v>#N/A</v>
          </cell>
          <cell r="T788" t="e">
            <v>#N/A</v>
          </cell>
          <cell r="U788" t="e">
            <v>#N/A</v>
          </cell>
          <cell r="V788" t="e">
            <v>#N/A</v>
          </cell>
          <cell r="W788" t="e">
            <v>#N/A</v>
          </cell>
          <cell r="AA788">
            <v>0</v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</row>
        <row r="789">
          <cell r="R789" t="str">
            <v>DOM NDL NDVPN</v>
          </cell>
          <cell r="S789" t="e">
            <v>#N/A</v>
          </cell>
          <cell r="T789" t="e">
            <v>#N/A</v>
          </cell>
          <cell r="U789" t="e">
            <v>#N/A</v>
          </cell>
          <cell r="V789" t="e">
            <v>#N/A</v>
          </cell>
          <cell r="W789" t="e">
            <v>#N/A</v>
          </cell>
          <cell r="AA789">
            <v>0</v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</row>
        <row r="790">
          <cell r="R790" t="str">
            <v>DOM NZL NZDRN</v>
          </cell>
          <cell r="S790" t="e">
            <v>#N/A</v>
          </cell>
          <cell r="T790" t="e">
            <v>#N/A</v>
          </cell>
          <cell r="U790" t="e">
            <v>#N/A</v>
          </cell>
          <cell r="V790" t="e">
            <v>#N/A</v>
          </cell>
          <cell r="W790" t="e">
            <v>#N/A</v>
          </cell>
          <cell r="AA790">
            <v>0</v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</row>
        <row r="791">
          <cell r="R791" t="str">
            <v>DOM NZL AREA3</v>
          </cell>
          <cell r="S791" t="e">
            <v>#N/A</v>
          </cell>
          <cell r="T791" t="e">
            <v>#N/A</v>
          </cell>
          <cell r="U791" t="e">
            <v>#N/A</v>
          </cell>
          <cell r="V791" t="e">
            <v>#N/A</v>
          </cell>
          <cell r="W791" t="e">
            <v>#N/A</v>
          </cell>
          <cell r="AA791">
            <v>0</v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</row>
        <row r="792">
          <cell r="R792" t="str">
            <v>DOM NZL AREA2</v>
          </cell>
          <cell r="S792" t="e">
            <v>#N/A</v>
          </cell>
          <cell r="T792" t="e">
            <v>#N/A</v>
          </cell>
          <cell r="U792" t="e">
            <v>#N/A</v>
          </cell>
          <cell r="V792" t="e">
            <v>#N/A</v>
          </cell>
          <cell r="W792" t="e">
            <v>#N/A</v>
          </cell>
          <cell r="AA792">
            <v>0</v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</row>
        <row r="793">
          <cell r="R793" t="str">
            <v>DOM NZL NZDRI</v>
          </cell>
          <cell r="S793" t="e">
            <v>#N/A</v>
          </cell>
          <cell r="T793" t="e">
            <v>#N/A</v>
          </cell>
          <cell r="U793" t="e">
            <v>#N/A</v>
          </cell>
          <cell r="V793" t="e">
            <v>#N/A</v>
          </cell>
          <cell r="W793" t="e">
            <v>#N/A</v>
          </cell>
          <cell r="AA793">
            <v>0</v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</row>
        <row r="794">
          <cell r="R794" t="str">
            <v>DOM NZL NZSOS</v>
          </cell>
          <cell r="S794" t="e">
            <v>#N/A</v>
          </cell>
          <cell r="T794" t="e">
            <v>#N/A</v>
          </cell>
          <cell r="U794" t="e">
            <v>#N/A</v>
          </cell>
          <cell r="V794" t="e">
            <v>#N/A</v>
          </cell>
          <cell r="W794" t="e">
            <v>#N/A</v>
          </cell>
          <cell r="AA794">
            <v>0</v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</row>
        <row r="795">
          <cell r="R795" t="str">
            <v>DOM NZL NZFRE</v>
          </cell>
          <cell r="S795" t="e">
            <v>#N/A</v>
          </cell>
          <cell r="T795" t="e">
            <v>#N/A</v>
          </cell>
          <cell r="U795" t="e">
            <v>#N/A</v>
          </cell>
          <cell r="V795" t="e">
            <v>#N/A</v>
          </cell>
          <cell r="W795" t="e">
            <v>#N/A</v>
          </cell>
          <cell r="AA795">
            <v>0</v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</row>
        <row r="796">
          <cell r="R796" t="str">
            <v>DOM MNP FIX</v>
          </cell>
          <cell r="S796" t="e">
            <v>#N/A</v>
          </cell>
          <cell r="T796" t="e">
            <v>#N/A</v>
          </cell>
          <cell r="U796" t="e">
            <v>#N/A</v>
          </cell>
          <cell r="V796" t="e">
            <v>#N/A</v>
          </cell>
          <cell r="W796" t="e">
            <v>#N/A</v>
          </cell>
          <cell r="AA796">
            <v>0</v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</row>
        <row r="797">
          <cell r="R797" t="str">
            <v>DOM NOR AREA2</v>
          </cell>
          <cell r="S797" t="e">
            <v>#N/A</v>
          </cell>
          <cell r="T797" t="e">
            <v>#N/A</v>
          </cell>
          <cell r="U797" t="e">
            <v>#N/A</v>
          </cell>
          <cell r="V797" t="e">
            <v>#N/A</v>
          </cell>
          <cell r="W797" t="e">
            <v>#N/A</v>
          </cell>
          <cell r="AA797">
            <v>0</v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</row>
        <row r="798">
          <cell r="R798" t="str">
            <v>DOM NOR AREA4</v>
          </cell>
          <cell r="S798" t="e">
            <v>#N/A</v>
          </cell>
          <cell r="T798" t="e">
            <v>#N/A</v>
          </cell>
          <cell r="U798" t="e">
            <v>#N/A</v>
          </cell>
          <cell r="V798" t="e">
            <v>#N/A</v>
          </cell>
          <cell r="W798" t="e">
            <v>#N/A</v>
          </cell>
          <cell r="AA798">
            <v>0</v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</row>
        <row r="799">
          <cell r="R799" t="str">
            <v>DOM NOR AREA3</v>
          </cell>
          <cell r="S799" t="e">
            <v>#N/A</v>
          </cell>
          <cell r="T799" t="e">
            <v>#N/A</v>
          </cell>
          <cell r="U799" t="e">
            <v>#N/A</v>
          </cell>
          <cell r="V799" t="e">
            <v>#N/A</v>
          </cell>
          <cell r="W799" t="e">
            <v>#N/A</v>
          </cell>
          <cell r="AA799">
            <v>0</v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</row>
        <row r="800">
          <cell r="R800" t="str">
            <v>DOM NOR AREA5</v>
          </cell>
          <cell r="S800" t="e">
            <v>#N/A</v>
          </cell>
          <cell r="T800" t="e">
            <v>#N/A</v>
          </cell>
          <cell r="U800" t="e">
            <v>#N/A</v>
          </cell>
          <cell r="V800" t="e">
            <v>#N/A</v>
          </cell>
          <cell r="W800" t="e">
            <v>#N/A</v>
          </cell>
          <cell r="AA800">
            <v>0</v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</row>
        <row r="801">
          <cell r="R801" t="str">
            <v>DOM NOR NOREN</v>
          </cell>
          <cell r="S801" t="e">
            <v>#N/A</v>
          </cell>
          <cell r="T801" t="e">
            <v>#N/A</v>
          </cell>
          <cell r="U801" t="e">
            <v>#N/A</v>
          </cell>
          <cell r="V801" t="e">
            <v>#N/A</v>
          </cell>
          <cell r="W801" t="e">
            <v>#N/A</v>
          </cell>
          <cell r="AA801">
            <v>0</v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</row>
        <row r="802">
          <cell r="R802" t="str">
            <v>DOM NOR NEM1N</v>
          </cell>
          <cell r="S802" t="e">
            <v>#N/A</v>
          </cell>
          <cell r="T802" t="e">
            <v>#N/A</v>
          </cell>
          <cell r="U802" t="e">
            <v>#N/A</v>
          </cell>
          <cell r="V802" t="e">
            <v>#N/A</v>
          </cell>
          <cell r="W802" t="e">
            <v>#N/A</v>
          </cell>
          <cell r="AA802">
            <v>0</v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</row>
        <row r="803">
          <cell r="R803" t="str">
            <v>DOM NOR NEM2N</v>
          </cell>
          <cell r="S803" t="e">
            <v>#N/A</v>
          </cell>
          <cell r="T803" t="e">
            <v>#N/A</v>
          </cell>
          <cell r="U803" t="e">
            <v>#N/A</v>
          </cell>
          <cell r="V803" t="e">
            <v>#N/A</v>
          </cell>
          <cell r="W803" t="e">
            <v>#N/A</v>
          </cell>
          <cell r="AA803">
            <v>0</v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</row>
        <row r="804">
          <cell r="R804" t="str">
            <v>DOM NOR NORPN</v>
          </cell>
          <cell r="S804" t="e">
            <v>#N/A</v>
          </cell>
          <cell r="T804" t="e">
            <v>#N/A</v>
          </cell>
          <cell r="U804" t="e">
            <v>#N/A</v>
          </cell>
          <cell r="V804" t="e">
            <v>#N/A</v>
          </cell>
          <cell r="W804" t="e">
            <v>#N/A</v>
          </cell>
          <cell r="AA804">
            <v>0</v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</row>
        <row r="805">
          <cell r="R805" t="str">
            <v>DOM NOR NOR1A</v>
          </cell>
          <cell r="S805" t="e">
            <v>#N/A</v>
          </cell>
          <cell r="T805" t="e">
            <v>#N/A</v>
          </cell>
          <cell r="U805" t="e">
            <v>#N/A</v>
          </cell>
          <cell r="V805" t="e">
            <v>#N/A</v>
          </cell>
          <cell r="W805" t="e">
            <v>#N/A</v>
          </cell>
          <cell r="AA805">
            <v>0</v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</row>
        <row r="806">
          <cell r="R806" t="str">
            <v>DOM NOR NOR1B</v>
          </cell>
          <cell r="S806" t="e">
            <v>#N/A</v>
          </cell>
          <cell r="T806" t="e">
            <v>#N/A</v>
          </cell>
          <cell r="U806" t="e">
            <v>#N/A</v>
          </cell>
          <cell r="V806" t="e">
            <v>#N/A</v>
          </cell>
          <cell r="W806" t="e">
            <v>#N/A</v>
          </cell>
          <cell r="AA806">
            <v>0</v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</row>
        <row r="807">
          <cell r="R807" t="str">
            <v>DOM NOR NOR1C</v>
          </cell>
          <cell r="S807" t="e">
            <v>#N/A</v>
          </cell>
          <cell r="T807" t="e">
            <v>#N/A</v>
          </cell>
          <cell r="U807" t="e">
            <v>#N/A</v>
          </cell>
          <cell r="V807" t="e">
            <v>#N/A</v>
          </cell>
          <cell r="W807" t="e">
            <v>#N/A</v>
          </cell>
          <cell r="AA807">
            <v>0</v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</row>
        <row r="808">
          <cell r="R808" t="str">
            <v>DOM NOR NOR1D</v>
          </cell>
          <cell r="S808" t="e">
            <v>#N/A</v>
          </cell>
          <cell r="T808" t="e">
            <v>#N/A</v>
          </cell>
          <cell r="U808" t="e">
            <v>#N/A</v>
          </cell>
          <cell r="V808" t="e">
            <v>#N/A</v>
          </cell>
          <cell r="W808" t="e">
            <v>#N/A</v>
          </cell>
          <cell r="AA808">
            <v>0</v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</row>
        <row r="809">
          <cell r="R809" t="str">
            <v>DOM NOR NOR1E</v>
          </cell>
          <cell r="S809" t="e">
            <v>#N/A</v>
          </cell>
          <cell r="T809" t="e">
            <v>#N/A</v>
          </cell>
          <cell r="U809" t="e">
            <v>#N/A</v>
          </cell>
          <cell r="V809" t="e">
            <v>#N/A</v>
          </cell>
          <cell r="W809" t="e">
            <v>#N/A</v>
          </cell>
          <cell r="AA809">
            <v>0</v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</row>
        <row r="810">
          <cell r="R810" t="str">
            <v>DOM NOR NOR1F</v>
          </cell>
          <cell r="S810" t="e">
            <v>#N/A</v>
          </cell>
          <cell r="T810" t="e">
            <v>#N/A</v>
          </cell>
          <cell r="U810" t="e">
            <v>#N/A</v>
          </cell>
          <cell r="V810" t="e">
            <v>#N/A</v>
          </cell>
          <cell r="W810" t="e">
            <v>#N/A</v>
          </cell>
          <cell r="AA810">
            <v>0</v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</row>
        <row r="811">
          <cell r="R811" t="str">
            <v>DOM NOR NOR1G</v>
          </cell>
          <cell r="S811" t="e">
            <v>#N/A</v>
          </cell>
          <cell r="T811" t="e">
            <v>#N/A</v>
          </cell>
          <cell r="U811" t="e">
            <v>#N/A</v>
          </cell>
          <cell r="V811" t="e">
            <v>#N/A</v>
          </cell>
          <cell r="W811" t="e">
            <v>#N/A</v>
          </cell>
          <cell r="AA811">
            <v>0</v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</row>
        <row r="812">
          <cell r="R812" t="str">
            <v>DOM NOR NOR1H</v>
          </cell>
          <cell r="S812" t="e">
            <v>#N/A</v>
          </cell>
          <cell r="T812" t="e">
            <v>#N/A</v>
          </cell>
          <cell r="U812" t="e">
            <v>#N/A</v>
          </cell>
          <cell r="V812" t="e">
            <v>#N/A</v>
          </cell>
          <cell r="W812" t="e">
            <v>#N/A</v>
          </cell>
          <cell r="AA812">
            <v>0</v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</row>
        <row r="813">
          <cell r="R813" t="str">
            <v>DOM NOR NOR1I</v>
          </cell>
          <cell r="S813" t="e">
            <v>#N/A</v>
          </cell>
          <cell r="T813" t="e">
            <v>#N/A</v>
          </cell>
          <cell r="U813" t="e">
            <v>#N/A</v>
          </cell>
          <cell r="V813" t="e">
            <v>#N/A</v>
          </cell>
          <cell r="W813" t="e">
            <v>#N/A</v>
          </cell>
          <cell r="AA813">
            <v>0</v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</row>
        <row r="814">
          <cell r="R814" t="str">
            <v>DOM NOR NOR1J</v>
          </cell>
          <cell r="S814" t="e">
            <v>#N/A</v>
          </cell>
          <cell r="T814" t="e">
            <v>#N/A</v>
          </cell>
          <cell r="U814" t="e">
            <v>#N/A</v>
          </cell>
          <cell r="V814" t="e">
            <v>#N/A</v>
          </cell>
          <cell r="W814" t="e">
            <v>#N/A</v>
          </cell>
          <cell r="AA814">
            <v>0</v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</row>
        <row r="815">
          <cell r="R815" t="str">
            <v>DOM NOR NOR1K</v>
          </cell>
          <cell r="S815" t="e">
            <v>#N/A</v>
          </cell>
          <cell r="T815" t="e">
            <v>#N/A</v>
          </cell>
          <cell r="U815" t="e">
            <v>#N/A</v>
          </cell>
          <cell r="V815" t="e">
            <v>#N/A</v>
          </cell>
          <cell r="W815" t="e">
            <v>#N/A</v>
          </cell>
          <cell r="AA815">
            <v>0</v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</row>
        <row r="816">
          <cell r="R816" t="str">
            <v>DOM NOR NOR2A</v>
          </cell>
          <cell r="S816" t="e">
            <v>#N/A</v>
          </cell>
          <cell r="T816" t="e">
            <v>#N/A</v>
          </cell>
          <cell r="U816" t="e">
            <v>#N/A</v>
          </cell>
          <cell r="V816" t="e">
            <v>#N/A</v>
          </cell>
          <cell r="W816" t="e">
            <v>#N/A</v>
          </cell>
          <cell r="AA816">
            <v>0</v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</row>
        <row r="817">
          <cell r="R817" t="str">
            <v>DOM NOR NOR2B</v>
          </cell>
          <cell r="S817" t="e">
            <v>#N/A</v>
          </cell>
          <cell r="T817" t="e">
            <v>#N/A</v>
          </cell>
          <cell r="U817" t="e">
            <v>#N/A</v>
          </cell>
          <cell r="V817" t="e">
            <v>#N/A</v>
          </cell>
          <cell r="W817" t="e">
            <v>#N/A</v>
          </cell>
          <cell r="AA817">
            <v>0</v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</row>
        <row r="818">
          <cell r="R818" t="str">
            <v>DOM NOR NOR2C</v>
          </cell>
          <cell r="S818" t="e">
            <v>#N/A</v>
          </cell>
          <cell r="T818" t="e">
            <v>#N/A</v>
          </cell>
          <cell r="U818" t="e">
            <v>#N/A</v>
          </cell>
          <cell r="V818" t="e">
            <v>#N/A</v>
          </cell>
          <cell r="W818" t="e">
            <v>#N/A</v>
          </cell>
          <cell r="AA818">
            <v>0</v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</row>
        <row r="819">
          <cell r="R819" t="str">
            <v>DOM NOR NOR2D</v>
          </cell>
          <cell r="S819" t="e">
            <v>#N/A</v>
          </cell>
          <cell r="T819" t="e">
            <v>#N/A</v>
          </cell>
          <cell r="U819" t="e">
            <v>#N/A</v>
          </cell>
          <cell r="V819" t="e">
            <v>#N/A</v>
          </cell>
          <cell r="W819" t="e">
            <v>#N/A</v>
          </cell>
          <cell r="AA819">
            <v>0</v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</row>
        <row r="820">
          <cell r="R820" t="str">
            <v>DOM NOR NOR2E</v>
          </cell>
          <cell r="S820" t="e">
            <v>#N/A</v>
          </cell>
          <cell r="T820" t="e">
            <v>#N/A</v>
          </cell>
          <cell r="U820" t="e">
            <v>#N/A</v>
          </cell>
          <cell r="V820" t="e">
            <v>#N/A</v>
          </cell>
          <cell r="W820" t="e">
            <v>#N/A</v>
          </cell>
          <cell r="AA820">
            <v>0</v>
          </cell>
          <cell r="AB820" t="str">
            <v/>
          </cell>
          <cell r="AC820" t="str">
            <v/>
          </cell>
          <cell r="AD820" t="str">
            <v/>
          </cell>
          <cell r="AE820" t="str">
            <v/>
          </cell>
        </row>
        <row r="821">
          <cell r="R821" t="str">
            <v>DOM NOR NOR2F</v>
          </cell>
          <cell r="S821" t="e">
            <v>#N/A</v>
          </cell>
          <cell r="T821" t="e">
            <v>#N/A</v>
          </cell>
          <cell r="U821" t="e">
            <v>#N/A</v>
          </cell>
          <cell r="V821" t="e">
            <v>#N/A</v>
          </cell>
          <cell r="W821" t="e">
            <v>#N/A</v>
          </cell>
          <cell r="AA821">
            <v>0</v>
          </cell>
          <cell r="AB821" t="str">
            <v/>
          </cell>
          <cell r="AC821" t="str">
            <v/>
          </cell>
          <cell r="AD821" t="str">
            <v/>
          </cell>
          <cell r="AE821" t="str">
            <v/>
          </cell>
        </row>
        <row r="822">
          <cell r="R822" t="str">
            <v>DOM NOR NOR2G</v>
          </cell>
          <cell r="S822" t="e">
            <v>#N/A</v>
          </cell>
          <cell r="T822" t="e">
            <v>#N/A</v>
          </cell>
          <cell r="U822" t="e">
            <v>#N/A</v>
          </cell>
          <cell r="V822" t="e">
            <v>#N/A</v>
          </cell>
          <cell r="W822" t="e">
            <v>#N/A</v>
          </cell>
          <cell r="AA822">
            <v>0</v>
          </cell>
          <cell r="AB822" t="str">
            <v/>
          </cell>
          <cell r="AC822" t="str">
            <v/>
          </cell>
          <cell r="AD822" t="str">
            <v/>
          </cell>
          <cell r="AE822" t="str">
            <v/>
          </cell>
        </row>
        <row r="823">
          <cell r="R823" t="str">
            <v>DOM NOR NOR2H</v>
          </cell>
          <cell r="S823" t="e">
            <v>#N/A</v>
          </cell>
          <cell r="T823" t="e">
            <v>#N/A</v>
          </cell>
          <cell r="U823" t="e">
            <v>#N/A</v>
          </cell>
          <cell r="V823" t="e">
            <v>#N/A</v>
          </cell>
          <cell r="W823" t="e">
            <v>#N/A</v>
          </cell>
          <cell r="AA823">
            <v>0</v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</row>
        <row r="824">
          <cell r="R824" t="str">
            <v>DOM NOR NOR2I</v>
          </cell>
          <cell r="S824" t="e">
            <v>#N/A</v>
          </cell>
          <cell r="T824" t="e">
            <v>#N/A</v>
          </cell>
          <cell r="U824" t="e">
            <v>#N/A</v>
          </cell>
          <cell r="V824" t="e">
            <v>#N/A</v>
          </cell>
          <cell r="W824" t="e">
            <v>#N/A</v>
          </cell>
          <cell r="AA824">
            <v>0</v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</row>
        <row r="825">
          <cell r="R825" t="str">
            <v>DOM NOR NOR2J</v>
          </cell>
          <cell r="S825" t="e">
            <v>#N/A</v>
          </cell>
          <cell r="T825" t="e">
            <v>#N/A</v>
          </cell>
          <cell r="U825" t="e">
            <v>#N/A</v>
          </cell>
          <cell r="V825" t="e">
            <v>#N/A</v>
          </cell>
          <cell r="W825" t="e">
            <v>#N/A</v>
          </cell>
          <cell r="AA825">
            <v>0</v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</row>
        <row r="826">
          <cell r="R826" t="str">
            <v>DOM NOR NOR2K</v>
          </cell>
          <cell r="S826" t="e">
            <v>#N/A</v>
          </cell>
          <cell r="T826" t="e">
            <v>#N/A</v>
          </cell>
          <cell r="U826" t="e">
            <v>#N/A</v>
          </cell>
          <cell r="V826" t="e">
            <v>#N/A</v>
          </cell>
          <cell r="W826" t="e">
            <v>#N/A</v>
          </cell>
          <cell r="AA826">
            <v>0</v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</row>
        <row r="827">
          <cell r="R827" t="str">
            <v>DOM NOR NOR3A</v>
          </cell>
          <cell r="S827" t="e">
            <v>#N/A</v>
          </cell>
          <cell r="T827" t="e">
            <v>#N/A</v>
          </cell>
          <cell r="U827" t="e">
            <v>#N/A</v>
          </cell>
          <cell r="V827" t="e">
            <v>#N/A</v>
          </cell>
          <cell r="W827" t="e">
            <v>#N/A</v>
          </cell>
          <cell r="AA827">
            <v>0</v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</row>
        <row r="828">
          <cell r="R828" t="str">
            <v>DOM NOR NOR3B</v>
          </cell>
          <cell r="S828" t="e">
            <v>#N/A</v>
          </cell>
          <cell r="T828" t="e">
            <v>#N/A</v>
          </cell>
          <cell r="U828" t="e">
            <v>#N/A</v>
          </cell>
          <cell r="V828" t="e">
            <v>#N/A</v>
          </cell>
          <cell r="W828" t="e">
            <v>#N/A</v>
          </cell>
          <cell r="AA828">
            <v>0</v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</row>
        <row r="829">
          <cell r="R829" t="str">
            <v>DOM NOR NOR3C</v>
          </cell>
          <cell r="S829" t="e">
            <v>#N/A</v>
          </cell>
          <cell r="T829" t="e">
            <v>#N/A</v>
          </cell>
          <cell r="U829" t="e">
            <v>#N/A</v>
          </cell>
          <cell r="V829" t="e">
            <v>#N/A</v>
          </cell>
          <cell r="W829" t="e">
            <v>#N/A</v>
          </cell>
          <cell r="AA829">
            <v>0</v>
          </cell>
          <cell r="AB829" t="str">
            <v/>
          </cell>
          <cell r="AC829" t="str">
            <v/>
          </cell>
          <cell r="AD829" t="str">
            <v/>
          </cell>
          <cell r="AE829" t="str">
            <v/>
          </cell>
        </row>
        <row r="830">
          <cell r="R830" t="str">
            <v>DOM NOR NOR3D</v>
          </cell>
          <cell r="S830" t="e">
            <v>#N/A</v>
          </cell>
          <cell r="T830" t="e">
            <v>#N/A</v>
          </cell>
          <cell r="U830" t="e">
            <v>#N/A</v>
          </cell>
          <cell r="V830" t="e">
            <v>#N/A</v>
          </cell>
          <cell r="W830" t="e">
            <v>#N/A</v>
          </cell>
          <cell r="AA830">
            <v>0</v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</row>
        <row r="831">
          <cell r="R831" t="str">
            <v>DOM NOR NOR3E</v>
          </cell>
          <cell r="S831" t="e">
            <v>#N/A</v>
          </cell>
          <cell r="T831" t="e">
            <v>#N/A</v>
          </cell>
          <cell r="U831" t="e">
            <v>#N/A</v>
          </cell>
          <cell r="V831" t="e">
            <v>#N/A</v>
          </cell>
          <cell r="W831" t="e">
            <v>#N/A</v>
          </cell>
          <cell r="AA831">
            <v>0</v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</row>
        <row r="832">
          <cell r="R832" t="str">
            <v>DOM NOR NOR3F</v>
          </cell>
          <cell r="S832" t="e">
            <v>#N/A</v>
          </cell>
          <cell r="T832" t="e">
            <v>#N/A</v>
          </cell>
          <cell r="U832" t="e">
            <v>#N/A</v>
          </cell>
          <cell r="V832" t="e">
            <v>#N/A</v>
          </cell>
          <cell r="W832" t="e">
            <v>#N/A</v>
          </cell>
          <cell r="AA832">
            <v>0</v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</row>
        <row r="833">
          <cell r="R833" t="str">
            <v>DOM NOR NOR3G</v>
          </cell>
          <cell r="S833" t="e">
            <v>#N/A</v>
          </cell>
          <cell r="T833" t="e">
            <v>#N/A</v>
          </cell>
          <cell r="U833" t="e">
            <v>#N/A</v>
          </cell>
          <cell r="V833" t="e">
            <v>#N/A</v>
          </cell>
          <cell r="W833" t="e">
            <v>#N/A</v>
          </cell>
          <cell r="AA833">
            <v>0</v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</row>
        <row r="834">
          <cell r="R834" t="str">
            <v>DOM NOR NOR3H</v>
          </cell>
          <cell r="S834" t="e">
            <v>#N/A</v>
          </cell>
          <cell r="T834" t="e">
            <v>#N/A</v>
          </cell>
          <cell r="U834" t="e">
            <v>#N/A</v>
          </cell>
          <cell r="V834" t="e">
            <v>#N/A</v>
          </cell>
          <cell r="W834" t="e">
            <v>#N/A</v>
          </cell>
          <cell r="AA834">
            <v>0</v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</row>
        <row r="835">
          <cell r="R835" t="str">
            <v>DOM NOR NOR3I</v>
          </cell>
          <cell r="S835" t="e">
            <v>#N/A</v>
          </cell>
          <cell r="T835" t="e">
            <v>#N/A</v>
          </cell>
          <cell r="U835" t="e">
            <v>#N/A</v>
          </cell>
          <cell r="V835" t="e">
            <v>#N/A</v>
          </cell>
          <cell r="W835" t="e">
            <v>#N/A</v>
          </cell>
          <cell r="AA835">
            <v>0</v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</row>
        <row r="836">
          <cell r="R836" t="str">
            <v>DOM NOR NORT1</v>
          </cell>
          <cell r="S836" t="e">
            <v>#N/A</v>
          </cell>
          <cell r="T836" t="e">
            <v>#N/A</v>
          </cell>
          <cell r="U836" t="e">
            <v>#N/A</v>
          </cell>
          <cell r="V836" t="e">
            <v>#N/A</v>
          </cell>
          <cell r="W836" t="e">
            <v>#N/A</v>
          </cell>
          <cell r="AA836">
            <v>0</v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</row>
        <row r="837">
          <cell r="R837" t="str">
            <v>DOM NOR NORT3</v>
          </cell>
          <cell r="S837" t="e">
            <v>#N/A</v>
          </cell>
          <cell r="T837" t="e">
            <v>#N/A</v>
          </cell>
          <cell r="U837" t="e">
            <v>#N/A</v>
          </cell>
          <cell r="V837" t="e">
            <v>#N/A</v>
          </cell>
          <cell r="W837" t="e">
            <v>#N/A</v>
          </cell>
          <cell r="AA837">
            <v>0</v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</row>
        <row r="838">
          <cell r="R838" t="str">
            <v>DOM NOR NORT2</v>
          </cell>
          <cell r="S838" t="e">
            <v>#N/A</v>
          </cell>
          <cell r="T838" t="e">
            <v>#N/A</v>
          </cell>
          <cell r="U838" t="e">
            <v>#N/A</v>
          </cell>
          <cell r="V838" t="e">
            <v>#N/A</v>
          </cell>
          <cell r="W838" t="e">
            <v>#N/A</v>
          </cell>
          <cell r="AA838">
            <v>0</v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</row>
        <row r="839">
          <cell r="R839" t="str">
            <v>DOM NOR NORTF</v>
          </cell>
          <cell r="S839" t="e">
            <v>#N/A</v>
          </cell>
          <cell r="T839" t="e">
            <v>#N/A</v>
          </cell>
          <cell r="U839" t="e">
            <v>#N/A</v>
          </cell>
          <cell r="V839" t="e">
            <v>#N/A</v>
          </cell>
          <cell r="W839" t="e">
            <v>#N/A</v>
          </cell>
          <cell r="AA839">
            <v>0</v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</row>
        <row r="840">
          <cell r="R840" t="str">
            <v>DOM POL MOBPL</v>
          </cell>
          <cell r="S840" t="e">
            <v>#N/A</v>
          </cell>
          <cell r="T840" t="e">
            <v>#N/A</v>
          </cell>
          <cell r="U840" t="e">
            <v>#N/A</v>
          </cell>
          <cell r="V840" t="e">
            <v>#N/A</v>
          </cell>
          <cell r="W840" t="e">
            <v>#N/A</v>
          </cell>
          <cell r="AA840">
            <v>0</v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</row>
        <row r="841">
          <cell r="R841" t="str">
            <v>DOM POL PLMOR</v>
          </cell>
          <cell r="S841" t="e">
            <v>#N/A</v>
          </cell>
          <cell r="T841" t="e">
            <v>#N/A</v>
          </cell>
          <cell r="U841" t="e">
            <v>#N/A</v>
          </cell>
          <cell r="V841" t="e">
            <v>#N/A</v>
          </cell>
          <cell r="W841" t="e">
            <v>#N/A</v>
          </cell>
          <cell r="AA841">
            <v>0</v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</row>
        <row r="842">
          <cell r="R842" t="str">
            <v>DOM POL POL</v>
          </cell>
          <cell r="S842" t="e">
            <v>#N/A</v>
          </cell>
          <cell r="T842" t="e">
            <v>#N/A</v>
          </cell>
          <cell r="U842" t="e">
            <v>#N/A</v>
          </cell>
          <cell r="V842" t="e">
            <v>#N/A</v>
          </cell>
          <cell r="W842" t="e">
            <v>#N/A</v>
          </cell>
          <cell r="AA842">
            <v>0</v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</row>
        <row r="843">
          <cell r="R843" t="str">
            <v>DOM PRT PTDSM</v>
          </cell>
          <cell r="S843" t="e">
            <v>#N/A</v>
          </cell>
          <cell r="T843" t="e">
            <v>#N/A</v>
          </cell>
          <cell r="U843" t="e">
            <v>#N/A</v>
          </cell>
          <cell r="V843" t="e">
            <v>#N/A</v>
          </cell>
          <cell r="W843" t="e">
            <v>#N/A</v>
          </cell>
          <cell r="AA843">
            <v>0</v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</row>
        <row r="844">
          <cell r="R844" t="str">
            <v>DOM PRT PTFSM</v>
          </cell>
          <cell r="S844" t="e">
            <v>#N/A</v>
          </cell>
          <cell r="T844" t="e">
            <v>#N/A</v>
          </cell>
          <cell r="U844" t="e">
            <v>#N/A</v>
          </cell>
          <cell r="V844" t="e">
            <v>#N/A</v>
          </cell>
          <cell r="W844" t="e">
            <v>#N/A</v>
          </cell>
          <cell r="AA844">
            <v>0</v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</row>
        <row r="845">
          <cell r="R845" t="str">
            <v>DOM PRT ZPOR5</v>
          </cell>
          <cell r="S845" t="e">
            <v>#N/A</v>
          </cell>
          <cell r="T845" t="e">
            <v>#N/A</v>
          </cell>
          <cell r="U845" t="e">
            <v>#N/A</v>
          </cell>
          <cell r="V845" t="e">
            <v>#N/A</v>
          </cell>
          <cell r="W845" t="e">
            <v>#N/A</v>
          </cell>
          <cell r="AA845">
            <v>0</v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</row>
        <row r="846">
          <cell r="R846" t="str">
            <v>DOM PRT ZPOR1</v>
          </cell>
          <cell r="S846" t="e">
            <v>#N/A</v>
          </cell>
          <cell r="T846" t="e">
            <v>#N/A</v>
          </cell>
          <cell r="U846" t="e">
            <v>#N/A</v>
          </cell>
          <cell r="V846" t="e">
            <v>#N/A</v>
          </cell>
          <cell r="W846" t="e">
            <v>#N/A</v>
          </cell>
          <cell r="AA846">
            <v>0</v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</row>
        <row r="847">
          <cell r="R847" t="str">
            <v>DOM PRT PTBN</v>
          </cell>
          <cell r="S847" t="e">
            <v>#N/A</v>
          </cell>
          <cell r="T847" t="e">
            <v>#N/A</v>
          </cell>
          <cell r="U847" t="e">
            <v>#N/A</v>
          </cell>
          <cell r="V847" t="e">
            <v>#N/A</v>
          </cell>
          <cell r="W847" t="e">
            <v>#N/A</v>
          </cell>
          <cell r="AA847">
            <v>0</v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</row>
        <row r="848">
          <cell r="R848" t="str">
            <v>DOM PRT PTCUS</v>
          </cell>
          <cell r="S848" t="e">
            <v>#N/A</v>
          </cell>
          <cell r="T848" t="e">
            <v>#N/A</v>
          </cell>
          <cell r="U848" t="e">
            <v>#N/A</v>
          </cell>
          <cell r="V848" t="e">
            <v>#N/A</v>
          </cell>
          <cell r="W848" t="e">
            <v>#N/A</v>
          </cell>
          <cell r="AA848">
            <v>0</v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</row>
        <row r="849">
          <cell r="R849" t="str">
            <v>DOM PRT PTCSP</v>
          </cell>
          <cell r="S849" t="e">
            <v>#N/A</v>
          </cell>
          <cell r="T849" t="e">
            <v>#N/A</v>
          </cell>
          <cell r="U849" t="e">
            <v>#N/A</v>
          </cell>
          <cell r="V849" t="e">
            <v>#N/A</v>
          </cell>
          <cell r="W849" t="e">
            <v>#N/A</v>
          </cell>
          <cell r="AA849">
            <v>0</v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</row>
        <row r="850">
          <cell r="R850" t="str">
            <v>DOM PRT PTDE</v>
          </cell>
          <cell r="S850" t="e">
            <v>#N/A</v>
          </cell>
          <cell r="T850" t="e">
            <v>#N/A</v>
          </cell>
          <cell r="U850" t="e">
            <v>#N/A</v>
          </cell>
          <cell r="V850" t="e">
            <v>#N/A</v>
          </cell>
          <cell r="W850" t="e">
            <v>#N/A</v>
          </cell>
          <cell r="AA850">
            <v>0</v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</row>
        <row r="851">
          <cell r="R851" t="str">
            <v>DOM PRT PTSOS</v>
          </cell>
          <cell r="S851" t="e">
            <v>#N/A</v>
          </cell>
          <cell r="T851" t="e">
            <v>#N/A</v>
          </cell>
          <cell r="U851" t="e">
            <v>#N/A</v>
          </cell>
          <cell r="V851" t="e">
            <v>#N/A</v>
          </cell>
          <cell r="W851" t="e">
            <v>#N/A</v>
          </cell>
          <cell r="AA851">
            <v>0</v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</row>
        <row r="852">
          <cell r="R852" t="str">
            <v>DOM PRT PTFIC</v>
          </cell>
          <cell r="S852" t="e">
            <v>#N/A</v>
          </cell>
          <cell r="T852" t="e">
            <v>#N/A</v>
          </cell>
          <cell r="U852" t="e">
            <v>#N/A</v>
          </cell>
          <cell r="V852" t="e">
            <v>#N/A</v>
          </cell>
          <cell r="W852" t="e">
            <v>#N/A</v>
          </cell>
          <cell r="AA852">
            <v>0</v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</row>
        <row r="853">
          <cell r="R853" t="str">
            <v>DOM PRT PTGAS</v>
          </cell>
          <cell r="S853" t="e">
            <v>#N/A</v>
          </cell>
          <cell r="T853" t="e">
            <v>#N/A</v>
          </cell>
          <cell r="U853" t="e">
            <v>#N/A</v>
          </cell>
          <cell r="V853" t="e">
            <v>#N/A</v>
          </cell>
          <cell r="W853" t="e">
            <v>#N/A</v>
          </cell>
          <cell r="AA853">
            <v>0</v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</row>
        <row r="854">
          <cell r="R854" t="str">
            <v>DOM PRT PTMC</v>
          </cell>
          <cell r="S854" t="e">
            <v>#N/A</v>
          </cell>
          <cell r="T854" t="e">
            <v>#N/A</v>
          </cell>
          <cell r="U854" t="e">
            <v>#N/A</v>
          </cell>
          <cell r="V854" t="e">
            <v>#N/A</v>
          </cell>
          <cell r="W854" t="e">
            <v>#N/A</v>
          </cell>
          <cell r="AA854">
            <v>0</v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</row>
        <row r="855">
          <cell r="R855" t="str">
            <v>DOM PRT PTPN</v>
          </cell>
          <cell r="S855" t="e">
            <v>#N/A</v>
          </cell>
          <cell r="T855" t="e">
            <v>#N/A</v>
          </cell>
          <cell r="U855" t="e">
            <v>#N/A</v>
          </cell>
          <cell r="V855" t="e">
            <v>#N/A</v>
          </cell>
          <cell r="W855" t="e">
            <v>#N/A</v>
          </cell>
          <cell r="AA855">
            <v>0</v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</row>
        <row r="856">
          <cell r="R856" t="str">
            <v>DOM PRT PTSC0</v>
          </cell>
          <cell r="S856" t="e">
            <v>#N/A</v>
          </cell>
          <cell r="T856" t="e">
            <v>#N/A</v>
          </cell>
          <cell r="U856" t="e">
            <v>#N/A</v>
          </cell>
          <cell r="V856" t="e">
            <v>#N/A</v>
          </cell>
          <cell r="W856" t="e">
            <v>#N/A</v>
          </cell>
          <cell r="AA856">
            <v>0</v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</row>
        <row r="857">
          <cell r="R857" t="str">
            <v>DOM PRT PTSC1</v>
          </cell>
          <cell r="S857" t="e">
            <v>#N/A</v>
          </cell>
          <cell r="T857" t="e">
            <v>#N/A</v>
          </cell>
          <cell r="U857" t="e">
            <v>#N/A</v>
          </cell>
          <cell r="V857" t="e">
            <v>#N/A</v>
          </cell>
          <cell r="W857" t="e">
            <v>#N/A</v>
          </cell>
          <cell r="AA857">
            <v>0</v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</row>
        <row r="858">
          <cell r="R858" t="str">
            <v>DOM PRT PTSC2</v>
          </cell>
          <cell r="S858" t="e">
            <v>#N/A</v>
          </cell>
          <cell r="T858" t="e">
            <v>#N/A</v>
          </cell>
          <cell r="U858" t="e">
            <v>#N/A</v>
          </cell>
          <cell r="V858" t="e">
            <v>#N/A</v>
          </cell>
          <cell r="W858" t="e">
            <v>#N/A</v>
          </cell>
          <cell r="AA858">
            <v>0</v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</row>
        <row r="859">
          <cell r="R859" t="str">
            <v>DOM PRT PTSI</v>
          </cell>
          <cell r="S859" t="e">
            <v>#N/A</v>
          </cell>
          <cell r="T859" t="e">
            <v>#N/A</v>
          </cell>
          <cell r="U859" t="e">
            <v>#N/A</v>
          </cell>
          <cell r="V859" t="e">
            <v>#N/A</v>
          </cell>
          <cell r="W859" t="e">
            <v>#N/A</v>
          </cell>
          <cell r="AA859">
            <v>0</v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</row>
        <row r="860">
          <cell r="R860" t="str">
            <v>DOM PRT PTSCS</v>
          </cell>
          <cell r="S860" t="e">
            <v>#N/A</v>
          </cell>
          <cell r="T860" t="e">
            <v>#N/A</v>
          </cell>
          <cell r="U860" t="e">
            <v>#N/A</v>
          </cell>
          <cell r="V860" t="e">
            <v>#N/A</v>
          </cell>
          <cell r="W860" t="e">
            <v>#N/A</v>
          </cell>
          <cell r="AA860">
            <v>0</v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</row>
        <row r="861">
          <cell r="R861" t="str">
            <v>DOM PRT PTTT</v>
          </cell>
          <cell r="S861" t="e">
            <v>#N/A</v>
          </cell>
          <cell r="T861" t="e">
            <v>#N/A</v>
          </cell>
          <cell r="U861" t="e">
            <v>#N/A</v>
          </cell>
          <cell r="V861" t="e">
            <v>#N/A</v>
          </cell>
          <cell r="W861" t="e">
            <v>#N/A</v>
          </cell>
          <cell r="AA861">
            <v>0</v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</row>
        <row r="862">
          <cell r="R862" t="str">
            <v>DOM PRT PTFRE</v>
          </cell>
          <cell r="S862" t="e">
            <v>#N/A</v>
          </cell>
          <cell r="T862" t="e">
            <v>#N/A</v>
          </cell>
          <cell r="U862" t="e">
            <v>#N/A</v>
          </cell>
          <cell r="V862" t="e">
            <v>#N/A</v>
          </cell>
          <cell r="W862" t="e">
            <v>#N/A</v>
          </cell>
          <cell r="AA862">
            <v>0</v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</row>
        <row r="863">
          <cell r="R863" t="str">
            <v>DOM PRT PTVCS</v>
          </cell>
          <cell r="S863" t="e">
            <v>#N/A</v>
          </cell>
          <cell r="T863" t="e">
            <v>#N/A</v>
          </cell>
          <cell r="U863" t="e">
            <v>#N/A</v>
          </cell>
          <cell r="V863" t="e">
            <v>#N/A</v>
          </cell>
          <cell r="W863" t="e">
            <v>#N/A</v>
          </cell>
          <cell r="AA863">
            <v>0</v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</row>
        <row r="864">
          <cell r="R864" t="str">
            <v>DOM PRT PTVPN</v>
          </cell>
          <cell r="S864" t="e">
            <v>#N/A</v>
          </cell>
          <cell r="T864" t="e">
            <v>#N/A</v>
          </cell>
          <cell r="U864" t="e">
            <v>#N/A</v>
          </cell>
          <cell r="V864" t="e">
            <v>#N/A</v>
          </cell>
          <cell r="W864" t="e">
            <v>#N/A</v>
          </cell>
          <cell r="AA864">
            <v>0</v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</row>
        <row r="865">
          <cell r="R865" t="str">
            <v>DOM PRT PTVMS</v>
          </cell>
          <cell r="S865" t="e">
            <v>#N/A</v>
          </cell>
          <cell r="T865" t="e">
            <v>#N/A</v>
          </cell>
          <cell r="U865" t="e">
            <v>#N/A</v>
          </cell>
          <cell r="V865" t="e">
            <v>#N/A</v>
          </cell>
          <cell r="W865" t="e">
            <v>#N/A</v>
          </cell>
          <cell r="AA865">
            <v>0</v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</row>
        <row r="866">
          <cell r="R866" t="str">
            <v>DOM PRT PTVNS</v>
          </cell>
          <cell r="S866" t="e">
            <v>#N/A</v>
          </cell>
          <cell r="T866" t="e">
            <v>#N/A</v>
          </cell>
          <cell r="U866" t="e">
            <v>#N/A</v>
          </cell>
          <cell r="V866" t="e">
            <v>#N/A</v>
          </cell>
          <cell r="W866" t="e">
            <v>#N/A</v>
          </cell>
          <cell r="AA866">
            <v>0</v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</row>
        <row r="867">
          <cell r="R867" t="str">
            <v>DOM PRI FIX</v>
          </cell>
          <cell r="S867" t="e">
            <v>#N/A</v>
          </cell>
          <cell r="T867" t="e">
            <v>#N/A</v>
          </cell>
          <cell r="U867" t="e">
            <v>#N/A</v>
          </cell>
          <cell r="V867" t="e">
            <v>#N/A</v>
          </cell>
          <cell r="W867" t="e">
            <v>#N/A</v>
          </cell>
          <cell r="AA867">
            <v>0</v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</row>
        <row r="868">
          <cell r="R868" t="str">
            <v>DOM REU MOB</v>
          </cell>
          <cell r="S868" t="e">
            <v>#N/A</v>
          </cell>
          <cell r="T868" t="e">
            <v>#N/A</v>
          </cell>
          <cell r="U868" t="e">
            <v>#N/A</v>
          </cell>
          <cell r="V868" t="e">
            <v>#N/A</v>
          </cell>
          <cell r="W868" t="e">
            <v>#N/A</v>
          </cell>
          <cell r="AA868">
            <v>0</v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</row>
        <row r="869">
          <cell r="R869" t="str">
            <v>DOM REU FIX</v>
          </cell>
          <cell r="S869" t="e">
            <v>#N/A</v>
          </cell>
          <cell r="T869" t="e">
            <v>#N/A</v>
          </cell>
          <cell r="U869" t="e">
            <v>#N/A</v>
          </cell>
          <cell r="V869" t="e">
            <v>#N/A</v>
          </cell>
          <cell r="W869" t="e">
            <v>#N/A</v>
          </cell>
          <cell r="AA869">
            <v>0</v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</row>
        <row r="870">
          <cell r="R870" t="str">
            <v>DOM REU RE1FR</v>
          </cell>
          <cell r="S870" t="e">
            <v>#N/A</v>
          </cell>
          <cell r="T870" t="e">
            <v>#N/A</v>
          </cell>
          <cell r="U870" t="e">
            <v>#N/A</v>
          </cell>
          <cell r="V870" t="e">
            <v>#N/A</v>
          </cell>
          <cell r="W870" t="e">
            <v>#N/A</v>
          </cell>
          <cell r="AA870">
            <v>0</v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</row>
        <row r="871">
          <cell r="R871" t="str">
            <v>DOM REU RE1TS</v>
          </cell>
          <cell r="S871" t="e">
            <v>#N/A</v>
          </cell>
          <cell r="T871" t="e">
            <v>#N/A</v>
          </cell>
          <cell r="U871" t="e">
            <v>#N/A</v>
          </cell>
          <cell r="V871" t="e">
            <v>#N/A</v>
          </cell>
          <cell r="W871" t="e">
            <v>#N/A</v>
          </cell>
          <cell r="AA871">
            <v>0</v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</row>
        <row r="872">
          <cell r="R872" t="str">
            <v>DOM REU RE300</v>
          </cell>
          <cell r="S872" t="e">
            <v>#N/A</v>
          </cell>
          <cell r="T872" t="e">
            <v>#N/A</v>
          </cell>
          <cell r="U872" t="e">
            <v>#N/A</v>
          </cell>
          <cell r="V872" t="e">
            <v>#N/A</v>
          </cell>
          <cell r="W872" t="e">
            <v>#N/A</v>
          </cell>
          <cell r="AA872">
            <v>0</v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</row>
        <row r="873">
          <cell r="R873" t="str">
            <v>DOM REU RE301</v>
          </cell>
          <cell r="S873" t="e">
            <v>#N/A</v>
          </cell>
          <cell r="T873" t="e">
            <v>#N/A</v>
          </cell>
          <cell r="U873" t="e">
            <v>#N/A</v>
          </cell>
          <cell r="V873" t="e">
            <v>#N/A</v>
          </cell>
          <cell r="W873" t="e">
            <v>#N/A</v>
          </cell>
          <cell r="AA873">
            <v>0</v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</row>
        <row r="874">
          <cell r="R874" t="str">
            <v>DOM REU RE302</v>
          </cell>
          <cell r="S874" t="e">
            <v>#N/A</v>
          </cell>
          <cell r="T874" t="e">
            <v>#N/A</v>
          </cell>
          <cell r="U874" t="e">
            <v>#N/A</v>
          </cell>
          <cell r="V874" t="e">
            <v>#N/A</v>
          </cell>
          <cell r="W874" t="e">
            <v>#N/A</v>
          </cell>
          <cell r="AA874">
            <v>0</v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</row>
        <row r="875">
          <cell r="R875" t="str">
            <v>DOM REU RE303</v>
          </cell>
          <cell r="S875" t="e">
            <v>#N/A</v>
          </cell>
          <cell r="T875" t="e">
            <v>#N/A</v>
          </cell>
          <cell r="U875" t="e">
            <v>#N/A</v>
          </cell>
          <cell r="V875" t="e">
            <v>#N/A</v>
          </cell>
          <cell r="W875" t="e">
            <v>#N/A</v>
          </cell>
          <cell r="AA875">
            <v>0</v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</row>
        <row r="876">
          <cell r="R876" t="str">
            <v>DOM REU RE304</v>
          </cell>
          <cell r="S876" t="e">
            <v>#N/A</v>
          </cell>
          <cell r="T876" t="e">
            <v>#N/A</v>
          </cell>
          <cell r="U876" t="e">
            <v>#N/A</v>
          </cell>
          <cell r="V876" t="e">
            <v>#N/A</v>
          </cell>
          <cell r="W876" t="e">
            <v>#N/A</v>
          </cell>
          <cell r="AA876">
            <v>0</v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</row>
        <row r="877">
          <cell r="R877" t="str">
            <v>DOM REU RE305</v>
          </cell>
          <cell r="S877" t="e">
            <v>#N/A</v>
          </cell>
          <cell r="T877" t="e">
            <v>#N/A</v>
          </cell>
          <cell r="U877" t="e">
            <v>#N/A</v>
          </cell>
          <cell r="V877" t="e">
            <v>#N/A</v>
          </cell>
          <cell r="W877" t="e">
            <v>#N/A</v>
          </cell>
          <cell r="AA877">
            <v>0</v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</row>
        <row r="878">
          <cell r="R878" t="str">
            <v>DOM REU RE306</v>
          </cell>
          <cell r="S878" t="e">
            <v>#N/A</v>
          </cell>
          <cell r="T878" t="e">
            <v>#N/A</v>
          </cell>
          <cell r="U878" t="e">
            <v>#N/A</v>
          </cell>
          <cell r="V878" t="e">
            <v>#N/A</v>
          </cell>
          <cell r="W878" t="e">
            <v>#N/A</v>
          </cell>
          <cell r="AA878">
            <v>0</v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</row>
        <row r="879">
          <cell r="R879" t="str">
            <v>DOM REU RE307</v>
          </cell>
          <cell r="S879" t="e">
            <v>#N/A</v>
          </cell>
          <cell r="T879" t="e">
            <v>#N/A</v>
          </cell>
          <cell r="U879" t="e">
            <v>#N/A</v>
          </cell>
          <cell r="V879" t="e">
            <v>#N/A</v>
          </cell>
          <cell r="W879" t="e">
            <v>#N/A</v>
          </cell>
          <cell r="AA879">
            <v>0</v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</row>
        <row r="880">
          <cell r="R880" t="str">
            <v>DOM REU RE308</v>
          </cell>
          <cell r="S880" t="e">
            <v>#N/A</v>
          </cell>
          <cell r="T880" t="e">
            <v>#N/A</v>
          </cell>
          <cell r="U880" t="e">
            <v>#N/A</v>
          </cell>
          <cell r="V880" t="e">
            <v>#N/A</v>
          </cell>
          <cell r="W880" t="e">
            <v>#N/A</v>
          </cell>
          <cell r="AA880">
            <v>0</v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</row>
        <row r="881">
          <cell r="R881" t="str">
            <v>DOM REU RE309</v>
          </cell>
          <cell r="S881" t="e">
            <v>#N/A</v>
          </cell>
          <cell r="T881" t="e">
            <v>#N/A</v>
          </cell>
          <cell r="U881" t="e">
            <v>#N/A</v>
          </cell>
          <cell r="V881" t="e">
            <v>#N/A</v>
          </cell>
          <cell r="W881" t="e">
            <v>#N/A</v>
          </cell>
          <cell r="AA881">
            <v>0</v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</row>
        <row r="882">
          <cell r="R882" t="str">
            <v>DOM REU RE310</v>
          </cell>
          <cell r="S882" t="e">
            <v>#N/A</v>
          </cell>
          <cell r="T882" t="e">
            <v>#N/A</v>
          </cell>
          <cell r="U882" t="e">
            <v>#N/A</v>
          </cell>
          <cell r="V882" t="e">
            <v>#N/A</v>
          </cell>
          <cell r="W882" t="e">
            <v>#N/A</v>
          </cell>
          <cell r="AA882">
            <v>0</v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</row>
        <row r="883">
          <cell r="R883" t="str">
            <v>DOM REU RE311</v>
          </cell>
          <cell r="S883" t="e">
            <v>#N/A</v>
          </cell>
          <cell r="T883" t="e">
            <v>#N/A</v>
          </cell>
          <cell r="U883" t="e">
            <v>#N/A</v>
          </cell>
          <cell r="V883" t="e">
            <v>#N/A</v>
          </cell>
          <cell r="W883" t="e">
            <v>#N/A</v>
          </cell>
          <cell r="AA883">
            <v>0</v>
          </cell>
          <cell r="AB883" t="str">
            <v/>
          </cell>
          <cell r="AC883" t="str">
            <v/>
          </cell>
          <cell r="AD883" t="str">
            <v/>
          </cell>
          <cell r="AE883" t="str">
            <v/>
          </cell>
        </row>
        <row r="884">
          <cell r="R884" t="str">
            <v>DOM REU RE312</v>
          </cell>
          <cell r="S884" t="e">
            <v>#N/A</v>
          </cell>
          <cell r="T884" t="e">
            <v>#N/A</v>
          </cell>
          <cell r="U884" t="e">
            <v>#N/A</v>
          </cell>
          <cell r="V884" t="e">
            <v>#N/A</v>
          </cell>
          <cell r="W884" t="e">
            <v>#N/A</v>
          </cell>
          <cell r="AA884">
            <v>0</v>
          </cell>
          <cell r="AB884" t="str">
            <v/>
          </cell>
          <cell r="AC884" t="str">
            <v/>
          </cell>
          <cell r="AD884" t="str">
            <v/>
          </cell>
          <cell r="AE884" t="str">
            <v/>
          </cell>
        </row>
        <row r="885">
          <cell r="R885" t="str">
            <v>DOM REU RE313</v>
          </cell>
          <cell r="S885" t="e">
            <v>#N/A</v>
          </cell>
          <cell r="T885" t="e">
            <v>#N/A</v>
          </cell>
          <cell r="U885" t="e">
            <v>#N/A</v>
          </cell>
          <cell r="V885" t="e">
            <v>#N/A</v>
          </cell>
          <cell r="W885" t="e">
            <v>#N/A</v>
          </cell>
          <cell r="AA885">
            <v>0</v>
          </cell>
          <cell r="AB885" t="str">
            <v/>
          </cell>
          <cell r="AC885" t="str">
            <v/>
          </cell>
          <cell r="AD885" t="str">
            <v/>
          </cell>
          <cell r="AE885" t="str">
            <v/>
          </cell>
        </row>
        <row r="886">
          <cell r="R886" t="str">
            <v>DOM REU RE314</v>
          </cell>
          <cell r="S886" t="e">
            <v>#N/A</v>
          </cell>
          <cell r="T886" t="e">
            <v>#N/A</v>
          </cell>
          <cell r="U886" t="e">
            <v>#N/A</v>
          </cell>
          <cell r="V886" t="e">
            <v>#N/A</v>
          </cell>
          <cell r="W886" t="e">
            <v>#N/A</v>
          </cell>
          <cell r="AA886">
            <v>0</v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</row>
        <row r="887">
          <cell r="R887" t="str">
            <v>DOM REU RE315</v>
          </cell>
          <cell r="S887" t="e">
            <v>#N/A</v>
          </cell>
          <cell r="T887" t="e">
            <v>#N/A</v>
          </cell>
          <cell r="U887" t="e">
            <v>#N/A</v>
          </cell>
          <cell r="V887" t="e">
            <v>#N/A</v>
          </cell>
          <cell r="W887" t="e">
            <v>#N/A</v>
          </cell>
          <cell r="AA887">
            <v>0</v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</row>
        <row r="888">
          <cell r="R888" t="str">
            <v>DOM REU RE316</v>
          </cell>
          <cell r="S888" t="e">
            <v>#N/A</v>
          </cell>
          <cell r="T888" t="e">
            <v>#N/A</v>
          </cell>
          <cell r="U888" t="e">
            <v>#N/A</v>
          </cell>
          <cell r="V888" t="e">
            <v>#N/A</v>
          </cell>
          <cell r="W888" t="e">
            <v>#N/A</v>
          </cell>
          <cell r="AA888">
            <v>0</v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</row>
        <row r="889">
          <cell r="R889" t="str">
            <v>DOM REU RE317</v>
          </cell>
          <cell r="S889" t="e">
            <v>#N/A</v>
          </cell>
          <cell r="T889" t="e">
            <v>#N/A</v>
          </cell>
          <cell r="U889" t="e">
            <v>#N/A</v>
          </cell>
          <cell r="V889" t="e">
            <v>#N/A</v>
          </cell>
          <cell r="W889" t="e">
            <v>#N/A</v>
          </cell>
          <cell r="AA889">
            <v>0</v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</row>
        <row r="890">
          <cell r="R890" t="str">
            <v>DOM REU RE318</v>
          </cell>
          <cell r="S890" t="e">
            <v>#N/A</v>
          </cell>
          <cell r="T890" t="e">
            <v>#N/A</v>
          </cell>
          <cell r="U890" t="e">
            <v>#N/A</v>
          </cell>
          <cell r="V890" t="e">
            <v>#N/A</v>
          </cell>
          <cell r="W890" t="e">
            <v>#N/A</v>
          </cell>
          <cell r="AA890">
            <v>0</v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</row>
        <row r="891">
          <cell r="R891" t="str">
            <v>DOM REU RE319</v>
          </cell>
          <cell r="S891" t="e">
            <v>#N/A</v>
          </cell>
          <cell r="T891" t="e">
            <v>#N/A</v>
          </cell>
          <cell r="U891" t="e">
            <v>#N/A</v>
          </cell>
          <cell r="V891" t="e">
            <v>#N/A</v>
          </cell>
          <cell r="W891" t="e">
            <v>#N/A</v>
          </cell>
          <cell r="AA891">
            <v>0</v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</row>
        <row r="892">
          <cell r="R892" t="str">
            <v>DOM REU RE320</v>
          </cell>
          <cell r="S892" t="e">
            <v>#N/A</v>
          </cell>
          <cell r="T892" t="e">
            <v>#N/A</v>
          </cell>
          <cell r="U892" t="e">
            <v>#N/A</v>
          </cell>
          <cell r="V892" t="e">
            <v>#N/A</v>
          </cell>
          <cell r="W892" t="e">
            <v>#N/A</v>
          </cell>
          <cell r="AA892">
            <v>0</v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</row>
        <row r="893">
          <cell r="R893" t="str">
            <v>DOM REU RE321</v>
          </cell>
          <cell r="S893" t="e">
            <v>#N/A</v>
          </cell>
          <cell r="T893" t="e">
            <v>#N/A</v>
          </cell>
          <cell r="U893" t="e">
            <v>#N/A</v>
          </cell>
          <cell r="V893" t="e">
            <v>#N/A</v>
          </cell>
          <cell r="W893" t="e">
            <v>#N/A</v>
          </cell>
          <cell r="AA893">
            <v>0</v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</row>
        <row r="894">
          <cell r="R894" t="str">
            <v>DOM REU REVAS</v>
          </cell>
          <cell r="S894" t="e">
            <v>#N/A</v>
          </cell>
          <cell r="T894" t="e">
            <v>#N/A</v>
          </cell>
          <cell r="U894" t="e">
            <v>#N/A</v>
          </cell>
          <cell r="V894" t="e">
            <v>#N/A</v>
          </cell>
          <cell r="W894" t="e">
            <v>#N/A</v>
          </cell>
          <cell r="AA894">
            <v>0</v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</row>
        <row r="895">
          <cell r="R895" t="str">
            <v>DOM REU RESOS</v>
          </cell>
          <cell r="S895" t="e">
            <v>#N/A</v>
          </cell>
          <cell r="T895" t="e">
            <v>#N/A</v>
          </cell>
          <cell r="U895" t="e">
            <v>#N/A</v>
          </cell>
          <cell r="V895" t="e">
            <v>#N/A</v>
          </cell>
          <cell r="W895" t="e">
            <v>#N/A</v>
          </cell>
          <cell r="AA895">
            <v>0</v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</row>
        <row r="896">
          <cell r="R896" t="str">
            <v>DOM REU RE860</v>
          </cell>
          <cell r="S896" t="e">
            <v>#N/A</v>
          </cell>
          <cell r="T896" t="e">
            <v>#N/A</v>
          </cell>
          <cell r="U896" t="e">
            <v>#N/A</v>
          </cell>
          <cell r="V896" t="e">
            <v>#N/A</v>
          </cell>
          <cell r="W896" t="e">
            <v>#N/A</v>
          </cell>
          <cell r="AA896">
            <v>0</v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</row>
        <row r="897">
          <cell r="R897" t="str">
            <v>DOM REU RE82H</v>
          </cell>
          <cell r="S897" t="e">
            <v>#N/A</v>
          </cell>
          <cell r="T897" t="e">
            <v>#N/A</v>
          </cell>
          <cell r="U897" t="e">
            <v>#N/A</v>
          </cell>
          <cell r="V897" t="e">
            <v>#N/A</v>
          </cell>
          <cell r="W897" t="e">
            <v>#N/A</v>
          </cell>
          <cell r="AA897">
            <v>0</v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</row>
        <row r="898">
          <cell r="R898" t="str">
            <v>DOM REU RE82L</v>
          </cell>
          <cell r="S898" t="e">
            <v>#N/A</v>
          </cell>
          <cell r="T898" t="e">
            <v>#N/A</v>
          </cell>
          <cell r="U898" t="e">
            <v>#N/A</v>
          </cell>
          <cell r="V898" t="e">
            <v>#N/A</v>
          </cell>
          <cell r="W898" t="e">
            <v>#N/A</v>
          </cell>
          <cell r="AA898">
            <v>0</v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</row>
        <row r="899">
          <cell r="R899" t="str">
            <v>DOM REU RE825</v>
          </cell>
          <cell r="S899" t="e">
            <v>#N/A</v>
          </cell>
          <cell r="T899" t="e">
            <v>#N/A</v>
          </cell>
          <cell r="U899" t="e">
            <v>#N/A</v>
          </cell>
          <cell r="V899" t="e">
            <v>#N/A</v>
          </cell>
          <cell r="W899" t="e">
            <v>#N/A</v>
          </cell>
          <cell r="AA899">
            <v>0</v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</row>
        <row r="900">
          <cell r="R900" t="str">
            <v>DOM REU RE89H</v>
          </cell>
          <cell r="S900" t="e">
            <v>#N/A</v>
          </cell>
          <cell r="T900" t="e">
            <v>#N/A</v>
          </cell>
          <cell r="U900" t="e">
            <v>#N/A</v>
          </cell>
          <cell r="V900" t="e">
            <v>#N/A</v>
          </cell>
          <cell r="W900" t="e">
            <v>#N/A</v>
          </cell>
          <cell r="AA900">
            <v>0</v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</row>
        <row r="901">
          <cell r="R901" t="str">
            <v>DOM REU RE89L</v>
          </cell>
          <cell r="S901" t="e">
            <v>#N/A</v>
          </cell>
          <cell r="T901" t="e">
            <v>#N/A</v>
          </cell>
          <cell r="U901" t="e">
            <v>#N/A</v>
          </cell>
          <cell r="V901" t="e">
            <v>#N/A</v>
          </cell>
          <cell r="W901" t="e">
            <v>#N/A</v>
          </cell>
          <cell r="AA901">
            <v>0</v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</row>
        <row r="902">
          <cell r="R902" t="str">
            <v>DOM REU RE891</v>
          </cell>
          <cell r="S902" t="e">
            <v>#N/A</v>
          </cell>
          <cell r="T902" t="e">
            <v>#N/A</v>
          </cell>
          <cell r="U902" t="e">
            <v>#N/A</v>
          </cell>
          <cell r="V902" t="e">
            <v>#N/A</v>
          </cell>
          <cell r="W902" t="e">
            <v>#N/A</v>
          </cell>
          <cell r="AA902">
            <v>0</v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</row>
        <row r="903">
          <cell r="R903" t="str">
            <v>DOM REU RE892</v>
          </cell>
          <cell r="S903" t="e">
            <v>#N/A</v>
          </cell>
          <cell r="T903" t="e">
            <v>#N/A</v>
          </cell>
          <cell r="U903" t="e">
            <v>#N/A</v>
          </cell>
          <cell r="V903" t="e">
            <v>#N/A</v>
          </cell>
          <cell r="W903" t="e">
            <v>#N/A</v>
          </cell>
          <cell r="AA903">
            <v>0</v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</row>
        <row r="904">
          <cell r="R904" t="str">
            <v>DOM REU RE897</v>
          </cell>
          <cell r="S904" t="e">
            <v>#N/A</v>
          </cell>
          <cell r="T904" t="e">
            <v>#N/A</v>
          </cell>
          <cell r="U904" t="e">
            <v>#N/A</v>
          </cell>
          <cell r="V904" t="e">
            <v>#N/A</v>
          </cell>
          <cell r="W904" t="e">
            <v>#N/A</v>
          </cell>
          <cell r="AA904">
            <v>0</v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</row>
        <row r="905">
          <cell r="R905" t="str">
            <v>DOM REU RE899</v>
          </cell>
          <cell r="S905" t="e">
            <v>#N/A</v>
          </cell>
          <cell r="T905" t="e">
            <v>#N/A</v>
          </cell>
          <cell r="U905" t="e">
            <v>#N/A</v>
          </cell>
          <cell r="V905" t="e">
            <v>#N/A</v>
          </cell>
          <cell r="W905" t="e">
            <v>#N/A</v>
          </cell>
          <cell r="AA905">
            <v>0</v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</row>
        <row r="906">
          <cell r="R906" t="str">
            <v>DOM REU RE006</v>
          </cell>
          <cell r="S906" t="e">
            <v>#N/A</v>
          </cell>
          <cell r="T906" t="e">
            <v>#N/A</v>
          </cell>
          <cell r="U906" t="e">
            <v>#N/A</v>
          </cell>
          <cell r="V906" t="e">
            <v>#N/A</v>
          </cell>
          <cell r="W906" t="e">
            <v>#N/A</v>
          </cell>
          <cell r="AA906">
            <v>0</v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</row>
        <row r="907">
          <cell r="R907" t="str">
            <v>DOM REU RE218</v>
          </cell>
          <cell r="S907" t="e">
            <v>#N/A</v>
          </cell>
          <cell r="T907" t="e">
            <v>#N/A</v>
          </cell>
          <cell r="U907" t="e">
            <v>#N/A</v>
          </cell>
          <cell r="V907" t="e">
            <v>#N/A</v>
          </cell>
          <cell r="W907" t="e">
            <v>#N/A</v>
          </cell>
          <cell r="AA907">
            <v>0</v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</row>
        <row r="908">
          <cell r="R908" t="str">
            <v>DOM REU RE222</v>
          </cell>
          <cell r="S908" t="e">
            <v>#N/A</v>
          </cell>
          <cell r="T908" t="e">
            <v>#N/A</v>
          </cell>
          <cell r="U908" t="e">
            <v>#N/A</v>
          </cell>
          <cell r="V908" t="e">
            <v>#N/A</v>
          </cell>
          <cell r="W908" t="e">
            <v>#N/A</v>
          </cell>
          <cell r="AA908">
            <v>0</v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</row>
        <row r="909">
          <cell r="R909" t="str">
            <v>DOM REU RE700</v>
          </cell>
          <cell r="S909" t="e">
            <v>#N/A</v>
          </cell>
          <cell r="T909" t="e">
            <v>#N/A</v>
          </cell>
          <cell r="U909" t="e">
            <v>#N/A</v>
          </cell>
          <cell r="V909" t="e">
            <v>#N/A</v>
          </cell>
          <cell r="W909" t="e">
            <v>#N/A</v>
          </cell>
          <cell r="AA909">
            <v>0</v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</row>
        <row r="910">
          <cell r="R910" t="str">
            <v>DOM REU RE710</v>
          </cell>
          <cell r="S910" t="e">
            <v>#N/A</v>
          </cell>
          <cell r="T910" t="e">
            <v>#N/A</v>
          </cell>
          <cell r="U910" t="e">
            <v>#N/A</v>
          </cell>
          <cell r="V910" t="e">
            <v>#N/A</v>
          </cell>
          <cell r="W910" t="e">
            <v>#N/A</v>
          </cell>
          <cell r="AA910">
            <v>0</v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</row>
        <row r="911">
          <cell r="R911" t="str">
            <v>DOM REU RE711</v>
          </cell>
          <cell r="S911" t="e">
            <v>#N/A</v>
          </cell>
          <cell r="T911" t="e">
            <v>#N/A</v>
          </cell>
          <cell r="U911" t="e">
            <v>#N/A</v>
          </cell>
          <cell r="V911" t="e">
            <v>#N/A</v>
          </cell>
          <cell r="W911" t="e">
            <v>#N/A</v>
          </cell>
          <cell r="AA911">
            <v>0</v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</row>
        <row r="912">
          <cell r="R912" t="str">
            <v>DOM REU RE712</v>
          </cell>
          <cell r="S912" t="e">
            <v>#N/A</v>
          </cell>
          <cell r="T912" t="e">
            <v>#N/A</v>
          </cell>
          <cell r="U912" t="e">
            <v>#N/A</v>
          </cell>
          <cell r="V912" t="e">
            <v>#N/A</v>
          </cell>
          <cell r="W912" t="e">
            <v>#N/A</v>
          </cell>
          <cell r="AA912">
            <v>0</v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</row>
        <row r="913">
          <cell r="R913" t="str">
            <v>DOM REU RE888</v>
          </cell>
          <cell r="S913" t="e">
            <v>#N/A</v>
          </cell>
          <cell r="T913" t="e">
            <v>#N/A</v>
          </cell>
          <cell r="U913" t="e">
            <v>#N/A</v>
          </cell>
          <cell r="V913" t="e">
            <v>#N/A</v>
          </cell>
          <cell r="W913" t="e">
            <v>#N/A</v>
          </cell>
          <cell r="AA913">
            <v>0</v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</row>
        <row r="914">
          <cell r="R914" t="str">
            <v>DOM REU REFRE</v>
          </cell>
          <cell r="S914" t="e">
            <v>#N/A</v>
          </cell>
          <cell r="T914" t="e">
            <v>#N/A</v>
          </cell>
          <cell r="U914" t="e">
            <v>#N/A</v>
          </cell>
          <cell r="V914" t="e">
            <v>#N/A</v>
          </cell>
          <cell r="W914" t="e">
            <v>#N/A</v>
          </cell>
          <cell r="AA914">
            <v>0</v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</row>
        <row r="915">
          <cell r="R915" t="str">
            <v>DOM REU RE810</v>
          </cell>
          <cell r="S915" t="e">
            <v>#N/A</v>
          </cell>
          <cell r="T915" t="e">
            <v>#N/A</v>
          </cell>
          <cell r="U915" t="e">
            <v>#N/A</v>
          </cell>
          <cell r="V915" t="e">
            <v>#N/A</v>
          </cell>
          <cell r="W915" t="e">
            <v>#N/A</v>
          </cell>
          <cell r="AA915">
            <v>0</v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</row>
        <row r="916">
          <cell r="R916" t="str">
            <v>DOM ROM MOB</v>
          </cell>
          <cell r="S916" t="e">
            <v>#N/A</v>
          </cell>
          <cell r="T916" t="e">
            <v>#N/A</v>
          </cell>
          <cell r="U916" t="e">
            <v>#N/A</v>
          </cell>
          <cell r="V916" t="e">
            <v>#N/A</v>
          </cell>
          <cell r="W916" t="e">
            <v>#N/A</v>
          </cell>
          <cell r="AA916">
            <v>0</v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</row>
        <row r="917">
          <cell r="R917" t="str">
            <v>DOM ROM ROMOR</v>
          </cell>
          <cell r="S917" t="e">
            <v>#N/A</v>
          </cell>
          <cell r="T917" t="e">
            <v>#N/A</v>
          </cell>
          <cell r="U917" t="e">
            <v>#N/A</v>
          </cell>
          <cell r="V917" t="e">
            <v>#N/A</v>
          </cell>
          <cell r="W917" t="e">
            <v>#N/A</v>
          </cell>
          <cell r="AA917">
            <v>0</v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</row>
        <row r="918">
          <cell r="R918" t="str">
            <v>DOM ROM FIX</v>
          </cell>
          <cell r="S918" t="e">
            <v>#N/A</v>
          </cell>
          <cell r="T918" t="e">
            <v>#N/A</v>
          </cell>
          <cell r="U918" t="e">
            <v>#N/A</v>
          </cell>
          <cell r="V918" t="e">
            <v>#N/A</v>
          </cell>
          <cell r="W918" t="e">
            <v>#N/A</v>
          </cell>
          <cell r="AA918">
            <v>0</v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</row>
        <row r="919">
          <cell r="R919" t="str">
            <v>DOM SMR MOB</v>
          </cell>
          <cell r="S919" t="e">
            <v>#N/A</v>
          </cell>
          <cell r="T919" t="e">
            <v>#N/A</v>
          </cell>
          <cell r="U919" t="e">
            <v>#N/A</v>
          </cell>
          <cell r="V919" t="e">
            <v>#N/A</v>
          </cell>
          <cell r="W919" t="e">
            <v>#N/A</v>
          </cell>
          <cell r="AA919">
            <v>0</v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</row>
        <row r="920">
          <cell r="R920" t="str">
            <v>DOM SMR FIX</v>
          </cell>
          <cell r="S920" t="e">
            <v>#N/A</v>
          </cell>
          <cell r="T920" t="e">
            <v>#N/A</v>
          </cell>
          <cell r="U920" t="e">
            <v>#N/A</v>
          </cell>
          <cell r="V920" t="e">
            <v>#N/A</v>
          </cell>
          <cell r="W920" t="e">
            <v>#N/A</v>
          </cell>
          <cell r="AA920">
            <v>0</v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</row>
        <row r="921">
          <cell r="R921" t="str">
            <v>DOM SGP MOBSG</v>
          </cell>
          <cell r="S921" t="e">
            <v>#N/A</v>
          </cell>
          <cell r="T921" t="e">
            <v>#N/A</v>
          </cell>
          <cell r="U921" t="e">
            <v>#N/A</v>
          </cell>
          <cell r="V921" t="e">
            <v>#N/A</v>
          </cell>
          <cell r="W921" t="e">
            <v>#N/A</v>
          </cell>
          <cell r="AA921">
            <v>0</v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</row>
        <row r="922">
          <cell r="R922" t="str">
            <v>DOM SGP FIXSG</v>
          </cell>
          <cell r="S922" t="e">
            <v>#N/A</v>
          </cell>
          <cell r="T922" t="e">
            <v>#N/A</v>
          </cell>
          <cell r="U922" t="e">
            <v>#N/A</v>
          </cell>
          <cell r="V922" t="e">
            <v>#N/A</v>
          </cell>
          <cell r="W922" t="e">
            <v>#N/A</v>
          </cell>
          <cell r="AA922">
            <v>0</v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</row>
        <row r="923">
          <cell r="R923" t="str">
            <v>DOM SVK SKMOR</v>
          </cell>
          <cell r="S923" t="e">
            <v>#N/A</v>
          </cell>
          <cell r="T923" t="e">
            <v>#N/A</v>
          </cell>
          <cell r="U923" t="e">
            <v>#N/A</v>
          </cell>
          <cell r="V923" t="e">
            <v>#N/A</v>
          </cell>
          <cell r="W923" t="e">
            <v>#N/A</v>
          </cell>
          <cell r="AA923">
            <v>0</v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</row>
        <row r="924">
          <cell r="R924" t="str">
            <v>DOM SVK MOB</v>
          </cell>
          <cell r="S924" t="e">
            <v>#N/A</v>
          </cell>
          <cell r="T924" t="e">
            <v>#N/A</v>
          </cell>
          <cell r="U924" t="e">
            <v>#N/A</v>
          </cell>
          <cell r="V924" t="e">
            <v>#N/A</v>
          </cell>
          <cell r="W924" t="e">
            <v>#N/A</v>
          </cell>
          <cell r="AA924">
            <v>0</v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</row>
        <row r="925">
          <cell r="R925" t="str">
            <v>DOM SVK FIX</v>
          </cell>
          <cell r="S925" t="e">
            <v>#N/A</v>
          </cell>
          <cell r="T925" t="e">
            <v>#N/A</v>
          </cell>
          <cell r="U925" t="e">
            <v>#N/A</v>
          </cell>
          <cell r="V925" t="e">
            <v>#N/A</v>
          </cell>
          <cell r="W925" t="e">
            <v>#N/A</v>
          </cell>
          <cell r="AA925">
            <v>0</v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</row>
        <row r="926">
          <cell r="R926" t="str">
            <v>DOM SVN MOB</v>
          </cell>
          <cell r="S926" t="e">
            <v>#N/A</v>
          </cell>
          <cell r="T926" t="e">
            <v>#N/A</v>
          </cell>
          <cell r="U926" t="e">
            <v>#N/A</v>
          </cell>
          <cell r="V926" t="e">
            <v>#N/A</v>
          </cell>
          <cell r="W926" t="e">
            <v>#N/A</v>
          </cell>
          <cell r="AA926">
            <v>0</v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</row>
        <row r="927">
          <cell r="R927" t="str">
            <v>DOM SVN SIMMO</v>
          </cell>
          <cell r="S927" t="e">
            <v>#N/A</v>
          </cell>
          <cell r="T927" t="e">
            <v>#N/A</v>
          </cell>
          <cell r="U927" t="e">
            <v>#N/A</v>
          </cell>
          <cell r="V927" t="e">
            <v>#N/A</v>
          </cell>
          <cell r="W927" t="e">
            <v>#N/A</v>
          </cell>
          <cell r="AA927">
            <v>0</v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</row>
        <row r="928">
          <cell r="R928" t="str">
            <v>DOM SVN FIX</v>
          </cell>
          <cell r="S928" t="e">
            <v>#N/A</v>
          </cell>
          <cell r="T928" t="e">
            <v>#N/A</v>
          </cell>
          <cell r="U928" t="e">
            <v>#N/A</v>
          </cell>
          <cell r="V928" t="e">
            <v>#N/A</v>
          </cell>
          <cell r="W928" t="e">
            <v>#N/A</v>
          </cell>
          <cell r="AA928">
            <v>0</v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</row>
        <row r="929">
          <cell r="R929" t="str">
            <v>DOM ZAF MOB</v>
          </cell>
          <cell r="S929" t="e">
            <v>#N/A</v>
          </cell>
          <cell r="T929" t="e">
            <v>#N/A</v>
          </cell>
          <cell r="U929" t="e">
            <v>#N/A</v>
          </cell>
          <cell r="V929" t="e">
            <v>#N/A</v>
          </cell>
          <cell r="W929" t="e">
            <v>#N/A</v>
          </cell>
          <cell r="AA929">
            <v>0</v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</row>
        <row r="930">
          <cell r="R930" t="str">
            <v>DOM ZAF FIX</v>
          </cell>
          <cell r="S930" t="e">
            <v>#N/A</v>
          </cell>
          <cell r="T930" t="e">
            <v>#N/A</v>
          </cell>
          <cell r="U930" t="e">
            <v>#N/A</v>
          </cell>
          <cell r="V930" t="e">
            <v>#N/A</v>
          </cell>
          <cell r="W930" t="e">
            <v>#N/A</v>
          </cell>
          <cell r="AA930">
            <v>0</v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</row>
        <row r="931">
          <cell r="R931" t="str">
            <v>DOM ESP ZESP3</v>
          </cell>
          <cell r="S931" t="e">
            <v>#N/A</v>
          </cell>
          <cell r="T931" t="e">
            <v>#N/A</v>
          </cell>
          <cell r="U931" t="e">
            <v>#N/A</v>
          </cell>
          <cell r="V931" t="e">
            <v>#N/A</v>
          </cell>
          <cell r="W931" t="e">
            <v>#N/A</v>
          </cell>
          <cell r="AA931">
            <v>0</v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</row>
        <row r="932">
          <cell r="R932" t="str">
            <v>DOM ESP SPMAM</v>
          </cell>
          <cell r="S932" t="e">
            <v>#N/A</v>
          </cell>
          <cell r="T932" t="e">
            <v>#N/A</v>
          </cell>
          <cell r="U932" t="e">
            <v>#N/A</v>
          </cell>
          <cell r="V932" t="e">
            <v>#N/A</v>
          </cell>
          <cell r="W932" t="e">
            <v>#N/A</v>
          </cell>
          <cell r="AA932">
            <v>0</v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</row>
        <row r="933">
          <cell r="R933" t="str">
            <v>DOM ESP ZESP4</v>
          </cell>
          <cell r="S933" t="e">
            <v>#N/A</v>
          </cell>
          <cell r="T933" t="e">
            <v>#N/A</v>
          </cell>
          <cell r="U933" t="e">
            <v>#N/A</v>
          </cell>
          <cell r="V933" t="e">
            <v>#N/A</v>
          </cell>
          <cell r="W933" t="e">
            <v>#N/A</v>
          </cell>
          <cell r="AA933">
            <v>0</v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</row>
        <row r="934">
          <cell r="R934" t="str">
            <v>DOM ESP SPMTE</v>
          </cell>
          <cell r="S934" t="e">
            <v>#N/A</v>
          </cell>
          <cell r="T934" t="e">
            <v>#N/A</v>
          </cell>
          <cell r="U934" t="e">
            <v>#N/A</v>
          </cell>
          <cell r="V934" t="e">
            <v>#N/A</v>
          </cell>
          <cell r="W934" t="e">
            <v>#N/A</v>
          </cell>
          <cell r="AA934">
            <v>0</v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</row>
        <row r="935">
          <cell r="R935" t="str">
            <v>DOM ESP SPMVO</v>
          </cell>
          <cell r="S935" t="e">
            <v>#N/A</v>
          </cell>
          <cell r="T935" t="e">
            <v>#N/A</v>
          </cell>
          <cell r="U935" t="e">
            <v>#N/A</v>
          </cell>
          <cell r="V935" t="e">
            <v>#N/A</v>
          </cell>
          <cell r="W935" t="e">
            <v>#N/A</v>
          </cell>
          <cell r="AA935">
            <v>0</v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</row>
        <row r="936">
          <cell r="R936" t="str">
            <v>DOM ESP SPADM</v>
          </cell>
          <cell r="S936" t="e">
            <v>#N/A</v>
          </cell>
          <cell r="T936" t="e">
            <v>#N/A</v>
          </cell>
          <cell r="U936" t="e">
            <v>#N/A</v>
          </cell>
          <cell r="V936" t="e">
            <v>#N/A</v>
          </cell>
          <cell r="W936" t="e">
            <v>#N/A</v>
          </cell>
          <cell r="AA936">
            <v>0</v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</row>
        <row r="937">
          <cell r="R937" t="str">
            <v>DOM ESP SPDIA</v>
          </cell>
          <cell r="S937" t="e">
            <v>#N/A</v>
          </cell>
          <cell r="T937" t="e">
            <v>#N/A</v>
          </cell>
          <cell r="U937" t="e">
            <v>#N/A</v>
          </cell>
          <cell r="V937" t="e">
            <v>#N/A</v>
          </cell>
          <cell r="W937" t="e">
            <v>#N/A</v>
          </cell>
          <cell r="AA937">
            <v>0</v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</row>
        <row r="938">
          <cell r="R938" t="str">
            <v>DOM ESP SPDIR</v>
          </cell>
          <cell r="S938" t="e">
            <v>#N/A</v>
          </cell>
          <cell r="T938" t="e">
            <v>#N/A</v>
          </cell>
          <cell r="U938" t="e">
            <v>#N/A</v>
          </cell>
          <cell r="V938" t="e">
            <v>#N/A</v>
          </cell>
          <cell r="W938" t="e">
            <v>#N/A</v>
          </cell>
          <cell r="AA938">
            <v>0</v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</row>
        <row r="939">
          <cell r="R939" t="str">
            <v>DOM ESP SPSOS</v>
          </cell>
          <cell r="S939" t="e">
            <v>#N/A</v>
          </cell>
          <cell r="T939" t="e">
            <v>#N/A</v>
          </cell>
          <cell r="U939" t="e">
            <v>#N/A</v>
          </cell>
          <cell r="V939" t="e">
            <v>#N/A</v>
          </cell>
          <cell r="W939" t="e">
            <v>#N/A</v>
          </cell>
          <cell r="AA939">
            <v>0</v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</row>
        <row r="940">
          <cell r="R940" t="str">
            <v>DOM ESP SPEUH</v>
          </cell>
          <cell r="S940" t="e">
            <v>#N/A</v>
          </cell>
          <cell r="T940" t="e">
            <v>#N/A</v>
          </cell>
          <cell r="U940" t="e">
            <v>#N/A</v>
          </cell>
          <cell r="V940" t="e">
            <v>#N/A</v>
          </cell>
          <cell r="W940" t="e">
            <v>#N/A</v>
          </cell>
          <cell r="AA940">
            <v>0</v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</row>
        <row r="941">
          <cell r="R941" t="str">
            <v>DOM ESP SPPNS</v>
          </cell>
          <cell r="S941" t="e">
            <v>#N/A</v>
          </cell>
          <cell r="T941" t="e">
            <v>#N/A</v>
          </cell>
          <cell r="U941" t="e">
            <v>#N/A</v>
          </cell>
          <cell r="V941" t="e">
            <v>#N/A</v>
          </cell>
          <cell r="W941" t="e">
            <v>#N/A</v>
          </cell>
          <cell r="AA941">
            <v>0</v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</row>
        <row r="942">
          <cell r="R942" t="str">
            <v>DOM ESP SPOPE</v>
          </cell>
          <cell r="S942" t="e">
            <v>#N/A</v>
          </cell>
          <cell r="T942" t="e">
            <v>#N/A</v>
          </cell>
          <cell r="U942" t="e">
            <v>#N/A</v>
          </cell>
          <cell r="V942" t="e">
            <v>#N/A</v>
          </cell>
          <cell r="W942" t="e">
            <v>#N/A</v>
          </cell>
          <cell r="AA942">
            <v>0</v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</row>
        <row r="943">
          <cell r="R943" t="str">
            <v>DOM ESP SPPRS</v>
          </cell>
          <cell r="S943" t="e">
            <v>#N/A</v>
          </cell>
          <cell r="T943" t="e">
            <v>#N/A</v>
          </cell>
          <cell r="U943" t="e">
            <v>#N/A</v>
          </cell>
          <cell r="V943" t="e">
            <v>#N/A</v>
          </cell>
          <cell r="W943" t="e">
            <v>#N/A</v>
          </cell>
          <cell r="AA943">
            <v>0</v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</row>
        <row r="944">
          <cell r="R944" t="str">
            <v>DOM ESP SPP01</v>
          </cell>
          <cell r="S944" t="e">
            <v>#N/A</v>
          </cell>
          <cell r="T944" t="e">
            <v>#N/A</v>
          </cell>
          <cell r="U944" t="e">
            <v>#N/A</v>
          </cell>
          <cell r="V944" t="e">
            <v>#N/A</v>
          </cell>
          <cell r="W944" t="e">
            <v>#N/A</v>
          </cell>
          <cell r="AA944">
            <v>0</v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</row>
        <row r="945">
          <cell r="R945" t="str">
            <v>DOM ESP SPP02</v>
          </cell>
          <cell r="S945" t="e">
            <v>#N/A</v>
          </cell>
          <cell r="T945" t="e">
            <v>#N/A</v>
          </cell>
          <cell r="U945" t="e">
            <v>#N/A</v>
          </cell>
          <cell r="V945" t="e">
            <v>#N/A</v>
          </cell>
          <cell r="W945" t="e">
            <v>#N/A</v>
          </cell>
          <cell r="AA945">
            <v>0</v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</row>
        <row r="946">
          <cell r="R946" t="str">
            <v>DOM ESP SPP03</v>
          </cell>
          <cell r="S946" t="e">
            <v>#N/A</v>
          </cell>
          <cell r="T946" t="e">
            <v>#N/A</v>
          </cell>
          <cell r="U946" t="e">
            <v>#N/A</v>
          </cell>
          <cell r="V946" t="e">
            <v>#N/A</v>
          </cell>
          <cell r="W946" t="e">
            <v>#N/A</v>
          </cell>
          <cell r="AA946">
            <v>0</v>
          </cell>
          <cell r="AB946" t="str">
            <v/>
          </cell>
          <cell r="AC946" t="str">
            <v/>
          </cell>
          <cell r="AD946" t="str">
            <v/>
          </cell>
          <cell r="AE946" t="str">
            <v/>
          </cell>
        </row>
        <row r="947">
          <cell r="R947" t="str">
            <v>DOM ESP SPP04</v>
          </cell>
          <cell r="S947" t="e">
            <v>#N/A</v>
          </cell>
          <cell r="T947" t="e">
            <v>#N/A</v>
          </cell>
          <cell r="U947" t="e">
            <v>#N/A</v>
          </cell>
          <cell r="V947" t="e">
            <v>#N/A</v>
          </cell>
          <cell r="W947" t="e">
            <v>#N/A</v>
          </cell>
          <cell r="AA947">
            <v>0</v>
          </cell>
          <cell r="AB947" t="str">
            <v/>
          </cell>
          <cell r="AC947" t="str">
            <v/>
          </cell>
          <cell r="AD947" t="str">
            <v/>
          </cell>
          <cell r="AE947" t="str">
            <v/>
          </cell>
        </row>
        <row r="948">
          <cell r="R948" t="str">
            <v>DOM ESP SPP05</v>
          </cell>
          <cell r="S948" t="e">
            <v>#N/A</v>
          </cell>
          <cell r="T948" t="e">
            <v>#N/A</v>
          </cell>
          <cell r="U948" t="e">
            <v>#N/A</v>
          </cell>
          <cell r="V948" t="e">
            <v>#N/A</v>
          </cell>
          <cell r="W948" t="e">
            <v>#N/A</v>
          </cell>
          <cell r="AA948">
            <v>0</v>
          </cell>
          <cell r="AB948" t="str">
            <v/>
          </cell>
          <cell r="AC948" t="str">
            <v/>
          </cell>
          <cell r="AD948" t="str">
            <v/>
          </cell>
          <cell r="AE948" t="str">
            <v/>
          </cell>
        </row>
        <row r="949">
          <cell r="R949" t="str">
            <v>DOM ESP SPP06</v>
          </cell>
          <cell r="S949" t="e">
            <v>#N/A</v>
          </cell>
          <cell r="T949" t="e">
            <v>#N/A</v>
          </cell>
          <cell r="U949" t="e">
            <v>#N/A</v>
          </cell>
          <cell r="V949" t="e">
            <v>#N/A</v>
          </cell>
          <cell r="W949" t="e">
            <v>#N/A</v>
          </cell>
          <cell r="AA949">
            <v>0</v>
          </cell>
          <cell r="AB949" t="str">
            <v/>
          </cell>
          <cell r="AC949" t="str">
            <v/>
          </cell>
          <cell r="AD949" t="str">
            <v/>
          </cell>
          <cell r="AE949" t="str">
            <v/>
          </cell>
        </row>
        <row r="950">
          <cell r="R950" t="str">
            <v>DOM ESP SPP07</v>
          </cell>
          <cell r="S950" t="e">
            <v>#N/A</v>
          </cell>
          <cell r="T950" t="e">
            <v>#N/A</v>
          </cell>
          <cell r="U950" t="e">
            <v>#N/A</v>
          </cell>
          <cell r="V950" t="e">
            <v>#N/A</v>
          </cell>
          <cell r="W950" t="e">
            <v>#N/A</v>
          </cell>
          <cell r="AA950">
            <v>0</v>
          </cell>
          <cell r="AB950" t="str">
            <v/>
          </cell>
          <cell r="AC950" t="str">
            <v/>
          </cell>
          <cell r="AD950" t="str">
            <v/>
          </cell>
          <cell r="AE950" t="str">
            <v/>
          </cell>
        </row>
        <row r="951">
          <cell r="R951" t="str">
            <v>DOM ESP SPP08</v>
          </cell>
          <cell r="S951" t="e">
            <v>#N/A</v>
          </cell>
          <cell r="T951" t="e">
            <v>#N/A</v>
          </cell>
          <cell r="U951" t="e">
            <v>#N/A</v>
          </cell>
          <cell r="V951" t="e">
            <v>#N/A</v>
          </cell>
          <cell r="W951" t="e">
            <v>#N/A</v>
          </cell>
          <cell r="AA951">
            <v>0</v>
          </cell>
          <cell r="AB951" t="str">
            <v/>
          </cell>
          <cell r="AC951" t="str">
            <v/>
          </cell>
          <cell r="AD951" t="str">
            <v/>
          </cell>
          <cell r="AE951" t="str">
            <v/>
          </cell>
        </row>
        <row r="952">
          <cell r="R952" t="str">
            <v>DOM ESP SPP09</v>
          </cell>
          <cell r="S952" t="e">
            <v>#N/A</v>
          </cell>
          <cell r="T952" t="e">
            <v>#N/A</v>
          </cell>
          <cell r="U952" t="e">
            <v>#N/A</v>
          </cell>
          <cell r="V952" t="e">
            <v>#N/A</v>
          </cell>
          <cell r="W952" t="e">
            <v>#N/A</v>
          </cell>
          <cell r="AA952">
            <v>0</v>
          </cell>
          <cell r="AB952" t="str">
            <v/>
          </cell>
          <cell r="AC952" t="str">
            <v/>
          </cell>
          <cell r="AD952" t="str">
            <v/>
          </cell>
          <cell r="AE952" t="str">
            <v/>
          </cell>
        </row>
        <row r="953">
          <cell r="R953" t="str">
            <v>DOM ESP SPP10</v>
          </cell>
          <cell r="S953" t="e">
            <v>#N/A</v>
          </cell>
          <cell r="T953" t="e">
            <v>#N/A</v>
          </cell>
          <cell r="U953" t="e">
            <v>#N/A</v>
          </cell>
          <cell r="V953" t="e">
            <v>#N/A</v>
          </cell>
          <cell r="W953" t="e">
            <v>#N/A</v>
          </cell>
          <cell r="AA953">
            <v>0</v>
          </cell>
          <cell r="AB953" t="str">
            <v/>
          </cell>
          <cell r="AC953" t="str">
            <v/>
          </cell>
          <cell r="AD953" t="str">
            <v/>
          </cell>
          <cell r="AE953" t="str">
            <v/>
          </cell>
        </row>
        <row r="954">
          <cell r="R954" t="str">
            <v>DOM ESP SPP11</v>
          </cell>
          <cell r="S954" t="e">
            <v>#N/A</v>
          </cell>
          <cell r="T954" t="e">
            <v>#N/A</v>
          </cell>
          <cell r="U954" t="e">
            <v>#N/A</v>
          </cell>
          <cell r="V954" t="e">
            <v>#N/A</v>
          </cell>
          <cell r="W954" t="e">
            <v>#N/A</v>
          </cell>
          <cell r="AA954">
            <v>0</v>
          </cell>
          <cell r="AB954" t="str">
            <v/>
          </cell>
          <cell r="AC954" t="str">
            <v/>
          </cell>
          <cell r="AD954" t="str">
            <v/>
          </cell>
          <cell r="AE954" t="str">
            <v/>
          </cell>
        </row>
        <row r="955">
          <cell r="R955" t="str">
            <v>DOM ESP SPP12</v>
          </cell>
          <cell r="S955" t="e">
            <v>#N/A</v>
          </cell>
          <cell r="T955" t="e">
            <v>#N/A</v>
          </cell>
          <cell r="U955" t="e">
            <v>#N/A</v>
          </cell>
          <cell r="V955" t="e">
            <v>#N/A</v>
          </cell>
          <cell r="W955" t="e">
            <v>#N/A</v>
          </cell>
          <cell r="AA955">
            <v>0</v>
          </cell>
          <cell r="AB955" t="str">
            <v/>
          </cell>
          <cell r="AC955" t="str">
            <v/>
          </cell>
          <cell r="AD955" t="str">
            <v/>
          </cell>
          <cell r="AE955" t="str">
            <v/>
          </cell>
        </row>
        <row r="956">
          <cell r="R956" t="str">
            <v>DOM ESP SPP13</v>
          </cell>
          <cell r="S956" t="e">
            <v>#N/A</v>
          </cell>
          <cell r="T956" t="e">
            <v>#N/A</v>
          </cell>
          <cell r="U956" t="e">
            <v>#N/A</v>
          </cell>
          <cell r="V956" t="e">
            <v>#N/A</v>
          </cell>
          <cell r="W956" t="e">
            <v>#N/A</v>
          </cell>
          <cell r="AA956">
            <v>0</v>
          </cell>
          <cell r="AB956" t="str">
            <v/>
          </cell>
          <cell r="AC956" t="str">
            <v/>
          </cell>
          <cell r="AD956" t="str">
            <v/>
          </cell>
          <cell r="AE956" t="str">
            <v/>
          </cell>
        </row>
        <row r="957">
          <cell r="R957" t="str">
            <v>DOM ESP SPFRE</v>
          </cell>
          <cell r="S957" t="e">
            <v>#N/A</v>
          </cell>
          <cell r="T957" t="e">
            <v>#N/A</v>
          </cell>
          <cell r="U957" t="e">
            <v>#N/A</v>
          </cell>
          <cell r="V957" t="e">
            <v>#N/A</v>
          </cell>
          <cell r="W957" t="e">
            <v>#N/A</v>
          </cell>
          <cell r="AA957">
            <v>0</v>
          </cell>
          <cell r="AB957" t="str">
            <v/>
          </cell>
          <cell r="AC957" t="str">
            <v/>
          </cell>
          <cell r="AD957" t="str">
            <v/>
          </cell>
          <cell r="AE957" t="str">
            <v/>
          </cell>
        </row>
        <row r="958">
          <cell r="R958" t="str">
            <v>DOM ESP SPVPN</v>
          </cell>
          <cell r="S958" t="e">
            <v>#N/A</v>
          </cell>
          <cell r="T958" t="e">
            <v>#N/A</v>
          </cell>
          <cell r="U958" t="e">
            <v>#N/A</v>
          </cell>
          <cell r="V958" t="e">
            <v>#N/A</v>
          </cell>
          <cell r="W958" t="e">
            <v>#N/A</v>
          </cell>
          <cell r="AA958">
            <v>0</v>
          </cell>
          <cell r="AB958" t="str">
            <v/>
          </cell>
          <cell r="AC958" t="str">
            <v/>
          </cell>
          <cell r="AD958" t="str">
            <v/>
          </cell>
          <cell r="AE958" t="str">
            <v/>
          </cell>
        </row>
        <row r="959">
          <cell r="R959" t="str">
            <v>DOM SPM MOB</v>
          </cell>
          <cell r="S959" t="e">
            <v>#N/A</v>
          </cell>
          <cell r="T959" t="e">
            <v>#N/A</v>
          </cell>
          <cell r="U959" t="e">
            <v>#N/A</v>
          </cell>
          <cell r="V959" t="e">
            <v>#N/A</v>
          </cell>
          <cell r="W959" t="e">
            <v>#N/A</v>
          </cell>
          <cell r="AA959">
            <v>0</v>
          </cell>
          <cell r="AB959" t="str">
            <v/>
          </cell>
          <cell r="AC959" t="str">
            <v/>
          </cell>
          <cell r="AD959" t="str">
            <v/>
          </cell>
          <cell r="AE959" t="str">
            <v/>
          </cell>
        </row>
        <row r="960">
          <cell r="R960" t="str">
            <v>DOM SPM FIX</v>
          </cell>
          <cell r="S960" t="e">
            <v>#N/A</v>
          </cell>
          <cell r="T960" t="e">
            <v>#N/A</v>
          </cell>
          <cell r="U960" t="e">
            <v>#N/A</v>
          </cell>
          <cell r="V960" t="e">
            <v>#N/A</v>
          </cell>
          <cell r="W960" t="e">
            <v>#N/A</v>
          </cell>
          <cell r="AA960">
            <v>0</v>
          </cell>
          <cell r="AB960" t="str">
            <v/>
          </cell>
          <cell r="AC960" t="str">
            <v/>
          </cell>
          <cell r="AD960" t="str">
            <v/>
          </cell>
          <cell r="AE960" t="str">
            <v/>
          </cell>
        </row>
        <row r="961">
          <cell r="R961" t="str">
            <v>DOM SWE AREA1</v>
          </cell>
          <cell r="S961" t="e">
            <v>#N/A</v>
          </cell>
          <cell r="T961" t="e">
            <v>#N/A</v>
          </cell>
          <cell r="U961" t="e">
            <v>#N/A</v>
          </cell>
          <cell r="V961" t="e">
            <v>#N/A</v>
          </cell>
          <cell r="W961" t="e">
            <v>#N/A</v>
          </cell>
          <cell r="AA961">
            <v>0</v>
          </cell>
          <cell r="AB961" t="str">
            <v/>
          </cell>
          <cell r="AC961" t="str">
            <v/>
          </cell>
          <cell r="AD961" t="str">
            <v/>
          </cell>
          <cell r="AE961" t="str">
            <v/>
          </cell>
        </row>
        <row r="962">
          <cell r="R962" t="str">
            <v>DOM SWE SWMO</v>
          </cell>
          <cell r="S962" t="e">
            <v>#N/A</v>
          </cell>
          <cell r="T962" t="e">
            <v>#N/A</v>
          </cell>
          <cell r="U962" t="e">
            <v>#N/A</v>
          </cell>
          <cell r="V962" t="e">
            <v>#N/A</v>
          </cell>
          <cell r="W962" t="e">
            <v>#N/A</v>
          </cell>
          <cell r="AA962">
            <v>0</v>
          </cell>
          <cell r="AB962" t="str">
            <v/>
          </cell>
          <cell r="AC962" t="str">
            <v/>
          </cell>
          <cell r="AD962" t="str">
            <v/>
          </cell>
          <cell r="AE962" t="str">
            <v/>
          </cell>
        </row>
        <row r="963">
          <cell r="R963" t="str">
            <v>DOM SWE SEMTE</v>
          </cell>
          <cell r="S963" t="e">
            <v>#N/A</v>
          </cell>
          <cell r="T963" t="e">
            <v>#N/A</v>
          </cell>
          <cell r="U963" t="e">
            <v>#N/A</v>
          </cell>
          <cell r="V963" t="e">
            <v>#N/A</v>
          </cell>
          <cell r="W963" t="e">
            <v>#N/A</v>
          </cell>
          <cell r="AA963">
            <v>0</v>
          </cell>
          <cell r="AB963" t="str">
            <v/>
          </cell>
          <cell r="AC963" t="str">
            <v/>
          </cell>
          <cell r="AD963" t="str">
            <v/>
          </cell>
          <cell r="AE963" t="str">
            <v/>
          </cell>
        </row>
        <row r="964">
          <cell r="R964" t="str">
            <v>DOM SWE NRINF</v>
          </cell>
          <cell r="S964" t="e">
            <v>#N/A</v>
          </cell>
          <cell r="T964" t="e">
            <v>#N/A</v>
          </cell>
          <cell r="U964" t="e">
            <v>#N/A</v>
          </cell>
          <cell r="V964" t="e">
            <v>#N/A</v>
          </cell>
          <cell r="W964" t="e">
            <v>#N/A</v>
          </cell>
          <cell r="AA964">
            <v>0</v>
          </cell>
          <cell r="AB964" t="str">
            <v/>
          </cell>
          <cell r="AC964" t="str">
            <v/>
          </cell>
          <cell r="AD964" t="str">
            <v/>
          </cell>
          <cell r="AE964" t="str">
            <v/>
          </cell>
        </row>
        <row r="965">
          <cell r="R965" t="str">
            <v>DOM SWE NRIN2</v>
          </cell>
          <cell r="S965" t="e">
            <v>#N/A</v>
          </cell>
          <cell r="T965" t="e">
            <v>#N/A</v>
          </cell>
          <cell r="U965" t="e">
            <v>#N/A</v>
          </cell>
          <cell r="V965" t="e">
            <v>#N/A</v>
          </cell>
          <cell r="W965" t="e">
            <v>#N/A</v>
          </cell>
          <cell r="AA965">
            <v>0</v>
          </cell>
          <cell r="AB965" t="str">
            <v/>
          </cell>
          <cell r="AC965" t="str">
            <v/>
          </cell>
          <cell r="AD965" t="str">
            <v/>
          </cell>
          <cell r="AE965" t="str">
            <v/>
          </cell>
        </row>
        <row r="966">
          <cell r="R966" t="str">
            <v>DOM SWE NRIN3</v>
          </cell>
          <cell r="S966" t="e">
            <v>#N/A</v>
          </cell>
          <cell r="T966" t="e">
            <v>#N/A</v>
          </cell>
          <cell r="U966" t="e">
            <v>#N/A</v>
          </cell>
          <cell r="V966" t="e">
            <v>#N/A</v>
          </cell>
          <cell r="W966" t="e">
            <v>#N/A</v>
          </cell>
          <cell r="AA966">
            <v>0</v>
          </cell>
          <cell r="AB966" t="str">
            <v/>
          </cell>
          <cell r="AC966" t="str">
            <v/>
          </cell>
          <cell r="AD966" t="str">
            <v/>
          </cell>
          <cell r="AE966" t="str">
            <v/>
          </cell>
        </row>
        <row r="967">
          <cell r="R967" t="str">
            <v>DOM SWE SOS</v>
          </cell>
          <cell r="S967" t="e">
            <v>#N/A</v>
          </cell>
          <cell r="T967" t="e">
            <v>#N/A</v>
          </cell>
          <cell r="U967" t="e">
            <v>#N/A</v>
          </cell>
          <cell r="V967" t="e">
            <v>#N/A</v>
          </cell>
          <cell r="W967" t="e">
            <v>#N/A</v>
          </cell>
          <cell r="AA967">
            <v>0</v>
          </cell>
          <cell r="AB967" t="str">
            <v/>
          </cell>
          <cell r="AC967" t="str">
            <v/>
          </cell>
          <cell r="AD967" t="str">
            <v/>
          </cell>
          <cell r="AE967" t="str">
            <v/>
          </cell>
        </row>
        <row r="968">
          <cell r="R968" t="str">
            <v>DOM SWE SWEUS</v>
          </cell>
          <cell r="S968" t="e">
            <v>#N/A</v>
          </cell>
          <cell r="T968" t="e">
            <v>#N/A</v>
          </cell>
          <cell r="U968" t="e">
            <v>#N/A</v>
          </cell>
          <cell r="V968" t="e">
            <v>#N/A</v>
          </cell>
          <cell r="W968" t="e">
            <v>#N/A</v>
          </cell>
          <cell r="AA968">
            <v>0</v>
          </cell>
          <cell r="AB968" t="str">
            <v/>
          </cell>
          <cell r="AC968" t="str">
            <v/>
          </cell>
          <cell r="AD968" t="str">
            <v/>
          </cell>
          <cell r="AE968" t="str">
            <v/>
          </cell>
        </row>
        <row r="969">
          <cell r="R969" t="str">
            <v>DOM SWE SWNM</v>
          </cell>
          <cell r="S969" t="e">
            <v>#N/A</v>
          </cell>
          <cell r="T969" t="e">
            <v>#N/A</v>
          </cell>
          <cell r="U969" t="e">
            <v>#N/A</v>
          </cell>
          <cell r="V969" t="e">
            <v>#N/A</v>
          </cell>
          <cell r="W969" t="e">
            <v>#N/A</v>
          </cell>
          <cell r="AA969">
            <v>0</v>
          </cell>
          <cell r="AB969" t="str">
            <v/>
          </cell>
          <cell r="AC969" t="str">
            <v/>
          </cell>
          <cell r="AD969" t="str">
            <v/>
          </cell>
          <cell r="AE969" t="str">
            <v/>
          </cell>
        </row>
        <row r="970">
          <cell r="R970" t="str">
            <v>DOM SWE PAGER</v>
          </cell>
          <cell r="S970" t="e">
            <v>#N/A</v>
          </cell>
          <cell r="T970" t="e">
            <v>#N/A</v>
          </cell>
          <cell r="U970" t="e">
            <v>#N/A</v>
          </cell>
          <cell r="V970" t="e">
            <v>#N/A</v>
          </cell>
          <cell r="W970" t="e">
            <v>#N/A</v>
          </cell>
          <cell r="AA970">
            <v>0</v>
          </cell>
          <cell r="AB970" t="str">
            <v/>
          </cell>
          <cell r="AC970" t="str">
            <v/>
          </cell>
          <cell r="AD970" t="str">
            <v/>
          </cell>
          <cell r="AE970" t="str">
            <v/>
          </cell>
        </row>
        <row r="971">
          <cell r="R971" t="str">
            <v>DOM SWE PAGR2</v>
          </cell>
          <cell r="S971" t="e">
            <v>#N/A</v>
          </cell>
          <cell r="T971" t="e">
            <v>#N/A</v>
          </cell>
          <cell r="U971" t="e">
            <v>#N/A</v>
          </cell>
          <cell r="V971" t="e">
            <v>#N/A</v>
          </cell>
          <cell r="W971" t="e">
            <v>#N/A</v>
          </cell>
          <cell r="AA971">
            <v>0</v>
          </cell>
          <cell r="AB971" t="str">
            <v/>
          </cell>
          <cell r="AC971" t="str">
            <v/>
          </cell>
          <cell r="AD971" t="str">
            <v/>
          </cell>
          <cell r="AE971" t="str">
            <v/>
          </cell>
        </row>
        <row r="972">
          <cell r="R972" t="str">
            <v>DOM SWE PAGR3</v>
          </cell>
          <cell r="S972" t="e">
            <v>#N/A</v>
          </cell>
          <cell r="T972" t="e">
            <v>#N/A</v>
          </cell>
          <cell r="U972" t="e">
            <v>#N/A</v>
          </cell>
          <cell r="V972" t="e">
            <v>#N/A</v>
          </cell>
          <cell r="W972" t="e">
            <v>#N/A</v>
          </cell>
          <cell r="AA972">
            <v>0</v>
          </cell>
          <cell r="AB972" t="str">
            <v/>
          </cell>
          <cell r="AC972" t="str">
            <v/>
          </cell>
          <cell r="AD972" t="str">
            <v/>
          </cell>
          <cell r="AE972" t="str">
            <v/>
          </cell>
        </row>
        <row r="973">
          <cell r="R973" t="str">
            <v>DOM SWE SWPSN</v>
          </cell>
          <cell r="S973" t="e">
            <v>#N/A</v>
          </cell>
          <cell r="T973" t="e">
            <v>#N/A</v>
          </cell>
          <cell r="U973" t="e">
            <v>#N/A</v>
          </cell>
          <cell r="V973" t="e">
            <v>#N/A</v>
          </cell>
          <cell r="W973" t="e">
            <v>#N/A</v>
          </cell>
          <cell r="AA973">
            <v>0</v>
          </cell>
          <cell r="AB973" t="str">
            <v/>
          </cell>
          <cell r="AC973" t="str">
            <v/>
          </cell>
          <cell r="AD973" t="str">
            <v/>
          </cell>
          <cell r="AE973" t="str">
            <v/>
          </cell>
        </row>
        <row r="974">
          <cell r="R974" t="str">
            <v>DOM SWE SWPRM</v>
          </cell>
          <cell r="S974" t="e">
            <v>#N/A</v>
          </cell>
          <cell r="T974" t="e">
            <v>#N/A</v>
          </cell>
          <cell r="U974" t="e">
            <v>#N/A</v>
          </cell>
          <cell r="V974" t="e">
            <v>#N/A</v>
          </cell>
          <cell r="W974" t="e">
            <v>#N/A</v>
          </cell>
          <cell r="AA974">
            <v>0</v>
          </cell>
          <cell r="AB974" t="str">
            <v/>
          </cell>
          <cell r="AC974" t="str">
            <v/>
          </cell>
          <cell r="AD974" t="str">
            <v/>
          </cell>
          <cell r="AE974" t="str">
            <v/>
          </cell>
        </row>
        <row r="975">
          <cell r="R975" t="str">
            <v>DOM SWE SCN</v>
          </cell>
          <cell r="S975" t="e">
            <v>#N/A</v>
          </cell>
          <cell r="T975" t="e">
            <v>#N/A</v>
          </cell>
          <cell r="U975" t="e">
            <v>#N/A</v>
          </cell>
          <cell r="V975" t="e">
            <v>#N/A</v>
          </cell>
          <cell r="W975" t="e">
            <v>#N/A</v>
          </cell>
          <cell r="AA975">
            <v>0</v>
          </cell>
          <cell r="AB975" t="str">
            <v/>
          </cell>
          <cell r="AC975" t="str">
            <v/>
          </cell>
          <cell r="AD975" t="str">
            <v/>
          </cell>
          <cell r="AE975" t="str">
            <v/>
          </cell>
        </row>
        <row r="976">
          <cell r="R976" t="str">
            <v>DOM SWE SWTLM</v>
          </cell>
          <cell r="S976" t="e">
            <v>#N/A</v>
          </cell>
          <cell r="T976" t="e">
            <v>#N/A</v>
          </cell>
          <cell r="U976" t="e">
            <v>#N/A</v>
          </cell>
          <cell r="V976" t="e">
            <v>#N/A</v>
          </cell>
          <cell r="W976" t="e">
            <v>#N/A</v>
          </cell>
          <cell r="AA976">
            <v>0</v>
          </cell>
          <cell r="AB976" t="str">
            <v/>
          </cell>
          <cell r="AC976" t="str">
            <v/>
          </cell>
          <cell r="AD976" t="str">
            <v/>
          </cell>
          <cell r="AE976" t="str">
            <v/>
          </cell>
        </row>
        <row r="977">
          <cell r="R977" t="str">
            <v>DOM SWE FREE</v>
          </cell>
          <cell r="S977" t="e">
            <v>#N/A</v>
          </cell>
          <cell r="T977" t="e">
            <v>#N/A</v>
          </cell>
          <cell r="U977" t="e">
            <v>#N/A</v>
          </cell>
          <cell r="V977" t="e">
            <v>#N/A</v>
          </cell>
          <cell r="W977" t="e">
            <v>#N/A</v>
          </cell>
          <cell r="AA977">
            <v>0</v>
          </cell>
          <cell r="AB977" t="str">
            <v/>
          </cell>
          <cell r="AC977" t="str">
            <v/>
          </cell>
          <cell r="AD977" t="str">
            <v/>
          </cell>
          <cell r="AE977" t="str">
            <v/>
          </cell>
        </row>
        <row r="978">
          <cell r="R978" t="str">
            <v>DOM CHE ZCHEN</v>
          </cell>
          <cell r="S978" t="e">
            <v>#N/A</v>
          </cell>
          <cell r="T978" t="e">
            <v>#N/A</v>
          </cell>
          <cell r="U978" t="e">
            <v>#N/A</v>
          </cell>
          <cell r="V978" t="e">
            <v>#N/A</v>
          </cell>
          <cell r="W978" t="e">
            <v>#N/A</v>
          </cell>
          <cell r="AA978">
            <v>0</v>
          </cell>
          <cell r="AB978" t="str">
            <v/>
          </cell>
          <cell r="AC978" t="str">
            <v/>
          </cell>
          <cell r="AD978" t="str">
            <v/>
          </cell>
          <cell r="AE978" t="str">
            <v/>
          </cell>
        </row>
        <row r="979">
          <cell r="R979" t="str">
            <v>DOM CHE ZCHE2</v>
          </cell>
          <cell r="S979" t="e">
            <v>#N/A</v>
          </cell>
          <cell r="T979" t="e">
            <v>#N/A</v>
          </cell>
          <cell r="U979" t="e">
            <v>#N/A</v>
          </cell>
          <cell r="V979" t="e">
            <v>#N/A</v>
          </cell>
          <cell r="W979" t="e">
            <v>#N/A</v>
          </cell>
          <cell r="AA979">
            <v>0</v>
          </cell>
          <cell r="AB979" t="str">
            <v/>
          </cell>
          <cell r="AC979" t="str">
            <v/>
          </cell>
          <cell r="AD979" t="str">
            <v/>
          </cell>
          <cell r="AE979" t="str">
            <v/>
          </cell>
        </row>
        <row r="980">
          <cell r="R980" t="str">
            <v>DOM CHE ZCH32</v>
          </cell>
          <cell r="S980" t="e">
            <v>#N/A</v>
          </cell>
          <cell r="T980" t="e">
            <v>#N/A</v>
          </cell>
          <cell r="U980" t="e">
            <v>#N/A</v>
          </cell>
          <cell r="V980" t="e">
            <v>#N/A</v>
          </cell>
          <cell r="W980" t="e">
            <v>#N/A</v>
          </cell>
          <cell r="AA980">
            <v>0</v>
          </cell>
          <cell r="AB980" t="str">
            <v/>
          </cell>
          <cell r="AC980" t="str">
            <v/>
          </cell>
          <cell r="AD980" t="str">
            <v/>
          </cell>
          <cell r="AE980" t="str">
            <v/>
          </cell>
        </row>
        <row r="981">
          <cell r="R981" t="str">
            <v>DOM CHE ZCHM5</v>
          </cell>
          <cell r="S981" t="e">
            <v>#N/A</v>
          </cell>
          <cell r="T981" t="e">
            <v>#N/A</v>
          </cell>
          <cell r="U981" t="e">
            <v>#N/A</v>
          </cell>
          <cell r="V981" t="e">
            <v>#N/A</v>
          </cell>
          <cell r="W981" t="e">
            <v>#N/A</v>
          </cell>
          <cell r="AA981">
            <v>0</v>
          </cell>
          <cell r="AB981" t="str">
            <v/>
          </cell>
          <cell r="AC981" t="str">
            <v/>
          </cell>
          <cell r="AD981" t="str">
            <v/>
          </cell>
          <cell r="AE981" t="str">
            <v/>
          </cell>
        </row>
        <row r="982">
          <cell r="R982" t="str">
            <v>DOM CHE ZCH33</v>
          </cell>
          <cell r="S982" t="e">
            <v>#N/A</v>
          </cell>
          <cell r="T982" t="e">
            <v>#N/A</v>
          </cell>
          <cell r="U982" t="e">
            <v>#N/A</v>
          </cell>
          <cell r="V982" t="e">
            <v>#N/A</v>
          </cell>
          <cell r="W982" t="e">
            <v>#N/A</v>
          </cell>
          <cell r="AA982">
            <v>0</v>
          </cell>
          <cell r="AB982" t="str">
            <v/>
          </cell>
          <cell r="AC982" t="str">
            <v/>
          </cell>
          <cell r="AD982" t="str">
            <v/>
          </cell>
          <cell r="AE982" t="str">
            <v/>
          </cell>
        </row>
        <row r="983">
          <cell r="R983" t="str">
            <v>DOM CHE ZCH24</v>
          </cell>
          <cell r="S983" t="e">
            <v>#N/A</v>
          </cell>
          <cell r="T983" t="e">
            <v>#N/A</v>
          </cell>
          <cell r="U983" t="e">
            <v>#N/A</v>
          </cell>
          <cell r="V983" t="e">
            <v>#N/A</v>
          </cell>
          <cell r="W983" t="e">
            <v>#N/A</v>
          </cell>
          <cell r="AA983">
            <v>0</v>
          </cell>
          <cell r="AB983" t="str">
            <v/>
          </cell>
          <cell r="AC983" t="str">
            <v/>
          </cell>
          <cell r="AD983" t="str">
            <v/>
          </cell>
          <cell r="AE983" t="str">
            <v/>
          </cell>
        </row>
        <row r="984">
          <cell r="R984" t="str">
            <v>DOM CHE ZCH29</v>
          </cell>
          <cell r="S984" t="e">
            <v>#N/A</v>
          </cell>
          <cell r="T984" t="e">
            <v>#N/A</v>
          </cell>
          <cell r="U984" t="e">
            <v>#N/A</v>
          </cell>
          <cell r="V984" t="e">
            <v>#N/A</v>
          </cell>
          <cell r="W984" t="e">
            <v>#N/A</v>
          </cell>
          <cell r="AA984">
            <v>0</v>
          </cell>
          <cell r="AB984" t="str">
            <v/>
          </cell>
          <cell r="AC984" t="str">
            <v/>
          </cell>
          <cell r="AD984" t="str">
            <v/>
          </cell>
          <cell r="AE984" t="str">
            <v/>
          </cell>
        </row>
        <row r="985">
          <cell r="R985" t="str">
            <v>DOM CHE ZCH30</v>
          </cell>
          <cell r="S985" t="e">
            <v>#N/A</v>
          </cell>
          <cell r="T985" t="e">
            <v>#N/A</v>
          </cell>
          <cell r="U985" t="e">
            <v>#N/A</v>
          </cell>
          <cell r="V985" t="e">
            <v>#N/A</v>
          </cell>
          <cell r="W985" t="e">
            <v>#N/A</v>
          </cell>
          <cell r="AA985">
            <v>0</v>
          </cell>
          <cell r="AB985" t="str">
            <v/>
          </cell>
          <cell r="AC985" t="str">
            <v/>
          </cell>
          <cell r="AD985" t="str">
            <v/>
          </cell>
          <cell r="AE985" t="str">
            <v/>
          </cell>
        </row>
        <row r="986">
          <cell r="R986" t="str">
            <v>DOM CHE ZCHCA</v>
          </cell>
          <cell r="S986" t="e">
            <v>#N/A</v>
          </cell>
          <cell r="T986" t="e">
            <v>#N/A</v>
          </cell>
          <cell r="U986" t="e">
            <v>#N/A</v>
          </cell>
          <cell r="V986" t="e">
            <v>#N/A</v>
          </cell>
          <cell r="W986" t="e">
            <v>#N/A</v>
          </cell>
          <cell r="AA986">
            <v>0</v>
          </cell>
          <cell r="AB986" t="str">
            <v/>
          </cell>
          <cell r="AC986" t="str">
            <v/>
          </cell>
          <cell r="AD986" t="str">
            <v/>
          </cell>
          <cell r="AE986" t="str">
            <v/>
          </cell>
        </row>
        <row r="987">
          <cell r="R987" t="str">
            <v>DOM CHE ZCHE0</v>
          </cell>
          <cell r="S987" t="e">
            <v>#N/A</v>
          </cell>
          <cell r="T987" t="e">
            <v>#N/A</v>
          </cell>
          <cell r="U987" t="e">
            <v>#N/A</v>
          </cell>
          <cell r="V987" t="e">
            <v>#N/A</v>
          </cell>
          <cell r="W987" t="e">
            <v>#N/A</v>
          </cell>
          <cell r="AA987">
            <v>0</v>
          </cell>
          <cell r="AB987" t="str">
            <v/>
          </cell>
          <cell r="AC987" t="str">
            <v/>
          </cell>
          <cell r="AD987" t="str">
            <v/>
          </cell>
          <cell r="AE987" t="str">
            <v/>
          </cell>
        </row>
        <row r="988">
          <cell r="R988" t="str">
            <v>DOM CHE ZCHS7</v>
          </cell>
          <cell r="S988" t="e">
            <v>#N/A</v>
          </cell>
          <cell r="T988" t="e">
            <v>#N/A</v>
          </cell>
          <cell r="U988" t="e">
            <v>#N/A</v>
          </cell>
          <cell r="V988" t="e">
            <v>#N/A</v>
          </cell>
          <cell r="W988" t="e">
            <v>#N/A</v>
          </cell>
          <cell r="AA988">
            <v>0</v>
          </cell>
          <cell r="AB988" t="str">
            <v/>
          </cell>
          <cell r="AC988" t="str">
            <v/>
          </cell>
          <cell r="AD988" t="str">
            <v/>
          </cell>
          <cell r="AE988" t="str">
            <v/>
          </cell>
        </row>
        <row r="989">
          <cell r="R989" t="str">
            <v>DOM CHE ZCHS9</v>
          </cell>
          <cell r="S989" t="e">
            <v>#N/A</v>
          </cell>
          <cell r="T989" t="e">
            <v>#N/A</v>
          </cell>
          <cell r="U989" t="e">
            <v>#N/A</v>
          </cell>
          <cell r="V989" t="e">
            <v>#N/A</v>
          </cell>
          <cell r="W989" t="e">
            <v>#N/A</v>
          </cell>
          <cell r="AA989">
            <v>0</v>
          </cell>
          <cell r="AB989" t="str">
            <v/>
          </cell>
          <cell r="AC989" t="str">
            <v/>
          </cell>
          <cell r="AD989" t="str">
            <v/>
          </cell>
          <cell r="AE989" t="str">
            <v/>
          </cell>
        </row>
        <row r="990">
          <cell r="R990" t="str">
            <v>DOM CHE ZCHS8</v>
          </cell>
          <cell r="S990" t="e">
            <v>#N/A</v>
          </cell>
          <cell r="T990" t="e">
            <v>#N/A</v>
          </cell>
          <cell r="U990" t="e">
            <v>#N/A</v>
          </cell>
          <cell r="V990" t="e">
            <v>#N/A</v>
          </cell>
          <cell r="W990" t="e">
            <v>#N/A</v>
          </cell>
          <cell r="AA990">
            <v>0</v>
          </cell>
          <cell r="AB990" t="str">
            <v/>
          </cell>
          <cell r="AC990" t="str">
            <v/>
          </cell>
          <cell r="AD990" t="str">
            <v/>
          </cell>
          <cell r="AE990" t="str">
            <v/>
          </cell>
        </row>
        <row r="991">
          <cell r="R991" t="str">
            <v>DOM CHE ZCHEU</v>
          </cell>
          <cell r="S991" t="e">
            <v>#N/A</v>
          </cell>
          <cell r="T991" t="e">
            <v>#N/A</v>
          </cell>
          <cell r="U991" t="e">
            <v>#N/A</v>
          </cell>
          <cell r="V991" t="e">
            <v>#N/A</v>
          </cell>
          <cell r="W991" t="e">
            <v>#N/A</v>
          </cell>
          <cell r="AA991">
            <v>0</v>
          </cell>
          <cell r="AB991" t="str">
            <v/>
          </cell>
          <cell r="AC991" t="str">
            <v/>
          </cell>
          <cell r="AD991" t="str">
            <v/>
          </cell>
          <cell r="AE991" t="str">
            <v/>
          </cell>
        </row>
        <row r="992">
          <cell r="R992" t="str">
            <v>DOM CHE ZCH31</v>
          </cell>
          <cell r="S992" t="e">
            <v>#N/A</v>
          </cell>
          <cell r="T992" t="e">
            <v>#N/A</v>
          </cell>
          <cell r="U992" t="e">
            <v>#N/A</v>
          </cell>
          <cell r="V992" t="e">
            <v>#N/A</v>
          </cell>
          <cell r="W992" t="e">
            <v>#N/A</v>
          </cell>
          <cell r="AA992">
            <v>0</v>
          </cell>
          <cell r="AB992" t="str">
            <v/>
          </cell>
          <cell r="AC992" t="str">
            <v/>
          </cell>
          <cell r="AD992" t="str">
            <v/>
          </cell>
          <cell r="AE992" t="str">
            <v/>
          </cell>
        </row>
        <row r="993">
          <cell r="R993" t="str">
            <v>DOM CHE ZCHPG</v>
          </cell>
          <cell r="S993" t="e">
            <v>#N/A</v>
          </cell>
          <cell r="T993" t="e">
            <v>#N/A</v>
          </cell>
          <cell r="U993" t="e">
            <v>#N/A</v>
          </cell>
          <cell r="V993" t="e">
            <v>#N/A</v>
          </cell>
          <cell r="W993" t="e">
            <v>#N/A</v>
          </cell>
          <cell r="AA993">
            <v>0</v>
          </cell>
          <cell r="AB993" t="str">
            <v/>
          </cell>
          <cell r="AC993" t="str">
            <v/>
          </cell>
          <cell r="AD993" t="str">
            <v/>
          </cell>
          <cell r="AE993" t="str">
            <v/>
          </cell>
        </row>
        <row r="994">
          <cell r="R994" t="str">
            <v>DOM CHE ZCH27</v>
          </cell>
          <cell r="S994" t="e">
            <v>#N/A</v>
          </cell>
          <cell r="T994" t="e">
            <v>#N/A</v>
          </cell>
          <cell r="U994" t="e">
            <v>#N/A</v>
          </cell>
          <cell r="V994" t="e">
            <v>#N/A</v>
          </cell>
          <cell r="W994" t="e">
            <v>#N/A</v>
          </cell>
          <cell r="AA994">
            <v>0</v>
          </cell>
          <cell r="AB994" t="str">
            <v/>
          </cell>
          <cell r="AC994" t="str">
            <v/>
          </cell>
          <cell r="AD994" t="str">
            <v/>
          </cell>
          <cell r="AE994" t="str">
            <v/>
          </cell>
        </row>
        <row r="995">
          <cell r="R995" t="str">
            <v>DOM CHE ZCH28</v>
          </cell>
          <cell r="S995" t="e">
            <v>#N/A</v>
          </cell>
          <cell r="T995" t="e">
            <v>#N/A</v>
          </cell>
          <cell r="U995" t="e">
            <v>#N/A</v>
          </cell>
          <cell r="V995" t="e">
            <v>#N/A</v>
          </cell>
          <cell r="W995" t="e">
            <v>#N/A</v>
          </cell>
          <cell r="AA995">
            <v>0</v>
          </cell>
          <cell r="AB995" t="str">
            <v/>
          </cell>
          <cell r="AC995" t="str">
            <v/>
          </cell>
          <cell r="AD995" t="str">
            <v/>
          </cell>
          <cell r="AE995" t="str">
            <v/>
          </cell>
        </row>
        <row r="996">
          <cell r="R996" t="str">
            <v>DOM CHE ZCHSC</v>
          </cell>
          <cell r="S996" t="e">
            <v>#N/A</v>
          </cell>
          <cell r="T996" t="e">
            <v>#N/A</v>
          </cell>
          <cell r="U996" t="e">
            <v>#N/A</v>
          </cell>
          <cell r="V996" t="e">
            <v>#N/A</v>
          </cell>
          <cell r="W996" t="e">
            <v>#N/A</v>
          </cell>
          <cell r="AA996">
            <v>0</v>
          </cell>
          <cell r="AB996" t="str">
            <v/>
          </cell>
          <cell r="AC996" t="str">
            <v/>
          </cell>
          <cell r="AD996" t="str">
            <v/>
          </cell>
          <cell r="AE996" t="str">
            <v/>
          </cell>
        </row>
        <row r="997">
          <cell r="R997" t="str">
            <v>DOM CHE ZCHS6</v>
          </cell>
          <cell r="S997" t="e">
            <v>#N/A</v>
          </cell>
          <cell r="T997" t="e">
            <v>#N/A</v>
          </cell>
          <cell r="U997" t="e">
            <v>#N/A</v>
          </cell>
          <cell r="V997" t="e">
            <v>#N/A</v>
          </cell>
          <cell r="W997" t="e">
            <v>#N/A</v>
          </cell>
          <cell r="AA997">
            <v>0</v>
          </cell>
          <cell r="AB997" t="str">
            <v/>
          </cell>
          <cell r="AC997" t="str">
            <v/>
          </cell>
          <cell r="AD997" t="str">
            <v/>
          </cell>
          <cell r="AE997" t="str">
            <v/>
          </cell>
        </row>
        <row r="998">
          <cell r="R998" t="str">
            <v>DOM CHE ZCH25</v>
          </cell>
          <cell r="S998" t="e">
            <v>#N/A</v>
          </cell>
          <cell r="T998" t="e">
            <v>#N/A</v>
          </cell>
          <cell r="U998" t="e">
            <v>#N/A</v>
          </cell>
          <cell r="V998" t="e">
            <v>#N/A</v>
          </cell>
          <cell r="W998" t="e">
            <v>#N/A</v>
          </cell>
          <cell r="AA998">
            <v>0</v>
          </cell>
          <cell r="AB998" t="str">
            <v/>
          </cell>
          <cell r="AC998" t="str">
            <v/>
          </cell>
          <cell r="AD998" t="str">
            <v/>
          </cell>
          <cell r="AE998" t="str">
            <v/>
          </cell>
        </row>
        <row r="999">
          <cell r="R999" t="str">
            <v>DOM CHE ZCH26</v>
          </cell>
          <cell r="S999" t="e">
            <v>#N/A</v>
          </cell>
          <cell r="T999" t="e">
            <v>#N/A</v>
          </cell>
          <cell r="U999" t="e">
            <v>#N/A</v>
          </cell>
          <cell r="V999" t="e">
            <v>#N/A</v>
          </cell>
          <cell r="W999" t="e">
            <v>#N/A</v>
          </cell>
          <cell r="AA999">
            <v>0</v>
          </cell>
          <cell r="AB999" t="str">
            <v/>
          </cell>
          <cell r="AC999" t="str">
            <v/>
          </cell>
          <cell r="AD999" t="str">
            <v/>
          </cell>
          <cell r="AE999" t="str">
            <v/>
          </cell>
        </row>
        <row r="1000">
          <cell r="R1000" t="str">
            <v>DOM CHE ZCHTT</v>
          </cell>
          <cell r="S1000" t="e">
            <v>#N/A</v>
          </cell>
          <cell r="T1000" t="e">
            <v>#N/A</v>
          </cell>
          <cell r="U1000" t="e">
            <v>#N/A</v>
          </cell>
          <cell r="V1000" t="e">
            <v>#N/A</v>
          </cell>
          <cell r="W1000" t="e">
            <v>#N/A</v>
          </cell>
          <cell r="AA1000">
            <v>0</v>
          </cell>
          <cell r="AB1000" t="str">
            <v/>
          </cell>
          <cell r="AC1000" t="str">
            <v/>
          </cell>
          <cell r="AD1000" t="str">
            <v/>
          </cell>
          <cell r="AE1000" t="str">
            <v/>
          </cell>
        </row>
        <row r="1001">
          <cell r="R1001" t="str">
            <v>DOM TWN MOB</v>
          </cell>
          <cell r="S1001" t="e">
            <v>#N/A</v>
          </cell>
          <cell r="T1001" t="e">
            <v>#N/A</v>
          </cell>
          <cell r="U1001" t="e">
            <v>#N/A</v>
          </cell>
          <cell r="V1001" t="e">
            <v>#N/A</v>
          </cell>
          <cell r="W1001" t="e">
            <v>#N/A</v>
          </cell>
          <cell r="AA1001">
            <v>0</v>
          </cell>
          <cell r="AB1001" t="str">
            <v/>
          </cell>
          <cell r="AC1001" t="str">
            <v/>
          </cell>
          <cell r="AD1001" t="str">
            <v/>
          </cell>
          <cell r="AE1001" t="str">
            <v/>
          </cell>
        </row>
        <row r="1002">
          <cell r="R1002" t="str">
            <v>DOM TWN FIX</v>
          </cell>
          <cell r="S1002" t="e">
            <v>#N/A</v>
          </cell>
          <cell r="T1002" t="e">
            <v>#N/A</v>
          </cell>
          <cell r="U1002" t="e">
            <v>#N/A</v>
          </cell>
          <cell r="V1002" t="e">
            <v>#N/A</v>
          </cell>
          <cell r="W1002" t="e">
            <v>#N/A</v>
          </cell>
          <cell r="AA1002">
            <v>0</v>
          </cell>
          <cell r="AB1002" t="str">
            <v/>
          </cell>
          <cell r="AC1002" t="str">
            <v/>
          </cell>
          <cell r="AD1002" t="str">
            <v/>
          </cell>
          <cell r="AE1002" t="str">
            <v/>
          </cell>
        </row>
        <row r="1003">
          <cell r="R1003" t="str">
            <v>DOM TZA TZAMO</v>
          </cell>
          <cell r="S1003" t="e">
            <v>#N/A</v>
          </cell>
          <cell r="T1003" t="e">
            <v>#N/A</v>
          </cell>
          <cell r="U1003" t="e">
            <v>#N/A</v>
          </cell>
          <cell r="V1003" t="e">
            <v>#N/A</v>
          </cell>
          <cell r="W1003" t="e">
            <v>#N/A</v>
          </cell>
          <cell r="AA1003">
            <v>0</v>
          </cell>
          <cell r="AB1003" t="str">
            <v/>
          </cell>
          <cell r="AC1003" t="str">
            <v/>
          </cell>
          <cell r="AD1003" t="str">
            <v/>
          </cell>
          <cell r="AE1003" t="str">
            <v/>
          </cell>
        </row>
        <row r="1004">
          <cell r="R1004" t="str">
            <v>DOM TZA TZA</v>
          </cell>
          <cell r="S1004" t="e">
            <v>#N/A</v>
          </cell>
          <cell r="T1004" t="e">
            <v>#N/A</v>
          </cell>
          <cell r="U1004" t="e">
            <v>#N/A</v>
          </cell>
          <cell r="V1004" t="e">
            <v>#N/A</v>
          </cell>
          <cell r="W1004" t="e">
            <v>#N/A</v>
          </cell>
          <cell r="AA1004">
            <v>0</v>
          </cell>
          <cell r="AB1004" t="str">
            <v/>
          </cell>
          <cell r="AC1004" t="str">
            <v/>
          </cell>
          <cell r="AD1004" t="str">
            <v/>
          </cell>
          <cell r="AE1004" t="str">
            <v/>
          </cell>
        </row>
        <row r="1005">
          <cell r="R1005" t="str">
            <v>DOM USA TFREE</v>
          </cell>
          <cell r="S1005" t="e">
            <v>#N/A</v>
          </cell>
          <cell r="T1005" t="e">
            <v>#N/A</v>
          </cell>
          <cell r="U1005" t="e">
            <v>#N/A</v>
          </cell>
          <cell r="V1005" t="e">
            <v>#N/A</v>
          </cell>
          <cell r="W1005" t="e">
            <v>#N/A</v>
          </cell>
          <cell r="AA1005">
            <v>0</v>
          </cell>
          <cell r="AB1005" t="str">
            <v/>
          </cell>
          <cell r="AC1005" t="str">
            <v/>
          </cell>
          <cell r="AD1005" t="str">
            <v/>
          </cell>
          <cell r="AE1005" t="str">
            <v/>
          </cell>
        </row>
        <row r="1006">
          <cell r="R1006" t="str">
            <v>DOM GBR LDN1</v>
          </cell>
          <cell r="S1006" t="e">
            <v>#N/A</v>
          </cell>
          <cell r="T1006" t="e">
            <v>#N/A</v>
          </cell>
          <cell r="U1006" t="e">
            <v>#N/A</v>
          </cell>
          <cell r="V1006" t="e">
            <v>#N/A</v>
          </cell>
          <cell r="W1006" t="e">
            <v>#N/A</v>
          </cell>
          <cell r="AA1006">
            <v>0</v>
          </cell>
          <cell r="AB1006" t="str">
            <v/>
          </cell>
          <cell r="AC1006" t="str">
            <v/>
          </cell>
          <cell r="AD1006" t="str">
            <v/>
          </cell>
          <cell r="AE1006" t="str">
            <v/>
          </cell>
        </row>
        <row r="1007">
          <cell r="R1007" t="str">
            <v>DOM GBR UKMO2</v>
          </cell>
          <cell r="S1007" t="e">
            <v>#N/A</v>
          </cell>
          <cell r="T1007" t="e">
            <v>#N/A</v>
          </cell>
          <cell r="U1007" t="e">
            <v>#N/A</v>
          </cell>
          <cell r="V1007" t="e">
            <v>#N/A</v>
          </cell>
          <cell r="W1007" t="e">
            <v>#N/A</v>
          </cell>
          <cell r="AA1007">
            <v>0</v>
          </cell>
          <cell r="AB1007" t="str">
            <v/>
          </cell>
          <cell r="AC1007" t="str">
            <v/>
          </cell>
          <cell r="AD1007" t="str">
            <v/>
          </cell>
          <cell r="AE1007" t="str">
            <v/>
          </cell>
        </row>
        <row r="1008">
          <cell r="R1008" t="str">
            <v>DOM GBR UKMOB</v>
          </cell>
          <cell r="S1008" t="e">
            <v>#N/A</v>
          </cell>
          <cell r="T1008" t="e">
            <v>#N/A</v>
          </cell>
          <cell r="U1008" t="e">
            <v>#N/A</v>
          </cell>
          <cell r="V1008" t="e">
            <v>#N/A</v>
          </cell>
          <cell r="W1008" t="e">
            <v>#N/A</v>
          </cell>
          <cell r="AA1008">
            <v>0</v>
          </cell>
          <cell r="AB1008" t="str">
            <v/>
          </cell>
          <cell r="AC1008" t="str">
            <v/>
          </cell>
          <cell r="AD1008" t="str">
            <v/>
          </cell>
          <cell r="AE1008" t="str">
            <v/>
          </cell>
        </row>
        <row r="1009">
          <cell r="R1009" t="str">
            <v>DOM GBR ZC</v>
          </cell>
          <cell r="S1009" t="e">
            <v>#N/A</v>
          </cell>
          <cell r="T1009" t="e">
            <v>#N/A</v>
          </cell>
          <cell r="U1009" t="e">
            <v>#N/A</v>
          </cell>
          <cell r="V1009" t="e">
            <v>#N/A</v>
          </cell>
          <cell r="W1009" t="e">
            <v>#N/A</v>
          </cell>
          <cell r="AA1009">
            <v>0</v>
          </cell>
          <cell r="AB1009" t="str">
            <v/>
          </cell>
          <cell r="AC1009" t="str">
            <v/>
          </cell>
          <cell r="AD1009" t="str">
            <v/>
          </cell>
          <cell r="AE1009" t="str">
            <v/>
          </cell>
        </row>
        <row r="1010">
          <cell r="R1010" t="str">
            <v>DOM GBR ZF</v>
          </cell>
          <cell r="S1010" t="e">
            <v>#N/A</v>
          </cell>
          <cell r="T1010" t="e">
            <v>#N/A</v>
          </cell>
          <cell r="U1010" t="e">
            <v>#N/A</v>
          </cell>
          <cell r="V1010" t="e">
            <v>#N/A</v>
          </cell>
          <cell r="W1010" t="e">
            <v>#N/A</v>
          </cell>
          <cell r="AA1010">
            <v>0</v>
          </cell>
          <cell r="AB1010" t="str">
            <v/>
          </cell>
          <cell r="AC1010" t="str">
            <v/>
          </cell>
          <cell r="AD1010" t="str">
            <v/>
          </cell>
          <cell r="AE1010" t="str">
            <v/>
          </cell>
        </row>
        <row r="1011">
          <cell r="R1011" t="str">
            <v>DOM USA ALFIX</v>
          </cell>
          <cell r="S1011" t="e">
            <v>#N/A</v>
          </cell>
          <cell r="T1011" t="e">
            <v>#N/A</v>
          </cell>
          <cell r="U1011" t="e">
            <v>#N/A</v>
          </cell>
          <cell r="V1011" t="e">
            <v>#N/A</v>
          </cell>
          <cell r="W1011" t="e">
            <v>#N/A</v>
          </cell>
          <cell r="AA1011">
            <v>0</v>
          </cell>
          <cell r="AB1011" t="str">
            <v/>
          </cell>
          <cell r="AC1011" t="str">
            <v/>
          </cell>
          <cell r="AD1011" t="str">
            <v/>
          </cell>
          <cell r="AE1011" t="str">
            <v/>
          </cell>
        </row>
        <row r="1012">
          <cell r="R1012" t="str">
            <v>DOM USA AKFIX</v>
          </cell>
          <cell r="S1012" t="e">
            <v>#N/A</v>
          </cell>
          <cell r="T1012" t="e">
            <v>#N/A</v>
          </cell>
          <cell r="U1012" t="e">
            <v>#N/A</v>
          </cell>
          <cell r="V1012" t="e">
            <v>#N/A</v>
          </cell>
          <cell r="W1012" t="e">
            <v>#N/A</v>
          </cell>
          <cell r="AA1012">
            <v>0</v>
          </cell>
          <cell r="AB1012" t="str">
            <v/>
          </cell>
          <cell r="AC1012" t="str">
            <v/>
          </cell>
          <cell r="AD1012" t="str">
            <v/>
          </cell>
          <cell r="AE1012" t="str">
            <v/>
          </cell>
        </row>
        <row r="1013">
          <cell r="R1013" t="str">
            <v>DOM USA AZFIX</v>
          </cell>
          <cell r="S1013" t="e">
            <v>#N/A</v>
          </cell>
          <cell r="T1013" t="e">
            <v>#N/A</v>
          </cell>
          <cell r="U1013" t="e">
            <v>#N/A</v>
          </cell>
          <cell r="V1013" t="e">
            <v>#N/A</v>
          </cell>
          <cell r="W1013" t="e">
            <v>#N/A</v>
          </cell>
          <cell r="AA1013">
            <v>0</v>
          </cell>
          <cell r="AB1013" t="str">
            <v/>
          </cell>
          <cell r="AC1013" t="str">
            <v/>
          </cell>
          <cell r="AD1013" t="str">
            <v/>
          </cell>
          <cell r="AE1013" t="str">
            <v/>
          </cell>
        </row>
        <row r="1014">
          <cell r="R1014" t="str">
            <v>DOM USA ARFIX</v>
          </cell>
          <cell r="S1014" t="e">
            <v>#N/A</v>
          </cell>
          <cell r="T1014" t="e">
            <v>#N/A</v>
          </cell>
          <cell r="U1014" t="e">
            <v>#N/A</v>
          </cell>
          <cell r="V1014" t="e">
            <v>#N/A</v>
          </cell>
          <cell r="W1014" t="e">
            <v>#N/A</v>
          </cell>
          <cell r="AA1014">
            <v>0</v>
          </cell>
          <cell r="AB1014" t="str">
            <v/>
          </cell>
          <cell r="AC1014" t="str">
            <v/>
          </cell>
          <cell r="AD1014" t="str">
            <v/>
          </cell>
          <cell r="AE1014" t="str">
            <v/>
          </cell>
        </row>
        <row r="1015">
          <cell r="R1015" t="str">
            <v>DOM USA CAFIX</v>
          </cell>
          <cell r="S1015" t="e">
            <v>#N/A</v>
          </cell>
          <cell r="T1015" t="e">
            <v>#N/A</v>
          </cell>
          <cell r="U1015" t="e">
            <v>#N/A</v>
          </cell>
          <cell r="V1015" t="e">
            <v>#N/A</v>
          </cell>
          <cell r="W1015" t="e">
            <v>#N/A</v>
          </cell>
          <cell r="AA1015">
            <v>0</v>
          </cell>
          <cell r="AB1015" t="str">
            <v/>
          </cell>
          <cell r="AC1015" t="str">
            <v/>
          </cell>
          <cell r="AD1015" t="str">
            <v/>
          </cell>
          <cell r="AE1015" t="str">
            <v/>
          </cell>
        </row>
        <row r="1016">
          <cell r="R1016" t="str">
            <v>DOM USA COFIX</v>
          </cell>
          <cell r="S1016" t="e">
            <v>#N/A</v>
          </cell>
          <cell r="T1016" t="e">
            <v>#N/A</v>
          </cell>
          <cell r="U1016" t="e">
            <v>#N/A</v>
          </cell>
          <cell r="V1016" t="e">
            <v>#N/A</v>
          </cell>
          <cell r="W1016" t="e">
            <v>#N/A</v>
          </cell>
          <cell r="AA1016">
            <v>0</v>
          </cell>
          <cell r="AB1016" t="str">
            <v/>
          </cell>
          <cell r="AC1016" t="str">
            <v/>
          </cell>
          <cell r="AD1016" t="str">
            <v/>
          </cell>
          <cell r="AE1016" t="str">
            <v/>
          </cell>
        </row>
        <row r="1017">
          <cell r="R1017" t="str">
            <v>DOM USA CTFIX</v>
          </cell>
          <cell r="S1017" t="e">
            <v>#N/A</v>
          </cell>
          <cell r="T1017" t="e">
            <v>#N/A</v>
          </cell>
          <cell r="U1017" t="e">
            <v>#N/A</v>
          </cell>
          <cell r="V1017" t="e">
            <v>#N/A</v>
          </cell>
          <cell r="W1017" t="e">
            <v>#N/A</v>
          </cell>
          <cell r="AA1017">
            <v>0</v>
          </cell>
          <cell r="AB1017" t="str">
            <v/>
          </cell>
          <cell r="AC1017" t="str">
            <v/>
          </cell>
          <cell r="AD1017" t="str">
            <v/>
          </cell>
          <cell r="AE1017" t="str">
            <v/>
          </cell>
        </row>
        <row r="1018">
          <cell r="R1018" t="str">
            <v>DOM USA DEFIX</v>
          </cell>
          <cell r="S1018" t="e">
            <v>#N/A</v>
          </cell>
          <cell r="T1018" t="e">
            <v>#N/A</v>
          </cell>
          <cell r="U1018" t="e">
            <v>#N/A</v>
          </cell>
          <cell r="V1018" t="e">
            <v>#N/A</v>
          </cell>
          <cell r="W1018" t="e">
            <v>#N/A</v>
          </cell>
          <cell r="AA1018">
            <v>0</v>
          </cell>
          <cell r="AB1018" t="str">
            <v/>
          </cell>
          <cell r="AC1018" t="str">
            <v/>
          </cell>
          <cell r="AD1018" t="str">
            <v/>
          </cell>
          <cell r="AE1018" t="str">
            <v/>
          </cell>
        </row>
        <row r="1019">
          <cell r="R1019" t="str">
            <v>DOM USA FLFIX</v>
          </cell>
          <cell r="S1019" t="e">
            <v>#N/A</v>
          </cell>
          <cell r="T1019" t="e">
            <v>#N/A</v>
          </cell>
          <cell r="U1019" t="e">
            <v>#N/A</v>
          </cell>
          <cell r="V1019" t="e">
            <v>#N/A</v>
          </cell>
          <cell r="W1019" t="e">
            <v>#N/A</v>
          </cell>
          <cell r="AA1019">
            <v>0</v>
          </cell>
          <cell r="AB1019" t="str">
            <v/>
          </cell>
          <cell r="AC1019" t="str">
            <v/>
          </cell>
          <cell r="AD1019" t="str">
            <v/>
          </cell>
          <cell r="AE1019" t="str">
            <v/>
          </cell>
        </row>
        <row r="1020">
          <cell r="R1020" t="str">
            <v>DOM USA GAFIX</v>
          </cell>
          <cell r="S1020" t="e">
            <v>#N/A</v>
          </cell>
          <cell r="T1020" t="e">
            <v>#N/A</v>
          </cell>
          <cell r="U1020" t="e">
            <v>#N/A</v>
          </cell>
          <cell r="V1020" t="e">
            <v>#N/A</v>
          </cell>
          <cell r="W1020" t="e">
            <v>#N/A</v>
          </cell>
          <cell r="AA1020">
            <v>0</v>
          </cell>
          <cell r="AB1020" t="str">
            <v/>
          </cell>
          <cell r="AC1020" t="str">
            <v/>
          </cell>
          <cell r="AD1020" t="str">
            <v/>
          </cell>
          <cell r="AE1020" t="str">
            <v/>
          </cell>
        </row>
        <row r="1021">
          <cell r="R1021" t="str">
            <v>DOM USA HIFIX</v>
          </cell>
          <cell r="S1021" t="e">
            <v>#N/A</v>
          </cell>
          <cell r="T1021" t="e">
            <v>#N/A</v>
          </cell>
          <cell r="U1021" t="e">
            <v>#N/A</v>
          </cell>
          <cell r="V1021" t="e">
            <v>#N/A</v>
          </cell>
          <cell r="W1021" t="e">
            <v>#N/A</v>
          </cell>
          <cell r="AA1021">
            <v>0</v>
          </cell>
          <cell r="AB1021" t="str">
            <v/>
          </cell>
          <cell r="AC1021" t="str">
            <v/>
          </cell>
          <cell r="AD1021" t="str">
            <v/>
          </cell>
          <cell r="AE1021" t="str">
            <v/>
          </cell>
        </row>
        <row r="1022">
          <cell r="R1022" t="str">
            <v>DOM USA IDFIX</v>
          </cell>
          <cell r="S1022" t="e">
            <v>#N/A</v>
          </cell>
          <cell r="T1022" t="e">
            <v>#N/A</v>
          </cell>
          <cell r="U1022" t="e">
            <v>#N/A</v>
          </cell>
          <cell r="V1022" t="e">
            <v>#N/A</v>
          </cell>
          <cell r="W1022" t="e">
            <v>#N/A</v>
          </cell>
          <cell r="AA1022">
            <v>0</v>
          </cell>
          <cell r="AB1022" t="str">
            <v/>
          </cell>
          <cell r="AC1022" t="str">
            <v/>
          </cell>
          <cell r="AD1022" t="str">
            <v/>
          </cell>
          <cell r="AE1022" t="str">
            <v/>
          </cell>
        </row>
        <row r="1023">
          <cell r="R1023" t="str">
            <v>DOM USA ILFIX</v>
          </cell>
          <cell r="S1023" t="e">
            <v>#N/A</v>
          </cell>
          <cell r="T1023" t="e">
            <v>#N/A</v>
          </cell>
          <cell r="U1023" t="e">
            <v>#N/A</v>
          </cell>
          <cell r="V1023" t="e">
            <v>#N/A</v>
          </cell>
          <cell r="W1023" t="e">
            <v>#N/A</v>
          </cell>
          <cell r="AA1023">
            <v>0</v>
          </cell>
          <cell r="AB1023" t="str">
            <v/>
          </cell>
          <cell r="AC1023" t="str">
            <v/>
          </cell>
          <cell r="AD1023" t="str">
            <v/>
          </cell>
          <cell r="AE1023" t="str">
            <v/>
          </cell>
        </row>
        <row r="1024">
          <cell r="R1024" t="str">
            <v>DOM USA INFIX</v>
          </cell>
          <cell r="S1024" t="e">
            <v>#N/A</v>
          </cell>
          <cell r="T1024" t="e">
            <v>#N/A</v>
          </cell>
          <cell r="U1024" t="e">
            <v>#N/A</v>
          </cell>
          <cell r="V1024" t="e">
            <v>#N/A</v>
          </cell>
          <cell r="W1024" t="e">
            <v>#N/A</v>
          </cell>
          <cell r="AA1024">
            <v>0</v>
          </cell>
          <cell r="AB1024" t="str">
            <v/>
          </cell>
          <cell r="AC1024" t="str">
            <v/>
          </cell>
          <cell r="AD1024" t="str">
            <v/>
          </cell>
          <cell r="AE1024" t="str">
            <v/>
          </cell>
        </row>
        <row r="1025">
          <cell r="R1025" t="str">
            <v>DOM USA IAFIX</v>
          </cell>
          <cell r="S1025" t="e">
            <v>#N/A</v>
          </cell>
          <cell r="T1025" t="e">
            <v>#N/A</v>
          </cell>
          <cell r="U1025" t="e">
            <v>#N/A</v>
          </cell>
          <cell r="V1025" t="e">
            <v>#N/A</v>
          </cell>
          <cell r="W1025" t="e">
            <v>#N/A</v>
          </cell>
          <cell r="AA1025">
            <v>0</v>
          </cell>
          <cell r="AB1025" t="str">
            <v/>
          </cell>
          <cell r="AC1025" t="str">
            <v/>
          </cell>
          <cell r="AD1025" t="str">
            <v/>
          </cell>
          <cell r="AE1025" t="str">
            <v/>
          </cell>
        </row>
        <row r="1026">
          <cell r="R1026" t="str">
            <v>DOM USA KSFIX</v>
          </cell>
          <cell r="S1026" t="e">
            <v>#N/A</v>
          </cell>
          <cell r="T1026" t="e">
            <v>#N/A</v>
          </cell>
          <cell r="U1026" t="e">
            <v>#N/A</v>
          </cell>
          <cell r="V1026" t="e">
            <v>#N/A</v>
          </cell>
          <cell r="W1026" t="e">
            <v>#N/A</v>
          </cell>
          <cell r="AA1026">
            <v>0</v>
          </cell>
          <cell r="AB1026" t="str">
            <v/>
          </cell>
          <cell r="AC1026" t="str">
            <v/>
          </cell>
          <cell r="AD1026" t="str">
            <v/>
          </cell>
          <cell r="AE1026" t="str">
            <v/>
          </cell>
        </row>
        <row r="1027">
          <cell r="R1027" t="str">
            <v>DOM USA KYFIX</v>
          </cell>
          <cell r="S1027" t="e">
            <v>#N/A</v>
          </cell>
          <cell r="T1027" t="e">
            <v>#N/A</v>
          </cell>
          <cell r="U1027" t="e">
            <v>#N/A</v>
          </cell>
          <cell r="V1027" t="e">
            <v>#N/A</v>
          </cell>
          <cell r="W1027" t="e">
            <v>#N/A</v>
          </cell>
          <cell r="AA1027">
            <v>0</v>
          </cell>
          <cell r="AB1027" t="str">
            <v/>
          </cell>
          <cell r="AC1027" t="str">
            <v/>
          </cell>
          <cell r="AD1027" t="str">
            <v/>
          </cell>
          <cell r="AE1027" t="str">
            <v/>
          </cell>
        </row>
        <row r="1028">
          <cell r="R1028" t="str">
            <v>DOM USA LAFIX</v>
          </cell>
          <cell r="S1028" t="e">
            <v>#N/A</v>
          </cell>
          <cell r="T1028" t="e">
            <v>#N/A</v>
          </cell>
          <cell r="U1028" t="e">
            <v>#N/A</v>
          </cell>
          <cell r="V1028" t="e">
            <v>#N/A</v>
          </cell>
          <cell r="W1028" t="e">
            <v>#N/A</v>
          </cell>
          <cell r="AA1028">
            <v>0</v>
          </cell>
          <cell r="AB1028" t="str">
            <v/>
          </cell>
          <cell r="AC1028" t="str">
            <v/>
          </cell>
          <cell r="AD1028" t="str">
            <v/>
          </cell>
          <cell r="AE1028" t="str">
            <v/>
          </cell>
        </row>
        <row r="1029">
          <cell r="R1029" t="str">
            <v>DOM USA MEFIX</v>
          </cell>
          <cell r="S1029" t="e">
            <v>#N/A</v>
          </cell>
          <cell r="T1029" t="e">
            <v>#N/A</v>
          </cell>
          <cell r="U1029" t="e">
            <v>#N/A</v>
          </cell>
          <cell r="V1029" t="e">
            <v>#N/A</v>
          </cell>
          <cell r="W1029" t="e">
            <v>#N/A</v>
          </cell>
          <cell r="AA1029">
            <v>0</v>
          </cell>
          <cell r="AB1029" t="str">
            <v/>
          </cell>
          <cell r="AC1029" t="str">
            <v/>
          </cell>
          <cell r="AD1029" t="str">
            <v/>
          </cell>
          <cell r="AE1029" t="str">
            <v/>
          </cell>
        </row>
        <row r="1030">
          <cell r="R1030" t="str">
            <v>DOM USA MDFIX</v>
          </cell>
          <cell r="S1030" t="e">
            <v>#N/A</v>
          </cell>
          <cell r="T1030" t="e">
            <v>#N/A</v>
          </cell>
          <cell r="U1030" t="e">
            <v>#N/A</v>
          </cell>
          <cell r="V1030" t="e">
            <v>#N/A</v>
          </cell>
          <cell r="W1030" t="e">
            <v>#N/A</v>
          </cell>
          <cell r="AA1030">
            <v>0</v>
          </cell>
          <cell r="AB1030" t="str">
            <v/>
          </cell>
          <cell r="AC1030" t="str">
            <v/>
          </cell>
          <cell r="AD1030" t="str">
            <v/>
          </cell>
          <cell r="AE1030" t="str">
            <v/>
          </cell>
        </row>
        <row r="1031">
          <cell r="R1031" t="str">
            <v>DOM USA MAFIX</v>
          </cell>
          <cell r="S1031" t="e">
            <v>#N/A</v>
          </cell>
          <cell r="T1031" t="e">
            <v>#N/A</v>
          </cell>
          <cell r="U1031" t="e">
            <v>#N/A</v>
          </cell>
          <cell r="V1031" t="e">
            <v>#N/A</v>
          </cell>
          <cell r="W1031" t="e">
            <v>#N/A</v>
          </cell>
          <cell r="AA1031">
            <v>0</v>
          </cell>
          <cell r="AB1031" t="str">
            <v/>
          </cell>
          <cell r="AC1031" t="str">
            <v/>
          </cell>
          <cell r="AD1031" t="str">
            <v/>
          </cell>
          <cell r="AE1031" t="str">
            <v/>
          </cell>
        </row>
        <row r="1032">
          <cell r="R1032" t="str">
            <v>DOM USA MIFIX</v>
          </cell>
          <cell r="S1032" t="e">
            <v>#N/A</v>
          </cell>
          <cell r="T1032" t="e">
            <v>#N/A</v>
          </cell>
          <cell r="U1032" t="e">
            <v>#N/A</v>
          </cell>
          <cell r="V1032" t="e">
            <v>#N/A</v>
          </cell>
          <cell r="W1032" t="e">
            <v>#N/A</v>
          </cell>
          <cell r="AA1032">
            <v>0</v>
          </cell>
          <cell r="AB1032" t="str">
            <v/>
          </cell>
          <cell r="AC1032" t="str">
            <v/>
          </cell>
          <cell r="AD1032" t="str">
            <v/>
          </cell>
          <cell r="AE1032" t="str">
            <v/>
          </cell>
        </row>
        <row r="1033">
          <cell r="R1033" t="str">
            <v>DOM USA MNFIX</v>
          </cell>
          <cell r="S1033" t="e">
            <v>#N/A</v>
          </cell>
          <cell r="T1033" t="e">
            <v>#N/A</v>
          </cell>
          <cell r="U1033" t="e">
            <v>#N/A</v>
          </cell>
          <cell r="V1033" t="e">
            <v>#N/A</v>
          </cell>
          <cell r="W1033" t="e">
            <v>#N/A</v>
          </cell>
          <cell r="AA1033">
            <v>0</v>
          </cell>
          <cell r="AB1033" t="str">
            <v/>
          </cell>
          <cell r="AC1033" t="str">
            <v/>
          </cell>
          <cell r="AD1033" t="str">
            <v/>
          </cell>
          <cell r="AE1033" t="str">
            <v/>
          </cell>
        </row>
        <row r="1034">
          <cell r="R1034" t="str">
            <v>DOM USA MSFIX</v>
          </cell>
          <cell r="S1034" t="e">
            <v>#N/A</v>
          </cell>
          <cell r="T1034" t="e">
            <v>#N/A</v>
          </cell>
          <cell r="U1034" t="e">
            <v>#N/A</v>
          </cell>
          <cell r="V1034" t="e">
            <v>#N/A</v>
          </cell>
          <cell r="W1034" t="e">
            <v>#N/A</v>
          </cell>
          <cell r="AA1034">
            <v>0</v>
          </cell>
          <cell r="AB1034" t="str">
            <v/>
          </cell>
          <cell r="AC1034" t="str">
            <v/>
          </cell>
          <cell r="AD1034" t="str">
            <v/>
          </cell>
          <cell r="AE1034" t="str">
            <v/>
          </cell>
        </row>
        <row r="1035">
          <cell r="R1035" t="str">
            <v>DOM USA MOFIX</v>
          </cell>
          <cell r="S1035" t="e">
            <v>#N/A</v>
          </cell>
          <cell r="T1035" t="e">
            <v>#N/A</v>
          </cell>
          <cell r="U1035" t="e">
            <v>#N/A</v>
          </cell>
          <cell r="V1035" t="e">
            <v>#N/A</v>
          </cell>
          <cell r="W1035" t="e">
            <v>#N/A</v>
          </cell>
          <cell r="AA1035">
            <v>0</v>
          </cell>
          <cell r="AB1035" t="str">
            <v/>
          </cell>
          <cell r="AC1035" t="str">
            <v/>
          </cell>
          <cell r="AD1035" t="str">
            <v/>
          </cell>
          <cell r="AE1035" t="str">
            <v/>
          </cell>
        </row>
        <row r="1036">
          <cell r="R1036" t="str">
            <v>DOM USA MTFIX</v>
          </cell>
          <cell r="S1036" t="e">
            <v>#N/A</v>
          </cell>
          <cell r="T1036" t="e">
            <v>#N/A</v>
          </cell>
          <cell r="U1036" t="e">
            <v>#N/A</v>
          </cell>
          <cell r="V1036" t="e">
            <v>#N/A</v>
          </cell>
          <cell r="W1036" t="e">
            <v>#N/A</v>
          </cell>
          <cell r="AA1036">
            <v>0</v>
          </cell>
          <cell r="AB1036" t="str">
            <v/>
          </cell>
          <cell r="AC1036" t="str">
            <v/>
          </cell>
          <cell r="AD1036" t="str">
            <v/>
          </cell>
          <cell r="AE1036" t="str">
            <v/>
          </cell>
        </row>
        <row r="1037">
          <cell r="R1037" t="str">
            <v>DOM USA NEFIX</v>
          </cell>
          <cell r="S1037" t="e">
            <v>#N/A</v>
          </cell>
          <cell r="T1037" t="e">
            <v>#N/A</v>
          </cell>
          <cell r="U1037" t="e">
            <v>#N/A</v>
          </cell>
          <cell r="V1037" t="e">
            <v>#N/A</v>
          </cell>
          <cell r="W1037" t="e">
            <v>#N/A</v>
          </cell>
          <cell r="AA1037">
            <v>0</v>
          </cell>
          <cell r="AB1037" t="str">
            <v/>
          </cell>
          <cell r="AC1037" t="str">
            <v/>
          </cell>
          <cell r="AD1037" t="str">
            <v/>
          </cell>
          <cell r="AE1037" t="str">
            <v/>
          </cell>
        </row>
        <row r="1038">
          <cell r="R1038" t="str">
            <v>DOM USA NVFIX</v>
          </cell>
          <cell r="S1038" t="e">
            <v>#N/A</v>
          </cell>
          <cell r="T1038" t="e">
            <v>#N/A</v>
          </cell>
          <cell r="U1038" t="e">
            <v>#N/A</v>
          </cell>
          <cell r="V1038" t="e">
            <v>#N/A</v>
          </cell>
          <cell r="W1038" t="e">
            <v>#N/A</v>
          </cell>
          <cell r="AA1038">
            <v>0</v>
          </cell>
          <cell r="AB1038" t="str">
            <v/>
          </cell>
          <cell r="AC1038" t="str">
            <v/>
          </cell>
          <cell r="AD1038" t="str">
            <v/>
          </cell>
          <cell r="AE1038" t="str">
            <v/>
          </cell>
        </row>
        <row r="1039">
          <cell r="R1039" t="str">
            <v>DOM USA NHFIX</v>
          </cell>
          <cell r="S1039" t="e">
            <v>#N/A</v>
          </cell>
          <cell r="T1039" t="e">
            <v>#N/A</v>
          </cell>
          <cell r="U1039" t="e">
            <v>#N/A</v>
          </cell>
          <cell r="V1039" t="e">
            <v>#N/A</v>
          </cell>
          <cell r="W1039" t="e">
            <v>#N/A</v>
          </cell>
          <cell r="AA1039">
            <v>0</v>
          </cell>
          <cell r="AB1039" t="str">
            <v/>
          </cell>
          <cell r="AC1039" t="str">
            <v/>
          </cell>
          <cell r="AD1039" t="str">
            <v/>
          </cell>
          <cell r="AE1039" t="str">
            <v/>
          </cell>
        </row>
        <row r="1040">
          <cell r="R1040" t="str">
            <v>DOM USA NJFIX</v>
          </cell>
          <cell r="S1040" t="e">
            <v>#N/A</v>
          </cell>
          <cell r="T1040" t="e">
            <v>#N/A</v>
          </cell>
          <cell r="U1040" t="e">
            <v>#N/A</v>
          </cell>
          <cell r="V1040" t="e">
            <v>#N/A</v>
          </cell>
          <cell r="W1040" t="e">
            <v>#N/A</v>
          </cell>
          <cell r="AA1040">
            <v>0</v>
          </cell>
          <cell r="AB1040" t="str">
            <v/>
          </cell>
          <cell r="AC1040" t="str">
            <v/>
          </cell>
          <cell r="AD1040" t="str">
            <v/>
          </cell>
          <cell r="AE1040" t="str">
            <v/>
          </cell>
        </row>
        <row r="1041">
          <cell r="R1041" t="str">
            <v>DOM USA NMFIX</v>
          </cell>
          <cell r="S1041" t="e">
            <v>#N/A</v>
          </cell>
          <cell r="T1041" t="e">
            <v>#N/A</v>
          </cell>
          <cell r="U1041" t="e">
            <v>#N/A</v>
          </cell>
          <cell r="V1041" t="e">
            <v>#N/A</v>
          </cell>
          <cell r="W1041" t="e">
            <v>#N/A</v>
          </cell>
          <cell r="AA1041">
            <v>0</v>
          </cell>
          <cell r="AB1041" t="str">
            <v/>
          </cell>
          <cell r="AC1041" t="str">
            <v/>
          </cell>
          <cell r="AD1041" t="str">
            <v/>
          </cell>
          <cell r="AE1041" t="str">
            <v/>
          </cell>
        </row>
        <row r="1042">
          <cell r="R1042" t="str">
            <v>DOM USA NYFIX</v>
          </cell>
          <cell r="S1042" t="e">
            <v>#N/A</v>
          </cell>
          <cell r="T1042" t="e">
            <v>#N/A</v>
          </cell>
          <cell r="U1042" t="e">
            <v>#N/A</v>
          </cell>
          <cell r="V1042" t="e">
            <v>#N/A</v>
          </cell>
          <cell r="W1042" t="e">
            <v>#N/A</v>
          </cell>
          <cell r="AA1042">
            <v>0</v>
          </cell>
          <cell r="AB1042" t="str">
            <v/>
          </cell>
          <cell r="AC1042" t="str">
            <v/>
          </cell>
          <cell r="AD1042" t="str">
            <v/>
          </cell>
          <cell r="AE1042" t="str">
            <v/>
          </cell>
        </row>
        <row r="1043">
          <cell r="R1043" t="str">
            <v>DOM USA NCFIX</v>
          </cell>
          <cell r="S1043" t="e">
            <v>#N/A</v>
          </cell>
          <cell r="T1043" t="e">
            <v>#N/A</v>
          </cell>
          <cell r="U1043" t="e">
            <v>#N/A</v>
          </cell>
          <cell r="V1043" t="e">
            <v>#N/A</v>
          </cell>
          <cell r="W1043" t="e">
            <v>#N/A</v>
          </cell>
          <cell r="AA1043">
            <v>0</v>
          </cell>
          <cell r="AB1043" t="str">
            <v/>
          </cell>
          <cell r="AC1043" t="str">
            <v/>
          </cell>
          <cell r="AD1043" t="str">
            <v/>
          </cell>
          <cell r="AE1043" t="str">
            <v/>
          </cell>
        </row>
        <row r="1044">
          <cell r="R1044" t="str">
            <v>DOM USA NDFIX</v>
          </cell>
          <cell r="S1044" t="e">
            <v>#N/A</v>
          </cell>
          <cell r="T1044" t="e">
            <v>#N/A</v>
          </cell>
          <cell r="U1044" t="e">
            <v>#N/A</v>
          </cell>
          <cell r="V1044" t="e">
            <v>#N/A</v>
          </cell>
          <cell r="W1044" t="e">
            <v>#N/A</v>
          </cell>
          <cell r="AA1044">
            <v>0</v>
          </cell>
          <cell r="AB1044" t="str">
            <v/>
          </cell>
          <cell r="AC1044" t="str">
            <v/>
          </cell>
          <cell r="AD1044" t="str">
            <v/>
          </cell>
          <cell r="AE1044" t="str">
            <v/>
          </cell>
        </row>
        <row r="1045">
          <cell r="R1045" t="str">
            <v>DOM USA OHFIX</v>
          </cell>
          <cell r="S1045" t="e">
            <v>#N/A</v>
          </cell>
          <cell r="T1045" t="e">
            <v>#N/A</v>
          </cell>
          <cell r="U1045" t="e">
            <v>#N/A</v>
          </cell>
          <cell r="V1045" t="e">
            <v>#N/A</v>
          </cell>
          <cell r="W1045" t="e">
            <v>#N/A</v>
          </cell>
          <cell r="AA1045">
            <v>0</v>
          </cell>
          <cell r="AB1045" t="str">
            <v/>
          </cell>
          <cell r="AC1045" t="str">
            <v/>
          </cell>
          <cell r="AD1045" t="str">
            <v/>
          </cell>
          <cell r="AE1045" t="str">
            <v/>
          </cell>
        </row>
        <row r="1046">
          <cell r="R1046" t="str">
            <v>DOM USA OKFIX</v>
          </cell>
          <cell r="S1046" t="e">
            <v>#N/A</v>
          </cell>
          <cell r="T1046" t="e">
            <v>#N/A</v>
          </cell>
          <cell r="U1046" t="e">
            <v>#N/A</v>
          </cell>
          <cell r="V1046" t="e">
            <v>#N/A</v>
          </cell>
          <cell r="W1046" t="e">
            <v>#N/A</v>
          </cell>
          <cell r="AA1046">
            <v>0</v>
          </cell>
          <cell r="AB1046" t="str">
            <v/>
          </cell>
          <cell r="AC1046" t="str">
            <v/>
          </cell>
          <cell r="AD1046" t="str">
            <v/>
          </cell>
          <cell r="AE1046" t="str">
            <v/>
          </cell>
        </row>
        <row r="1047">
          <cell r="R1047" t="str">
            <v>DOM USA ORFIX</v>
          </cell>
          <cell r="S1047" t="e">
            <v>#N/A</v>
          </cell>
          <cell r="T1047" t="e">
            <v>#N/A</v>
          </cell>
          <cell r="U1047" t="e">
            <v>#N/A</v>
          </cell>
          <cell r="V1047" t="e">
            <v>#N/A</v>
          </cell>
          <cell r="W1047" t="e">
            <v>#N/A</v>
          </cell>
          <cell r="AA1047">
            <v>0</v>
          </cell>
          <cell r="AB1047" t="str">
            <v/>
          </cell>
          <cell r="AC1047" t="str">
            <v/>
          </cell>
          <cell r="AD1047" t="str">
            <v/>
          </cell>
          <cell r="AE1047" t="str">
            <v/>
          </cell>
        </row>
        <row r="1048">
          <cell r="R1048" t="str">
            <v>DOM USA PAFIX</v>
          </cell>
          <cell r="S1048" t="e">
            <v>#N/A</v>
          </cell>
          <cell r="T1048" t="e">
            <v>#N/A</v>
          </cell>
          <cell r="U1048" t="e">
            <v>#N/A</v>
          </cell>
          <cell r="V1048" t="e">
            <v>#N/A</v>
          </cell>
          <cell r="W1048" t="e">
            <v>#N/A</v>
          </cell>
          <cell r="AA1048">
            <v>0</v>
          </cell>
          <cell r="AB1048" t="str">
            <v/>
          </cell>
          <cell r="AC1048" t="str">
            <v/>
          </cell>
          <cell r="AD1048" t="str">
            <v/>
          </cell>
          <cell r="AE1048" t="str">
            <v/>
          </cell>
        </row>
        <row r="1049">
          <cell r="R1049" t="str">
            <v>DOM USA RIFIX</v>
          </cell>
          <cell r="S1049" t="e">
            <v>#N/A</v>
          </cell>
          <cell r="T1049" t="e">
            <v>#N/A</v>
          </cell>
          <cell r="U1049" t="e">
            <v>#N/A</v>
          </cell>
          <cell r="V1049" t="e">
            <v>#N/A</v>
          </cell>
          <cell r="W1049" t="e">
            <v>#N/A</v>
          </cell>
          <cell r="AA1049">
            <v>0</v>
          </cell>
          <cell r="AB1049" t="str">
            <v/>
          </cell>
          <cell r="AC1049" t="str">
            <v/>
          </cell>
          <cell r="AD1049" t="str">
            <v/>
          </cell>
          <cell r="AE1049" t="str">
            <v/>
          </cell>
        </row>
        <row r="1050">
          <cell r="R1050" t="str">
            <v>DOM USA SCFIX</v>
          </cell>
          <cell r="S1050" t="e">
            <v>#N/A</v>
          </cell>
          <cell r="T1050" t="e">
            <v>#N/A</v>
          </cell>
          <cell r="U1050" t="e">
            <v>#N/A</v>
          </cell>
          <cell r="V1050" t="e">
            <v>#N/A</v>
          </cell>
          <cell r="W1050" t="e">
            <v>#N/A</v>
          </cell>
          <cell r="AA1050">
            <v>0</v>
          </cell>
          <cell r="AB1050" t="str">
            <v/>
          </cell>
          <cell r="AC1050" t="str">
            <v/>
          </cell>
          <cell r="AD1050" t="str">
            <v/>
          </cell>
          <cell r="AE1050" t="str">
            <v/>
          </cell>
        </row>
        <row r="1051">
          <cell r="R1051" t="str">
            <v>DOM USA SDFIX</v>
          </cell>
          <cell r="S1051" t="e">
            <v>#N/A</v>
          </cell>
          <cell r="T1051" t="e">
            <v>#N/A</v>
          </cell>
          <cell r="U1051" t="e">
            <v>#N/A</v>
          </cell>
          <cell r="V1051" t="e">
            <v>#N/A</v>
          </cell>
          <cell r="W1051" t="e">
            <v>#N/A</v>
          </cell>
          <cell r="AA1051">
            <v>0</v>
          </cell>
          <cell r="AB1051" t="str">
            <v/>
          </cell>
          <cell r="AC1051" t="str">
            <v/>
          </cell>
          <cell r="AD1051" t="str">
            <v/>
          </cell>
          <cell r="AE1051" t="str">
            <v/>
          </cell>
        </row>
        <row r="1052">
          <cell r="R1052" t="str">
            <v>DOM USA TNFIX</v>
          </cell>
          <cell r="S1052" t="e">
            <v>#N/A</v>
          </cell>
          <cell r="T1052" t="e">
            <v>#N/A</v>
          </cell>
          <cell r="U1052" t="e">
            <v>#N/A</v>
          </cell>
          <cell r="V1052" t="e">
            <v>#N/A</v>
          </cell>
          <cell r="W1052" t="e">
            <v>#N/A</v>
          </cell>
          <cell r="AA1052">
            <v>0</v>
          </cell>
          <cell r="AB1052" t="str">
            <v/>
          </cell>
          <cell r="AC1052" t="str">
            <v/>
          </cell>
          <cell r="AD1052" t="str">
            <v/>
          </cell>
          <cell r="AE1052" t="str">
            <v/>
          </cell>
        </row>
        <row r="1053">
          <cell r="R1053" t="str">
            <v>DOM USA TXFIX</v>
          </cell>
          <cell r="S1053" t="e">
            <v>#N/A</v>
          </cell>
          <cell r="T1053" t="e">
            <v>#N/A</v>
          </cell>
          <cell r="U1053" t="e">
            <v>#N/A</v>
          </cell>
          <cell r="V1053" t="e">
            <v>#N/A</v>
          </cell>
          <cell r="W1053" t="e">
            <v>#N/A</v>
          </cell>
          <cell r="AA1053">
            <v>0</v>
          </cell>
          <cell r="AB1053" t="str">
            <v/>
          </cell>
          <cell r="AC1053" t="str">
            <v/>
          </cell>
          <cell r="AD1053" t="str">
            <v/>
          </cell>
          <cell r="AE1053" t="str">
            <v/>
          </cell>
        </row>
        <row r="1054">
          <cell r="R1054" t="str">
            <v>DOM USA UTFIX</v>
          </cell>
          <cell r="S1054" t="e">
            <v>#N/A</v>
          </cell>
          <cell r="T1054" t="e">
            <v>#N/A</v>
          </cell>
          <cell r="U1054" t="e">
            <v>#N/A</v>
          </cell>
          <cell r="V1054" t="e">
            <v>#N/A</v>
          </cell>
          <cell r="W1054" t="e">
            <v>#N/A</v>
          </cell>
          <cell r="AA1054">
            <v>0</v>
          </cell>
          <cell r="AB1054" t="str">
            <v/>
          </cell>
          <cell r="AC1054" t="str">
            <v/>
          </cell>
          <cell r="AD1054" t="str">
            <v/>
          </cell>
          <cell r="AE1054" t="str">
            <v/>
          </cell>
        </row>
        <row r="1055">
          <cell r="R1055" t="str">
            <v>DOM USA VTFIX</v>
          </cell>
          <cell r="S1055" t="e">
            <v>#N/A</v>
          </cell>
          <cell r="T1055" t="e">
            <v>#N/A</v>
          </cell>
          <cell r="U1055" t="e">
            <v>#N/A</v>
          </cell>
          <cell r="V1055" t="e">
            <v>#N/A</v>
          </cell>
          <cell r="W1055" t="e">
            <v>#N/A</v>
          </cell>
          <cell r="AA1055">
            <v>0</v>
          </cell>
          <cell r="AB1055" t="str">
            <v/>
          </cell>
          <cell r="AC1055" t="str">
            <v/>
          </cell>
          <cell r="AD1055" t="str">
            <v/>
          </cell>
          <cell r="AE1055" t="str">
            <v/>
          </cell>
        </row>
        <row r="1056">
          <cell r="R1056" t="str">
            <v>DOM USA VAFIX</v>
          </cell>
          <cell r="S1056" t="e">
            <v>#N/A</v>
          </cell>
          <cell r="T1056" t="e">
            <v>#N/A</v>
          </cell>
          <cell r="U1056" t="e">
            <v>#N/A</v>
          </cell>
          <cell r="V1056" t="e">
            <v>#N/A</v>
          </cell>
          <cell r="W1056" t="e">
            <v>#N/A</v>
          </cell>
          <cell r="AA1056">
            <v>0</v>
          </cell>
          <cell r="AB1056" t="str">
            <v/>
          </cell>
          <cell r="AC1056" t="str">
            <v/>
          </cell>
          <cell r="AD1056" t="str">
            <v/>
          </cell>
          <cell r="AE1056" t="str">
            <v/>
          </cell>
        </row>
        <row r="1057">
          <cell r="R1057" t="str">
            <v>DOM USA WAFIX</v>
          </cell>
          <cell r="S1057" t="e">
            <v>#N/A</v>
          </cell>
          <cell r="T1057" t="e">
            <v>#N/A</v>
          </cell>
          <cell r="U1057" t="e">
            <v>#N/A</v>
          </cell>
          <cell r="V1057" t="e">
            <v>#N/A</v>
          </cell>
          <cell r="W1057" t="e">
            <v>#N/A</v>
          </cell>
          <cell r="AA1057">
            <v>0</v>
          </cell>
          <cell r="AB1057" t="str">
            <v/>
          </cell>
          <cell r="AC1057" t="str">
            <v/>
          </cell>
          <cell r="AD1057" t="str">
            <v/>
          </cell>
          <cell r="AE1057" t="str">
            <v/>
          </cell>
        </row>
        <row r="1058">
          <cell r="R1058" t="str">
            <v>DOM USA DCFIX</v>
          </cell>
          <cell r="S1058" t="e">
            <v>#N/A</v>
          </cell>
          <cell r="T1058" t="e">
            <v>#N/A</v>
          </cell>
          <cell r="U1058" t="e">
            <v>#N/A</v>
          </cell>
          <cell r="V1058" t="e">
            <v>#N/A</v>
          </cell>
          <cell r="W1058" t="e">
            <v>#N/A</v>
          </cell>
          <cell r="AA1058">
            <v>0</v>
          </cell>
          <cell r="AB1058" t="str">
            <v/>
          </cell>
          <cell r="AC1058" t="str">
            <v/>
          </cell>
          <cell r="AD1058" t="str">
            <v/>
          </cell>
          <cell r="AE1058" t="str">
            <v/>
          </cell>
        </row>
        <row r="1059">
          <cell r="R1059" t="str">
            <v>DOM USA WVFIX</v>
          </cell>
          <cell r="S1059" t="e">
            <v>#N/A</v>
          </cell>
          <cell r="T1059" t="e">
            <v>#N/A</v>
          </cell>
          <cell r="U1059" t="e">
            <v>#N/A</v>
          </cell>
          <cell r="V1059" t="e">
            <v>#N/A</v>
          </cell>
          <cell r="W1059" t="e">
            <v>#N/A</v>
          </cell>
          <cell r="AA1059">
            <v>0</v>
          </cell>
          <cell r="AB1059" t="str">
            <v/>
          </cell>
          <cell r="AC1059" t="str">
            <v/>
          </cell>
          <cell r="AD1059" t="str">
            <v/>
          </cell>
          <cell r="AE1059" t="str">
            <v/>
          </cell>
        </row>
        <row r="1060">
          <cell r="R1060" t="str">
            <v>DOM USA WIFIX</v>
          </cell>
          <cell r="S1060" t="e">
            <v>#N/A</v>
          </cell>
          <cell r="T1060" t="e">
            <v>#N/A</v>
          </cell>
          <cell r="U1060" t="e">
            <v>#N/A</v>
          </cell>
          <cell r="V1060" t="e">
            <v>#N/A</v>
          </cell>
          <cell r="W1060" t="e">
            <v>#N/A</v>
          </cell>
          <cell r="AA1060">
            <v>0</v>
          </cell>
          <cell r="AB1060" t="str">
            <v/>
          </cell>
          <cell r="AC1060" t="str">
            <v/>
          </cell>
          <cell r="AD1060" t="str">
            <v/>
          </cell>
          <cell r="AE1060" t="str">
            <v/>
          </cell>
        </row>
        <row r="1061">
          <cell r="R1061" t="str">
            <v>DOM USA WYFIX</v>
          </cell>
          <cell r="S1061" t="e">
            <v>#N/A</v>
          </cell>
          <cell r="T1061" t="e">
            <v>#N/A</v>
          </cell>
          <cell r="U1061" t="e">
            <v>#N/A</v>
          </cell>
          <cell r="V1061" t="e">
            <v>#N/A</v>
          </cell>
          <cell r="W1061" t="e">
            <v>#N/A</v>
          </cell>
          <cell r="AA1061">
            <v>0</v>
          </cell>
          <cell r="AB1061" t="str">
            <v/>
          </cell>
          <cell r="AC1061" t="str">
            <v/>
          </cell>
          <cell r="AD1061" t="str">
            <v/>
          </cell>
          <cell r="AE1061" t="str">
            <v/>
          </cell>
        </row>
        <row r="1062">
          <cell r="R1062" t="str">
            <v>DOM VAT VAFIX</v>
          </cell>
          <cell r="S1062" t="e">
            <v>#N/A</v>
          </cell>
          <cell r="T1062" t="e">
            <v>#N/A</v>
          </cell>
          <cell r="U1062" t="e">
            <v>#N/A</v>
          </cell>
          <cell r="V1062" t="e">
            <v>#N/A</v>
          </cell>
          <cell r="W1062" t="e">
            <v>#N/A</v>
          </cell>
          <cell r="AA1062">
            <v>0</v>
          </cell>
          <cell r="AB1062" t="str">
            <v/>
          </cell>
          <cell r="AC1062" t="str">
            <v/>
          </cell>
          <cell r="AD1062" t="str">
            <v/>
          </cell>
          <cell r="AE1062" t="str">
            <v/>
          </cell>
        </row>
        <row r="1063">
          <cell r="R1063" t="str">
            <v>DOM VAT VAMOB</v>
          </cell>
          <cell r="S1063" t="e">
            <v>#N/A</v>
          </cell>
          <cell r="T1063" t="e">
            <v>#N/A</v>
          </cell>
          <cell r="U1063" t="e">
            <v>#N/A</v>
          </cell>
          <cell r="V1063" t="e">
            <v>#N/A</v>
          </cell>
          <cell r="W1063" t="e">
            <v>#N/A</v>
          </cell>
          <cell r="AA1063">
            <v>0</v>
          </cell>
          <cell r="AB1063" t="str">
            <v/>
          </cell>
          <cell r="AC1063" t="str">
            <v/>
          </cell>
          <cell r="AD1063" t="str">
            <v/>
          </cell>
          <cell r="AE1063" t="str">
            <v/>
          </cell>
        </row>
        <row r="1064">
          <cell r="R1064" t="str">
            <v>DOM VIR FIX</v>
          </cell>
          <cell r="S1064" t="e">
            <v>#N/A</v>
          </cell>
          <cell r="T1064" t="e">
            <v>#N/A</v>
          </cell>
          <cell r="U1064" t="e">
            <v>#N/A</v>
          </cell>
          <cell r="V1064" t="e">
            <v>#N/A</v>
          </cell>
          <cell r="W1064" t="e">
            <v>#N/A</v>
          </cell>
          <cell r="AA1064">
            <v>0</v>
          </cell>
          <cell r="AB1064" t="str">
            <v/>
          </cell>
          <cell r="AC1064" t="str">
            <v/>
          </cell>
          <cell r="AD1064" t="str">
            <v/>
          </cell>
          <cell r="AE1064" t="str">
            <v/>
          </cell>
        </row>
        <row r="1065">
          <cell r="R1065" t="str">
            <v>INT AFG</v>
          </cell>
          <cell r="S1065" t="e">
            <v>#N/A</v>
          </cell>
          <cell r="T1065" t="e">
            <v>#N/A</v>
          </cell>
          <cell r="U1065" t="e">
            <v>#N/A</v>
          </cell>
          <cell r="V1065" t="e">
            <v>#N/A</v>
          </cell>
          <cell r="W1065" t="e">
            <v>#N/A</v>
          </cell>
          <cell r="AA1065">
            <v>0</v>
          </cell>
          <cell r="AB1065" t="str">
            <v/>
          </cell>
          <cell r="AC1065" t="str">
            <v/>
          </cell>
          <cell r="AD1065" t="str">
            <v/>
          </cell>
          <cell r="AE1065" t="str">
            <v/>
          </cell>
        </row>
        <row r="1066">
          <cell r="R1066" t="str">
            <v>INT ALB ALBMO</v>
          </cell>
          <cell r="S1066" t="e">
            <v>#N/A</v>
          </cell>
          <cell r="T1066" t="e">
            <v>#N/A</v>
          </cell>
          <cell r="U1066" t="e">
            <v>#N/A</v>
          </cell>
          <cell r="V1066" t="e">
            <v>#N/A</v>
          </cell>
          <cell r="W1066" t="e">
            <v>#N/A</v>
          </cell>
          <cell r="AA1066">
            <v>0</v>
          </cell>
          <cell r="AB1066" t="str">
            <v/>
          </cell>
          <cell r="AC1066" t="str">
            <v/>
          </cell>
          <cell r="AD1066" t="str">
            <v/>
          </cell>
          <cell r="AE1066" t="str">
            <v/>
          </cell>
        </row>
        <row r="1067">
          <cell r="R1067" t="str">
            <v>INT ALB</v>
          </cell>
          <cell r="S1067" t="e">
            <v>#N/A</v>
          </cell>
          <cell r="T1067" t="e">
            <v>#N/A</v>
          </cell>
          <cell r="U1067" t="e">
            <v>#N/A</v>
          </cell>
          <cell r="V1067" t="e">
            <v>#N/A</v>
          </cell>
          <cell r="W1067" t="e">
            <v>#N/A</v>
          </cell>
          <cell r="AA1067">
            <v>0</v>
          </cell>
          <cell r="AB1067" t="str">
            <v/>
          </cell>
          <cell r="AC1067" t="str">
            <v/>
          </cell>
          <cell r="AD1067" t="str">
            <v/>
          </cell>
          <cell r="AE1067" t="str">
            <v/>
          </cell>
        </row>
        <row r="1068">
          <cell r="R1068" t="str">
            <v>INT DZA DZAMO</v>
          </cell>
          <cell r="S1068" t="e">
            <v>#N/A</v>
          </cell>
          <cell r="T1068" t="e">
            <v>#N/A</v>
          </cell>
          <cell r="U1068" t="e">
            <v>#N/A</v>
          </cell>
          <cell r="V1068" t="e">
            <v>#N/A</v>
          </cell>
          <cell r="W1068" t="e">
            <v>#N/A</v>
          </cell>
          <cell r="AA1068">
            <v>0</v>
          </cell>
          <cell r="AB1068" t="str">
            <v/>
          </cell>
          <cell r="AC1068" t="str">
            <v/>
          </cell>
          <cell r="AD1068" t="str">
            <v/>
          </cell>
          <cell r="AE1068" t="str">
            <v/>
          </cell>
        </row>
        <row r="1069">
          <cell r="R1069" t="str">
            <v>INT DZA</v>
          </cell>
          <cell r="S1069" t="e">
            <v>#N/A</v>
          </cell>
          <cell r="T1069" t="e">
            <v>#N/A</v>
          </cell>
          <cell r="U1069" t="e">
            <v>#N/A</v>
          </cell>
          <cell r="V1069" t="e">
            <v>#N/A</v>
          </cell>
          <cell r="W1069" t="e">
            <v>#N/A</v>
          </cell>
          <cell r="AA1069">
            <v>0</v>
          </cell>
          <cell r="AB1069" t="str">
            <v/>
          </cell>
          <cell r="AC1069" t="str">
            <v/>
          </cell>
          <cell r="AD1069" t="str">
            <v/>
          </cell>
          <cell r="AE1069" t="str">
            <v/>
          </cell>
        </row>
        <row r="1070">
          <cell r="R1070" t="str">
            <v>INT ASM</v>
          </cell>
          <cell r="S1070" t="e">
            <v>#N/A</v>
          </cell>
          <cell r="T1070" t="e">
            <v>#N/A</v>
          </cell>
          <cell r="U1070" t="e">
            <v>#N/A</v>
          </cell>
          <cell r="V1070" t="e">
            <v>#N/A</v>
          </cell>
          <cell r="W1070" t="e">
            <v>#N/A</v>
          </cell>
          <cell r="AA1070">
            <v>0</v>
          </cell>
          <cell r="AB1070" t="str">
            <v/>
          </cell>
          <cell r="AC1070" t="str">
            <v/>
          </cell>
          <cell r="AD1070" t="str">
            <v/>
          </cell>
          <cell r="AE1070" t="str">
            <v/>
          </cell>
        </row>
        <row r="1071">
          <cell r="R1071" t="str">
            <v>INT AND ANDMO</v>
          </cell>
          <cell r="S1071" t="e">
            <v>#N/A</v>
          </cell>
          <cell r="T1071" t="e">
            <v>#N/A</v>
          </cell>
          <cell r="U1071" t="e">
            <v>#N/A</v>
          </cell>
          <cell r="V1071" t="e">
            <v>#N/A</v>
          </cell>
          <cell r="W1071" t="e">
            <v>#N/A</v>
          </cell>
          <cell r="AA1071">
            <v>0</v>
          </cell>
          <cell r="AB1071" t="str">
            <v/>
          </cell>
          <cell r="AC1071" t="str">
            <v/>
          </cell>
          <cell r="AD1071" t="str">
            <v/>
          </cell>
          <cell r="AE1071" t="str">
            <v/>
          </cell>
        </row>
        <row r="1072">
          <cell r="R1072" t="str">
            <v>INT AND</v>
          </cell>
          <cell r="S1072" t="e">
            <v>#N/A</v>
          </cell>
          <cell r="T1072" t="e">
            <v>#N/A</v>
          </cell>
          <cell r="U1072" t="e">
            <v>#N/A</v>
          </cell>
          <cell r="V1072" t="e">
            <v>#N/A</v>
          </cell>
          <cell r="W1072" t="e">
            <v>#N/A</v>
          </cell>
          <cell r="AA1072">
            <v>0</v>
          </cell>
          <cell r="AB1072" t="str">
            <v/>
          </cell>
          <cell r="AC1072" t="str">
            <v/>
          </cell>
          <cell r="AD1072" t="str">
            <v/>
          </cell>
          <cell r="AE1072" t="str">
            <v/>
          </cell>
        </row>
        <row r="1073">
          <cell r="R1073" t="str">
            <v>INT AGO AGOMO</v>
          </cell>
          <cell r="S1073" t="e">
            <v>#N/A</v>
          </cell>
          <cell r="T1073" t="e">
            <v>#N/A</v>
          </cell>
          <cell r="U1073" t="e">
            <v>#N/A</v>
          </cell>
          <cell r="V1073" t="e">
            <v>#N/A</v>
          </cell>
          <cell r="W1073" t="e">
            <v>#N/A</v>
          </cell>
          <cell r="AA1073">
            <v>0</v>
          </cell>
          <cell r="AB1073" t="str">
            <v/>
          </cell>
          <cell r="AC1073" t="str">
            <v/>
          </cell>
          <cell r="AD1073" t="str">
            <v/>
          </cell>
          <cell r="AE1073" t="str">
            <v/>
          </cell>
        </row>
        <row r="1074">
          <cell r="R1074" t="str">
            <v>INT AGO</v>
          </cell>
          <cell r="S1074" t="e">
            <v>#N/A</v>
          </cell>
          <cell r="T1074" t="e">
            <v>#N/A</v>
          </cell>
          <cell r="U1074" t="e">
            <v>#N/A</v>
          </cell>
          <cell r="V1074" t="e">
            <v>#N/A</v>
          </cell>
          <cell r="W1074" t="e">
            <v>#N/A</v>
          </cell>
          <cell r="AA1074">
            <v>0</v>
          </cell>
          <cell r="AB1074" t="str">
            <v/>
          </cell>
          <cell r="AC1074" t="str">
            <v/>
          </cell>
          <cell r="AD1074" t="str">
            <v/>
          </cell>
          <cell r="AE1074" t="str">
            <v/>
          </cell>
        </row>
        <row r="1075">
          <cell r="R1075" t="str">
            <v>INT AIA</v>
          </cell>
          <cell r="S1075" t="e">
            <v>#N/A</v>
          </cell>
          <cell r="T1075" t="e">
            <v>#N/A</v>
          </cell>
          <cell r="U1075" t="e">
            <v>#N/A</v>
          </cell>
          <cell r="V1075" t="e">
            <v>#N/A</v>
          </cell>
          <cell r="W1075" t="e">
            <v>#N/A</v>
          </cell>
          <cell r="AA1075">
            <v>0</v>
          </cell>
          <cell r="AB1075" t="str">
            <v/>
          </cell>
          <cell r="AC1075" t="str">
            <v/>
          </cell>
          <cell r="AD1075" t="str">
            <v/>
          </cell>
          <cell r="AE1075" t="str">
            <v/>
          </cell>
        </row>
        <row r="1076">
          <cell r="R1076" t="str">
            <v>INT ATA</v>
          </cell>
          <cell r="S1076" t="e">
            <v>#N/A</v>
          </cell>
          <cell r="T1076" t="e">
            <v>#N/A</v>
          </cell>
          <cell r="U1076" t="e">
            <v>#N/A</v>
          </cell>
          <cell r="V1076" t="e">
            <v>#N/A</v>
          </cell>
          <cell r="W1076" t="e">
            <v>#N/A</v>
          </cell>
          <cell r="AA1076">
            <v>0</v>
          </cell>
          <cell r="AB1076" t="str">
            <v/>
          </cell>
          <cell r="AC1076" t="str">
            <v/>
          </cell>
          <cell r="AD1076" t="str">
            <v/>
          </cell>
          <cell r="AE1076" t="str">
            <v/>
          </cell>
        </row>
        <row r="1077">
          <cell r="R1077" t="str">
            <v>INT ATG</v>
          </cell>
          <cell r="S1077" t="e">
            <v>#N/A</v>
          </cell>
          <cell r="T1077" t="e">
            <v>#N/A</v>
          </cell>
          <cell r="U1077" t="e">
            <v>#N/A</v>
          </cell>
          <cell r="V1077" t="e">
            <v>#N/A</v>
          </cell>
          <cell r="W1077" t="e">
            <v>#N/A</v>
          </cell>
          <cell r="AA1077">
            <v>0</v>
          </cell>
          <cell r="AB1077" t="str">
            <v/>
          </cell>
          <cell r="AC1077" t="str">
            <v/>
          </cell>
          <cell r="AD1077" t="str">
            <v/>
          </cell>
          <cell r="AE1077" t="str">
            <v/>
          </cell>
        </row>
        <row r="1078">
          <cell r="R1078" t="str">
            <v>INT ARG ARGMO</v>
          </cell>
          <cell r="S1078" t="e">
            <v>#N/A</v>
          </cell>
          <cell r="T1078" t="e">
            <v>#N/A</v>
          </cell>
          <cell r="U1078" t="e">
            <v>#N/A</v>
          </cell>
          <cell r="V1078" t="e">
            <v>#N/A</v>
          </cell>
          <cell r="W1078" t="e">
            <v>#N/A</v>
          </cell>
          <cell r="AA1078">
            <v>0</v>
          </cell>
          <cell r="AB1078" t="str">
            <v/>
          </cell>
          <cell r="AC1078" t="str">
            <v/>
          </cell>
          <cell r="AD1078" t="str">
            <v/>
          </cell>
          <cell r="AE1078" t="str">
            <v/>
          </cell>
        </row>
        <row r="1079">
          <cell r="R1079" t="str">
            <v>INT ARG</v>
          </cell>
          <cell r="S1079" t="e">
            <v>#N/A</v>
          </cell>
          <cell r="T1079" t="e">
            <v>#N/A</v>
          </cell>
          <cell r="U1079" t="e">
            <v>#N/A</v>
          </cell>
          <cell r="V1079" t="e">
            <v>#N/A</v>
          </cell>
          <cell r="W1079" t="e">
            <v>#N/A</v>
          </cell>
          <cell r="AA1079">
            <v>0</v>
          </cell>
          <cell r="AB1079" t="str">
            <v/>
          </cell>
          <cell r="AC1079" t="str">
            <v/>
          </cell>
          <cell r="AD1079" t="str">
            <v/>
          </cell>
          <cell r="AE1079" t="str">
            <v/>
          </cell>
        </row>
        <row r="1080">
          <cell r="R1080" t="str">
            <v>INT ARM ARMMO</v>
          </cell>
          <cell r="S1080" t="e">
            <v>#N/A</v>
          </cell>
          <cell r="T1080" t="e">
            <v>#N/A</v>
          </cell>
          <cell r="U1080" t="e">
            <v>#N/A</v>
          </cell>
          <cell r="V1080" t="e">
            <v>#N/A</v>
          </cell>
          <cell r="W1080" t="e">
            <v>#N/A</v>
          </cell>
          <cell r="AA1080">
            <v>0</v>
          </cell>
          <cell r="AB1080" t="str">
            <v/>
          </cell>
          <cell r="AC1080" t="str">
            <v/>
          </cell>
          <cell r="AD1080" t="str">
            <v/>
          </cell>
          <cell r="AE1080" t="str">
            <v/>
          </cell>
        </row>
        <row r="1081">
          <cell r="R1081" t="str">
            <v>INT ARM</v>
          </cell>
          <cell r="S1081" t="e">
            <v>#N/A</v>
          </cell>
          <cell r="T1081" t="e">
            <v>#N/A</v>
          </cell>
          <cell r="U1081" t="e">
            <v>#N/A</v>
          </cell>
          <cell r="V1081" t="e">
            <v>#N/A</v>
          </cell>
          <cell r="W1081" t="e">
            <v>#N/A</v>
          </cell>
          <cell r="AA1081">
            <v>0</v>
          </cell>
          <cell r="AB1081" t="str">
            <v/>
          </cell>
          <cell r="AC1081" t="str">
            <v/>
          </cell>
          <cell r="AD1081" t="str">
            <v/>
          </cell>
          <cell r="AE1081" t="str">
            <v/>
          </cell>
        </row>
        <row r="1082">
          <cell r="R1082" t="str">
            <v>INT ABW ABWMO</v>
          </cell>
          <cell r="S1082" t="e">
            <v>#N/A</v>
          </cell>
          <cell r="T1082" t="e">
            <v>#N/A</v>
          </cell>
          <cell r="U1082" t="e">
            <v>#N/A</v>
          </cell>
          <cell r="V1082" t="e">
            <v>#N/A</v>
          </cell>
          <cell r="W1082" t="e">
            <v>#N/A</v>
          </cell>
          <cell r="AA1082">
            <v>0</v>
          </cell>
          <cell r="AB1082" t="str">
            <v/>
          </cell>
          <cell r="AC1082" t="str">
            <v/>
          </cell>
          <cell r="AD1082" t="str">
            <v/>
          </cell>
          <cell r="AE1082" t="str">
            <v/>
          </cell>
        </row>
        <row r="1083">
          <cell r="R1083" t="str">
            <v>INT ABW</v>
          </cell>
          <cell r="S1083" t="e">
            <v>#N/A</v>
          </cell>
          <cell r="T1083" t="e">
            <v>#N/A</v>
          </cell>
          <cell r="U1083" t="e">
            <v>#N/A</v>
          </cell>
          <cell r="V1083" t="e">
            <v>#N/A</v>
          </cell>
          <cell r="W1083" t="e">
            <v>#N/A</v>
          </cell>
          <cell r="AA1083">
            <v>0</v>
          </cell>
          <cell r="AB1083" t="str">
            <v/>
          </cell>
          <cell r="AC1083" t="str">
            <v/>
          </cell>
          <cell r="AD1083" t="str">
            <v/>
          </cell>
          <cell r="AE1083" t="str">
            <v/>
          </cell>
        </row>
        <row r="1084">
          <cell r="R1084" t="str">
            <v>INT AUS AUSMO</v>
          </cell>
          <cell r="S1084" t="e">
            <v>#N/A</v>
          </cell>
          <cell r="T1084" t="e">
            <v>#N/A</v>
          </cell>
          <cell r="U1084" t="e">
            <v>#N/A</v>
          </cell>
          <cell r="V1084" t="e">
            <v>#N/A</v>
          </cell>
          <cell r="W1084" t="e">
            <v>#N/A</v>
          </cell>
          <cell r="AA1084">
            <v>0</v>
          </cell>
          <cell r="AB1084" t="str">
            <v/>
          </cell>
          <cell r="AC1084" t="str">
            <v/>
          </cell>
          <cell r="AD1084" t="str">
            <v/>
          </cell>
          <cell r="AE1084" t="str">
            <v/>
          </cell>
        </row>
        <row r="1085">
          <cell r="R1085" t="str">
            <v>INT AUS</v>
          </cell>
          <cell r="S1085" t="e">
            <v>#N/A</v>
          </cell>
          <cell r="T1085" t="e">
            <v>#N/A</v>
          </cell>
          <cell r="U1085" t="e">
            <v>#N/A</v>
          </cell>
          <cell r="V1085" t="e">
            <v>#N/A</v>
          </cell>
          <cell r="W1085" t="e">
            <v>#N/A</v>
          </cell>
          <cell r="AA1085">
            <v>0</v>
          </cell>
          <cell r="AB1085" t="str">
            <v/>
          </cell>
          <cell r="AC1085" t="str">
            <v/>
          </cell>
          <cell r="AD1085" t="str">
            <v/>
          </cell>
          <cell r="AE1085" t="str">
            <v/>
          </cell>
        </row>
        <row r="1086">
          <cell r="R1086" t="str">
            <v>INT AUT AUTMO</v>
          </cell>
          <cell r="S1086" t="e">
            <v>#N/A</v>
          </cell>
          <cell r="T1086" t="e">
            <v>#N/A</v>
          </cell>
          <cell r="U1086" t="e">
            <v>#N/A</v>
          </cell>
          <cell r="V1086" t="e">
            <v>#N/A</v>
          </cell>
          <cell r="W1086" t="e">
            <v>#N/A</v>
          </cell>
          <cell r="AA1086">
            <v>0</v>
          </cell>
          <cell r="AB1086" t="str">
            <v/>
          </cell>
          <cell r="AC1086" t="str">
            <v/>
          </cell>
          <cell r="AD1086" t="str">
            <v/>
          </cell>
          <cell r="AE1086" t="str">
            <v/>
          </cell>
        </row>
        <row r="1087">
          <cell r="R1087" t="str">
            <v>INT AUT</v>
          </cell>
          <cell r="S1087" t="e">
            <v>#N/A</v>
          </cell>
          <cell r="T1087" t="e">
            <v>#N/A</v>
          </cell>
          <cell r="U1087" t="e">
            <v>#N/A</v>
          </cell>
          <cell r="V1087" t="e">
            <v>#N/A</v>
          </cell>
          <cell r="W1087" t="e">
            <v>#N/A</v>
          </cell>
          <cell r="AA1087">
            <v>0</v>
          </cell>
          <cell r="AB1087" t="str">
            <v/>
          </cell>
          <cell r="AC1087" t="str">
            <v/>
          </cell>
          <cell r="AD1087" t="str">
            <v/>
          </cell>
          <cell r="AE1087" t="str">
            <v/>
          </cell>
        </row>
        <row r="1088">
          <cell r="R1088" t="str">
            <v>INT AUT AU01I</v>
          </cell>
          <cell r="S1088" t="e">
            <v>#N/A</v>
          </cell>
          <cell r="T1088" t="e">
            <v>#N/A</v>
          </cell>
          <cell r="U1088" t="e">
            <v>#N/A</v>
          </cell>
          <cell r="V1088" t="e">
            <v>#N/A</v>
          </cell>
          <cell r="W1088" t="e">
            <v>#N/A</v>
          </cell>
          <cell r="AA1088">
            <v>0</v>
          </cell>
          <cell r="AB1088" t="str">
            <v/>
          </cell>
          <cell r="AC1088" t="str">
            <v/>
          </cell>
          <cell r="AD1088" t="str">
            <v/>
          </cell>
          <cell r="AE1088" t="str">
            <v/>
          </cell>
        </row>
        <row r="1089">
          <cell r="R1089" t="str">
            <v>INT AUT AU212</v>
          </cell>
          <cell r="S1089" t="e">
            <v>#N/A</v>
          </cell>
          <cell r="T1089" t="e">
            <v>#N/A</v>
          </cell>
          <cell r="U1089" t="e">
            <v>#N/A</v>
          </cell>
          <cell r="V1089" t="e">
            <v>#N/A</v>
          </cell>
          <cell r="W1089" t="e">
            <v>#N/A</v>
          </cell>
          <cell r="AA1089">
            <v>0</v>
          </cell>
          <cell r="AB1089" t="str">
            <v/>
          </cell>
          <cell r="AC1089" t="str">
            <v/>
          </cell>
          <cell r="AD1089" t="str">
            <v/>
          </cell>
          <cell r="AE1089" t="str">
            <v/>
          </cell>
        </row>
        <row r="1090">
          <cell r="R1090" t="str">
            <v>INT AUT AUFRE</v>
          </cell>
          <cell r="S1090" t="e">
            <v>#N/A</v>
          </cell>
          <cell r="T1090" t="e">
            <v>#N/A</v>
          </cell>
          <cell r="U1090" t="e">
            <v>#N/A</v>
          </cell>
          <cell r="V1090" t="e">
            <v>#N/A</v>
          </cell>
          <cell r="W1090" t="e">
            <v>#N/A</v>
          </cell>
          <cell r="AA1090">
            <v>0</v>
          </cell>
          <cell r="AB1090" t="str">
            <v/>
          </cell>
          <cell r="AC1090" t="str">
            <v/>
          </cell>
          <cell r="AD1090" t="str">
            <v/>
          </cell>
          <cell r="AE1090" t="str">
            <v/>
          </cell>
        </row>
        <row r="1091">
          <cell r="R1091" t="str">
            <v>INT AZE AZEMO</v>
          </cell>
          <cell r="S1091" t="e">
            <v>#N/A</v>
          </cell>
          <cell r="T1091" t="e">
            <v>#N/A</v>
          </cell>
          <cell r="U1091" t="e">
            <v>#N/A</v>
          </cell>
          <cell r="V1091" t="e">
            <v>#N/A</v>
          </cell>
          <cell r="W1091" t="e">
            <v>#N/A</v>
          </cell>
          <cell r="AA1091">
            <v>0</v>
          </cell>
          <cell r="AB1091" t="str">
            <v/>
          </cell>
          <cell r="AC1091" t="str">
            <v/>
          </cell>
          <cell r="AD1091" t="str">
            <v/>
          </cell>
          <cell r="AE1091" t="str">
            <v/>
          </cell>
        </row>
        <row r="1092">
          <cell r="R1092" t="str">
            <v>INT AZE</v>
          </cell>
          <cell r="S1092" t="e">
            <v>#N/A</v>
          </cell>
          <cell r="T1092" t="e">
            <v>#N/A</v>
          </cell>
          <cell r="U1092" t="e">
            <v>#N/A</v>
          </cell>
          <cell r="V1092" t="e">
            <v>#N/A</v>
          </cell>
          <cell r="W1092" t="e">
            <v>#N/A</v>
          </cell>
          <cell r="AA1092">
            <v>0</v>
          </cell>
          <cell r="AB1092" t="str">
            <v/>
          </cell>
          <cell r="AC1092" t="str">
            <v/>
          </cell>
          <cell r="AD1092" t="str">
            <v/>
          </cell>
          <cell r="AE1092" t="str">
            <v/>
          </cell>
        </row>
        <row r="1093">
          <cell r="R1093" t="str">
            <v>INT PRT AZO</v>
          </cell>
          <cell r="S1093" t="e">
            <v>#N/A</v>
          </cell>
          <cell r="T1093" t="e">
            <v>#N/A</v>
          </cell>
          <cell r="U1093" t="e">
            <v>#N/A</v>
          </cell>
          <cell r="V1093" t="e">
            <v>#N/A</v>
          </cell>
          <cell r="W1093" t="e">
            <v>#N/A</v>
          </cell>
          <cell r="AA1093">
            <v>0</v>
          </cell>
          <cell r="AB1093" t="str">
            <v/>
          </cell>
          <cell r="AC1093" t="str">
            <v/>
          </cell>
          <cell r="AD1093" t="str">
            <v/>
          </cell>
          <cell r="AE1093" t="str">
            <v/>
          </cell>
        </row>
        <row r="1094">
          <cell r="R1094" t="str">
            <v>INT BHS</v>
          </cell>
          <cell r="S1094" t="e">
            <v>#N/A</v>
          </cell>
          <cell r="T1094" t="e">
            <v>#N/A</v>
          </cell>
          <cell r="U1094" t="e">
            <v>#N/A</v>
          </cell>
          <cell r="V1094" t="e">
            <v>#N/A</v>
          </cell>
          <cell r="W1094" t="e">
            <v>#N/A</v>
          </cell>
          <cell r="AA1094">
            <v>0</v>
          </cell>
          <cell r="AB1094" t="str">
            <v/>
          </cell>
          <cell r="AC1094" t="str">
            <v/>
          </cell>
          <cell r="AD1094" t="str">
            <v/>
          </cell>
          <cell r="AE1094" t="str">
            <v/>
          </cell>
        </row>
        <row r="1095">
          <cell r="R1095" t="str">
            <v>INT BHR</v>
          </cell>
          <cell r="S1095" t="e">
            <v>#N/A</v>
          </cell>
          <cell r="T1095" t="e">
            <v>#N/A</v>
          </cell>
          <cell r="U1095" t="e">
            <v>#N/A</v>
          </cell>
          <cell r="V1095" t="e">
            <v>#N/A</v>
          </cell>
          <cell r="W1095" t="e">
            <v>#N/A</v>
          </cell>
          <cell r="AA1095">
            <v>0</v>
          </cell>
          <cell r="AB1095" t="str">
            <v/>
          </cell>
          <cell r="AC1095" t="str">
            <v/>
          </cell>
          <cell r="AD1095" t="str">
            <v/>
          </cell>
          <cell r="AE1095" t="str">
            <v/>
          </cell>
        </row>
        <row r="1096">
          <cell r="R1096" t="str">
            <v>INT BGH BGHMO</v>
          </cell>
          <cell r="S1096" t="e">
            <v>#N/A</v>
          </cell>
          <cell r="T1096" t="e">
            <v>#N/A</v>
          </cell>
          <cell r="U1096" t="e">
            <v>#N/A</v>
          </cell>
          <cell r="V1096" t="e">
            <v>#N/A</v>
          </cell>
          <cell r="W1096" t="e">
            <v>#N/A</v>
          </cell>
          <cell r="AA1096">
            <v>0</v>
          </cell>
          <cell r="AB1096" t="str">
            <v/>
          </cell>
          <cell r="AC1096" t="str">
            <v/>
          </cell>
          <cell r="AD1096" t="str">
            <v/>
          </cell>
          <cell r="AE1096" t="str">
            <v/>
          </cell>
        </row>
        <row r="1097">
          <cell r="R1097" t="str">
            <v>INT BGH</v>
          </cell>
          <cell r="S1097" t="e">
            <v>#N/A</v>
          </cell>
          <cell r="T1097" t="e">
            <v>#N/A</v>
          </cell>
          <cell r="U1097" t="e">
            <v>#N/A</v>
          </cell>
          <cell r="V1097" t="e">
            <v>#N/A</v>
          </cell>
          <cell r="W1097" t="e">
            <v>#N/A</v>
          </cell>
          <cell r="AA1097">
            <v>0</v>
          </cell>
          <cell r="AB1097" t="str">
            <v/>
          </cell>
          <cell r="AC1097" t="str">
            <v/>
          </cell>
          <cell r="AD1097" t="str">
            <v/>
          </cell>
          <cell r="AE1097" t="str">
            <v/>
          </cell>
        </row>
        <row r="1098">
          <cell r="R1098" t="str">
            <v>INT BRB</v>
          </cell>
          <cell r="S1098" t="e">
            <v>#N/A</v>
          </cell>
          <cell r="T1098" t="e">
            <v>#N/A</v>
          </cell>
          <cell r="U1098" t="e">
            <v>#N/A</v>
          </cell>
          <cell r="V1098" t="e">
            <v>#N/A</v>
          </cell>
          <cell r="W1098" t="e">
            <v>#N/A</v>
          </cell>
          <cell r="AA1098">
            <v>0</v>
          </cell>
          <cell r="AB1098" t="str">
            <v/>
          </cell>
          <cell r="AC1098" t="str">
            <v/>
          </cell>
          <cell r="AD1098" t="str">
            <v/>
          </cell>
          <cell r="AE1098" t="str">
            <v/>
          </cell>
        </row>
        <row r="1099">
          <cell r="R1099" t="str">
            <v>INT BLR BLRMO</v>
          </cell>
          <cell r="S1099" t="e">
            <v>#N/A</v>
          </cell>
          <cell r="T1099" t="e">
            <v>#N/A</v>
          </cell>
          <cell r="U1099" t="e">
            <v>#N/A</v>
          </cell>
          <cell r="V1099" t="e">
            <v>#N/A</v>
          </cell>
          <cell r="W1099" t="e">
            <v>#N/A</v>
          </cell>
          <cell r="AA1099">
            <v>0</v>
          </cell>
          <cell r="AB1099" t="str">
            <v/>
          </cell>
          <cell r="AC1099" t="str">
            <v/>
          </cell>
          <cell r="AD1099" t="str">
            <v/>
          </cell>
          <cell r="AE1099" t="str">
            <v/>
          </cell>
        </row>
        <row r="1100">
          <cell r="R1100" t="str">
            <v>INT BLR</v>
          </cell>
          <cell r="S1100" t="e">
            <v>#N/A</v>
          </cell>
          <cell r="T1100" t="e">
            <v>#N/A</v>
          </cell>
          <cell r="U1100" t="e">
            <v>#N/A</v>
          </cell>
          <cell r="V1100" t="e">
            <v>#N/A</v>
          </cell>
          <cell r="W1100" t="e">
            <v>#N/A</v>
          </cell>
          <cell r="AA1100">
            <v>0</v>
          </cell>
          <cell r="AB1100" t="str">
            <v/>
          </cell>
          <cell r="AC1100" t="str">
            <v/>
          </cell>
          <cell r="AD1100" t="str">
            <v/>
          </cell>
          <cell r="AE1100" t="str">
            <v/>
          </cell>
        </row>
        <row r="1101">
          <cell r="R1101" t="str">
            <v>INT BEL BELMO</v>
          </cell>
          <cell r="S1101" t="e">
            <v>#N/A</v>
          </cell>
          <cell r="T1101" t="e">
            <v>#N/A</v>
          </cell>
          <cell r="U1101" t="e">
            <v>#N/A</v>
          </cell>
          <cell r="V1101" t="e">
            <v>#N/A</v>
          </cell>
          <cell r="W1101" t="e">
            <v>#N/A</v>
          </cell>
          <cell r="AA1101">
            <v>0</v>
          </cell>
          <cell r="AB1101" t="str">
            <v/>
          </cell>
          <cell r="AC1101" t="str">
            <v/>
          </cell>
          <cell r="AD1101" t="str">
            <v/>
          </cell>
          <cell r="AE1101" t="str">
            <v/>
          </cell>
        </row>
        <row r="1102">
          <cell r="R1102" t="str">
            <v>INT BEL BELMB</v>
          </cell>
          <cell r="S1102" t="e">
            <v>#N/A</v>
          </cell>
          <cell r="T1102" t="e">
            <v>#N/A</v>
          </cell>
          <cell r="U1102" t="e">
            <v>#N/A</v>
          </cell>
          <cell r="V1102" t="e">
            <v>#N/A</v>
          </cell>
          <cell r="W1102" t="e">
            <v>#N/A</v>
          </cell>
          <cell r="AA1102">
            <v>0</v>
          </cell>
          <cell r="AB1102" t="str">
            <v/>
          </cell>
          <cell r="AC1102" t="str">
            <v/>
          </cell>
          <cell r="AD1102" t="str">
            <v/>
          </cell>
          <cell r="AE1102" t="str">
            <v/>
          </cell>
        </row>
        <row r="1103">
          <cell r="R1103" t="str">
            <v>INT BEL</v>
          </cell>
          <cell r="S1103" t="e">
            <v>#N/A</v>
          </cell>
          <cell r="T1103" t="e">
            <v>#N/A</v>
          </cell>
          <cell r="U1103" t="e">
            <v>#N/A</v>
          </cell>
          <cell r="V1103" t="e">
            <v>#N/A</v>
          </cell>
          <cell r="W1103" t="e">
            <v>#N/A</v>
          </cell>
          <cell r="AA1103">
            <v>0</v>
          </cell>
          <cell r="AB1103" t="str">
            <v/>
          </cell>
          <cell r="AC1103" t="str">
            <v/>
          </cell>
          <cell r="AD1103" t="str">
            <v/>
          </cell>
          <cell r="AE1103" t="str">
            <v/>
          </cell>
        </row>
        <row r="1104">
          <cell r="R1104" t="str">
            <v>INT BEL PRM9</v>
          </cell>
          <cell r="S1104" t="e">
            <v>#N/A</v>
          </cell>
          <cell r="T1104" t="e">
            <v>#N/A</v>
          </cell>
          <cell r="U1104" t="e">
            <v>#N/A</v>
          </cell>
          <cell r="V1104" t="e">
            <v>#N/A</v>
          </cell>
          <cell r="W1104" t="e">
            <v>#N/A</v>
          </cell>
          <cell r="AA1104">
            <v>0</v>
          </cell>
          <cell r="AB1104" t="str">
            <v/>
          </cell>
          <cell r="AC1104" t="str">
            <v/>
          </cell>
          <cell r="AD1104" t="str">
            <v/>
          </cell>
          <cell r="AE1104" t="str">
            <v/>
          </cell>
        </row>
        <row r="1105">
          <cell r="R1105" t="str">
            <v>INT BEL SCS</v>
          </cell>
          <cell r="S1105" t="e">
            <v>#N/A</v>
          </cell>
          <cell r="T1105" t="e">
            <v>#N/A</v>
          </cell>
          <cell r="U1105" t="e">
            <v>#N/A</v>
          </cell>
          <cell r="V1105" t="e">
            <v>#N/A</v>
          </cell>
          <cell r="W1105" t="e">
            <v>#N/A</v>
          </cell>
          <cell r="AA1105">
            <v>0</v>
          </cell>
          <cell r="AB1105" t="str">
            <v/>
          </cell>
          <cell r="AC1105" t="str">
            <v/>
          </cell>
          <cell r="AD1105" t="str">
            <v/>
          </cell>
          <cell r="AE1105" t="str">
            <v/>
          </cell>
        </row>
        <row r="1106">
          <cell r="R1106" t="str">
            <v>INT BEL DTFN</v>
          </cell>
          <cell r="S1106" t="e">
            <v>#N/A</v>
          </cell>
          <cell r="T1106" t="e">
            <v>#N/A</v>
          </cell>
          <cell r="U1106" t="e">
            <v>#N/A</v>
          </cell>
          <cell r="V1106" t="e">
            <v>#N/A</v>
          </cell>
          <cell r="W1106" t="e">
            <v>#N/A</v>
          </cell>
          <cell r="AA1106">
            <v>0</v>
          </cell>
          <cell r="AB1106" t="str">
            <v/>
          </cell>
          <cell r="AC1106" t="str">
            <v/>
          </cell>
          <cell r="AD1106" t="str">
            <v/>
          </cell>
          <cell r="AE1106" t="str">
            <v/>
          </cell>
        </row>
        <row r="1107">
          <cell r="R1107" t="str">
            <v>INT BLZ BLZMO</v>
          </cell>
          <cell r="S1107" t="e">
            <v>#N/A</v>
          </cell>
          <cell r="T1107" t="e">
            <v>#N/A</v>
          </cell>
          <cell r="U1107" t="e">
            <v>#N/A</v>
          </cell>
          <cell r="V1107" t="e">
            <v>#N/A</v>
          </cell>
          <cell r="W1107" t="e">
            <v>#N/A</v>
          </cell>
          <cell r="AA1107">
            <v>0</v>
          </cell>
          <cell r="AB1107" t="str">
            <v/>
          </cell>
          <cell r="AC1107" t="str">
            <v/>
          </cell>
          <cell r="AD1107" t="str">
            <v/>
          </cell>
          <cell r="AE1107" t="str">
            <v/>
          </cell>
        </row>
        <row r="1108">
          <cell r="R1108" t="str">
            <v>INT BLZ</v>
          </cell>
          <cell r="S1108" t="e">
            <v>#N/A</v>
          </cell>
          <cell r="T1108" t="e">
            <v>#N/A</v>
          </cell>
          <cell r="U1108" t="e">
            <v>#N/A</v>
          </cell>
          <cell r="V1108" t="e">
            <v>#N/A</v>
          </cell>
          <cell r="W1108" t="e">
            <v>#N/A</v>
          </cell>
          <cell r="AA1108">
            <v>0</v>
          </cell>
          <cell r="AB1108" t="str">
            <v/>
          </cell>
          <cell r="AC1108" t="str">
            <v/>
          </cell>
          <cell r="AD1108" t="str">
            <v/>
          </cell>
          <cell r="AE1108" t="str">
            <v/>
          </cell>
        </row>
        <row r="1109">
          <cell r="R1109" t="str">
            <v>INT BEN BENMO</v>
          </cell>
          <cell r="S1109" t="e">
            <v>#N/A</v>
          </cell>
          <cell r="T1109" t="e">
            <v>#N/A</v>
          </cell>
          <cell r="U1109" t="e">
            <v>#N/A</v>
          </cell>
          <cell r="V1109" t="e">
            <v>#N/A</v>
          </cell>
          <cell r="W1109" t="e">
            <v>#N/A</v>
          </cell>
          <cell r="AA1109">
            <v>0</v>
          </cell>
          <cell r="AB1109" t="str">
            <v/>
          </cell>
          <cell r="AC1109" t="str">
            <v/>
          </cell>
          <cell r="AD1109" t="str">
            <v/>
          </cell>
          <cell r="AE1109" t="str">
            <v/>
          </cell>
        </row>
        <row r="1110">
          <cell r="R1110" t="str">
            <v>INT BEN</v>
          </cell>
          <cell r="S1110" t="e">
            <v>#N/A</v>
          </cell>
          <cell r="T1110" t="e">
            <v>#N/A</v>
          </cell>
          <cell r="U1110" t="e">
            <v>#N/A</v>
          </cell>
          <cell r="V1110" t="e">
            <v>#N/A</v>
          </cell>
          <cell r="W1110" t="e">
            <v>#N/A</v>
          </cell>
          <cell r="AA1110">
            <v>0</v>
          </cell>
          <cell r="AB1110" t="str">
            <v/>
          </cell>
          <cell r="AC1110" t="str">
            <v/>
          </cell>
          <cell r="AD1110" t="str">
            <v/>
          </cell>
          <cell r="AE1110" t="str">
            <v/>
          </cell>
        </row>
        <row r="1111">
          <cell r="R1111" t="str">
            <v>INT BMU</v>
          </cell>
          <cell r="S1111" t="e">
            <v>#N/A</v>
          </cell>
          <cell r="T1111" t="e">
            <v>#N/A</v>
          </cell>
          <cell r="U1111" t="e">
            <v>#N/A</v>
          </cell>
          <cell r="V1111" t="e">
            <v>#N/A</v>
          </cell>
          <cell r="W1111" t="e">
            <v>#N/A</v>
          </cell>
          <cell r="AA1111">
            <v>0</v>
          </cell>
          <cell r="AB1111" t="str">
            <v/>
          </cell>
          <cell r="AC1111" t="str">
            <v/>
          </cell>
          <cell r="AD1111" t="str">
            <v/>
          </cell>
          <cell r="AE1111" t="str">
            <v/>
          </cell>
        </row>
        <row r="1112">
          <cell r="R1112" t="str">
            <v>INT BTN</v>
          </cell>
          <cell r="S1112" t="e">
            <v>#N/A</v>
          </cell>
          <cell r="T1112" t="e">
            <v>#N/A</v>
          </cell>
          <cell r="U1112" t="e">
            <v>#N/A</v>
          </cell>
          <cell r="V1112" t="e">
            <v>#N/A</v>
          </cell>
          <cell r="W1112" t="e">
            <v>#N/A</v>
          </cell>
          <cell r="AA1112">
            <v>0</v>
          </cell>
          <cell r="AB1112" t="str">
            <v/>
          </cell>
          <cell r="AC1112" t="str">
            <v/>
          </cell>
          <cell r="AD1112" t="str">
            <v/>
          </cell>
          <cell r="AE1112" t="str">
            <v/>
          </cell>
        </row>
        <row r="1113">
          <cell r="R1113" t="str">
            <v>INT BOL BOLMO</v>
          </cell>
          <cell r="S1113" t="e">
            <v>#N/A</v>
          </cell>
          <cell r="T1113" t="e">
            <v>#N/A</v>
          </cell>
          <cell r="U1113" t="e">
            <v>#N/A</v>
          </cell>
          <cell r="V1113" t="e">
            <v>#N/A</v>
          </cell>
          <cell r="W1113" t="e">
            <v>#N/A</v>
          </cell>
          <cell r="AA1113">
            <v>0</v>
          </cell>
          <cell r="AB1113" t="str">
            <v/>
          </cell>
          <cell r="AC1113" t="str">
            <v/>
          </cell>
          <cell r="AD1113" t="str">
            <v/>
          </cell>
          <cell r="AE1113" t="str">
            <v/>
          </cell>
        </row>
        <row r="1114">
          <cell r="R1114" t="str">
            <v>INT BOL</v>
          </cell>
          <cell r="S1114" t="e">
            <v>#N/A</v>
          </cell>
          <cell r="T1114" t="e">
            <v>#N/A</v>
          </cell>
          <cell r="U1114" t="e">
            <v>#N/A</v>
          </cell>
          <cell r="V1114" t="e">
            <v>#N/A</v>
          </cell>
          <cell r="W1114" t="e">
            <v>#N/A</v>
          </cell>
          <cell r="AA1114">
            <v>0</v>
          </cell>
          <cell r="AB1114" t="str">
            <v/>
          </cell>
          <cell r="AC1114" t="str">
            <v/>
          </cell>
          <cell r="AD1114" t="str">
            <v/>
          </cell>
          <cell r="AE1114" t="str">
            <v/>
          </cell>
        </row>
        <row r="1115">
          <cell r="R1115" t="str">
            <v>INT BES BESMO</v>
          </cell>
          <cell r="S1115" t="e">
            <v>#N/A</v>
          </cell>
          <cell r="T1115" t="e">
            <v>#N/A</v>
          </cell>
          <cell r="U1115" t="e">
            <v>#N/A</v>
          </cell>
          <cell r="V1115" t="e">
            <v>#N/A</v>
          </cell>
          <cell r="W1115" t="e">
            <v>#N/A</v>
          </cell>
          <cell r="AA1115">
            <v>0</v>
          </cell>
          <cell r="AB1115" t="str">
            <v/>
          </cell>
          <cell r="AC1115" t="str">
            <v/>
          </cell>
          <cell r="AD1115" t="str">
            <v/>
          </cell>
          <cell r="AE1115" t="str">
            <v/>
          </cell>
        </row>
        <row r="1116">
          <cell r="R1116" t="str">
            <v>INT BES</v>
          </cell>
          <cell r="S1116" t="e">
            <v>#N/A</v>
          </cell>
          <cell r="T1116" t="e">
            <v>#N/A</v>
          </cell>
          <cell r="U1116" t="e">
            <v>#N/A</v>
          </cell>
          <cell r="V1116" t="e">
            <v>#N/A</v>
          </cell>
          <cell r="W1116" t="e">
            <v>#N/A</v>
          </cell>
          <cell r="AA1116">
            <v>0</v>
          </cell>
          <cell r="AB1116" t="str">
            <v/>
          </cell>
          <cell r="AC1116" t="str">
            <v/>
          </cell>
          <cell r="AD1116" t="str">
            <v/>
          </cell>
          <cell r="AE1116" t="str">
            <v/>
          </cell>
        </row>
        <row r="1117">
          <cell r="R1117" t="str">
            <v>INT BIH BIHMO</v>
          </cell>
          <cell r="S1117" t="e">
            <v>#N/A</v>
          </cell>
          <cell r="T1117" t="e">
            <v>#N/A</v>
          </cell>
          <cell r="U1117" t="e">
            <v>#N/A</v>
          </cell>
          <cell r="V1117" t="e">
            <v>#N/A</v>
          </cell>
          <cell r="W1117" t="e">
            <v>#N/A</v>
          </cell>
          <cell r="AA1117">
            <v>0</v>
          </cell>
          <cell r="AB1117" t="str">
            <v/>
          </cell>
          <cell r="AC1117" t="str">
            <v/>
          </cell>
          <cell r="AD1117" t="str">
            <v/>
          </cell>
          <cell r="AE1117" t="str">
            <v/>
          </cell>
        </row>
        <row r="1118">
          <cell r="R1118" t="str">
            <v>INT BIH</v>
          </cell>
          <cell r="S1118" t="e">
            <v>#N/A</v>
          </cell>
          <cell r="T1118" t="e">
            <v>#N/A</v>
          </cell>
          <cell r="U1118" t="e">
            <v>#N/A</v>
          </cell>
          <cell r="V1118" t="e">
            <v>#N/A</v>
          </cell>
          <cell r="W1118" t="e">
            <v>#N/A</v>
          </cell>
          <cell r="AA1118">
            <v>0</v>
          </cell>
          <cell r="AB1118" t="str">
            <v/>
          </cell>
          <cell r="AC1118" t="str">
            <v/>
          </cell>
          <cell r="AD1118" t="str">
            <v/>
          </cell>
          <cell r="AE1118" t="str">
            <v/>
          </cell>
        </row>
        <row r="1119">
          <cell r="R1119" t="str">
            <v>INT BWA BWAMO</v>
          </cell>
          <cell r="S1119" t="e">
            <v>#N/A</v>
          </cell>
          <cell r="T1119" t="e">
            <v>#N/A</v>
          </cell>
          <cell r="U1119" t="e">
            <v>#N/A</v>
          </cell>
          <cell r="V1119" t="e">
            <v>#N/A</v>
          </cell>
          <cell r="W1119" t="e">
            <v>#N/A</v>
          </cell>
          <cell r="AA1119">
            <v>0</v>
          </cell>
          <cell r="AB1119" t="str">
            <v/>
          </cell>
          <cell r="AC1119" t="str">
            <v/>
          </cell>
          <cell r="AD1119" t="str">
            <v/>
          </cell>
          <cell r="AE1119" t="str">
            <v/>
          </cell>
        </row>
        <row r="1120">
          <cell r="R1120" t="str">
            <v>INT BWA</v>
          </cell>
          <cell r="S1120" t="e">
            <v>#N/A</v>
          </cell>
          <cell r="T1120" t="e">
            <v>#N/A</v>
          </cell>
          <cell r="U1120" t="e">
            <v>#N/A</v>
          </cell>
          <cell r="V1120" t="e">
            <v>#N/A</v>
          </cell>
          <cell r="W1120" t="e">
            <v>#N/A</v>
          </cell>
          <cell r="AA1120">
            <v>0</v>
          </cell>
          <cell r="AB1120" t="str">
            <v/>
          </cell>
          <cell r="AC1120" t="str">
            <v/>
          </cell>
          <cell r="AD1120" t="str">
            <v/>
          </cell>
          <cell r="AE1120" t="str">
            <v/>
          </cell>
        </row>
        <row r="1121">
          <cell r="R1121" t="str">
            <v>INT BRA BRAMO</v>
          </cell>
          <cell r="S1121" t="e">
            <v>#N/A</v>
          </cell>
          <cell r="T1121" t="e">
            <v>#N/A</v>
          </cell>
          <cell r="U1121" t="e">
            <v>#N/A</v>
          </cell>
          <cell r="V1121" t="e">
            <v>#N/A</v>
          </cell>
          <cell r="W1121" t="e">
            <v>#N/A</v>
          </cell>
          <cell r="AA1121">
            <v>0</v>
          </cell>
          <cell r="AB1121" t="str">
            <v/>
          </cell>
          <cell r="AC1121" t="str">
            <v/>
          </cell>
          <cell r="AD1121" t="str">
            <v/>
          </cell>
          <cell r="AE1121" t="str">
            <v/>
          </cell>
        </row>
        <row r="1122">
          <cell r="R1122" t="str">
            <v>INT BRA</v>
          </cell>
          <cell r="S1122" t="e">
            <v>#N/A</v>
          </cell>
          <cell r="T1122" t="e">
            <v>#N/A</v>
          </cell>
          <cell r="U1122" t="e">
            <v>#N/A</v>
          </cell>
          <cell r="V1122" t="e">
            <v>#N/A</v>
          </cell>
          <cell r="W1122" t="e">
            <v>#N/A</v>
          </cell>
          <cell r="AA1122">
            <v>0</v>
          </cell>
          <cell r="AB1122" t="str">
            <v/>
          </cell>
          <cell r="AC1122" t="str">
            <v/>
          </cell>
          <cell r="AD1122" t="str">
            <v/>
          </cell>
          <cell r="AE1122" t="str">
            <v/>
          </cell>
        </row>
        <row r="1123">
          <cell r="R1123" t="str">
            <v>INT BRN</v>
          </cell>
          <cell r="S1123" t="e">
            <v>#N/A</v>
          </cell>
          <cell r="T1123" t="e">
            <v>#N/A</v>
          </cell>
          <cell r="U1123" t="e">
            <v>#N/A</v>
          </cell>
          <cell r="V1123" t="e">
            <v>#N/A</v>
          </cell>
          <cell r="W1123" t="e">
            <v>#N/A</v>
          </cell>
          <cell r="AA1123">
            <v>0</v>
          </cell>
          <cell r="AB1123" t="str">
            <v/>
          </cell>
          <cell r="AC1123" t="str">
            <v/>
          </cell>
          <cell r="AD1123" t="str">
            <v/>
          </cell>
          <cell r="AE1123" t="str">
            <v/>
          </cell>
        </row>
        <row r="1124">
          <cell r="R1124" t="str">
            <v>INT BGR BGRMO</v>
          </cell>
          <cell r="S1124" t="e">
            <v>#N/A</v>
          </cell>
          <cell r="T1124" t="e">
            <v>#N/A</v>
          </cell>
          <cell r="U1124" t="e">
            <v>#N/A</v>
          </cell>
          <cell r="V1124" t="e">
            <v>#N/A</v>
          </cell>
          <cell r="W1124" t="e">
            <v>#N/A</v>
          </cell>
          <cell r="AA1124">
            <v>0</v>
          </cell>
          <cell r="AB1124" t="str">
            <v/>
          </cell>
          <cell r="AC1124" t="str">
            <v/>
          </cell>
          <cell r="AD1124" t="str">
            <v/>
          </cell>
          <cell r="AE1124" t="str">
            <v/>
          </cell>
        </row>
        <row r="1125">
          <cell r="R1125" t="str">
            <v>INT BGR</v>
          </cell>
          <cell r="S1125" t="e">
            <v>#N/A</v>
          </cell>
          <cell r="T1125" t="e">
            <v>#N/A</v>
          </cell>
          <cell r="U1125" t="e">
            <v>#N/A</v>
          </cell>
          <cell r="V1125" t="e">
            <v>#N/A</v>
          </cell>
          <cell r="W1125" t="e">
            <v>#N/A</v>
          </cell>
          <cell r="AA1125">
            <v>0</v>
          </cell>
          <cell r="AB1125" t="str">
            <v/>
          </cell>
          <cell r="AC1125" t="str">
            <v/>
          </cell>
          <cell r="AD1125" t="str">
            <v/>
          </cell>
          <cell r="AE1125" t="str">
            <v/>
          </cell>
        </row>
        <row r="1126">
          <cell r="R1126" t="str">
            <v>INT BFA BFAMO</v>
          </cell>
          <cell r="S1126" t="e">
            <v>#N/A</v>
          </cell>
          <cell r="T1126" t="e">
            <v>#N/A</v>
          </cell>
          <cell r="U1126" t="e">
            <v>#N/A</v>
          </cell>
          <cell r="V1126" t="e">
            <v>#N/A</v>
          </cell>
          <cell r="W1126" t="e">
            <v>#N/A</v>
          </cell>
          <cell r="AA1126">
            <v>0</v>
          </cell>
          <cell r="AB1126" t="str">
            <v/>
          </cell>
          <cell r="AC1126" t="str">
            <v/>
          </cell>
          <cell r="AD1126" t="str">
            <v/>
          </cell>
          <cell r="AE1126" t="str">
            <v/>
          </cell>
        </row>
        <row r="1127">
          <cell r="R1127" t="str">
            <v>INT BFA</v>
          </cell>
          <cell r="S1127" t="e">
            <v>#N/A</v>
          </cell>
          <cell r="T1127" t="e">
            <v>#N/A</v>
          </cell>
          <cell r="U1127" t="e">
            <v>#N/A</v>
          </cell>
          <cell r="V1127" t="e">
            <v>#N/A</v>
          </cell>
          <cell r="W1127" t="e">
            <v>#N/A</v>
          </cell>
          <cell r="AA1127">
            <v>0</v>
          </cell>
          <cell r="AB1127" t="str">
            <v/>
          </cell>
          <cell r="AC1127" t="str">
            <v/>
          </cell>
          <cell r="AD1127" t="str">
            <v/>
          </cell>
          <cell r="AE1127" t="str">
            <v/>
          </cell>
        </row>
        <row r="1128">
          <cell r="R1128" t="str">
            <v>INT BDI BDIMO</v>
          </cell>
          <cell r="S1128" t="e">
            <v>#N/A</v>
          </cell>
          <cell r="T1128" t="e">
            <v>#N/A</v>
          </cell>
          <cell r="U1128" t="e">
            <v>#N/A</v>
          </cell>
          <cell r="V1128" t="e">
            <v>#N/A</v>
          </cell>
          <cell r="W1128" t="e">
            <v>#N/A</v>
          </cell>
          <cell r="AA1128">
            <v>0</v>
          </cell>
          <cell r="AB1128" t="str">
            <v/>
          </cell>
          <cell r="AC1128" t="str">
            <v/>
          </cell>
          <cell r="AD1128" t="str">
            <v/>
          </cell>
          <cell r="AE1128" t="str">
            <v/>
          </cell>
        </row>
        <row r="1129">
          <cell r="R1129" t="str">
            <v>INT BDI</v>
          </cell>
          <cell r="S1129" t="e">
            <v>#N/A</v>
          </cell>
          <cell r="T1129" t="e">
            <v>#N/A</v>
          </cell>
          <cell r="U1129" t="e">
            <v>#N/A</v>
          </cell>
          <cell r="V1129" t="e">
            <v>#N/A</v>
          </cell>
          <cell r="W1129" t="e">
            <v>#N/A</v>
          </cell>
          <cell r="AA1129">
            <v>0</v>
          </cell>
          <cell r="AB1129" t="str">
            <v/>
          </cell>
          <cell r="AC1129" t="str">
            <v/>
          </cell>
          <cell r="AD1129" t="str">
            <v/>
          </cell>
          <cell r="AE1129" t="str">
            <v/>
          </cell>
        </row>
        <row r="1130">
          <cell r="R1130" t="str">
            <v>INT KHM</v>
          </cell>
          <cell r="S1130" t="e">
            <v>#N/A</v>
          </cell>
          <cell r="T1130" t="e">
            <v>#N/A</v>
          </cell>
          <cell r="U1130" t="e">
            <v>#N/A</v>
          </cell>
          <cell r="V1130" t="e">
            <v>#N/A</v>
          </cell>
          <cell r="W1130" t="e">
            <v>#N/A</v>
          </cell>
          <cell r="AA1130">
            <v>0</v>
          </cell>
          <cell r="AB1130" t="str">
            <v/>
          </cell>
          <cell r="AC1130" t="str">
            <v/>
          </cell>
          <cell r="AD1130" t="str">
            <v/>
          </cell>
          <cell r="AE1130" t="str">
            <v/>
          </cell>
        </row>
        <row r="1131">
          <cell r="R1131" t="str">
            <v>INT CMR CMRMO</v>
          </cell>
          <cell r="S1131" t="e">
            <v>#N/A</v>
          </cell>
          <cell r="T1131" t="e">
            <v>#N/A</v>
          </cell>
          <cell r="U1131" t="e">
            <v>#N/A</v>
          </cell>
          <cell r="V1131" t="e">
            <v>#N/A</v>
          </cell>
          <cell r="W1131" t="e">
            <v>#N/A</v>
          </cell>
          <cell r="AA1131">
            <v>0</v>
          </cell>
          <cell r="AB1131" t="str">
            <v/>
          </cell>
          <cell r="AC1131" t="str">
            <v/>
          </cell>
          <cell r="AD1131" t="str">
            <v/>
          </cell>
          <cell r="AE1131" t="str">
            <v/>
          </cell>
        </row>
        <row r="1132">
          <cell r="R1132" t="str">
            <v>INT CMR</v>
          </cell>
          <cell r="S1132" t="e">
            <v>#N/A</v>
          </cell>
          <cell r="T1132" t="e">
            <v>#N/A</v>
          </cell>
          <cell r="U1132" t="e">
            <v>#N/A</v>
          </cell>
          <cell r="V1132" t="e">
            <v>#N/A</v>
          </cell>
          <cell r="W1132" t="e">
            <v>#N/A</v>
          </cell>
          <cell r="AA1132">
            <v>0</v>
          </cell>
          <cell r="AB1132" t="str">
            <v/>
          </cell>
          <cell r="AC1132" t="str">
            <v/>
          </cell>
          <cell r="AD1132" t="str">
            <v/>
          </cell>
          <cell r="AE1132" t="str">
            <v/>
          </cell>
        </row>
        <row r="1133">
          <cell r="R1133" t="str">
            <v>INT CAN</v>
          </cell>
          <cell r="S1133" t="e">
            <v>#N/A</v>
          </cell>
          <cell r="T1133" t="e">
            <v>#N/A</v>
          </cell>
          <cell r="U1133" t="e">
            <v>#N/A</v>
          </cell>
          <cell r="V1133" t="e">
            <v>#N/A</v>
          </cell>
          <cell r="W1133" t="e">
            <v>#N/A</v>
          </cell>
          <cell r="AA1133">
            <v>0</v>
          </cell>
          <cell r="AB1133" t="str">
            <v/>
          </cell>
          <cell r="AC1133" t="str">
            <v/>
          </cell>
          <cell r="AD1133" t="str">
            <v/>
          </cell>
          <cell r="AE1133" t="str">
            <v/>
          </cell>
        </row>
        <row r="1134">
          <cell r="R1134" t="str">
            <v>INT ESP CNY</v>
          </cell>
          <cell r="S1134" t="e">
            <v>#N/A</v>
          </cell>
          <cell r="T1134" t="e">
            <v>#N/A</v>
          </cell>
          <cell r="U1134" t="e">
            <v>#N/A</v>
          </cell>
          <cell r="V1134" t="e">
            <v>#N/A</v>
          </cell>
          <cell r="W1134" t="e">
            <v>#N/A</v>
          </cell>
          <cell r="AA1134">
            <v>0</v>
          </cell>
          <cell r="AB1134" t="str">
            <v/>
          </cell>
          <cell r="AC1134" t="str">
            <v/>
          </cell>
          <cell r="AD1134" t="str">
            <v/>
          </cell>
          <cell r="AE1134" t="str">
            <v/>
          </cell>
        </row>
        <row r="1135">
          <cell r="R1135" t="str">
            <v>INT CPV</v>
          </cell>
          <cell r="S1135" t="e">
            <v>#N/A</v>
          </cell>
          <cell r="T1135" t="e">
            <v>#N/A</v>
          </cell>
          <cell r="U1135" t="e">
            <v>#N/A</v>
          </cell>
          <cell r="V1135" t="e">
            <v>#N/A</v>
          </cell>
          <cell r="W1135" t="e">
            <v>#N/A</v>
          </cell>
          <cell r="AA1135">
            <v>0</v>
          </cell>
          <cell r="AB1135" t="str">
            <v/>
          </cell>
          <cell r="AC1135" t="str">
            <v/>
          </cell>
          <cell r="AD1135" t="str">
            <v/>
          </cell>
          <cell r="AE1135" t="str">
            <v/>
          </cell>
        </row>
        <row r="1136">
          <cell r="R1136" t="str">
            <v>INT CYM</v>
          </cell>
          <cell r="S1136" t="e">
            <v>#N/A</v>
          </cell>
          <cell r="T1136" t="e">
            <v>#N/A</v>
          </cell>
          <cell r="U1136" t="e">
            <v>#N/A</v>
          </cell>
          <cell r="V1136" t="e">
            <v>#N/A</v>
          </cell>
          <cell r="W1136" t="e">
            <v>#N/A</v>
          </cell>
          <cell r="AA1136">
            <v>0</v>
          </cell>
          <cell r="AB1136" t="str">
            <v/>
          </cell>
          <cell r="AC1136" t="str">
            <v/>
          </cell>
          <cell r="AD1136" t="str">
            <v/>
          </cell>
          <cell r="AE1136" t="str">
            <v/>
          </cell>
        </row>
        <row r="1137">
          <cell r="R1137" t="str">
            <v>INT CAF</v>
          </cell>
          <cell r="S1137" t="e">
            <v>#N/A</v>
          </cell>
          <cell r="T1137" t="e">
            <v>#N/A</v>
          </cell>
          <cell r="U1137" t="e">
            <v>#N/A</v>
          </cell>
          <cell r="V1137" t="e">
            <v>#N/A</v>
          </cell>
          <cell r="W1137" t="e">
            <v>#N/A</v>
          </cell>
          <cell r="AA1137">
            <v>0</v>
          </cell>
          <cell r="AB1137" t="str">
            <v/>
          </cell>
          <cell r="AC1137" t="str">
            <v/>
          </cell>
          <cell r="AD1137" t="str">
            <v/>
          </cell>
          <cell r="AE1137" t="str">
            <v/>
          </cell>
        </row>
        <row r="1138">
          <cell r="R1138" t="str">
            <v>INT TCD</v>
          </cell>
          <cell r="S1138" t="e">
            <v>#N/A</v>
          </cell>
          <cell r="T1138" t="e">
            <v>#N/A</v>
          </cell>
          <cell r="U1138" t="e">
            <v>#N/A</v>
          </cell>
          <cell r="V1138" t="e">
            <v>#N/A</v>
          </cell>
          <cell r="W1138" t="e">
            <v>#N/A</v>
          </cell>
          <cell r="AA1138">
            <v>0</v>
          </cell>
          <cell r="AB1138" t="str">
            <v/>
          </cell>
          <cell r="AC1138" t="str">
            <v/>
          </cell>
          <cell r="AD1138" t="str">
            <v/>
          </cell>
          <cell r="AE1138" t="str">
            <v/>
          </cell>
        </row>
        <row r="1139">
          <cell r="R1139" t="str">
            <v>INT CHL CHLMO</v>
          </cell>
          <cell r="S1139" t="e">
            <v>#N/A</v>
          </cell>
          <cell r="T1139" t="e">
            <v>#N/A</v>
          </cell>
          <cell r="U1139" t="e">
            <v>#N/A</v>
          </cell>
          <cell r="V1139" t="e">
            <v>#N/A</v>
          </cell>
          <cell r="W1139" t="e">
            <v>#N/A</v>
          </cell>
          <cell r="AA1139">
            <v>0</v>
          </cell>
          <cell r="AB1139" t="str">
            <v/>
          </cell>
          <cell r="AC1139" t="str">
            <v/>
          </cell>
          <cell r="AD1139" t="str">
            <v/>
          </cell>
          <cell r="AE1139" t="str">
            <v/>
          </cell>
        </row>
        <row r="1140">
          <cell r="R1140" t="str">
            <v>INT CHL</v>
          </cell>
          <cell r="S1140" t="e">
            <v>#N/A</v>
          </cell>
          <cell r="T1140" t="e">
            <v>#N/A</v>
          </cell>
          <cell r="U1140" t="e">
            <v>#N/A</v>
          </cell>
          <cell r="V1140" t="e">
            <v>#N/A</v>
          </cell>
          <cell r="W1140" t="e">
            <v>#N/A</v>
          </cell>
          <cell r="AA1140">
            <v>0</v>
          </cell>
          <cell r="AB1140" t="str">
            <v/>
          </cell>
          <cell r="AC1140" t="str">
            <v/>
          </cell>
          <cell r="AD1140" t="str">
            <v/>
          </cell>
          <cell r="AE1140" t="str">
            <v/>
          </cell>
        </row>
        <row r="1141">
          <cell r="R1141" t="str">
            <v>INT CHN CHNMO</v>
          </cell>
          <cell r="S1141" t="e">
            <v>#N/A</v>
          </cell>
          <cell r="T1141" t="e">
            <v>#N/A</v>
          </cell>
          <cell r="U1141" t="e">
            <v>#N/A</v>
          </cell>
          <cell r="V1141" t="e">
            <v>#N/A</v>
          </cell>
          <cell r="W1141" t="e">
            <v>#N/A</v>
          </cell>
          <cell r="AA1141">
            <v>0</v>
          </cell>
          <cell r="AB1141" t="str">
            <v/>
          </cell>
          <cell r="AC1141" t="str">
            <v/>
          </cell>
          <cell r="AD1141" t="str">
            <v/>
          </cell>
          <cell r="AE1141" t="str">
            <v/>
          </cell>
        </row>
        <row r="1142">
          <cell r="R1142" t="str">
            <v>INT CHN</v>
          </cell>
          <cell r="S1142" t="e">
            <v>#N/A</v>
          </cell>
          <cell r="T1142" t="e">
            <v>#N/A</v>
          </cell>
          <cell r="U1142" t="e">
            <v>#N/A</v>
          </cell>
          <cell r="V1142" t="e">
            <v>#N/A</v>
          </cell>
          <cell r="W1142" t="e">
            <v>#N/A</v>
          </cell>
          <cell r="AA1142">
            <v>0</v>
          </cell>
          <cell r="AB1142" t="str">
            <v/>
          </cell>
          <cell r="AC1142" t="str">
            <v/>
          </cell>
          <cell r="AD1142" t="str">
            <v/>
          </cell>
          <cell r="AE1142" t="str">
            <v/>
          </cell>
        </row>
        <row r="1143">
          <cell r="R1143" t="str">
            <v>INT COL COLMO</v>
          </cell>
          <cell r="S1143" t="e">
            <v>#N/A</v>
          </cell>
          <cell r="T1143" t="e">
            <v>#N/A</v>
          </cell>
          <cell r="U1143" t="e">
            <v>#N/A</v>
          </cell>
          <cell r="V1143" t="e">
            <v>#N/A</v>
          </cell>
          <cell r="W1143" t="e">
            <v>#N/A</v>
          </cell>
          <cell r="AA1143">
            <v>0</v>
          </cell>
          <cell r="AB1143" t="str">
            <v/>
          </cell>
          <cell r="AC1143" t="str">
            <v/>
          </cell>
          <cell r="AD1143" t="str">
            <v/>
          </cell>
          <cell r="AE1143" t="str">
            <v/>
          </cell>
        </row>
        <row r="1144">
          <cell r="R1144" t="str">
            <v>INT COL</v>
          </cell>
          <cell r="S1144" t="e">
            <v>#N/A</v>
          </cell>
          <cell r="T1144" t="e">
            <v>#N/A</v>
          </cell>
          <cell r="U1144" t="e">
            <v>#N/A</v>
          </cell>
          <cell r="V1144" t="e">
            <v>#N/A</v>
          </cell>
          <cell r="W1144" t="e">
            <v>#N/A</v>
          </cell>
          <cell r="AA1144">
            <v>0</v>
          </cell>
          <cell r="AB1144" t="str">
            <v/>
          </cell>
          <cell r="AC1144" t="str">
            <v/>
          </cell>
          <cell r="AD1144" t="str">
            <v/>
          </cell>
          <cell r="AE1144" t="str">
            <v/>
          </cell>
        </row>
        <row r="1145">
          <cell r="R1145" t="str">
            <v>INT COM</v>
          </cell>
          <cell r="S1145" t="e">
            <v>#N/A</v>
          </cell>
          <cell r="T1145" t="e">
            <v>#N/A</v>
          </cell>
          <cell r="U1145" t="e">
            <v>#N/A</v>
          </cell>
          <cell r="V1145" t="e">
            <v>#N/A</v>
          </cell>
          <cell r="W1145" t="e">
            <v>#N/A</v>
          </cell>
          <cell r="AA1145">
            <v>0</v>
          </cell>
          <cell r="AB1145" t="str">
            <v/>
          </cell>
          <cell r="AC1145" t="str">
            <v/>
          </cell>
          <cell r="AD1145" t="str">
            <v/>
          </cell>
          <cell r="AE1145" t="str">
            <v/>
          </cell>
        </row>
        <row r="1146">
          <cell r="R1146" t="str">
            <v>INT COG</v>
          </cell>
          <cell r="S1146" t="e">
            <v>#N/A</v>
          </cell>
          <cell r="T1146" t="e">
            <v>#N/A</v>
          </cell>
          <cell r="U1146" t="e">
            <v>#N/A</v>
          </cell>
          <cell r="V1146" t="e">
            <v>#N/A</v>
          </cell>
          <cell r="W1146" t="e">
            <v>#N/A</v>
          </cell>
          <cell r="AA1146">
            <v>0</v>
          </cell>
          <cell r="AB1146" t="str">
            <v/>
          </cell>
          <cell r="AC1146" t="str">
            <v/>
          </cell>
          <cell r="AD1146" t="str">
            <v/>
          </cell>
          <cell r="AE1146" t="str">
            <v/>
          </cell>
        </row>
        <row r="1147">
          <cell r="R1147" t="str">
            <v>INT ZAR</v>
          </cell>
          <cell r="S1147" t="e">
            <v>#N/A</v>
          </cell>
          <cell r="T1147" t="e">
            <v>#N/A</v>
          </cell>
          <cell r="U1147" t="e">
            <v>#N/A</v>
          </cell>
          <cell r="V1147" t="e">
            <v>#N/A</v>
          </cell>
          <cell r="W1147" t="e">
            <v>#N/A</v>
          </cell>
          <cell r="AA1147">
            <v>0</v>
          </cell>
          <cell r="AB1147" t="str">
            <v/>
          </cell>
          <cell r="AC1147" t="str">
            <v/>
          </cell>
          <cell r="AD1147" t="str">
            <v/>
          </cell>
          <cell r="AE1147" t="str">
            <v/>
          </cell>
        </row>
        <row r="1148">
          <cell r="R1148" t="str">
            <v>INT COK COKMO</v>
          </cell>
          <cell r="S1148" t="e">
            <v>#N/A</v>
          </cell>
          <cell r="T1148" t="e">
            <v>#N/A</v>
          </cell>
          <cell r="U1148" t="e">
            <v>#N/A</v>
          </cell>
          <cell r="V1148" t="e">
            <v>#N/A</v>
          </cell>
          <cell r="W1148" t="e">
            <v>#N/A</v>
          </cell>
          <cell r="AA1148">
            <v>0</v>
          </cell>
          <cell r="AB1148" t="str">
            <v/>
          </cell>
          <cell r="AC1148" t="str">
            <v/>
          </cell>
          <cell r="AD1148" t="str">
            <v/>
          </cell>
          <cell r="AE1148" t="str">
            <v/>
          </cell>
        </row>
        <row r="1149">
          <cell r="R1149" t="str">
            <v>INT COK</v>
          </cell>
          <cell r="S1149" t="e">
            <v>#N/A</v>
          </cell>
          <cell r="T1149" t="e">
            <v>#N/A</v>
          </cell>
          <cell r="U1149" t="e">
            <v>#N/A</v>
          </cell>
          <cell r="V1149" t="e">
            <v>#N/A</v>
          </cell>
          <cell r="W1149" t="e">
            <v>#N/A</v>
          </cell>
          <cell r="AA1149">
            <v>0</v>
          </cell>
          <cell r="AB1149" t="str">
            <v/>
          </cell>
          <cell r="AC1149" t="str">
            <v/>
          </cell>
          <cell r="AD1149" t="str">
            <v/>
          </cell>
          <cell r="AE1149" t="str">
            <v/>
          </cell>
        </row>
        <row r="1150">
          <cell r="R1150" t="str">
            <v>INT CRI CRIMO</v>
          </cell>
          <cell r="S1150" t="e">
            <v>#N/A</v>
          </cell>
          <cell r="T1150" t="e">
            <v>#N/A</v>
          </cell>
          <cell r="U1150" t="e">
            <v>#N/A</v>
          </cell>
          <cell r="V1150" t="e">
            <v>#N/A</v>
          </cell>
          <cell r="W1150" t="e">
            <v>#N/A</v>
          </cell>
          <cell r="AA1150">
            <v>0</v>
          </cell>
          <cell r="AB1150" t="str">
            <v/>
          </cell>
          <cell r="AC1150" t="str">
            <v/>
          </cell>
          <cell r="AD1150" t="str">
            <v/>
          </cell>
          <cell r="AE1150" t="str">
            <v/>
          </cell>
        </row>
        <row r="1151">
          <cell r="R1151" t="str">
            <v>INT CRI</v>
          </cell>
          <cell r="S1151" t="e">
            <v>#N/A</v>
          </cell>
          <cell r="T1151" t="e">
            <v>#N/A</v>
          </cell>
          <cell r="U1151" t="e">
            <v>#N/A</v>
          </cell>
          <cell r="V1151" t="e">
            <v>#N/A</v>
          </cell>
          <cell r="W1151" t="e">
            <v>#N/A</v>
          </cell>
          <cell r="AA1151">
            <v>0</v>
          </cell>
          <cell r="AB1151" t="str">
            <v/>
          </cell>
          <cell r="AC1151" t="str">
            <v/>
          </cell>
          <cell r="AD1151" t="str">
            <v/>
          </cell>
          <cell r="AE1151" t="str">
            <v/>
          </cell>
        </row>
        <row r="1152">
          <cell r="R1152" t="str">
            <v>INT CIV CIVMO</v>
          </cell>
          <cell r="S1152" t="e">
            <v>#N/A</v>
          </cell>
          <cell r="T1152" t="e">
            <v>#N/A</v>
          </cell>
          <cell r="U1152" t="e">
            <v>#N/A</v>
          </cell>
          <cell r="V1152" t="e">
            <v>#N/A</v>
          </cell>
          <cell r="W1152" t="e">
            <v>#N/A</v>
          </cell>
          <cell r="AA1152">
            <v>0</v>
          </cell>
          <cell r="AB1152" t="str">
            <v/>
          </cell>
          <cell r="AC1152" t="str">
            <v/>
          </cell>
          <cell r="AD1152" t="str">
            <v/>
          </cell>
          <cell r="AE1152" t="str">
            <v/>
          </cell>
        </row>
        <row r="1153">
          <cell r="R1153" t="str">
            <v>INT CIV</v>
          </cell>
          <cell r="S1153" t="e">
            <v>#N/A</v>
          </cell>
          <cell r="T1153" t="e">
            <v>#N/A</v>
          </cell>
          <cell r="U1153" t="e">
            <v>#N/A</v>
          </cell>
          <cell r="V1153" t="e">
            <v>#N/A</v>
          </cell>
          <cell r="W1153" t="e">
            <v>#N/A</v>
          </cell>
          <cell r="AA1153">
            <v>0</v>
          </cell>
          <cell r="AB1153" t="str">
            <v/>
          </cell>
          <cell r="AC1153" t="str">
            <v/>
          </cell>
          <cell r="AD1153" t="str">
            <v/>
          </cell>
          <cell r="AE1153" t="str">
            <v/>
          </cell>
        </row>
        <row r="1154">
          <cell r="R1154" t="str">
            <v>INT HRV HRVMO</v>
          </cell>
          <cell r="S1154" t="e">
            <v>#N/A</v>
          </cell>
          <cell r="T1154" t="e">
            <v>#N/A</v>
          </cell>
          <cell r="U1154" t="e">
            <v>#N/A</v>
          </cell>
          <cell r="V1154" t="e">
            <v>#N/A</v>
          </cell>
          <cell r="W1154" t="e">
            <v>#N/A</v>
          </cell>
          <cell r="AA1154">
            <v>0</v>
          </cell>
          <cell r="AB1154" t="str">
            <v/>
          </cell>
          <cell r="AC1154" t="str">
            <v/>
          </cell>
          <cell r="AD1154" t="str">
            <v/>
          </cell>
          <cell r="AE1154" t="str">
            <v/>
          </cell>
        </row>
        <row r="1155">
          <cell r="R1155" t="str">
            <v>INT HRV</v>
          </cell>
          <cell r="S1155" t="e">
            <v>#N/A</v>
          </cell>
          <cell r="T1155" t="e">
            <v>#N/A</v>
          </cell>
          <cell r="U1155" t="e">
            <v>#N/A</v>
          </cell>
          <cell r="V1155" t="e">
            <v>#N/A</v>
          </cell>
          <cell r="W1155" t="e">
            <v>#N/A</v>
          </cell>
          <cell r="AA1155">
            <v>0</v>
          </cell>
          <cell r="AB1155" t="str">
            <v/>
          </cell>
          <cell r="AC1155" t="str">
            <v/>
          </cell>
          <cell r="AD1155" t="str">
            <v/>
          </cell>
          <cell r="AE1155" t="str">
            <v/>
          </cell>
        </row>
        <row r="1156">
          <cell r="R1156" t="str">
            <v>INT CUB CUBMO</v>
          </cell>
          <cell r="S1156" t="e">
            <v>#N/A</v>
          </cell>
          <cell r="T1156" t="e">
            <v>#N/A</v>
          </cell>
          <cell r="U1156" t="e">
            <v>#N/A</v>
          </cell>
          <cell r="V1156" t="e">
            <v>#N/A</v>
          </cell>
          <cell r="W1156" t="e">
            <v>#N/A</v>
          </cell>
          <cell r="AA1156">
            <v>0</v>
          </cell>
          <cell r="AB1156" t="str">
            <v/>
          </cell>
          <cell r="AC1156" t="str">
            <v/>
          </cell>
          <cell r="AD1156" t="str">
            <v/>
          </cell>
          <cell r="AE1156" t="str">
            <v/>
          </cell>
        </row>
        <row r="1157">
          <cell r="R1157" t="str">
            <v>INT CUB</v>
          </cell>
          <cell r="S1157" t="e">
            <v>#N/A</v>
          </cell>
          <cell r="T1157" t="e">
            <v>#N/A</v>
          </cell>
          <cell r="U1157" t="e">
            <v>#N/A</v>
          </cell>
          <cell r="V1157" t="e">
            <v>#N/A</v>
          </cell>
          <cell r="W1157" t="e">
            <v>#N/A</v>
          </cell>
          <cell r="AA1157">
            <v>0</v>
          </cell>
          <cell r="AB1157" t="str">
            <v/>
          </cell>
          <cell r="AC1157" t="str">
            <v/>
          </cell>
          <cell r="AD1157" t="str">
            <v/>
          </cell>
          <cell r="AE1157" t="str">
            <v/>
          </cell>
        </row>
        <row r="1158">
          <cell r="R1158" t="str">
            <v>INT CUW CUWMO</v>
          </cell>
          <cell r="S1158" t="e">
            <v>#N/A</v>
          </cell>
          <cell r="T1158" t="e">
            <v>#N/A</v>
          </cell>
          <cell r="U1158" t="e">
            <v>#N/A</v>
          </cell>
          <cell r="V1158" t="e">
            <v>#N/A</v>
          </cell>
          <cell r="W1158" t="e">
            <v>#N/A</v>
          </cell>
          <cell r="AA1158">
            <v>0</v>
          </cell>
          <cell r="AB1158" t="str">
            <v/>
          </cell>
          <cell r="AC1158" t="str">
            <v/>
          </cell>
          <cell r="AD1158" t="str">
            <v/>
          </cell>
          <cell r="AE1158" t="str">
            <v/>
          </cell>
        </row>
        <row r="1159">
          <cell r="R1159" t="str">
            <v>INT CUW</v>
          </cell>
          <cell r="S1159" t="e">
            <v>#N/A</v>
          </cell>
          <cell r="T1159" t="e">
            <v>#N/A</v>
          </cell>
          <cell r="U1159" t="e">
            <v>#N/A</v>
          </cell>
          <cell r="V1159" t="e">
            <v>#N/A</v>
          </cell>
          <cell r="W1159" t="e">
            <v>#N/A</v>
          </cell>
          <cell r="AA1159">
            <v>0</v>
          </cell>
          <cell r="AB1159" t="str">
            <v/>
          </cell>
          <cell r="AC1159" t="str">
            <v/>
          </cell>
          <cell r="AD1159" t="str">
            <v/>
          </cell>
          <cell r="AE1159" t="str">
            <v/>
          </cell>
        </row>
        <row r="1160">
          <cell r="R1160" t="str">
            <v>INT CSK CSKMO</v>
          </cell>
          <cell r="S1160" t="e">
            <v>#N/A</v>
          </cell>
          <cell r="T1160" t="e">
            <v>#N/A</v>
          </cell>
          <cell r="U1160" t="e">
            <v>#N/A</v>
          </cell>
          <cell r="V1160" t="e">
            <v>#N/A</v>
          </cell>
          <cell r="W1160" t="e">
            <v>#N/A</v>
          </cell>
          <cell r="AA1160">
            <v>0</v>
          </cell>
          <cell r="AB1160" t="str">
            <v/>
          </cell>
          <cell r="AC1160" t="str">
            <v/>
          </cell>
          <cell r="AD1160" t="str">
            <v/>
          </cell>
          <cell r="AE1160" t="str">
            <v/>
          </cell>
        </row>
        <row r="1161">
          <cell r="R1161" t="str">
            <v>INT CSK</v>
          </cell>
          <cell r="S1161" t="e">
            <v>#N/A</v>
          </cell>
          <cell r="T1161" t="e">
            <v>#N/A</v>
          </cell>
          <cell r="U1161" t="e">
            <v>#N/A</v>
          </cell>
          <cell r="V1161" t="e">
            <v>#N/A</v>
          </cell>
          <cell r="W1161" t="e">
            <v>#N/A</v>
          </cell>
          <cell r="AA1161">
            <v>0</v>
          </cell>
          <cell r="AB1161" t="str">
            <v/>
          </cell>
          <cell r="AC1161" t="str">
            <v/>
          </cell>
          <cell r="AD1161" t="str">
            <v/>
          </cell>
          <cell r="AE1161" t="str">
            <v/>
          </cell>
        </row>
        <row r="1162">
          <cell r="R1162" t="str">
            <v>INT CSK CSKWN</v>
          </cell>
          <cell r="S1162" t="e">
            <v>#N/A</v>
          </cell>
          <cell r="T1162" t="e">
            <v>#N/A</v>
          </cell>
          <cell r="U1162" t="e">
            <v>#N/A</v>
          </cell>
          <cell r="V1162" t="e">
            <v>#N/A</v>
          </cell>
          <cell r="W1162" t="e">
            <v>#N/A</v>
          </cell>
          <cell r="AA1162">
            <v>0</v>
          </cell>
          <cell r="AB1162" t="str">
            <v/>
          </cell>
          <cell r="AC1162" t="str">
            <v/>
          </cell>
          <cell r="AD1162" t="str">
            <v/>
          </cell>
          <cell r="AE1162" t="str">
            <v/>
          </cell>
        </row>
        <row r="1163">
          <cell r="R1163" t="str">
            <v>INT DNK DNKMO</v>
          </cell>
          <cell r="S1163" t="e">
            <v>#N/A</v>
          </cell>
          <cell r="T1163" t="e">
            <v>#N/A</v>
          </cell>
          <cell r="U1163" t="e">
            <v>#N/A</v>
          </cell>
          <cell r="V1163" t="e">
            <v>#N/A</v>
          </cell>
          <cell r="W1163" t="e">
            <v>#N/A</v>
          </cell>
          <cell r="AA1163">
            <v>0</v>
          </cell>
          <cell r="AB1163" t="str">
            <v/>
          </cell>
          <cell r="AC1163" t="str">
            <v/>
          </cell>
          <cell r="AD1163" t="str">
            <v/>
          </cell>
          <cell r="AE1163" t="str">
            <v/>
          </cell>
        </row>
        <row r="1164">
          <cell r="R1164" t="str">
            <v>INT DNK DNKMX</v>
          </cell>
          <cell r="S1164" t="e">
            <v>#N/A</v>
          </cell>
          <cell r="T1164" t="e">
            <v>#N/A</v>
          </cell>
          <cell r="U1164" t="e">
            <v>#N/A</v>
          </cell>
          <cell r="V1164" t="e">
            <v>#N/A</v>
          </cell>
          <cell r="W1164" t="e">
            <v>#N/A</v>
          </cell>
          <cell r="AA1164">
            <v>0</v>
          </cell>
          <cell r="AB1164" t="str">
            <v/>
          </cell>
          <cell r="AC1164" t="str">
            <v/>
          </cell>
          <cell r="AD1164" t="str">
            <v/>
          </cell>
          <cell r="AE1164" t="str">
            <v/>
          </cell>
        </row>
        <row r="1165">
          <cell r="R1165" t="str">
            <v>INT DNK</v>
          </cell>
          <cell r="S1165" t="e">
            <v>#N/A</v>
          </cell>
          <cell r="T1165" t="e">
            <v>#N/A</v>
          </cell>
          <cell r="U1165" t="e">
            <v>#N/A</v>
          </cell>
          <cell r="V1165" t="e">
            <v>#N/A</v>
          </cell>
          <cell r="W1165" t="e">
            <v>#N/A</v>
          </cell>
          <cell r="AA1165">
            <v>0</v>
          </cell>
          <cell r="AB1165" t="str">
            <v/>
          </cell>
          <cell r="AC1165" t="str">
            <v/>
          </cell>
          <cell r="AD1165" t="str">
            <v/>
          </cell>
          <cell r="AE1165" t="str">
            <v/>
          </cell>
        </row>
        <row r="1166">
          <cell r="R1166" t="str">
            <v>INT DNK DKFRE</v>
          </cell>
          <cell r="S1166" t="e">
            <v>#N/A</v>
          </cell>
          <cell r="T1166" t="e">
            <v>#N/A</v>
          </cell>
          <cell r="U1166" t="e">
            <v>#N/A</v>
          </cell>
          <cell r="V1166" t="e">
            <v>#N/A</v>
          </cell>
          <cell r="W1166" t="e">
            <v>#N/A</v>
          </cell>
          <cell r="AA1166">
            <v>0</v>
          </cell>
          <cell r="AB1166" t="str">
            <v/>
          </cell>
          <cell r="AC1166" t="str">
            <v/>
          </cell>
          <cell r="AD1166" t="str">
            <v/>
          </cell>
          <cell r="AE1166" t="str">
            <v/>
          </cell>
        </row>
        <row r="1167">
          <cell r="R1167" t="str">
            <v>INT DNK DKP18</v>
          </cell>
          <cell r="S1167" t="e">
            <v>#N/A</v>
          </cell>
          <cell r="T1167" t="e">
            <v>#N/A</v>
          </cell>
          <cell r="U1167" t="e">
            <v>#N/A</v>
          </cell>
          <cell r="V1167" t="e">
            <v>#N/A</v>
          </cell>
          <cell r="W1167" t="e">
            <v>#N/A</v>
          </cell>
          <cell r="AA1167">
            <v>0</v>
          </cell>
          <cell r="AB1167" t="str">
            <v/>
          </cell>
          <cell r="AC1167" t="str">
            <v/>
          </cell>
          <cell r="AD1167" t="str">
            <v/>
          </cell>
          <cell r="AE1167" t="str">
            <v/>
          </cell>
        </row>
        <row r="1168">
          <cell r="R1168" t="str">
            <v>INT DNK DKFLX</v>
          </cell>
          <cell r="S1168" t="e">
            <v>#N/A</v>
          </cell>
          <cell r="T1168" t="e">
            <v>#N/A</v>
          </cell>
          <cell r="U1168" t="e">
            <v>#N/A</v>
          </cell>
          <cell r="V1168" t="e">
            <v>#N/A</v>
          </cell>
          <cell r="W1168" t="e">
            <v>#N/A</v>
          </cell>
          <cell r="AA1168">
            <v>0</v>
          </cell>
          <cell r="AB1168" t="str">
            <v/>
          </cell>
          <cell r="AC1168" t="str">
            <v/>
          </cell>
          <cell r="AD1168" t="str">
            <v/>
          </cell>
          <cell r="AE1168" t="str">
            <v/>
          </cell>
        </row>
        <row r="1169">
          <cell r="R1169" t="str">
            <v>INT DGG</v>
          </cell>
          <cell r="S1169" t="e">
            <v>#N/A</v>
          </cell>
          <cell r="T1169" t="e">
            <v>#N/A</v>
          </cell>
          <cell r="U1169" t="e">
            <v>#N/A</v>
          </cell>
          <cell r="V1169" t="e">
            <v>#N/A</v>
          </cell>
          <cell r="W1169" t="e">
            <v>#N/A</v>
          </cell>
          <cell r="AA1169">
            <v>0</v>
          </cell>
          <cell r="AB1169" t="str">
            <v/>
          </cell>
          <cell r="AC1169" t="str">
            <v/>
          </cell>
          <cell r="AD1169" t="str">
            <v/>
          </cell>
          <cell r="AE1169" t="str">
            <v/>
          </cell>
        </row>
        <row r="1170">
          <cell r="R1170" t="str">
            <v>INT DJI DJIMO</v>
          </cell>
          <cell r="S1170" t="e">
            <v>#N/A</v>
          </cell>
          <cell r="T1170" t="e">
            <v>#N/A</v>
          </cell>
          <cell r="U1170" t="e">
            <v>#N/A</v>
          </cell>
          <cell r="V1170" t="e">
            <v>#N/A</v>
          </cell>
          <cell r="W1170" t="e">
            <v>#N/A</v>
          </cell>
          <cell r="AA1170">
            <v>0</v>
          </cell>
          <cell r="AB1170" t="str">
            <v/>
          </cell>
          <cell r="AC1170" t="str">
            <v/>
          </cell>
          <cell r="AD1170" t="str">
            <v/>
          </cell>
          <cell r="AE1170" t="str">
            <v/>
          </cell>
        </row>
        <row r="1171">
          <cell r="R1171" t="str">
            <v>INT DJI</v>
          </cell>
          <cell r="S1171" t="e">
            <v>#N/A</v>
          </cell>
          <cell r="T1171" t="e">
            <v>#N/A</v>
          </cell>
          <cell r="U1171" t="e">
            <v>#N/A</v>
          </cell>
          <cell r="V1171" t="e">
            <v>#N/A</v>
          </cell>
          <cell r="W1171" t="e">
            <v>#N/A</v>
          </cell>
          <cell r="AA1171">
            <v>0</v>
          </cell>
          <cell r="AB1171" t="str">
            <v/>
          </cell>
          <cell r="AC1171" t="str">
            <v/>
          </cell>
          <cell r="AD1171" t="str">
            <v/>
          </cell>
          <cell r="AE1171" t="str">
            <v/>
          </cell>
        </row>
        <row r="1172">
          <cell r="R1172" t="str">
            <v>INT DMA</v>
          </cell>
          <cell r="S1172" t="e">
            <v>#N/A</v>
          </cell>
          <cell r="T1172" t="e">
            <v>#N/A</v>
          </cell>
          <cell r="U1172" t="e">
            <v>#N/A</v>
          </cell>
          <cell r="V1172" t="e">
            <v>#N/A</v>
          </cell>
          <cell r="W1172" t="e">
            <v>#N/A</v>
          </cell>
          <cell r="AA1172">
            <v>0</v>
          </cell>
          <cell r="AB1172" t="str">
            <v/>
          </cell>
          <cell r="AC1172" t="str">
            <v/>
          </cell>
          <cell r="AD1172" t="str">
            <v/>
          </cell>
          <cell r="AE1172" t="str">
            <v/>
          </cell>
        </row>
        <row r="1173">
          <cell r="R1173" t="str">
            <v>INT DOM</v>
          </cell>
          <cell r="S1173" t="e">
            <v>#N/A</v>
          </cell>
          <cell r="T1173" t="e">
            <v>#N/A</v>
          </cell>
          <cell r="U1173" t="e">
            <v>#N/A</v>
          </cell>
          <cell r="V1173" t="e">
            <v>#N/A</v>
          </cell>
          <cell r="W1173" t="e">
            <v>#N/A</v>
          </cell>
          <cell r="AA1173">
            <v>0</v>
          </cell>
          <cell r="AB1173" t="str">
            <v/>
          </cell>
          <cell r="AC1173" t="str">
            <v/>
          </cell>
          <cell r="AD1173" t="str">
            <v/>
          </cell>
          <cell r="AE1173" t="str">
            <v/>
          </cell>
        </row>
        <row r="1174">
          <cell r="R1174" t="str">
            <v>INT TMP TMPMO</v>
          </cell>
          <cell r="S1174" t="e">
            <v>#N/A</v>
          </cell>
          <cell r="T1174" t="e">
            <v>#N/A</v>
          </cell>
          <cell r="U1174" t="e">
            <v>#N/A</v>
          </cell>
          <cell r="V1174" t="e">
            <v>#N/A</v>
          </cell>
          <cell r="W1174" t="e">
            <v>#N/A</v>
          </cell>
          <cell r="AA1174">
            <v>0</v>
          </cell>
          <cell r="AB1174" t="str">
            <v/>
          </cell>
          <cell r="AC1174" t="str">
            <v/>
          </cell>
          <cell r="AD1174" t="str">
            <v/>
          </cell>
          <cell r="AE1174" t="str">
            <v/>
          </cell>
        </row>
        <row r="1175">
          <cell r="R1175" t="str">
            <v>INT TMP</v>
          </cell>
          <cell r="S1175" t="e">
            <v>#N/A</v>
          </cell>
          <cell r="T1175" t="e">
            <v>#N/A</v>
          </cell>
          <cell r="U1175" t="e">
            <v>#N/A</v>
          </cell>
          <cell r="V1175" t="e">
            <v>#N/A</v>
          </cell>
          <cell r="W1175" t="e">
            <v>#N/A</v>
          </cell>
          <cell r="AA1175">
            <v>0</v>
          </cell>
          <cell r="AB1175" t="str">
            <v/>
          </cell>
          <cell r="AC1175" t="str">
            <v/>
          </cell>
          <cell r="AD1175" t="str">
            <v/>
          </cell>
          <cell r="AE1175" t="str">
            <v/>
          </cell>
        </row>
        <row r="1176">
          <cell r="R1176" t="str">
            <v>INT ECU ECUMO</v>
          </cell>
          <cell r="S1176" t="e">
            <v>#N/A</v>
          </cell>
          <cell r="T1176" t="e">
            <v>#N/A</v>
          </cell>
          <cell r="U1176" t="e">
            <v>#N/A</v>
          </cell>
          <cell r="V1176" t="e">
            <v>#N/A</v>
          </cell>
          <cell r="W1176" t="e">
            <v>#N/A</v>
          </cell>
          <cell r="AA1176">
            <v>0</v>
          </cell>
          <cell r="AB1176" t="str">
            <v/>
          </cell>
          <cell r="AC1176" t="str">
            <v/>
          </cell>
          <cell r="AD1176" t="str">
            <v/>
          </cell>
          <cell r="AE1176" t="str">
            <v/>
          </cell>
        </row>
        <row r="1177">
          <cell r="R1177" t="str">
            <v>INT ECU</v>
          </cell>
          <cell r="S1177" t="e">
            <v>#N/A</v>
          </cell>
          <cell r="T1177" t="e">
            <v>#N/A</v>
          </cell>
          <cell r="U1177" t="e">
            <v>#N/A</v>
          </cell>
          <cell r="V1177" t="e">
            <v>#N/A</v>
          </cell>
          <cell r="W1177" t="e">
            <v>#N/A</v>
          </cell>
          <cell r="AA1177">
            <v>0</v>
          </cell>
          <cell r="AB1177" t="str">
            <v/>
          </cell>
          <cell r="AC1177" t="str">
            <v/>
          </cell>
          <cell r="AD1177" t="str">
            <v/>
          </cell>
          <cell r="AE1177" t="str">
            <v/>
          </cell>
        </row>
        <row r="1178">
          <cell r="R1178" t="str">
            <v>INT EGY EGYMO</v>
          </cell>
          <cell r="S1178" t="e">
            <v>#N/A</v>
          </cell>
          <cell r="T1178" t="e">
            <v>#N/A</v>
          </cell>
          <cell r="U1178" t="e">
            <v>#N/A</v>
          </cell>
          <cell r="V1178" t="e">
            <v>#N/A</v>
          </cell>
          <cell r="W1178" t="e">
            <v>#N/A</v>
          </cell>
          <cell r="AA1178">
            <v>0</v>
          </cell>
          <cell r="AB1178" t="str">
            <v/>
          </cell>
          <cell r="AC1178" t="str">
            <v/>
          </cell>
          <cell r="AD1178" t="str">
            <v/>
          </cell>
          <cell r="AE1178" t="str">
            <v/>
          </cell>
        </row>
        <row r="1179">
          <cell r="R1179" t="str">
            <v>INT EGY</v>
          </cell>
          <cell r="S1179" t="e">
            <v>#N/A</v>
          </cell>
          <cell r="T1179" t="e">
            <v>#N/A</v>
          </cell>
          <cell r="U1179" t="e">
            <v>#N/A</v>
          </cell>
          <cell r="V1179" t="e">
            <v>#N/A</v>
          </cell>
          <cell r="W1179" t="e">
            <v>#N/A</v>
          </cell>
          <cell r="AA1179">
            <v>0</v>
          </cell>
          <cell r="AB1179" t="str">
            <v/>
          </cell>
          <cell r="AC1179" t="str">
            <v/>
          </cell>
          <cell r="AD1179" t="str">
            <v/>
          </cell>
          <cell r="AE1179" t="str">
            <v/>
          </cell>
        </row>
        <row r="1180">
          <cell r="R1180" t="str">
            <v>INT SLV SLVMO</v>
          </cell>
          <cell r="S1180" t="e">
            <v>#N/A</v>
          </cell>
          <cell r="T1180" t="e">
            <v>#N/A</v>
          </cell>
          <cell r="U1180" t="e">
            <v>#N/A</v>
          </cell>
          <cell r="V1180" t="e">
            <v>#N/A</v>
          </cell>
          <cell r="W1180" t="e">
            <v>#N/A</v>
          </cell>
          <cell r="AA1180">
            <v>0</v>
          </cell>
          <cell r="AB1180" t="str">
            <v/>
          </cell>
          <cell r="AC1180" t="str">
            <v/>
          </cell>
          <cell r="AD1180" t="str">
            <v/>
          </cell>
          <cell r="AE1180" t="str">
            <v/>
          </cell>
        </row>
        <row r="1181">
          <cell r="R1181" t="str">
            <v>INT SLV</v>
          </cell>
          <cell r="S1181" t="e">
            <v>#N/A</v>
          </cell>
          <cell r="T1181" t="e">
            <v>#N/A</v>
          </cell>
          <cell r="U1181" t="e">
            <v>#N/A</v>
          </cell>
          <cell r="V1181" t="e">
            <v>#N/A</v>
          </cell>
          <cell r="W1181" t="e">
            <v>#N/A</v>
          </cell>
          <cell r="AA1181">
            <v>0</v>
          </cell>
          <cell r="AB1181" t="str">
            <v/>
          </cell>
          <cell r="AC1181" t="str">
            <v/>
          </cell>
          <cell r="AD1181" t="str">
            <v/>
          </cell>
          <cell r="AE1181" t="str">
            <v/>
          </cell>
        </row>
        <row r="1182">
          <cell r="R1182" t="str">
            <v>INT GNQ GNQMO</v>
          </cell>
          <cell r="S1182" t="e">
            <v>#N/A</v>
          </cell>
          <cell r="T1182" t="e">
            <v>#N/A</v>
          </cell>
          <cell r="U1182" t="e">
            <v>#N/A</v>
          </cell>
          <cell r="V1182" t="e">
            <v>#N/A</v>
          </cell>
          <cell r="W1182" t="e">
            <v>#N/A</v>
          </cell>
          <cell r="AA1182">
            <v>0</v>
          </cell>
          <cell r="AB1182" t="str">
            <v/>
          </cell>
          <cell r="AC1182" t="str">
            <v/>
          </cell>
          <cell r="AD1182" t="str">
            <v/>
          </cell>
          <cell r="AE1182" t="str">
            <v/>
          </cell>
        </row>
        <row r="1183">
          <cell r="R1183" t="str">
            <v>INT GNQ</v>
          </cell>
          <cell r="S1183" t="e">
            <v>#N/A</v>
          </cell>
          <cell r="T1183" t="e">
            <v>#N/A</v>
          </cell>
          <cell r="U1183" t="e">
            <v>#N/A</v>
          </cell>
          <cell r="V1183" t="e">
            <v>#N/A</v>
          </cell>
          <cell r="W1183" t="e">
            <v>#N/A</v>
          </cell>
          <cell r="AA1183">
            <v>0</v>
          </cell>
          <cell r="AB1183" t="str">
            <v/>
          </cell>
          <cell r="AC1183" t="str">
            <v/>
          </cell>
          <cell r="AD1183" t="str">
            <v/>
          </cell>
          <cell r="AE1183" t="str">
            <v/>
          </cell>
        </row>
        <row r="1184">
          <cell r="R1184" t="str">
            <v>INT ERY</v>
          </cell>
          <cell r="S1184" t="e">
            <v>#N/A</v>
          </cell>
          <cell r="T1184" t="e">
            <v>#N/A</v>
          </cell>
          <cell r="U1184" t="e">
            <v>#N/A</v>
          </cell>
          <cell r="V1184" t="e">
            <v>#N/A</v>
          </cell>
          <cell r="W1184" t="e">
            <v>#N/A</v>
          </cell>
          <cell r="AA1184">
            <v>0</v>
          </cell>
          <cell r="AB1184" t="str">
            <v/>
          </cell>
          <cell r="AC1184" t="str">
            <v/>
          </cell>
          <cell r="AD1184" t="str">
            <v/>
          </cell>
          <cell r="AE1184" t="str">
            <v/>
          </cell>
        </row>
        <row r="1185">
          <cell r="R1185" t="str">
            <v>INT EST ESTMO</v>
          </cell>
          <cell r="S1185" t="e">
            <v>#N/A</v>
          </cell>
          <cell r="T1185" t="e">
            <v>#N/A</v>
          </cell>
          <cell r="U1185" t="e">
            <v>#N/A</v>
          </cell>
          <cell r="V1185" t="e">
            <v>#N/A</v>
          </cell>
          <cell r="W1185" t="e">
            <v>#N/A</v>
          </cell>
          <cell r="AA1185">
            <v>0</v>
          </cell>
          <cell r="AB1185" t="str">
            <v/>
          </cell>
          <cell r="AC1185" t="str">
            <v/>
          </cell>
          <cell r="AD1185" t="str">
            <v/>
          </cell>
          <cell r="AE1185" t="str">
            <v/>
          </cell>
        </row>
        <row r="1186">
          <cell r="R1186" t="str">
            <v>INT EST</v>
          </cell>
          <cell r="S1186" t="e">
            <v>#N/A</v>
          </cell>
          <cell r="T1186" t="e">
            <v>#N/A</v>
          </cell>
          <cell r="U1186" t="e">
            <v>#N/A</v>
          </cell>
          <cell r="V1186" t="e">
            <v>#N/A</v>
          </cell>
          <cell r="W1186" t="e">
            <v>#N/A</v>
          </cell>
          <cell r="AA1186">
            <v>0</v>
          </cell>
          <cell r="AB1186" t="str">
            <v/>
          </cell>
          <cell r="AC1186" t="str">
            <v/>
          </cell>
          <cell r="AD1186" t="str">
            <v/>
          </cell>
          <cell r="AE1186" t="str">
            <v/>
          </cell>
        </row>
        <row r="1187">
          <cell r="R1187" t="str">
            <v>INT ETH ETHMO</v>
          </cell>
          <cell r="S1187" t="e">
            <v>#N/A</v>
          </cell>
          <cell r="T1187" t="e">
            <v>#N/A</v>
          </cell>
          <cell r="U1187" t="e">
            <v>#N/A</v>
          </cell>
          <cell r="V1187" t="e">
            <v>#N/A</v>
          </cell>
          <cell r="W1187" t="e">
            <v>#N/A</v>
          </cell>
          <cell r="AA1187">
            <v>0</v>
          </cell>
          <cell r="AB1187" t="str">
            <v/>
          </cell>
          <cell r="AC1187" t="str">
            <v/>
          </cell>
          <cell r="AD1187" t="str">
            <v/>
          </cell>
          <cell r="AE1187" t="str">
            <v/>
          </cell>
        </row>
        <row r="1188">
          <cell r="R1188" t="str">
            <v>INT ETH</v>
          </cell>
          <cell r="S1188" t="e">
            <v>#N/A</v>
          </cell>
          <cell r="T1188" t="e">
            <v>#N/A</v>
          </cell>
          <cell r="U1188" t="e">
            <v>#N/A</v>
          </cell>
          <cell r="V1188" t="e">
            <v>#N/A</v>
          </cell>
          <cell r="W1188" t="e">
            <v>#N/A</v>
          </cell>
          <cell r="AA1188">
            <v>0</v>
          </cell>
          <cell r="AB1188" t="str">
            <v/>
          </cell>
          <cell r="AC1188" t="str">
            <v/>
          </cell>
          <cell r="AD1188" t="str">
            <v/>
          </cell>
          <cell r="AE1188" t="str">
            <v/>
          </cell>
        </row>
        <row r="1189">
          <cell r="R1189" t="str">
            <v>INT FRO</v>
          </cell>
          <cell r="S1189" t="e">
            <v>#N/A</v>
          </cell>
          <cell r="T1189" t="e">
            <v>#N/A</v>
          </cell>
          <cell r="U1189" t="e">
            <v>#N/A</v>
          </cell>
          <cell r="V1189" t="e">
            <v>#N/A</v>
          </cell>
          <cell r="W1189" t="e">
            <v>#N/A</v>
          </cell>
          <cell r="AA1189">
            <v>0</v>
          </cell>
          <cell r="AB1189" t="str">
            <v/>
          </cell>
          <cell r="AC1189" t="str">
            <v/>
          </cell>
          <cell r="AD1189" t="str">
            <v/>
          </cell>
          <cell r="AE1189" t="str">
            <v/>
          </cell>
        </row>
        <row r="1190">
          <cell r="R1190" t="str">
            <v>INT FLK</v>
          </cell>
          <cell r="S1190" t="e">
            <v>#N/A</v>
          </cell>
          <cell r="T1190" t="e">
            <v>#N/A</v>
          </cell>
          <cell r="U1190" t="e">
            <v>#N/A</v>
          </cell>
          <cell r="V1190" t="e">
            <v>#N/A</v>
          </cell>
          <cell r="W1190" t="e">
            <v>#N/A</v>
          </cell>
          <cell r="AA1190">
            <v>0</v>
          </cell>
          <cell r="AB1190" t="str">
            <v/>
          </cell>
          <cell r="AC1190" t="str">
            <v/>
          </cell>
          <cell r="AD1190" t="str">
            <v/>
          </cell>
          <cell r="AE1190" t="str">
            <v/>
          </cell>
        </row>
        <row r="1191">
          <cell r="R1191" t="str">
            <v>INT FJI FJIMO</v>
          </cell>
          <cell r="S1191" t="e">
            <v>#N/A</v>
          </cell>
          <cell r="T1191" t="e">
            <v>#N/A</v>
          </cell>
          <cell r="U1191" t="e">
            <v>#N/A</v>
          </cell>
          <cell r="V1191" t="e">
            <v>#N/A</v>
          </cell>
          <cell r="W1191" t="e">
            <v>#N/A</v>
          </cell>
          <cell r="AA1191">
            <v>0</v>
          </cell>
          <cell r="AB1191" t="str">
            <v/>
          </cell>
          <cell r="AC1191" t="str">
            <v/>
          </cell>
          <cell r="AD1191" t="str">
            <v/>
          </cell>
          <cell r="AE1191" t="str">
            <v/>
          </cell>
        </row>
        <row r="1192">
          <cell r="R1192" t="str">
            <v>INT FJI</v>
          </cell>
          <cell r="S1192" t="e">
            <v>#N/A</v>
          </cell>
          <cell r="T1192" t="e">
            <v>#N/A</v>
          </cell>
          <cell r="U1192" t="e">
            <v>#N/A</v>
          </cell>
          <cell r="V1192" t="e">
            <v>#N/A</v>
          </cell>
          <cell r="W1192" t="e">
            <v>#N/A</v>
          </cell>
          <cell r="AA1192">
            <v>0</v>
          </cell>
          <cell r="AB1192" t="str">
            <v/>
          </cell>
          <cell r="AC1192" t="str">
            <v/>
          </cell>
          <cell r="AD1192" t="str">
            <v/>
          </cell>
          <cell r="AE1192" t="str">
            <v/>
          </cell>
        </row>
        <row r="1193">
          <cell r="R1193" t="str">
            <v>INT FIN FINMO</v>
          </cell>
          <cell r="S1193" t="e">
            <v>#N/A</v>
          </cell>
          <cell r="T1193" t="e">
            <v>#N/A</v>
          </cell>
          <cell r="U1193" t="e">
            <v>#N/A</v>
          </cell>
          <cell r="V1193" t="e">
            <v>#N/A</v>
          </cell>
          <cell r="W1193" t="e">
            <v>#N/A</v>
          </cell>
          <cell r="AA1193">
            <v>0</v>
          </cell>
          <cell r="AB1193" t="str">
            <v/>
          </cell>
          <cell r="AC1193" t="str">
            <v/>
          </cell>
          <cell r="AD1193" t="str">
            <v/>
          </cell>
          <cell r="AE1193" t="str">
            <v/>
          </cell>
        </row>
        <row r="1194">
          <cell r="R1194" t="str">
            <v>INT FIN</v>
          </cell>
          <cell r="S1194" t="e">
            <v>#N/A</v>
          </cell>
          <cell r="T1194" t="e">
            <v>#N/A</v>
          </cell>
          <cell r="U1194" t="e">
            <v>#N/A</v>
          </cell>
          <cell r="V1194" t="e">
            <v>#N/A</v>
          </cell>
          <cell r="W1194" t="e">
            <v>#N/A</v>
          </cell>
          <cell r="AA1194">
            <v>0</v>
          </cell>
          <cell r="AB1194" t="str">
            <v/>
          </cell>
          <cell r="AC1194" t="str">
            <v/>
          </cell>
          <cell r="AD1194" t="str">
            <v/>
          </cell>
          <cell r="AE1194" t="str">
            <v/>
          </cell>
        </row>
        <row r="1195">
          <cell r="R1195" t="str">
            <v>INT FIN FIB29</v>
          </cell>
          <cell r="S1195" t="e">
            <v>#N/A</v>
          </cell>
          <cell r="T1195" t="e">
            <v>#N/A</v>
          </cell>
          <cell r="U1195" t="e">
            <v>#N/A</v>
          </cell>
          <cell r="V1195" t="e">
            <v>#N/A</v>
          </cell>
          <cell r="W1195" t="e">
            <v>#N/A</v>
          </cell>
          <cell r="AA1195">
            <v>0</v>
          </cell>
          <cell r="AB1195" t="str">
            <v/>
          </cell>
          <cell r="AC1195" t="str">
            <v/>
          </cell>
          <cell r="AD1195" t="str">
            <v/>
          </cell>
          <cell r="AE1195" t="str">
            <v/>
          </cell>
        </row>
        <row r="1196">
          <cell r="R1196" t="str">
            <v>INT FIN FINPR</v>
          </cell>
          <cell r="S1196" t="e">
            <v>#N/A</v>
          </cell>
          <cell r="T1196" t="e">
            <v>#N/A</v>
          </cell>
          <cell r="U1196" t="e">
            <v>#N/A</v>
          </cell>
          <cell r="V1196" t="e">
            <v>#N/A</v>
          </cell>
          <cell r="W1196" t="e">
            <v>#N/A</v>
          </cell>
          <cell r="AA1196">
            <v>0</v>
          </cell>
          <cell r="AB1196" t="str">
            <v/>
          </cell>
          <cell r="AC1196" t="str">
            <v/>
          </cell>
          <cell r="AD1196" t="str">
            <v/>
          </cell>
          <cell r="AE1196" t="str">
            <v/>
          </cell>
        </row>
        <row r="1197">
          <cell r="R1197" t="str">
            <v>INT FIN FITFR</v>
          </cell>
          <cell r="S1197" t="e">
            <v>#N/A</v>
          </cell>
          <cell r="T1197" t="e">
            <v>#N/A</v>
          </cell>
          <cell r="U1197" t="e">
            <v>#N/A</v>
          </cell>
          <cell r="V1197" t="e">
            <v>#N/A</v>
          </cell>
          <cell r="W1197" t="e">
            <v>#N/A</v>
          </cell>
          <cell r="AA1197">
            <v>0</v>
          </cell>
          <cell r="AB1197" t="str">
            <v/>
          </cell>
          <cell r="AC1197" t="str">
            <v/>
          </cell>
          <cell r="AD1197" t="str">
            <v/>
          </cell>
          <cell r="AE1197" t="str">
            <v/>
          </cell>
        </row>
        <row r="1198">
          <cell r="R1198" t="str">
            <v>INT FIN FITS1</v>
          </cell>
          <cell r="S1198" t="e">
            <v>#N/A</v>
          </cell>
          <cell r="T1198" t="e">
            <v>#N/A</v>
          </cell>
          <cell r="U1198" t="e">
            <v>#N/A</v>
          </cell>
          <cell r="V1198" t="e">
            <v>#N/A</v>
          </cell>
          <cell r="W1198" t="e">
            <v>#N/A</v>
          </cell>
          <cell r="AA1198">
            <v>0</v>
          </cell>
          <cell r="AB1198" t="str">
            <v/>
          </cell>
          <cell r="AC1198" t="str">
            <v/>
          </cell>
          <cell r="AD1198" t="str">
            <v/>
          </cell>
          <cell r="AE1198" t="str">
            <v/>
          </cell>
        </row>
        <row r="1199">
          <cell r="R1199" t="str">
            <v>INT FRA FRAMO</v>
          </cell>
          <cell r="S1199" t="e">
            <v>#N/A</v>
          </cell>
          <cell r="T1199" t="e">
            <v>#N/A</v>
          </cell>
          <cell r="U1199" t="e">
            <v>#N/A</v>
          </cell>
          <cell r="V1199" t="e">
            <v>#N/A</v>
          </cell>
          <cell r="W1199" t="e">
            <v>#N/A</v>
          </cell>
          <cell r="AA1199">
            <v>0</v>
          </cell>
          <cell r="AB1199" t="str">
            <v/>
          </cell>
          <cell r="AC1199" t="str">
            <v/>
          </cell>
          <cell r="AD1199" t="str">
            <v/>
          </cell>
          <cell r="AE1199" t="str">
            <v/>
          </cell>
        </row>
        <row r="1200">
          <cell r="R1200" t="str">
            <v>INT FRA FRMGL</v>
          </cell>
          <cell r="S1200" t="e">
            <v>#N/A</v>
          </cell>
          <cell r="T1200" t="e">
            <v>#N/A</v>
          </cell>
          <cell r="U1200" t="e">
            <v>#N/A</v>
          </cell>
          <cell r="V1200" t="e">
            <v>#N/A</v>
          </cell>
          <cell r="W1200" t="e">
            <v>#N/A</v>
          </cell>
          <cell r="AA1200">
            <v>0</v>
          </cell>
          <cell r="AB1200" t="str">
            <v/>
          </cell>
          <cell r="AC1200" t="str">
            <v/>
          </cell>
          <cell r="AD1200" t="str">
            <v/>
          </cell>
          <cell r="AE1200" t="str">
            <v/>
          </cell>
        </row>
        <row r="1201">
          <cell r="R1201" t="str">
            <v>INT FRA FRAIT</v>
          </cell>
          <cell r="S1201" t="e">
            <v>#N/A</v>
          </cell>
          <cell r="T1201" t="e">
            <v>#N/A</v>
          </cell>
          <cell r="U1201" t="e">
            <v>#N/A</v>
          </cell>
          <cell r="V1201" t="e">
            <v>#N/A</v>
          </cell>
          <cell r="W1201" t="e">
            <v>#N/A</v>
          </cell>
          <cell r="AA1201">
            <v>0</v>
          </cell>
          <cell r="AB1201" t="str">
            <v/>
          </cell>
          <cell r="AC1201" t="str">
            <v/>
          </cell>
          <cell r="AD1201" t="str">
            <v/>
          </cell>
          <cell r="AE1201" t="str">
            <v/>
          </cell>
        </row>
        <row r="1202">
          <cell r="R1202" t="str">
            <v>INT FRA</v>
          </cell>
          <cell r="S1202" t="e">
            <v>#N/A</v>
          </cell>
          <cell r="T1202" t="e">
            <v>#N/A</v>
          </cell>
          <cell r="U1202" t="e">
            <v>#N/A</v>
          </cell>
          <cell r="V1202" t="e">
            <v>#N/A</v>
          </cell>
          <cell r="W1202" t="e">
            <v>#N/A</v>
          </cell>
          <cell r="AA1202">
            <v>0</v>
          </cell>
          <cell r="AB1202" t="str">
            <v/>
          </cell>
          <cell r="AC1202" t="str">
            <v/>
          </cell>
          <cell r="AD1202" t="str">
            <v/>
          </cell>
          <cell r="AE1202" t="str">
            <v/>
          </cell>
        </row>
        <row r="1203">
          <cell r="R1203" t="str">
            <v>INT GUF GUFMO</v>
          </cell>
          <cell r="S1203" t="e">
            <v>#N/A</v>
          </cell>
          <cell r="T1203" t="e">
            <v>#N/A</v>
          </cell>
          <cell r="U1203" t="e">
            <v>#N/A</v>
          </cell>
          <cell r="V1203" t="e">
            <v>#N/A</v>
          </cell>
          <cell r="W1203" t="e">
            <v>#N/A</v>
          </cell>
          <cell r="AA1203">
            <v>0</v>
          </cell>
          <cell r="AB1203" t="str">
            <v/>
          </cell>
          <cell r="AC1203" t="str">
            <v/>
          </cell>
          <cell r="AD1203" t="str">
            <v/>
          </cell>
          <cell r="AE1203" t="str">
            <v/>
          </cell>
        </row>
        <row r="1204">
          <cell r="R1204" t="str">
            <v>INT GUF</v>
          </cell>
          <cell r="S1204" t="e">
            <v>#N/A</v>
          </cell>
          <cell r="T1204" t="e">
            <v>#N/A</v>
          </cell>
          <cell r="U1204" t="e">
            <v>#N/A</v>
          </cell>
          <cell r="V1204" t="e">
            <v>#N/A</v>
          </cell>
          <cell r="W1204" t="e">
            <v>#N/A</v>
          </cell>
          <cell r="AA1204">
            <v>0</v>
          </cell>
          <cell r="AB1204" t="str">
            <v/>
          </cell>
          <cell r="AC1204" t="str">
            <v/>
          </cell>
          <cell r="AD1204" t="str">
            <v/>
          </cell>
          <cell r="AE1204" t="str">
            <v/>
          </cell>
        </row>
        <row r="1205">
          <cell r="R1205" t="str">
            <v>INT PYF PYFMO</v>
          </cell>
          <cell r="S1205" t="e">
            <v>#N/A</v>
          </cell>
          <cell r="T1205" t="e">
            <v>#N/A</v>
          </cell>
          <cell r="U1205" t="e">
            <v>#N/A</v>
          </cell>
          <cell r="V1205" t="e">
            <v>#N/A</v>
          </cell>
          <cell r="W1205" t="e">
            <v>#N/A</v>
          </cell>
          <cell r="AA1205">
            <v>0</v>
          </cell>
          <cell r="AB1205" t="str">
            <v/>
          </cell>
          <cell r="AC1205" t="str">
            <v/>
          </cell>
          <cell r="AD1205" t="str">
            <v/>
          </cell>
          <cell r="AE1205" t="str">
            <v/>
          </cell>
        </row>
        <row r="1206">
          <cell r="R1206" t="str">
            <v>INT PYF</v>
          </cell>
          <cell r="S1206" t="e">
            <v>#N/A</v>
          </cell>
          <cell r="T1206" t="e">
            <v>#N/A</v>
          </cell>
          <cell r="U1206" t="e">
            <v>#N/A</v>
          </cell>
          <cell r="V1206" t="e">
            <v>#N/A</v>
          </cell>
          <cell r="W1206" t="e">
            <v>#N/A</v>
          </cell>
          <cell r="AA1206">
            <v>0</v>
          </cell>
          <cell r="AB1206" t="str">
            <v/>
          </cell>
          <cell r="AC1206" t="str">
            <v/>
          </cell>
          <cell r="AD1206" t="str">
            <v/>
          </cell>
          <cell r="AE1206" t="str">
            <v/>
          </cell>
        </row>
        <row r="1207">
          <cell r="R1207" t="str">
            <v>INT GAB</v>
          </cell>
          <cell r="S1207" t="e">
            <v>#N/A</v>
          </cell>
          <cell r="T1207" t="e">
            <v>#N/A</v>
          </cell>
          <cell r="U1207" t="e">
            <v>#N/A</v>
          </cell>
          <cell r="V1207" t="e">
            <v>#N/A</v>
          </cell>
          <cell r="W1207" t="e">
            <v>#N/A</v>
          </cell>
          <cell r="AA1207">
            <v>0</v>
          </cell>
          <cell r="AB1207" t="str">
            <v/>
          </cell>
          <cell r="AC1207" t="str">
            <v/>
          </cell>
          <cell r="AD1207" t="str">
            <v/>
          </cell>
          <cell r="AE1207" t="str">
            <v/>
          </cell>
        </row>
        <row r="1208">
          <cell r="R1208" t="str">
            <v>INT GMB GMBMO</v>
          </cell>
          <cell r="S1208" t="e">
            <v>#N/A</v>
          </cell>
          <cell r="T1208" t="e">
            <v>#N/A</v>
          </cell>
          <cell r="U1208" t="e">
            <v>#N/A</v>
          </cell>
          <cell r="V1208" t="e">
            <v>#N/A</v>
          </cell>
          <cell r="W1208" t="e">
            <v>#N/A</v>
          </cell>
          <cell r="AA1208">
            <v>0</v>
          </cell>
          <cell r="AB1208" t="str">
            <v/>
          </cell>
          <cell r="AC1208" t="str">
            <v/>
          </cell>
          <cell r="AD1208" t="str">
            <v/>
          </cell>
          <cell r="AE1208" t="str">
            <v/>
          </cell>
        </row>
        <row r="1209">
          <cell r="R1209" t="str">
            <v>INT GMB</v>
          </cell>
          <cell r="S1209" t="e">
            <v>#N/A</v>
          </cell>
          <cell r="T1209" t="e">
            <v>#N/A</v>
          </cell>
          <cell r="U1209" t="e">
            <v>#N/A</v>
          </cell>
          <cell r="V1209" t="e">
            <v>#N/A</v>
          </cell>
          <cell r="W1209" t="e">
            <v>#N/A</v>
          </cell>
          <cell r="AA1209">
            <v>0</v>
          </cell>
          <cell r="AB1209" t="str">
            <v/>
          </cell>
          <cell r="AC1209" t="str">
            <v/>
          </cell>
          <cell r="AD1209" t="str">
            <v/>
          </cell>
          <cell r="AE1209" t="str">
            <v/>
          </cell>
        </row>
        <row r="1210">
          <cell r="R1210" t="str">
            <v>INT GEO GEOMO</v>
          </cell>
          <cell r="S1210" t="e">
            <v>#N/A</v>
          </cell>
          <cell r="T1210" t="e">
            <v>#N/A</v>
          </cell>
          <cell r="U1210" t="e">
            <v>#N/A</v>
          </cell>
          <cell r="V1210" t="e">
            <v>#N/A</v>
          </cell>
          <cell r="W1210" t="e">
            <v>#N/A</v>
          </cell>
          <cell r="AA1210">
            <v>0</v>
          </cell>
          <cell r="AB1210" t="str">
            <v/>
          </cell>
          <cell r="AC1210" t="str">
            <v/>
          </cell>
          <cell r="AD1210" t="str">
            <v/>
          </cell>
          <cell r="AE1210" t="str">
            <v/>
          </cell>
        </row>
        <row r="1211">
          <cell r="R1211" t="str">
            <v>INT GEO</v>
          </cell>
          <cell r="S1211" t="e">
            <v>#N/A</v>
          </cell>
          <cell r="T1211" t="e">
            <v>#N/A</v>
          </cell>
          <cell r="U1211" t="e">
            <v>#N/A</v>
          </cell>
          <cell r="V1211" t="e">
            <v>#N/A</v>
          </cell>
          <cell r="W1211" t="e">
            <v>#N/A</v>
          </cell>
          <cell r="AA1211">
            <v>0</v>
          </cell>
          <cell r="AB1211" t="str">
            <v/>
          </cell>
          <cell r="AC1211" t="str">
            <v/>
          </cell>
          <cell r="AD1211" t="str">
            <v/>
          </cell>
          <cell r="AE1211" t="str">
            <v/>
          </cell>
        </row>
        <row r="1212">
          <cell r="R1212" t="str">
            <v>INT GER GERMO</v>
          </cell>
          <cell r="S1212" t="e">
            <v>#N/A</v>
          </cell>
          <cell r="T1212" t="e">
            <v>#N/A</v>
          </cell>
          <cell r="U1212" t="e">
            <v>#N/A</v>
          </cell>
          <cell r="V1212" t="e">
            <v>#N/A</v>
          </cell>
          <cell r="W1212" t="e">
            <v>#N/A</v>
          </cell>
          <cell r="AA1212">
            <v>0</v>
          </cell>
          <cell r="AB1212" t="str">
            <v/>
          </cell>
          <cell r="AC1212" t="str">
            <v/>
          </cell>
          <cell r="AD1212" t="str">
            <v/>
          </cell>
          <cell r="AE1212" t="str">
            <v/>
          </cell>
        </row>
        <row r="1213">
          <cell r="R1213" t="str">
            <v>INT GER</v>
          </cell>
          <cell r="S1213" t="e">
            <v>#N/A</v>
          </cell>
          <cell r="T1213" t="e">
            <v>#N/A</v>
          </cell>
          <cell r="U1213" t="e">
            <v>#N/A</v>
          </cell>
          <cell r="V1213" t="e">
            <v>#N/A</v>
          </cell>
          <cell r="W1213" t="e">
            <v>#N/A</v>
          </cell>
          <cell r="AA1213">
            <v>0</v>
          </cell>
          <cell r="AB1213" t="str">
            <v/>
          </cell>
          <cell r="AC1213" t="str">
            <v/>
          </cell>
          <cell r="AD1213" t="str">
            <v/>
          </cell>
          <cell r="AE1213" t="str">
            <v/>
          </cell>
        </row>
        <row r="1214">
          <cell r="R1214" t="str">
            <v>INT GER GEPN1</v>
          </cell>
          <cell r="S1214" t="e">
            <v>#N/A</v>
          </cell>
          <cell r="T1214" t="e">
            <v>#N/A</v>
          </cell>
          <cell r="U1214" t="e">
            <v>#N/A</v>
          </cell>
          <cell r="V1214" t="e">
            <v>#N/A</v>
          </cell>
          <cell r="W1214" t="e">
            <v>#N/A</v>
          </cell>
          <cell r="AA1214">
            <v>0</v>
          </cell>
          <cell r="AB1214" t="str">
            <v/>
          </cell>
          <cell r="AC1214" t="str">
            <v/>
          </cell>
          <cell r="AD1214" t="str">
            <v/>
          </cell>
          <cell r="AE1214" t="str">
            <v/>
          </cell>
        </row>
        <row r="1215">
          <cell r="R1215" t="str">
            <v>INT GER GETS4</v>
          </cell>
          <cell r="S1215" t="e">
            <v>#N/A</v>
          </cell>
          <cell r="T1215" t="e">
            <v>#N/A</v>
          </cell>
          <cell r="U1215" t="e">
            <v>#N/A</v>
          </cell>
          <cell r="V1215" t="e">
            <v>#N/A</v>
          </cell>
          <cell r="W1215" t="e">
            <v>#N/A</v>
          </cell>
          <cell r="AA1215">
            <v>0</v>
          </cell>
          <cell r="AB1215" t="str">
            <v/>
          </cell>
          <cell r="AC1215" t="str">
            <v/>
          </cell>
          <cell r="AD1215" t="str">
            <v/>
          </cell>
          <cell r="AE1215" t="str">
            <v/>
          </cell>
        </row>
        <row r="1216">
          <cell r="R1216" t="str">
            <v>INT GER GEV04</v>
          </cell>
          <cell r="S1216" t="e">
            <v>#N/A</v>
          </cell>
          <cell r="T1216" t="e">
            <v>#N/A</v>
          </cell>
          <cell r="U1216" t="e">
            <v>#N/A</v>
          </cell>
          <cell r="V1216" t="e">
            <v>#N/A</v>
          </cell>
          <cell r="W1216" t="e">
            <v>#N/A</v>
          </cell>
          <cell r="AA1216">
            <v>0</v>
          </cell>
          <cell r="AB1216" t="str">
            <v/>
          </cell>
          <cell r="AC1216" t="str">
            <v/>
          </cell>
          <cell r="AD1216" t="str">
            <v/>
          </cell>
          <cell r="AE1216" t="str">
            <v/>
          </cell>
        </row>
        <row r="1217">
          <cell r="R1217" t="str">
            <v>INT GER GETFR</v>
          </cell>
          <cell r="S1217" t="e">
            <v>#N/A</v>
          </cell>
          <cell r="T1217" t="e">
            <v>#N/A</v>
          </cell>
          <cell r="U1217" t="e">
            <v>#N/A</v>
          </cell>
          <cell r="V1217" t="e">
            <v>#N/A</v>
          </cell>
          <cell r="W1217" t="e">
            <v>#N/A</v>
          </cell>
          <cell r="AA1217">
            <v>0</v>
          </cell>
          <cell r="AB1217" t="str">
            <v/>
          </cell>
          <cell r="AC1217" t="str">
            <v/>
          </cell>
          <cell r="AD1217" t="str">
            <v/>
          </cell>
          <cell r="AE1217" t="str">
            <v/>
          </cell>
        </row>
        <row r="1218">
          <cell r="R1218" t="str">
            <v>INT GHA GHAMO</v>
          </cell>
          <cell r="S1218" t="e">
            <v>#N/A</v>
          </cell>
          <cell r="T1218" t="e">
            <v>#N/A</v>
          </cell>
          <cell r="U1218" t="e">
            <v>#N/A</v>
          </cell>
          <cell r="V1218" t="e">
            <v>#N/A</v>
          </cell>
          <cell r="W1218" t="e">
            <v>#N/A</v>
          </cell>
          <cell r="AA1218">
            <v>0</v>
          </cell>
          <cell r="AB1218" t="str">
            <v/>
          </cell>
          <cell r="AC1218" t="str">
            <v/>
          </cell>
          <cell r="AD1218" t="str">
            <v/>
          </cell>
          <cell r="AE1218" t="str">
            <v/>
          </cell>
        </row>
        <row r="1219">
          <cell r="R1219" t="str">
            <v>INT GHA</v>
          </cell>
          <cell r="S1219" t="e">
            <v>#N/A</v>
          </cell>
          <cell r="T1219" t="e">
            <v>#N/A</v>
          </cell>
          <cell r="U1219" t="e">
            <v>#N/A</v>
          </cell>
          <cell r="V1219" t="e">
            <v>#N/A</v>
          </cell>
          <cell r="W1219" t="e">
            <v>#N/A</v>
          </cell>
          <cell r="AA1219">
            <v>0</v>
          </cell>
          <cell r="AB1219" t="str">
            <v/>
          </cell>
          <cell r="AC1219" t="str">
            <v/>
          </cell>
          <cell r="AD1219" t="str">
            <v/>
          </cell>
          <cell r="AE1219" t="str">
            <v/>
          </cell>
        </row>
        <row r="1220">
          <cell r="R1220" t="str">
            <v>INT GIB GIBMO</v>
          </cell>
          <cell r="S1220" t="e">
            <v>#N/A</v>
          </cell>
          <cell r="T1220" t="e">
            <v>#N/A</v>
          </cell>
          <cell r="U1220" t="e">
            <v>#N/A</v>
          </cell>
          <cell r="V1220" t="e">
            <v>#N/A</v>
          </cell>
          <cell r="W1220" t="e">
            <v>#N/A</v>
          </cell>
          <cell r="AA1220">
            <v>0</v>
          </cell>
          <cell r="AB1220" t="str">
            <v/>
          </cell>
          <cell r="AC1220" t="str">
            <v/>
          </cell>
          <cell r="AD1220" t="str">
            <v/>
          </cell>
          <cell r="AE1220" t="str">
            <v/>
          </cell>
        </row>
        <row r="1221">
          <cell r="R1221" t="str">
            <v>INT GIB</v>
          </cell>
          <cell r="S1221" t="e">
            <v>#N/A</v>
          </cell>
          <cell r="T1221" t="e">
            <v>#N/A</v>
          </cell>
          <cell r="U1221" t="e">
            <v>#N/A</v>
          </cell>
          <cell r="V1221" t="e">
            <v>#N/A</v>
          </cell>
          <cell r="W1221" t="e">
            <v>#N/A</v>
          </cell>
          <cell r="AA1221">
            <v>0</v>
          </cell>
          <cell r="AB1221" t="str">
            <v/>
          </cell>
          <cell r="AC1221" t="str">
            <v/>
          </cell>
          <cell r="AD1221" t="str">
            <v/>
          </cell>
          <cell r="AE1221" t="str">
            <v/>
          </cell>
        </row>
        <row r="1222">
          <cell r="R1222" t="str">
            <v>INT EMS GNS</v>
          </cell>
          <cell r="S1222" t="e">
            <v>#N/A</v>
          </cell>
          <cell r="T1222" t="e">
            <v>#N/A</v>
          </cell>
          <cell r="U1222" t="e">
            <v>#N/A</v>
          </cell>
          <cell r="V1222" t="e">
            <v>#N/A</v>
          </cell>
          <cell r="W1222" t="e">
            <v>#N/A</v>
          </cell>
          <cell r="AA1222">
            <v>0</v>
          </cell>
          <cell r="AB1222" t="str">
            <v/>
          </cell>
          <cell r="AC1222" t="str">
            <v/>
          </cell>
          <cell r="AD1222" t="str">
            <v/>
          </cell>
          <cell r="AE1222" t="str">
            <v/>
          </cell>
        </row>
        <row r="1223">
          <cell r="R1223" t="str">
            <v>INT IRB</v>
          </cell>
          <cell r="S1223" t="e">
            <v>#N/A</v>
          </cell>
          <cell r="T1223" t="e">
            <v>#N/A</v>
          </cell>
          <cell r="U1223" t="e">
            <v>#N/A</v>
          </cell>
          <cell r="V1223" t="e">
            <v>#N/A</v>
          </cell>
          <cell r="W1223" t="e">
            <v>#N/A</v>
          </cell>
          <cell r="AA1223">
            <v>0</v>
          </cell>
          <cell r="AB1223" t="str">
            <v/>
          </cell>
          <cell r="AC1223" t="str">
            <v/>
          </cell>
          <cell r="AD1223" t="str">
            <v/>
          </cell>
          <cell r="AE1223" t="str">
            <v/>
          </cell>
        </row>
        <row r="1224">
          <cell r="R1224" t="str">
            <v>INT IRB GLOB</v>
          </cell>
          <cell r="S1224" t="e">
            <v>#N/A</v>
          </cell>
          <cell r="T1224" t="e">
            <v>#N/A</v>
          </cell>
          <cell r="U1224" t="e">
            <v>#N/A</v>
          </cell>
          <cell r="V1224" t="e">
            <v>#N/A</v>
          </cell>
          <cell r="W1224" t="e">
            <v>#N/A</v>
          </cell>
          <cell r="AA1224">
            <v>0</v>
          </cell>
          <cell r="AB1224" t="str">
            <v/>
          </cell>
          <cell r="AC1224" t="str">
            <v/>
          </cell>
          <cell r="AD1224" t="str">
            <v/>
          </cell>
          <cell r="AE1224" t="str">
            <v/>
          </cell>
        </row>
        <row r="1225">
          <cell r="R1225" t="str">
            <v>INT GRC GRCMO</v>
          </cell>
          <cell r="S1225" t="e">
            <v>#N/A</v>
          </cell>
          <cell r="T1225" t="e">
            <v>#N/A</v>
          </cell>
          <cell r="U1225" t="e">
            <v>#N/A</v>
          </cell>
          <cell r="V1225" t="e">
            <v>#N/A</v>
          </cell>
          <cell r="W1225" t="e">
            <v>#N/A</v>
          </cell>
          <cell r="AA1225">
            <v>0</v>
          </cell>
          <cell r="AB1225" t="str">
            <v/>
          </cell>
          <cell r="AC1225" t="str">
            <v/>
          </cell>
          <cell r="AD1225" t="str">
            <v/>
          </cell>
          <cell r="AE1225" t="str">
            <v/>
          </cell>
        </row>
        <row r="1226">
          <cell r="R1226" t="str">
            <v>INT GRC</v>
          </cell>
          <cell r="S1226" t="e">
            <v>#N/A</v>
          </cell>
          <cell r="T1226" t="e">
            <v>#N/A</v>
          </cell>
          <cell r="U1226" t="e">
            <v>#N/A</v>
          </cell>
          <cell r="V1226" t="e">
            <v>#N/A</v>
          </cell>
          <cell r="W1226" t="e">
            <v>#N/A</v>
          </cell>
          <cell r="AA1226">
            <v>0</v>
          </cell>
          <cell r="AB1226" t="str">
            <v/>
          </cell>
          <cell r="AC1226" t="str">
            <v/>
          </cell>
          <cell r="AD1226" t="str">
            <v/>
          </cell>
          <cell r="AE1226" t="str">
            <v/>
          </cell>
        </row>
        <row r="1227">
          <cell r="R1227" t="str">
            <v>INT GRL GRLMO</v>
          </cell>
          <cell r="S1227" t="e">
            <v>#N/A</v>
          </cell>
          <cell r="T1227" t="e">
            <v>#N/A</v>
          </cell>
          <cell r="U1227" t="e">
            <v>#N/A</v>
          </cell>
          <cell r="V1227" t="e">
            <v>#N/A</v>
          </cell>
          <cell r="W1227" t="e">
            <v>#N/A</v>
          </cell>
          <cell r="AA1227">
            <v>0</v>
          </cell>
          <cell r="AB1227" t="str">
            <v/>
          </cell>
          <cell r="AC1227" t="str">
            <v/>
          </cell>
          <cell r="AD1227" t="str">
            <v/>
          </cell>
          <cell r="AE1227" t="str">
            <v/>
          </cell>
        </row>
        <row r="1228">
          <cell r="R1228" t="str">
            <v>INT GRL</v>
          </cell>
          <cell r="S1228" t="e">
            <v>#N/A</v>
          </cell>
          <cell r="T1228" t="e">
            <v>#N/A</v>
          </cell>
          <cell r="U1228" t="e">
            <v>#N/A</v>
          </cell>
          <cell r="V1228" t="e">
            <v>#N/A</v>
          </cell>
          <cell r="W1228" t="e">
            <v>#N/A</v>
          </cell>
          <cell r="AA1228">
            <v>0</v>
          </cell>
          <cell r="AB1228" t="str">
            <v/>
          </cell>
          <cell r="AC1228" t="str">
            <v/>
          </cell>
          <cell r="AD1228" t="str">
            <v/>
          </cell>
          <cell r="AE1228" t="str">
            <v/>
          </cell>
        </row>
        <row r="1229">
          <cell r="R1229" t="str">
            <v>INT GRD</v>
          </cell>
          <cell r="S1229" t="e">
            <v>#N/A</v>
          </cell>
          <cell r="T1229" t="e">
            <v>#N/A</v>
          </cell>
          <cell r="U1229" t="e">
            <v>#N/A</v>
          </cell>
          <cell r="V1229" t="e">
            <v>#N/A</v>
          </cell>
          <cell r="W1229" t="e">
            <v>#N/A</v>
          </cell>
          <cell r="AA1229">
            <v>0</v>
          </cell>
          <cell r="AB1229" t="str">
            <v/>
          </cell>
          <cell r="AC1229" t="str">
            <v/>
          </cell>
          <cell r="AD1229" t="str">
            <v/>
          </cell>
          <cell r="AE1229" t="str">
            <v/>
          </cell>
        </row>
        <row r="1230">
          <cell r="R1230" t="str">
            <v>INT GLP GLPMO</v>
          </cell>
          <cell r="S1230" t="e">
            <v>#N/A</v>
          </cell>
          <cell r="T1230" t="e">
            <v>#N/A</v>
          </cell>
          <cell r="U1230" t="e">
            <v>#N/A</v>
          </cell>
          <cell r="V1230" t="e">
            <v>#N/A</v>
          </cell>
          <cell r="W1230" t="e">
            <v>#N/A</v>
          </cell>
          <cell r="AA1230">
            <v>0</v>
          </cell>
          <cell r="AB1230" t="str">
            <v/>
          </cell>
          <cell r="AC1230" t="str">
            <v/>
          </cell>
          <cell r="AD1230" t="str">
            <v/>
          </cell>
          <cell r="AE1230" t="str">
            <v/>
          </cell>
        </row>
        <row r="1231">
          <cell r="R1231" t="str">
            <v>INT GLP</v>
          </cell>
          <cell r="S1231" t="e">
            <v>#N/A</v>
          </cell>
          <cell r="T1231" t="e">
            <v>#N/A</v>
          </cell>
          <cell r="U1231" t="e">
            <v>#N/A</v>
          </cell>
          <cell r="V1231" t="e">
            <v>#N/A</v>
          </cell>
          <cell r="W1231" t="e">
            <v>#N/A</v>
          </cell>
          <cell r="AA1231">
            <v>0</v>
          </cell>
          <cell r="AB1231" t="str">
            <v/>
          </cell>
          <cell r="AC1231" t="str">
            <v/>
          </cell>
          <cell r="AD1231" t="str">
            <v/>
          </cell>
          <cell r="AE1231" t="str">
            <v/>
          </cell>
        </row>
        <row r="1232">
          <cell r="R1232" t="str">
            <v>INT GUM</v>
          </cell>
          <cell r="S1232" t="e">
            <v>#N/A</v>
          </cell>
          <cell r="T1232" t="e">
            <v>#N/A</v>
          </cell>
          <cell r="U1232" t="e">
            <v>#N/A</v>
          </cell>
          <cell r="V1232" t="e">
            <v>#N/A</v>
          </cell>
          <cell r="W1232" t="e">
            <v>#N/A</v>
          </cell>
          <cell r="AA1232">
            <v>0</v>
          </cell>
          <cell r="AB1232" t="str">
            <v/>
          </cell>
          <cell r="AC1232" t="str">
            <v/>
          </cell>
          <cell r="AD1232" t="str">
            <v/>
          </cell>
          <cell r="AE1232" t="str">
            <v/>
          </cell>
        </row>
        <row r="1233">
          <cell r="R1233" t="str">
            <v>INT CUB CUBGU</v>
          </cell>
          <cell r="S1233" t="e">
            <v>#N/A</v>
          </cell>
          <cell r="T1233" t="e">
            <v>#N/A</v>
          </cell>
          <cell r="U1233" t="e">
            <v>#N/A</v>
          </cell>
          <cell r="V1233" t="e">
            <v>#N/A</v>
          </cell>
          <cell r="W1233" t="e">
            <v>#N/A</v>
          </cell>
          <cell r="AA1233">
            <v>0</v>
          </cell>
          <cell r="AB1233" t="str">
            <v/>
          </cell>
          <cell r="AC1233" t="str">
            <v/>
          </cell>
          <cell r="AD1233" t="str">
            <v/>
          </cell>
          <cell r="AE1233" t="str">
            <v/>
          </cell>
        </row>
        <row r="1234">
          <cell r="R1234" t="str">
            <v>INT GTM GTMMO</v>
          </cell>
          <cell r="S1234" t="e">
            <v>#N/A</v>
          </cell>
          <cell r="T1234" t="e">
            <v>#N/A</v>
          </cell>
          <cell r="U1234" t="e">
            <v>#N/A</v>
          </cell>
          <cell r="V1234" t="e">
            <v>#N/A</v>
          </cell>
          <cell r="W1234" t="e">
            <v>#N/A</v>
          </cell>
          <cell r="AA1234">
            <v>0</v>
          </cell>
          <cell r="AB1234" t="str">
            <v/>
          </cell>
          <cell r="AC1234" t="str">
            <v/>
          </cell>
          <cell r="AD1234" t="str">
            <v/>
          </cell>
          <cell r="AE1234" t="str">
            <v/>
          </cell>
        </row>
        <row r="1235">
          <cell r="R1235" t="str">
            <v>INT GTM</v>
          </cell>
          <cell r="S1235" t="e">
            <v>#N/A</v>
          </cell>
          <cell r="T1235" t="e">
            <v>#N/A</v>
          </cell>
          <cell r="U1235" t="e">
            <v>#N/A</v>
          </cell>
          <cell r="V1235" t="e">
            <v>#N/A</v>
          </cell>
          <cell r="W1235" t="e">
            <v>#N/A</v>
          </cell>
          <cell r="AA1235">
            <v>0</v>
          </cell>
          <cell r="AB1235" t="str">
            <v/>
          </cell>
          <cell r="AC1235" t="str">
            <v/>
          </cell>
          <cell r="AD1235" t="str">
            <v/>
          </cell>
          <cell r="AE1235" t="str">
            <v/>
          </cell>
        </row>
        <row r="1236">
          <cell r="R1236" t="str">
            <v>INT GIN GINMO</v>
          </cell>
          <cell r="S1236" t="e">
            <v>#N/A</v>
          </cell>
          <cell r="T1236" t="e">
            <v>#N/A</v>
          </cell>
          <cell r="U1236" t="e">
            <v>#N/A</v>
          </cell>
          <cell r="V1236" t="e">
            <v>#N/A</v>
          </cell>
          <cell r="W1236" t="e">
            <v>#N/A</v>
          </cell>
          <cell r="AA1236">
            <v>0</v>
          </cell>
          <cell r="AB1236" t="str">
            <v/>
          </cell>
          <cell r="AC1236" t="str">
            <v/>
          </cell>
          <cell r="AD1236" t="str">
            <v/>
          </cell>
          <cell r="AE1236" t="str">
            <v/>
          </cell>
        </row>
        <row r="1237">
          <cell r="R1237" t="str">
            <v>INT GIN</v>
          </cell>
          <cell r="S1237" t="e">
            <v>#N/A</v>
          </cell>
          <cell r="T1237" t="e">
            <v>#N/A</v>
          </cell>
          <cell r="U1237" t="e">
            <v>#N/A</v>
          </cell>
          <cell r="V1237" t="e">
            <v>#N/A</v>
          </cell>
          <cell r="W1237" t="e">
            <v>#N/A</v>
          </cell>
          <cell r="AA1237">
            <v>0</v>
          </cell>
          <cell r="AB1237" t="str">
            <v/>
          </cell>
          <cell r="AC1237" t="str">
            <v/>
          </cell>
          <cell r="AD1237" t="str">
            <v/>
          </cell>
          <cell r="AE1237" t="str">
            <v/>
          </cell>
        </row>
        <row r="1238">
          <cell r="R1238" t="str">
            <v>INT GNB</v>
          </cell>
          <cell r="S1238" t="e">
            <v>#N/A</v>
          </cell>
          <cell r="T1238" t="e">
            <v>#N/A</v>
          </cell>
          <cell r="U1238" t="e">
            <v>#N/A</v>
          </cell>
          <cell r="V1238" t="e">
            <v>#N/A</v>
          </cell>
          <cell r="W1238" t="e">
            <v>#N/A</v>
          </cell>
          <cell r="AA1238">
            <v>0</v>
          </cell>
          <cell r="AB1238" t="str">
            <v/>
          </cell>
          <cell r="AC1238" t="str">
            <v/>
          </cell>
          <cell r="AD1238" t="str">
            <v/>
          </cell>
          <cell r="AE1238" t="str">
            <v/>
          </cell>
        </row>
        <row r="1239">
          <cell r="R1239" t="str">
            <v>INT GUY GUYMO</v>
          </cell>
          <cell r="S1239" t="e">
            <v>#N/A</v>
          </cell>
          <cell r="T1239" t="e">
            <v>#N/A</v>
          </cell>
          <cell r="U1239" t="e">
            <v>#N/A</v>
          </cell>
          <cell r="V1239" t="e">
            <v>#N/A</v>
          </cell>
          <cell r="W1239" t="e">
            <v>#N/A</v>
          </cell>
          <cell r="AA1239">
            <v>0</v>
          </cell>
          <cell r="AB1239" t="str">
            <v/>
          </cell>
          <cell r="AC1239" t="str">
            <v/>
          </cell>
          <cell r="AD1239" t="str">
            <v/>
          </cell>
          <cell r="AE1239" t="str">
            <v/>
          </cell>
        </row>
        <row r="1240">
          <cell r="R1240" t="str">
            <v>INT GUY</v>
          </cell>
          <cell r="S1240" t="e">
            <v>#N/A</v>
          </cell>
          <cell r="T1240" t="e">
            <v>#N/A</v>
          </cell>
          <cell r="U1240" t="e">
            <v>#N/A</v>
          </cell>
          <cell r="V1240" t="e">
            <v>#N/A</v>
          </cell>
          <cell r="W1240" t="e">
            <v>#N/A</v>
          </cell>
          <cell r="AA1240">
            <v>0</v>
          </cell>
          <cell r="AB1240" t="str">
            <v/>
          </cell>
          <cell r="AC1240" t="str">
            <v/>
          </cell>
          <cell r="AD1240" t="str">
            <v/>
          </cell>
          <cell r="AE1240" t="str">
            <v/>
          </cell>
        </row>
        <row r="1241">
          <cell r="R1241" t="str">
            <v>INT HTI HTIMO</v>
          </cell>
          <cell r="S1241" t="e">
            <v>#N/A</v>
          </cell>
          <cell r="T1241" t="e">
            <v>#N/A</v>
          </cell>
          <cell r="U1241" t="e">
            <v>#N/A</v>
          </cell>
          <cell r="V1241" t="e">
            <v>#N/A</v>
          </cell>
          <cell r="W1241" t="e">
            <v>#N/A</v>
          </cell>
          <cell r="AA1241">
            <v>0</v>
          </cell>
          <cell r="AB1241" t="str">
            <v/>
          </cell>
          <cell r="AC1241" t="str">
            <v/>
          </cell>
          <cell r="AD1241" t="str">
            <v/>
          </cell>
          <cell r="AE1241" t="str">
            <v/>
          </cell>
        </row>
        <row r="1242">
          <cell r="R1242" t="str">
            <v>INT HTI</v>
          </cell>
          <cell r="S1242" t="e">
            <v>#N/A</v>
          </cell>
          <cell r="T1242" t="e">
            <v>#N/A</v>
          </cell>
          <cell r="U1242" t="e">
            <v>#N/A</v>
          </cell>
          <cell r="V1242" t="e">
            <v>#N/A</v>
          </cell>
          <cell r="W1242" t="e">
            <v>#N/A</v>
          </cell>
          <cell r="AA1242">
            <v>0</v>
          </cell>
          <cell r="AB1242" t="str">
            <v/>
          </cell>
          <cell r="AC1242" t="str">
            <v/>
          </cell>
          <cell r="AD1242" t="str">
            <v/>
          </cell>
          <cell r="AE1242" t="str">
            <v/>
          </cell>
        </row>
        <row r="1243">
          <cell r="R1243" t="str">
            <v>INT HND HNDMO</v>
          </cell>
          <cell r="S1243" t="e">
            <v>#N/A</v>
          </cell>
          <cell r="T1243" t="e">
            <v>#N/A</v>
          </cell>
          <cell r="U1243" t="e">
            <v>#N/A</v>
          </cell>
          <cell r="V1243" t="e">
            <v>#N/A</v>
          </cell>
          <cell r="W1243" t="e">
            <v>#N/A</v>
          </cell>
          <cell r="AA1243">
            <v>0</v>
          </cell>
          <cell r="AB1243" t="str">
            <v/>
          </cell>
          <cell r="AC1243" t="str">
            <v/>
          </cell>
          <cell r="AD1243" t="str">
            <v/>
          </cell>
          <cell r="AE1243" t="str">
            <v/>
          </cell>
        </row>
        <row r="1244">
          <cell r="R1244" t="str">
            <v>INT HND</v>
          </cell>
          <cell r="S1244" t="e">
            <v>#N/A</v>
          </cell>
          <cell r="T1244" t="e">
            <v>#N/A</v>
          </cell>
          <cell r="U1244" t="e">
            <v>#N/A</v>
          </cell>
          <cell r="V1244" t="e">
            <v>#N/A</v>
          </cell>
          <cell r="W1244" t="e">
            <v>#N/A</v>
          </cell>
          <cell r="AA1244">
            <v>0</v>
          </cell>
          <cell r="AB1244" t="str">
            <v/>
          </cell>
          <cell r="AC1244" t="str">
            <v/>
          </cell>
          <cell r="AD1244" t="str">
            <v/>
          </cell>
          <cell r="AE1244" t="str">
            <v/>
          </cell>
        </row>
        <row r="1245">
          <cell r="R1245" t="str">
            <v>INT HKG HKGMO</v>
          </cell>
          <cell r="S1245" t="e">
            <v>#N/A</v>
          </cell>
          <cell r="T1245" t="e">
            <v>#N/A</v>
          </cell>
          <cell r="U1245" t="e">
            <v>#N/A</v>
          </cell>
          <cell r="V1245" t="e">
            <v>#N/A</v>
          </cell>
          <cell r="W1245" t="e">
            <v>#N/A</v>
          </cell>
          <cell r="AA1245">
            <v>0</v>
          </cell>
          <cell r="AB1245" t="str">
            <v/>
          </cell>
          <cell r="AC1245" t="str">
            <v/>
          </cell>
          <cell r="AD1245" t="str">
            <v/>
          </cell>
          <cell r="AE1245" t="str">
            <v/>
          </cell>
        </row>
        <row r="1246">
          <cell r="R1246" t="str">
            <v>INT HKG</v>
          </cell>
          <cell r="S1246" t="e">
            <v>#N/A</v>
          </cell>
          <cell r="T1246" t="e">
            <v>#N/A</v>
          </cell>
          <cell r="U1246" t="e">
            <v>#N/A</v>
          </cell>
          <cell r="V1246" t="e">
            <v>#N/A</v>
          </cell>
          <cell r="W1246" t="e">
            <v>#N/A</v>
          </cell>
          <cell r="AA1246">
            <v>0</v>
          </cell>
          <cell r="AB1246" t="str">
            <v/>
          </cell>
          <cell r="AC1246" t="str">
            <v/>
          </cell>
          <cell r="AD1246" t="str">
            <v/>
          </cell>
          <cell r="AE1246" t="str">
            <v/>
          </cell>
        </row>
        <row r="1247">
          <cell r="R1247" t="str">
            <v>INT HUN HUNMO</v>
          </cell>
          <cell r="S1247" t="e">
            <v>#N/A</v>
          </cell>
          <cell r="T1247" t="e">
            <v>#N/A</v>
          </cell>
          <cell r="U1247" t="e">
            <v>#N/A</v>
          </cell>
          <cell r="V1247" t="e">
            <v>#N/A</v>
          </cell>
          <cell r="W1247" t="e">
            <v>#N/A</v>
          </cell>
          <cell r="AA1247">
            <v>0</v>
          </cell>
          <cell r="AB1247" t="str">
            <v/>
          </cell>
          <cell r="AC1247" t="str">
            <v/>
          </cell>
          <cell r="AD1247" t="str">
            <v/>
          </cell>
          <cell r="AE1247" t="str">
            <v/>
          </cell>
        </row>
        <row r="1248">
          <cell r="R1248" t="str">
            <v>INT HUN</v>
          </cell>
          <cell r="S1248" t="e">
            <v>#N/A</v>
          </cell>
          <cell r="T1248" t="e">
            <v>#N/A</v>
          </cell>
          <cell r="U1248" t="e">
            <v>#N/A</v>
          </cell>
          <cell r="V1248" t="e">
            <v>#N/A</v>
          </cell>
          <cell r="W1248" t="e">
            <v>#N/A</v>
          </cell>
          <cell r="AA1248">
            <v>0</v>
          </cell>
          <cell r="AB1248" t="str">
            <v/>
          </cell>
          <cell r="AC1248" t="str">
            <v/>
          </cell>
          <cell r="AD1248" t="str">
            <v/>
          </cell>
          <cell r="AE1248" t="str">
            <v/>
          </cell>
        </row>
        <row r="1249">
          <cell r="R1249" t="str">
            <v>INT ISL ISLMO</v>
          </cell>
          <cell r="S1249" t="e">
            <v>#N/A</v>
          </cell>
          <cell r="T1249" t="e">
            <v>#N/A</v>
          </cell>
          <cell r="U1249" t="e">
            <v>#N/A</v>
          </cell>
          <cell r="V1249" t="e">
            <v>#N/A</v>
          </cell>
          <cell r="W1249" t="e">
            <v>#N/A</v>
          </cell>
          <cell r="AA1249">
            <v>0</v>
          </cell>
          <cell r="AB1249" t="str">
            <v/>
          </cell>
          <cell r="AC1249" t="str">
            <v/>
          </cell>
          <cell r="AD1249" t="str">
            <v/>
          </cell>
          <cell r="AE1249" t="str">
            <v/>
          </cell>
        </row>
        <row r="1250">
          <cell r="R1250" t="str">
            <v>INT ISL</v>
          </cell>
          <cell r="S1250" t="e">
            <v>#N/A</v>
          </cell>
          <cell r="T1250" t="e">
            <v>#N/A</v>
          </cell>
          <cell r="U1250" t="e">
            <v>#N/A</v>
          </cell>
          <cell r="V1250" t="e">
            <v>#N/A</v>
          </cell>
          <cell r="W1250" t="e">
            <v>#N/A</v>
          </cell>
          <cell r="AA1250">
            <v>0</v>
          </cell>
          <cell r="AB1250" t="str">
            <v/>
          </cell>
          <cell r="AC1250" t="str">
            <v/>
          </cell>
          <cell r="AD1250" t="str">
            <v/>
          </cell>
          <cell r="AE1250" t="str">
            <v/>
          </cell>
        </row>
        <row r="1251">
          <cell r="R1251" t="str">
            <v>INT IND INDMO</v>
          </cell>
          <cell r="S1251" t="e">
            <v>#N/A</v>
          </cell>
          <cell r="T1251" t="e">
            <v>#N/A</v>
          </cell>
          <cell r="U1251" t="e">
            <v>#N/A</v>
          </cell>
          <cell r="V1251" t="e">
            <v>#N/A</v>
          </cell>
          <cell r="W1251" t="e">
            <v>#N/A</v>
          </cell>
          <cell r="AA1251">
            <v>0</v>
          </cell>
          <cell r="AB1251" t="str">
            <v/>
          </cell>
          <cell r="AC1251" t="str">
            <v/>
          </cell>
          <cell r="AD1251" t="str">
            <v/>
          </cell>
          <cell r="AE1251" t="str">
            <v/>
          </cell>
        </row>
        <row r="1252">
          <cell r="R1252" t="str">
            <v>INT IND</v>
          </cell>
          <cell r="S1252" t="e">
            <v>#N/A</v>
          </cell>
          <cell r="T1252" t="e">
            <v>#N/A</v>
          </cell>
          <cell r="U1252" t="e">
            <v>#N/A</v>
          </cell>
          <cell r="V1252" t="e">
            <v>#N/A</v>
          </cell>
          <cell r="W1252" t="e">
            <v>#N/A</v>
          </cell>
          <cell r="AA1252">
            <v>0</v>
          </cell>
          <cell r="AB1252" t="str">
            <v/>
          </cell>
          <cell r="AC1252" t="str">
            <v/>
          </cell>
          <cell r="AD1252" t="str">
            <v/>
          </cell>
          <cell r="AE1252" t="str">
            <v/>
          </cell>
        </row>
        <row r="1253">
          <cell r="R1253" t="str">
            <v>INT IDN IDNMO</v>
          </cell>
          <cell r="S1253" t="e">
            <v>#N/A</v>
          </cell>
          <cell r="T1253" t="e">
            <v>#N/A</v>
          </cell>
          <cell r="U1253" t="e">
            <v>#N/A</v>
          </cell>
          <cell r="V1253" t="e">
            <v>#N/A</v>
          </cell>
          <cell r="W1253" t="e">
            <v>#N/A</v>
          </cell>
          <cell r="AA1253">
            <v>0</v>
          </cell>
          <cell r="AB1253" t="str">
            <v/>
          </cell>
          <cell r="AC1253" t="str">
            <v/>
          </cell>
          <cell r="AD1253" t="str">
            <v/>
          </cell>
          <cell r="AE1253" t="str">
            <v/>
          </cell>
        </row>
        <row r="1254">
          <cell r="R1254" t="str">
            <v>INT IDN</v>
          </cell>
          <cell r="S1254" t="e">
            <v>#N/A</v>
          </cell>
          <cell r="T1254" t="e">
            <v>#N/A</v>
          </cell>
          <cell r="U1254" t="e">
            <v>#N/A</v>
          </cell>
          <cell r="V1254" t="e">
            <v>#N/A</v>
          </cell>
          <cell r="W1254" t="e">
            <v>#N/A</v>
          </cell>
          <cell r="AA1254">
            <v>0</v>
          </cell>
          <cell r="AB1254" t="str">
            <v/>
          </cell>
          <cell r="AC1254" t="str">
            <v/>
          </cell>
          <cell r="AD1254" t="str">
            <v/>
          </cell>
          <cell r="AE1254" t="str">
            <v/>
          </cell>
        </row>
        <row r="1255">
          <cell r="R1255" t="str">
            <v>INT OCE</v>
          </cell>
          <cell r="S1255" t="e">
            <v>#N/A</v>
          </cell>
          <cell r="T1255" t="e">
            <v>#N/A</v>
          </cell>
          <cell r="U1255" t="e">
            <v>#N/A</v>
          </cell>
          <cell r="V1255" t="e">
            <v>#N/A</v>
          </cell>
          <cell r="W1255" t="e">
            <v>#N/A</v>
          </cell>
          <cell r="AA1255">
            <v>0</v>
          </cell>
          <cell r="AB1255" t="str">
            <v/>
          </cell>
          <cell r="AC1255" t="str">
            <v/>
          </cell>
          <cell r="AD1255" t="str">
            <v/>
          </cell>
          <cell r="AE1255" t="str">
            <v/>
          </cell>
        </row>
        <row r="1256">
          <cell r="R1256" t="str">
            <v>INT OCE SNACB</v>
          </cell>
          <cell r="S1256" t="e">
            <v>#N/A</v>
          </cell>
          <cell r="T1256" t="e">
            <v>#N/A</v>
          </cell>
          <cell r="U1256" t="e">
            <v>#N/A</v>
          </cell>
          <cell r="V1256" t="e">
            <v>#N/A</v>
          </cell>
          <cell r="W1256" t="e">
            <v>#N/A</v>
          </cell>
          <cell r="AA1256">
            <v>0</v>
          </cell>
          <cell r="AB1256" t="str">
            <v/>
          </cell>
          <cell r="AC1256" t="str">
            <v/>
          </cell>
          <cell r="AD1256" t="str">
            <v/>
          </cell>
          <cell r="AE1256" t="str">
            <v/>
          </cell>
        </row>
        <row r="1257">
          <cell r="R1257" t="str">
            <v>INT OCE SBHSD</v>
          </cell>
          <cell r="S1257" t="e">
            <v>#N/A</v>
          </cell>
          <cell r="T1257" t="e">
            <v>#N/A</v>
          </cell>
          <cell r="U1257" t="e">
            <v>#N/A</v>
          </cell>
          <cell r="V1257" t="e">
            <v>#N/A</v>
          </cell>
          <cell r="W1257" t="e">
            <v>#N/A</v>
          </cell>
          <cell r="AA1257">
            <v>0</v>
          </cell>
          <cell r="AB1257" t="str">
            <v/>
          </cell>
          <cell r="AC1257" t="str">
            <v/>
          </cell>
          <cell r="AD1257" t="str">
            <v/>
          </cell>
          <cell r="AE1257" t="str">
            <v/>
          </cell>
        </row>
        <row r="1258">
          <cell r="R1258" t="str">
            <v>INT OCE BGAN</v>
          </cell>
          <cell r="S1258" t="e">
            <v>#N/A</v>
          </cell>
          <cell r="T1258" t="e">
            <v>#N/A</v>
          </cell>
          <cell r="U1258" t="e">
            <v>#N/A</v>
          </cell>
          <cell r="V1258" t="e">
            <v>#N/A</v>
          </cell>
          <cell r="W1258" t="e">
            <v>#N/A</v>
          </cell>
          <cell r="AA1258">
            <v>0</v>
          </cell>
          <cell r="AB1258" t="str">
            <v/>
          </cell>
          <cell r="AC1258" t="str">
            <v/>
          </cell>
          <cell r="AD1258" t="str">
            <v/>
          </cell>
          <cell r="AE1258" t="str">
            <v/>
          </cell>
        </row>
        <row r="1259">
          <cell r="R1259" t="str">
            <v>INT OCE BGHSD</v>
          </cell>
          <cell r="S1259" t="e">
            <v>#N/A</v>
          </cell>
          <cell r="T1259" t="e">
            <v>#N/A</v>
          </cell>
          <cell r="U1259" t="e">
            <v>#N/A</v>
          </cell>
          <cell r="V1259" t="e">
            <v>#N/A</v>
          </cell>
          <cell r="W1259" t="e">
            <v>#N/A</v>
          </cell>
          <cell r="AA1259">
            <v>0</v>
          </cell>
          <cell r="AB1259" t="str">
            <v/>
          </cell>
          <cell r="AC1259" t="str">
            <v/>
          </cell>
          <cell r="AD1259" t="str">
            <v/>
          </cell>
          <cell r="AE1259" t="str">
            <v/>
          </cell>
        </row>
        <row r="1260">
          <cell r="R1260" t="str">
            <v>INT OCE SNACM</v>
          </cell>
          <cell r="S1260" t="e">
            <v>#N/A</v>
          </cell>
          <cell r="T1260" t="e">
            <v>#N/A</v>
          </cell>
          <cell r="U1260" t="e">
            <v>#N/A</v>
          </cell>
          <cell r="V1260" t="e">
            <v>#N/A</v>
          </cell>
          <cell r="W1260" t="e">
            <v>#N/A</v>
          </cell>
          <cell r="AA1260">
            <v>0</v>
          </cell>
          <cell r="AB1260" t="str">
            <v/>
          </cell>
          <cell r="AC1260" t="str">
            <v/>
          </cell>
          <cell r="AD1260" t="str">
            <v/>
          </cell>
          <cell r="AE1260" t="str">
            <v/>
          </cell>
        </row>
        <row r="1261">
          <cell r="R1261" t="str">
            <v>INT OCE M4HSD</v>
          </cell>
          <cell r="S1261" t="e">
            <v>#N/A</v>
          </cell>
          <cell r="T1261" t="e">
            <v>#N/A</v>
          </cell>
          <cell r="U1261" t="e">
            <v>#N/A</v>
          </cell>
          <cell r="V1261" t="e">
            <v>#N/A</v>
          </cell>
          <cell r="W1261" t="e">
            <v>#N/A</v>
          </cell>
          <cell r="AA1261">
            <v>0</v>
          </cell>
          <cell r="AB1261" t="str">
            <v/>
          </cell>
          <cell r="AC1261" t="str">
            <v/>
          </cell>
          <cell r="AD1261" t="str">
            <v/>
          </cell>
          <cell r="AE1261" t="str">
            <v/>
          </cell>
        </row>
        <row r="1262">
          <cell r="R1262" t="str">
            <v>INT OCE NACMM</v>
          </cell>
          <cell r="S1262" t="e">
            <v>#N/A</v>
          </cell>
          <cell r="T1262" t="e">
            <v>#N/A</v>
          </cell>
          <cell r="U1262" t="e">
            <v>#N/A</v>
          </cell>
          <cell r="V1262" t="e">
            <v>#N/A</v>
          </cell>
          <cell r="W1262" t="e">
            <v>#N/A</v>
          </cell>
          <cell r="AA1262">
            <v>0</v>
          </cell>
          <cell r="AB1262" t="str">
            <v/>
          </cell>
          <cell r="AC1262" t="str">
            <v/>
          </cell>
          <cell r="AD1262" t="str">
            <v/>
          </cell>
          <cell r="AE1262" t="str">
            <v/>
          </cell>
        </row>
        <row r="1263">
          <cell r="R1263" t="str">
            <v>INT EMS</v>
          </cell>
          <cell r="S1263" t="e">
            <v>#N/A</v>
          </cell>
          <cell r="T1263" t="e">
            <v>#N/A</v>
          </cell>
          <cell r="U1263" t="e">
            <v>#N/A</v>
          </cell>
          <cell r="V1263" t="e">
            <v>#N/A</v>
          </cell>
          <cell r="W1263" t="e">
            <v>#N/A</v>
          </cell>
          <cell r="AA1263">
            <v>0</v>
          </cell>
          <cell r="AB1263" t="str">
            <v/>
          </cell>
          <cell r="AC1263" t="str">
            <v/>
          </cell>
          <cell r="AD1263" t="str">
            <v/>
          </cell>
          <cell r="AE1263" t="str">
            <v/>
          </cell>
        </row>
        <row r="1264">
          <cell r="R1264" t="str">
            <v>INT ITF</v>
          </cell>
          <cell r="S1264" t="e">
            <v>#N/A</v>
          </cell>
          <cell r="T1264" t="e">
            <v>#N/A</v>
          </cell>
          <cell r="U1264" t="e">
            <v>#N/A</v>
          </cell>
          <cell r="V1264" t="e">
            <v>#N/A</v>
          </cell>
          <cell r="W1264" t="e">
            <v>#N/A</v>
          </cell>
          <cell r="AA1264">
            <v>0</v>
          </cell>
          <cell r="AB1264" t="str">
            <v/>
          </cell>
          <cell r="AC1264" t="str">
            <v/>
          </cell>
          <cell r="AD1264" t="str">
            <v/>
          </cell>
          <cell r="AE1264" t="str">
            <v/>
          </cell>
        </row>
        <row r="1265">
          <cell r="R1265" t="str">
            <v>INT IRN IRNMO</v>
          </cell>
          <cell r="S1265" t="e">
            <v>#N/A</v>
          </cell>
          <cell r="T1265" t="e">
            <v>#N/A</v>
          </cell>
          <cell r="U1265" t="e">
            <v>#N/A</v>
          </cell>
          <cell r="V1265" t="e">
            <v>#N/A</v>
          </cell>
          <cell r="W1265" t="e">
            <v>#N/A</v>
          </cell>
          <cell r="AA1265">
            <v>0</v>
          </cell>
          <cell r="AB1265" t="str">
            <v/>
          </cell>
          <cell r="AC1265" t="str">
            <v/>
          </cell>
          <cell r="AD1265" t="str">
            <v/>
          </cell>
          <cell r="AE1265" t="str">
            <v/>
          </cell>
        </row>
        <row r="1266">
          <cell r="R1266" t="str">
            <v>INT IRN</v>
          </cell>
          <cell r="S1266" t="e">
            <v>#N/A</v>
          </cell>
          <cell r="T1266" t="e">
            <v>#N/A</v>
          </cell>
          <cell r="U1266" t="e">
            <v>#N/A</v>
          </cell>
          <cell r="V1266" t="e">
            <v>#N/A</v>
          </cell>
          <cell r="W1266" t="e">
            <v>#N/A</v>
          </cell>
          <cell r="AA1266">
            <v>0</v>
          </cell>
          <cell r="AB1266" t="str">
            <v/>
          </cell>
          <cell r="AC1266" t="str">
            <v/>
          </cell>
          <cell r="AD1266" t="str">
            <v/>
          </cell>
          <cell r="AE1266" t="str">
            <v/>
          </cell>
        </row>
        <row r="1267">
          <cell r="R1267" t="str">
            <v>INT IRQ</v>
          </cell>
          <cell r="S1267" t="e">
            <v>#N/A</v>
          </cell>
          <cell r="T1267" t="e">
            <v>#N/A</v>
          </cell>
          <cell r="U1267" t="e">
            <v>#N/A</v>
          </cell>
          <cell r="V1267" t="e">
            <v>#N/A</v>
          </cell>
          <cell r="W1267" t="e">
            <v>#N/A</v>
          </cell>
          <cell r="AA1267">
            <v>0</v>
          </cell>
          <cell r="AB1267" t="str">
            <v/>
          </cell>
          <cell r="AC1267" t="str">
            <v/>
          </cell>
          <cell r="AD1267" t="str">
            <v/>
          </cell>
          <cell r="AE1267" t="str">
            <v/>
          </cell>
        </row>
        <row r="1268">
          <cell r="R1268" t="str">
            <v>INT IRL IRLMO</v>
          </cell>
          <cell r="S1268" t="e">
            <v>#N/A</v>
          </cell>
          <cell r="T1268" t="e">
            <v>#N/A</v>
          </cell>
          <cell r="U1268" t="e">
            <v>#N/A</v>
          </cell>
          <cell r="V1268" t="e">
            <v>#N/A</v>
          </cell>
          <cell r="W1268" t="e">
            <v>#N/A</v>
          </cell>
          <cell r="AA1268">
            <v>0</v>
          </cell>
          <cell r="AB1268" t="str">
            <v/>
          </cell>
          <cell r="AC1268" t="str">
            <v/>
          </cell>
          <cell r="AD1268" t="str">
            <v/>
          </cell>
          <cell r="AE1268" t="str">
            <v/>
          </cell>
        </row>
        <row r="1269">
          <cell r="R1269" t="str">
            <v>INT IRL</v>
          </cell>
          <cell r="S1269" t="e">
            <v>#N/A</v>
          </cell>
          <cell r="T1269" t="e">
            <v>#N/A</v>
          </cell>
          <cell r="U1269" t="e">
            <v>#N/A</v>
          </cell>
          <cell r="V1269" t="e">
            <v>#N/A</v>
          </cell>
          <cell r="W1269" t="e">
            <v>#N/A</v>
          </cell>
          <cell r="AA1269">
            <v>0</v>
          </cell>
          <cell r="AB1269" t="str">
            <v/>
          </cell>
          <cell r="AC1269" t="str">
            <v/>
          </cell>
          <cell r="AD1269" t="str">
            <v/>
          </cell>
          <cell r="AE1269" t="str">
            <v/>
          </cell>
        </row>
        <row r="1270">
          <cell r="R1270" t="str">
            <v>INT IRL IEFRE</v>
          </cell>
          <cell r="S1270" t="e">
            <v>#N/A</v>
          </cell>
          <cell r="T1270" t="e">
            <v>#N/A</v>
          </cell>
          <cell r="U1270" t="e">
            <v>#N/A</v>
          </cell>
          <cell r="V1270" t="e">
            <v>#N/A</v>
          </cell>
          <cell r="W1270" t="e">
            <v>#N/A</v>
          </cell>
          <cell r="AA1270">
            <v>0</v>
          </cell>
          <cell r="AB1270" t="str">
            <v/>
          </cell>
          <cell r="AC1270" t="str">
            <v/>
          </cell>
          <cell r="AD1270" t="str">
            <v/>
          </cell>
          <cell r="AE1270" t="str">
            <v/>
          </cell>
        </row>
        <row r="1271">
          <cell r="R1271" t="str">
            <v>INT IRL IEPC7</v>
          </cell>
          <cell r="S1271" t="e">
            <v>#N/A</v>
          </cell>
          <cell r="T1271" t="e">
            <v>#N/A</v>
          </cell>
          <cell r="U1271" t="e">
            <v>#N/A</v>
          </cell>
          <cell r="V1271" t="e">
            <v>#N/A</v>
          </cell>
          <cell r="W1271" t="e">
            <v>#N/A</v>
          </cell>
          <cell r="AA1271">
            <v>0</v>
          </cell>
          <cell r="AB1271" t="str">
            <v/>
          </cell>
          <cell r="AC1271" t="str">
            <v/>
          </cell>
          <cell r="AD1271" t="str">
            <v/>
          </cell>
          <cell r="AE1271" t="str">
            <v/>
          </cell>
        </row>
        <row r="1272">
          <cell r="R1272" t="str">
            <v>INT IRL IESCM</v>
          </cell>
          <cell r="S1272" t="e">
            <v>#N/A</v>
          </cell>
          <cell r="T1272" t="e">
            <v>#N/A</v>
          </cell>
          <cell r="U1272" t="e">
            <v>#N/A</v>
          </cell>
          <cell r="V1272" t="e">
            <v>#N/A</v>
          </cell>
          <cell r="W1272" t="e">
            <v>#N/A</v>
          </cell>
          <cell r="AA1272">
            <v>0</v>
          </cell>
          <cell r="AB1272" t="str">
            <v/>
          </cell>
          <cell r="AC1272" t="str">
            <v/>
          </cell>
          <cell r="AD1272" t="str">
            <v/>
          </cell>
          <cell r="AE1272" t="str">
            <v/>
          </cell>
        </row>
        <row r="1273">
          <cell r="R1273" t="str">
            <v>INT ISR ISRMO</v>
          </cell>
          <cell r="S1273" t="e">
            <v>#N/A</v>
          </cell>
          <cell r="T1273" t="e">
            <v>#N/A</v>
          </cell>
          <cell r="U1273" t="e">
            <v>#N/A</v>
          </cell>
          <cell r="V1273" t="e">
            <v>#N/A</v>
          </cell>
          <cell r="W1273" t="e">
            <v>#N/A</v>
          </cell>
          <cell r="AA1273">
            <v>0</v>
          </cell>
          <cell r="AB1273" t="str">
            <v/>
          </cell>
          <cell r="AC1273" t="str">
            <v/>
          </cell>
          <cell r="AD1273" t="str">
            <v/>
          </cell>
          <cell r="AE1273" t="str">
            <v/>
          </cell>
        </row>
        <row r="1274">
          <cell r="R1274" t="str">
            <v>INT ISR</v>
          </cell>
          <cell r="S1274" t="e">
            <v>#N/A</v>
          </cell>
          <cell r="T1274" t="e">
            <v>#N/A</v>
          </cell>
          <cell r="U1274" t="e">
            <v>#N/A</v>
          </cell>
          <cell r="V1274" t="e">
            <v>#N/A</v>
          </cell>
          <cell r="W1274" t="e">
            <v>#N/A</v>
          </cell>
          <cell r="AA1274">
            <v>0</v>
          </cell>
          <cell r="AB1274" t="str">
            <v/>
          </cell>
          <cell r="AC1274" t="str">
            <v/>
          </cell>
          <cell r="AD1274" t="str">
            <v/>
          </cell>
          <cell r="AE1274" t="str">
            <v/>
          </cell>
        </row>
        <row r="1275">
          <cell r="R1275" t="str">
            <v>INT ITA ZITA9</v>
          </cell>
          <cell r="S1275" t="e">
            <v>#N/A</v>
          </cell>
          <cell r="T1275" t="e">
            <v>#N/A</v>
          </cell>
          <cell r="U1275" t="e">
            <v>#N/A</v>
          </cell>
          <cell r="V1275" t="e">
            <v>#N/A</v>
          </cell>
          <cell r="W1275" t="e">
            <v>#N/A</v>
          </cell>
          <cell r="AA1275">
            <v>0</v>
          </cell>
          <cell r="AB1275" t="str">
            <v/>
          </cell>
          <cell r="AC1275" t="str">
            <v/>
          </cell>
          <cell r="AD1275" t="str">
            <v/>
          </cell>
          <cell r="AE1275" t="str">
            <v/>
          </cell>
        </row>
        <row r="1276">
          <cell r="R1276" t="str">
            <v>INT ITA</v>
          </cell>
          <cell r="S1276" t="e">
            <v>#N/A</v>
          </cell>
          <cell r="T1276" t="e">
            <v>#N/A</v>
          </cell>
          <cell r="U1276" t="e">
            <v>#N/A</v>
          </cell>
          <cell r="V1276" t="e">
            <v>#N/A</v>
          </cell>
          <cell r="W1276" t="e">
            <v>#N/A</v>
          </cell>
          <cell r="AA1276">
            <v>0</v>
          </cell>
          <cell r="AB1276" t="str">
            <v/>
          </cell>
          <cell r="AC1276" t="str">
            <v/>
          </cell>
          <cell r="AD1276" t="str">
            <v/>
          </cell>
          <cell r="AE1276" t="str">
            <v/>
          </cell>
        </row>
        <row r="1277">
          <cell r="R1277" t="str">
            <v>INT ITA ITPRF</v>
          </cell>
          <cell r="S1277" t="e">
            <v>#N/A</v>
          </cell>
          <cell r="T1277" t="e">
            <v>#N/A</v>
          </cell>
          <cell r="U1277" t="e">
            <v>#N/A</v>
          </cell>
          <cell r="V1277" t="e">
            <v>#N/A</v>
          </cell>
          <cell r="W1277" t="e">
            <v>#N/A</v>
          </cell>
          <cell r="AA1277">
            <v>0</v>
          </cell>
          <cell r="AB1277" t="str">
            <v/>
          </cell>
          <cell r="AC1277" t="str">
            <v/>
          </cell>
          <cell r="AD1277" t="str">
            <v/>
          </cell>
          <cell r="AE1277" t="str">
            <v/>
          </cell>
        </row>
        <row r="1278">
          <cell r="R1278" t="str">
            <v>INT ITA ITSB1</v>
          </cell>
          <cell r="S1278" t="e">
            <v>#N/A</v>
          </cell>
          <cell r="T1278" t="e">
            <v>#N/A</v>
          </cell>
          <cell r="U1278" t="e">
            <v>#N/A</v>
          </cell>
          <cell r="V1278" t="e">
            <v>#N/A</v>
          </cell>
          <cell r="W1278" t="e">
            <v>#N/A</v>
          </cell>
          <cell r="AA1278">
            <v>0</v>
          </cell>
          <cell r="AB1278" t="str">
            <v/>
          </cell>
          <cell r="AC1278" t="str">
            <v/>
          </cell>
          <cell r="AD1278" t="str">
            <v/>
          </cell>
          <cell r="AE1278" t="str">
            <v/>
          </cell>
        </row>
        <row r="1279">
          <cell r="R1279" t="str">
            <v>INT ITA ITFRE</v>
          </cell>
          <cell r="S1279" t="e">
            <v>#N/A</v>
          </cell>
          <cell r="T1279" t="e">
            <v>#N/A</v>
          </cell>
          <cell r="U1279" t="e">
            <v>#N/A</v>
          </cell>
          <cell r="V1279" t="e">
            <v>#N/A</v>
          </cell>
          <cell r="W1279" t="e">
            <v>#N/A</v>
          </cell>
          <cell r="AA1279">
            <v>0</v>
          </cell>
          <cell r="AB1279" t="str">
            <v/>
          </cell>
          <cell r="AC1279" t="str">
            <v/>
          </cell>
          <cell r="AD1279" t="str">
            <v/>
          </cell>
          <cell r="AE1279" t="str">
            <v/>
          </cell>
        </row>
        <row r="1280">
          <cell r="R1280" t="str">
            <v>INT JAM JAMMO</v>
          </cell>
          <cell r="S1280" t="e">
            <v>#N/A</v>
          </cell>
          <cell r="T1280" t="e">
            <v>#N/A</v>
          </cell>
          <cell r="U1280" t="e">
            <v>#N/A</v>
          </cell>
          <cell r="V1280" t="e">
            <v>#N/A</v>
          </cell>
          <cell r="W1280" t="e">
            <v>#N/A</v>
          </cell>
          <cell r="AA1280">
            <v>0</v>
          </cell>
          <cell r="AB1280" t="str">
            <v/>
          </cell>
          <cell r="AC1280" t="str">
            <v/>
          </cell>
          <cell r="AD1280" t="str">
            <v/>
          </cell>
          <cell r="AE1280" t="str">
            <v/>
          </cell>
        </row>
        <row r="1281">
          <cell r="R1281" t="str">
            <v>INT JAM</v>
          </cell>
          <cell r="S1281" t="e">
            <v>#N/A</v>
          </cell>
          <cell r="T1281" t="e">
            <v>#N/A</v>
          </cell>
          <cell r="U1281" t="e">
            <v>#N/A</v>
          </cell>
          <cell r="V1281" t="e">
            <v>#N/A</v>
          </cell>
          <cell r="W1281" t="e">
            <v>#N/A</v>
          </cell>
          <cell r="AA1281">
            <v>0</v>
          </cell>
          <cell r="AB1281" t="str">
            <v/>
          </cell>
          <cell r="AC1281" t="str">
            <v/>
          </cell>
          <cell r="AD1281" t="str">
            <v/>
          </cell>
          <cell r="AE1281" t="str">
            <v/>
          </cell>
        </row>
        <row r="1282">
          <cell r="R1282" t="str">
            <v>INT JPN JPNMO</v>
          </cell>
          <cell r="S1282" t="e">
            <v>#N/A</v>
          </cell>
          <cell r="T1282" t="e">
            <v>#N/A</v>
          </cell>
          <cell r="U1282" t="e">
            <v>#N/A</v>
          </cell>
          <cell r="V1282" t="e">
            <v>#N/A</v>
          </cell>
          <cell r="W1282" t="e">
            <v>#N/A</v>
          </cell>
          <cell r="AA1282">
            <v>0</v>
          </cell>
          <cell r="AB1282" t="str">
            <v/>
          </cell>
          <cell r="AC1282" t="str">
            <v/>
          </cell>
          <cell r="AD1282" t="str">
            <v/>
          </cell>
          <cell r="AE1282" t="str">
            <v/>
          </cell>
        </row>
        <row r="1283">
          <cell r="R1283" t="str">
            <v>INT JPN</v>
          </cell>
          <cell r="S1283" t="e">
            <v>#N/A</v>
          </cell>
          <cell r="T1283" t="e">
            <v>#N/A</v>
          </cell>
          <cell r="U1283" t="e">
            <v>#N/A</v>
          </cell>
          <cell r="V1283" t="e">
            <v>#N/A</v>
          </cell>
          <cell r="W1283" t="e">
            <v>#N/A</v>
          </cell>
          <cell r="AA1283">
            <v>0</v>
          </cell>
          <cell r="AB1283" t="str">
            <v/>
          </cell>
          <cell r="AC1283" t="str">
            <v/>
          </cell>
          <cell r="AD1283" t="str">
            <v/>
          </cell>
          <cell r="AE1283" t="str">
            <v/>
          </cell>
        </row>
        <row r="1284">
          <cell r="R1284" t="str">
            <v>INT JPN JPTFR</v>
          </cell>
          <cell r="S1284" t="e">
            <v>#N/A</v>
          </cell>
          <cell r="T1284" t="e">
            <v>#N/A</v>
          </cell>
          <cell r="U1284" t="e">
            <v>#N/A</v>
          </cell>
          <cell r="V1284" t="e">
            <v>#N/A</v>
          </cell>
          <cell r="W1284" t="e">
            <v>#N/A</v>
          </cell>
          <cell r="AA1284">
            <v>0</v>
          </cell>
          <cell r="AB1284" t="str">
            <v/>
          </cell>
          <cell r="AC1284" t="str">
            <v/>
          </cell>
          <cell r="AD1284" t="str">
            <v/>
          </cell>
          <cell r="AE1284" t="str">
            <v/>
          </cell>
        </row>
        <row r="1285">
          <cell r="R1285" t="str">
            <v>INT JOR JORMO</v>
          </cell>
          <cell r="S1285" t="e">
            <v>#N/A</v>
          </cell>
          <cell r="T1285" t="e">
            <v>#N/A</v>
          </cell>
          <cell r="U1285" t="e">
            <v>#N/A</v>
          </cell>
          <cell r="V1285" t="e">
            <v>#N/A</v>
          </cell>
          <cell r="W1285" t="e">
            <v>#N/A</v>
          </cell>
          <cell r="AA1285">
            <v>0</v>
          </cell>
          <cell r="AB1285" t="str">
            <v/>
          </cell>
          <cell r="AC1285" t="str">
            <v/>
          </cell>
          <cell r="AD1285" t="str">
            <v/>
          </cell>
          <cell r="AE1285" t="str">
            <v/>
          </cell>
        </row>
        <row r="1286">
          <cell r="R1286" t="str">
            <v>INT JOR</v>
          </cell>
          <cell r="S1286" t="e">
            <v>#N/A</v>
          </cell>
          <cell r="T1286" t="e">
            <v>#N/A</v>
          </cell>
          <cell r="U1286" t="e">
            <v>#N/A</v>
          </cell>
          <cell r="V1286" t="e">
            <v>#N/A</v>
          </cell>
          <cell r="W1286" t="e">
            <v>#N/A</v>
          </cell>
          <cell r="AA1286">
            <v>0</v>
          </cell>
          <cell r="AB1286" t="str">
            <v/>
          </cell>
          <cell r="AC1286" t="str">
            <v/>
          </cell>
          <cell r="AD1286" t="str">
            <v/>
          </cell>
          <cell r="AE1286" t="str">
            <v/>
          </cell>
        </row>
        <row r="1287">
          <cell r="R1287" t="str">
            <v>INT KAZ</v>
          </cell>
          <cell r="S1287" t="e">
            <v>#N/A</v>
          </cell>
          <cell r="T1287" t="e">
            <v>#N/A</v>
          </cell>
          <cell r="U1287" t="e">
            <v>#N/A</v>
          </cell>
          <cell r="V1287" t="e">
            <v>#N/A</v>
          </cell>
          <cell r="W1287" t="e">
            <v>#N/A</v>
          </cell>
          <cell r="AA1287">
            <v>0</v>
          </cell>
          <cell r="AB1287" t="str">
            <v/>
          </cell>
          <cell r="AC1287" t="str">
            <v/>
          </cell>
          <cell r="AD1287" t="str">
            <v/>
          </cell>
          <cell r="AE1287" t="str">
            <v/>
          </cell>
        </row>
        <row r="1288">
          <cell r="R1288" t="str">
            <v>INT KEN KENMO</v>
          </cell>
          <cell r="S1288" t="e">
            <v>#N/A</v>
          </cell>
          <cell r="T1288" t="e">
            <v>#N/A</v>
          </cell>
          <cell r="U1288" t="e">
            <v>#N/A</v>
          </cell>
          <cell r="V1288" t="e">
            <v>#N/A</v>
          </cell>
          <cell r="W1288" t="e">
            <v>#N/A</v>
          </cell>
          <cell r="AA1288">
            <v>0</v>
          </cell>
          <cell r="AB1288" t="str">
            <v/>
          </cell>
          <cell r="AC1288" t="str">
            <v/>
          </cell>
          <cell r="AD1288" t="str">
            <v/>
          </cell>
          <cell r="AE1288" t="str">
            <v/>
          </cell>
        </row>
        <row r="1289">
          <cell r="R1289" t="str">
            <v>INT KEN</v>
          </cell>
          <cell r="S1289" t="e">
            <v>#N/A</v>
          </cell>
          <cell r="T1289" t="e">
            <v>#N/A</v>
          </cell>
          <cell r="U1289" t="e">
            <v>#N/A</v>
          </cell>
          <cell r="V1289" t="e">
            <v>#N/A</v>
          </cell>
          <cell r="W1289" t="e">
            <v>#N/A</v>
          </cell>
          <cell r="AA1289">
            <v>0</v>
          </cell>
          <cell r="AB1289" t="str">
            <v/>
          </cell>
          <cell r="AC1289" t="str">
            <v/>
          </cell>
          <cell r="AD1289" t="str">
            <v/>
          </cell>
          <cell r="AE1289" t="str">
            <v/>
          </cell>
        </row>
        <row r="1290">
          <cell r="R1290" t="str">
            <v>INT KIR</v>
          </cell>
          <cell r="S1290" t="e">
            <v>#N/A</v>
          </cell>
          <cell r="T1290" t="e">
            <v>#N/A</v>
          </cell>
          <cell r="U1290" t="e">
            <v>#N/A</v>
          </cell>
          <cell r="V1290" t="e">
            <v>#N/A</v>
          </cell>
          <cell r="W1290" t="e">
            <v>#N/A</v>
          </cell>
          <cell r="AA1290">
            <v>0</v>
          </cell>
          <cell r="AB1290" t="str">
            <v/>
          </cell>
          <cell r="AC1290" t="str">
            <v/>
          </cell>
          <cell r="AD1290" t="str">
            <v/>
          </cell>
          <cell r="AE1290" t="str">
            <v/>
          </cell>
        </row>
        <row r="1291">
          <cell r="R1291" t="str">
            <v>INT PRK</v>
          </cell>
          <cell r="S1291" t="e">
            <v>#N/A</v>
          </cell>
          <cell r="T1291" t="e">
            <v>#N/A</v>
          </cell>
          <cell r="U1291" t="e">
            <v>#N/A</v>
          </cell>
          <cell r="V1291" t="e">
            <v>#N/A</v>
          </cell>
          <cell r="W1291" t="e">
            <v>#N/A</v>
          </cell>
          <cell r="AA1291">
            <v>0</v>
          </cell>
          <cell r="AB1291" t="str">
            <v/>
          </cell>
          <cell r="AC1291" t="str">
            <v/>
          </cell>
          <cell r="AD1291" t="str">
            <v/>
          </cell>
          <cell r="AE1291" t="str">
            <v/>
          </cell>
        </row>
        <row r="1292">
          <cell r="R1292" t="str">
            <v>INT KOR KORMO</v>
          </cell>
          <cell r="S1292" t="e">
            <v>#N/A</v>
          </cell>
          <cell r="T1292" t="e">
            <v>#N/A</v>
          </cell>
          <cell r="U1292" t="e">
            <v>#N/A</v>
          </cell>
          <cell r="V1292" t="e">
            <v>#N/A</v>
          </cell>
          <cell r="W1292" t="e">
            <v>#N/A</v>
          </cell>
          <cell r="AA1292">
            <v>0</v>
          </cell>
          <cell r="AB1292" t="str">
            <v/>
          </cell>
          <cell r="AC1292" t="str">
            <v/>
          </cell>
          <cell r="AD1292" t="str">
            <v/>
          </cell>
          <cell r="AE1292" t="str">
            <v/>
          </cell>
        </row>
        <row r="1293">
          <cell r="R1293" t="str">
            <v>INT KOR</v>
          </cell>
          <cell r="S1293" t="e">
            <v>#N/A</v>
          </cell>
          <cell r="T1293" t="e">
            <v>#N/A</v>
          </cell>
          <cell r="U1293" t="e">
            <v>#N/A</v>
          </cell>
          <cell r="V1293" t="e">
            <v>#N/A</v>
          </cell>
          <cell r="W1293" t="e">
            <v>#N/A</v>
          </cell>
          <cell r="AA1293">
            <v>0</v>
          </cell>
          <cell r="AB1293" t="str">
            <v/>
          </cell>
          <cell r="AC1293" t="str">
            <v/>
          </cell>
          <cell r="AD1293" t="str">
            <v/>
          </cell>
          <cell r="AE1293" t="str">
            <v/>
          </cell>
        </row>
        <row r="1294">
          <cell r="R1294" t="str">
            <v>INT KWT KWTMO</v>
          </cell>
          <cell r="S1294" t="e">
            <v>#N/A</v>
          </cell>
          <cell r="T1294" t="e">
            <v>#N/A</v>
          </cell>
          <cell r="U1294" t="e">
            <v>#N/A</v>
          </cell>
          <cell r="V1294" t="e">
            <v>#N/A</v>
          </cell>
          <cell r="W1294" t="e">
            <v>#N/A</v>
          </cell>
          <cell r="AA1294">
            <v>0</v>
          </cell>
          <cell r="AB1294" t="str">
            <v/>
          </cell>
          <cell r="AC1294" t="str">
            <v/>
          </cell>
          <cell r="AD1294" t="str">
            <v/>
          </cell>
          <cell r="AE1294" t="str">
            <v/>
          </cell>
        </row>
        <row r="1295">
          <cell r="R1295" t="str">
            <v>INT KWT</v>
          </cell>
          <cell r="S1295" t="e">
            <v>#N/A</v>
          </cell>
          <cell r="T1295" t="e">
            <v>#N/A</v>
          </cell>
          <cell r="U1295" t="e">
            <v>#N/A</v>
          </cell>
          <cell r="V1295" t="e">
            <v>#N/A</v>
          </cell>
          <cell r="W1295" t="e">
            <v>#N/A</v>
          </cell>
          <cell r="AA1295">
            <v>0</v>
          </cell>
          <cell r="AB1295" t="str">
            <v/>
          </cell>
          <cell r="AC1295" t="str">
            <v/>
          </cell>
          <cell r="AD1295" t="str">
            <v/>
          </cell>
          <cell r="AE1295" t="str">
            <v/>
          </cell>
        </row>
        <row r="1296">
          <cell r="R1296" t="str">
            <v>INT KGZ</v>
          </cell>
          <cell r="S1296" t="e">
            <v>#N/A</v>
          </cell>
          <cell r="T1296" t="e">
            <v>#N/A</v>
          </cell>
          <cell r="U1296" t="e">
            <v>#N/A</v>
          </cell>
          <cell r="V1296" t="e">
            <v>#N/A</v>
          </cell>
          <cell r="W1296" t="e">
            <v>#N/A</v>
          </cell>
          <cell r="AA1296">
            <v>0</v>
          </cell>
          <cell r="AB1296" t="str">
            <v/>
          </cell>
          <cell r="AC1296" t="str">
            <v/>
          </cell>
          <cell r="AD1296" t="str">
            <v/>
          </cell>
          <cell r="AE1296" t="str">
            <v/>
          </cell>
        </row>
        <row r="1297">
          <cell r="R1297" t="str">
            <v>INT LAO</v>
          </cell>
          <cell r="S1297" t="e">
            <v>#N/A</v>
          </cell>
          <cell r="T1297" t="e">
            <v>#N/A</v>
          </cell>
          <cell r="U1297" t="e">
            <v>#N/A</v>
          </cell>
          <cell r="V1297" t="e">
            <v>#N/A</v>
          </cell>
          <cell r="W1297" t="e">
            <v>#N/A</v>
          </cell>
          <cell r="AA1297">
            <v>0</v>
          </cell>
          <cell r="AB1297" t="str">
            <v/>
          </cell>
          <cell r="AC1297" t="str">
            <v/>
          </cell>
          <cell r="AD1297" t="str">
            <v/>
          </cell>
          <cell r="AE1297" t="str">
            <v/>
          </cell>
        </row>
        <row r="1298">
          <cell r="R1298" t="str">
            <v>INT LVA LVAMO</v>
          </cell>
          <cell r="S1298" t="e">
            <v>#N/A</v>
          </cell>
          <cell r="T1298" t="e">
            <v>#N/A</v>
          </cell>
          <cell r="U1298" t="e">
            <v>#N/A</v>
          </cell>
          <cell r="V1298" t="e">
            <v>#N/A</v>
          </cell>
          <cell r="W1298" t="e">
            <v>#N/A</v>
          </cell>
          <cell r="AA1298">
            <v>0</v>
          </cell>
          <cell r="AB1298" t="str">
            <v/>
          </cell>
          <cell r="AC1298" t="str">
            <v/>
          </cell>
          <cell r="AD1298" t="str">
            <v/>
          </cell>
          <cell r="AE1298" t="str">
            <v/>
          </cell>
        </row>
        <row r="1299">
          <cell r="R1299" t="str">
            <v>INT LVA</v>
          </cell>
          <cell r="S1299" t="e">
            <v>#N/A</v>
          </cell>
          <cell r="T1299" t="e">
            <v>#N/A</v>
          </cell>
          <cell r="U1299" t="e">
            <v>#N/A</v>
          </cell>
          <cell r="V1299" t="e">
            <v>#N/A</v>
          </cell>
          <cell r="W1299" t="e">
            <v>#N/A</v>
          </cell>
          <cell r="AA1299">
            <v>0</v>
          </cell>
          <cell r="AB1299" t="str">
            <v/>
          </cell>
          <cell r="AC1299" t="str">
            <v/>
          </cell>
          <cell r="AD1299" t="str">
            <v/>
          </cell>
          <cell r="AE1299" t="str">
            <v/>
          </cell>
        </row>
        <row r="1300">
          <cell r="R1300" t="str">
            <v>INT LBN LBNMO</v>
          </cell>
          <cell r="S1300" t="e">
            <v>#N/A</v>
          </cell>
          <cell r="T1300" t="e">
            <v>#N/A</v>
          </cell>
          <cell r="U1300" t="e">
            <v>#N/A</v>
          </cell>
          <cell r="V1300" t="e">
            <v>#N/A</v>
          </cell>
          <cell r="W1300" t="e">
            <v>#N/A</v>
          </cell>
          <cell r="AA1300">
            <v>0</v>
          </cell>
          <cell r="AB1300" t="str">
            <v/>
          </cell>
          <cell r="AC1300" t="str">
            <v/>
          </cell>
          <cell r="AD1300" t="str">
            <v/>
          </cell>
          <cell r="AE1300" t="str">
            <v/>
          </cell>
        </row>
        <row r="1301">
          <cell r="R1301" t="str">
            <v>INT LBN</v>
          </cell>
          <cell r="S1301" t="e">
            <v>#N/A</v>
          </cell>
          <cell r="T1301" t="e">
            <v>#N/A</v>
          </cell>
          <cell r="U1301" t="e">
            <v>#N/A</v>
          </cell>
          <cell r="V1301" t="e">
            <v>#N/A</v>
          </cell>
          <cell r="W1301" t="e">
            <v>#N/A</v>
          </cell>
          <cell r="AA1301">
            <v>0</v>
          </cell>
          <cell r="AB1301" t="str">
            <v/>
          </cell>
          <cell r="AC1301" t="str">
            <v/>
          </cell>
          <cell r="AD1301" t="str">
            <v/>
          </cell>
          <cell r="AE1301" t="str">
            <v/>
          </cell>
        </row>
        <row r="1302">
          <cell r="R1302" t="str">
            <v>INT LSO</v>
          </cell>
          <cell r="S1302" t="e">
            <v>#N/A</v>
          </cell>
          <cell r="T1302" t="e">
            <v>#N/A</v>
          </cell>
          <cell r="U1302" t="e">
            <v>#N/A</v>
          </cell>
          <cell r="V1302" t="e">
            <v>#N/A</v>
          </cell>
          <cell r="W1302" t="e">
            <v>#N/A</v>
          </cell>
          <cell r="AA1302">
            <v>0</v>
          </cell>
          <cell r="AB1302" t="str">
            <v/>
          </cell>
          <cell r="AC1302" t="str">
            <v/>
          </cell>
          <cell r="AD1302" t="str">
            <v/>
          </cell>
          <cell r="AE1302" t="str">
            <v/>
          </cell>
        </row>
        <row r="1303">
          <cell r="R1303" t="str">
            <v>INT LBR</v>
          </cell>
          <cell r="S1303" t="e">
            <v>#N/A</v>
          </cell>
          <cell r="T1303" t="e">
            <v>#N/A</v>
          </cell>
          <cell r="U1303" t="e">
            <v>#N/A</v>
          </cell>
          <cell r="V1303" t="e">
            <v>#N/A</v>
          </cell>
          <cell r="W1303" t="e">
            <v>#N/A</v>
          </cell>
          <cell r="AA1303">
            <v>0</v>
          </cell>
          <cell r="AB1303" t="str">
            <v/>
          </cell>
          <cell r="AC1303" t="str">
            <v/>
          </cell>
          <cell r="AD1303" t="str">
            <v/>
          </cell>
          <cell r="AE1303" t="str">
            <v/>
          </cell>
        </row>
        <row r="1304">
          <cell r="R1304" t="str">
            <v>INT LBY LBYMO</v>
          </cell>
          <cell r="S1304" t="e">
            <v>#N/A</v>
          </cell>
          <cell r="T1304" t="e">
            <v>#N/A</v>
          </cell>
          <cell r="U1304" t="e">
            <v>#N/A</v>
          </cell>
          <cell r="V1304" t="e">
            <v>#N/A</v>
          </cell>
          <cell r="W1304" t="e">
            <v>#N/A</v>
          </cell>
          <cell r="AA1304">
            <v>0</v>
          </cell>
          <cell r="AB1304" t="str">
            <v/>
          </cell>
          <cell r="AC1304" t="str">
            <v/>
          </cell>
          <cell r="AD1304" t="str">
            <v/>
          </cell>
          <cell r="AE1304" t="str">
            <v/>
          </cell>
        </row>
        <row r="1305">
          <cell r="R1305" t="str">
            <v>INT LBY</v>
          </cell>
          <cell r="S1305" t="e">
            <v>#N/A</v>
          </cell>
          <cell r="T1305" t="e">
            <v>#N/A</v>
          </cell>
          <cell r="U1305" t="e">
            <v>#N/A</v>
          </cell>
          <cell r="V1305" t="e">
            <v>#N/A</v>
          </cell>
          <cell r="W1305" t="e">
            <v>#N/A</v>
          </cell>
          <cell r="AA1305">
            <v>0</v>
          </cell>
          <cell r="AB1305" t="str">
            <v/>
          </cell>
          <cell r="AC1305" t="str">
            <v/>
          </cell>
          <cell r="AD1305" t="str">
            <v/>
          </cell>
          <cell r="AE1305" t="str">
            <v/>
          </cell>
        </row>
        <row r="1306">
          <cell r="R1306" t="str">
            <v>INT LIE LIEMO</v>
          </cell>
          <cell r="S1306" t="e">
            <v>#N/A</v>
          </cell>
          <cell r="T1306" t="e">
            <v>#N/A</v>
          </cell>
          <cell r="U1306" t="e">
            <v>#N/A</v>
          </cell>
          <cell r="V1306" t="e">
            <v>#N/A</v>
          </cell>
          <cell r="W1306" t="e">
            <v>#N/A</v>
          </cell>
          <cell r="AA1306">
            <v>0</v>
          </cell>
          <cell r="AB1306" t="str">
            <v/>
          </cell>
          <cell r="AC1306" t="str">
            <v/>
          </cell>
          <cell r="AD1306" t="str">
            <v/>
          </cell>
          <cell r="AE1306" t="str">
            <v/>
          </cell>
        </row>
        <row r="1307">
          <cell r="R1307" t="str">
            <v>INT LIE</v>
          </cell>
          <cell r="S1307" t="e">
            <v>#N/A</v>
          </cell>
          <cell r="T1307" t="e">
            <v>#N/A</v>
          </cell>
          <cell r="U1307" t="e">
            <v>#N/A</v>
          </cell>
          <cell r="V1307" t="e">
            <v>#N/A</v>
          </cell>
          <cell r="W1307" t="e">
            <v>#N/A</v>
          </cell>
          <cell r="AA1307">
            <v>0</v>
          </cell>
          <cell r="AB1307" t="str">
            <v/>
          </cell>
          <cell r="AC1307" t="str">
            <v/>
          </cell>
          <cell r="AD1307" t="str">
            <v/>
          </cell>
          <cell r="AE1307" t="str">
            <v/>
          </cell>
        </row>
        <row r="1308">
          <cell r="R1308" t="str">
            <v>INT LTU LTUMO</v>
          </cell>
          <cell r="S1308" t="e">
            <v>#N/A</v>
          </cell>
          <cell r="T1308" t="e">
            <v>#N/A</v>
          </cell>
          <cell r="U1308" t="e">
            <v>#N/A</v>
          </cell>
          <cell r="V1308" t="e">
            <v>#N/A</v>
          </cell>
          <cell r="W1308" t="e">
            <v>#N/A</v>
          </cell>
          <cell r="AA1308">
            <v>0</v>
          </cell>
          <cell r="AB1308" t="str">
            <v/>
          </cell>
          <cell r="AC1308" t="str">
            <v/>
          </cell>
          <cell r="AD1308" t="str">
            <v/>
          </cell>
          <cell r="AE1308" t="str">
            <v/>
          </cell>
        </row>
        <row r="1309">
          <cell r="R1309" t="str">
            <v>INT LTU LTUGS</v>
          </cell>
          <cell r="S1309" t="e">
            <v>#N/A</v>
          </cell>
          <cell r="T1309" t="e">
            <v>#N/A</v>
          </cell>
          <cell r="U1309" t="e">
            <v>#N/A</v>
          </cell>
          <cell r="V1309" t="e">
            <v>#N/A</v>
          </cell>
          <cell r="W1309" t="e">
            <v>#N/A</v>
          </cell>
          <cell r="AA1309">
            <v>0</v>
          </cell>
          <cell r="AB1309" t="str">
            <v/>
          </cell>
          <cell r="AC1309" t="str">
            <v/>
          </cell>
          <cell r="AD1309" t="str">
            <v/>
          </cell>
          <cell r="AE1309" t="str">
            <v/>
          </cell>
        </row>
        <row r="1310">
          <cell r="R1310" t="str">
            <v>INT LTU</v>
          </cell>
          <cell r="S1310" t="e">
            <v>#N/A</v>
          </cell>
          <cell r="T1310" t="e">
            <v>#N/A</v>
          </cell>
          <cell r="U1310" t="e">
            <v>#N/A</v>
          </cell>
          <cell r="V1310" t="e">
            <v>#N/A</v>
          </cell>
          <cell r="W1310" t="e">
            <v>#N/A</v>
          </cell>
          <cell r="AA1310">
            <v>0</v>
          </cell>
          <cell r="AB1310" t="str">
            <v/>
          </cell>
          <cell r="AC1310" t="str">
            <v/>
          </cell>
          <cell r="AD1310" t="str">
            <v/>
          </cell>
          <cell r="AE1310" t="str">
            <v/>
          </cell>
        </row>
        <row r="1311">
          <cell r="R1311" t="str">
            <v>INT LUX LUXMO</v>
          </cell>
          <cell r="S1311" t="e">
            <v>#N/A</v>
          </cell>
          <cell r="T1311" t="e">
            <v>#N/A</v>
          </cell>
          <cell r="U1311" t="e">
            <v>#N/A</v>
          </cell>
          <cell r="V1311" t="e">
            <v>#N/A</v>
          </cell>
          <cell r="W1311" t="e">
            <v>#N/A</v>
          </cell>
          <cell r="AA1311">
            <v>0</v>
          </cell>
          <cell r="AB1311" t="str">
            <v/>
          </cell>
          <cell r="AC1311" t="str">
            <v/>
          </cell>
          <cell r="AD1311" t="str">
            <v/>
          </cell>
          <cell r="AE1311" t="str">
            <v/>
          </cell>
        </row>
        <row r="1312">
          <cell r="R1312" t="str">
            <v>INT LUX</v>
          </cell>
          <cell r="S1312" t="e">
            <v>#N/A</v>
          </cell>
          <cell r="T1312" t="e">
            <v>#N/A</v>
          </cell>
          <cell r="U1312" t="e">
            <v>#N/A</v>
          </cell>
          <cell r="V1312" t="e">
            <v>#N/A</v>
          </cell>
          <cell r="W1312" t="e">
            <v>#N/A</v>
          </cell>
          <cell r="AA1312">
            <v>0</v>
          </cell>
          <cell r="AB1312" t="str">
            <v/>
          </cell>
          <cell r="AC1312" t="str">
            <v/>
          </cell>
          <cell r="AD1312" t="str">
            <v/>
          </cell>
          <cell r="AE1312" t="str">
            <v/>
          </cell>
        </row>
        <row r="1313">
          <cell r="R1313" t="str">
            <v>INT LUX LXP8C</v>
          </cell>
          <cell r="S1313" t="e">
            <v>#N/A</v>
          </cell>
          <cell r="T1313" t="e">
            <v>#N/A</v>
          </cell>
          <cell r="U1313" t="e">
            <v>#N/A</v>
          </cell>
          <cell r="V1313" t="e">
            <v>#N/A</v>
          </cell>
          <cell r="W1313" t="e">
            <v>#N/A</v>
          </cell>
          <cell r="AA1313">
            <v>0</v>
          </cell>
          <cell r="AB1313" t="str">
            <v/>
          </cell>
          <cell r="AC1313" t="str">
            <v/>
          </cell>
          <cell r="AD1313" t="str">
            <v/>
          </cell>
          <cell r="AE1313" t="str">
            <v/>
          </cell>
        </row>
        <row r="1314">
          <cell r="R1314" t="str">
            <v>INT LUX LXSC1</v>
          </cell>
          <cell r="S1314" t="e">
            <v>#N/A</v>
          </cell>
          <cell r="T1314" t="e">
            <v>#N/A</v>
          </cell>
          <cell r="U1314" t="e">
            <v>#N/A</v>
          </cell>
          <cell r="V1314" t="e">
            <v>#N/A</v>
          </cell>
          <cell r="W1314" t="e">
            <v>#N/A</v>
          </cell>
          <cell r="AA1314">
            <v>0</v>
          </cell>
          <cell r="AB1314" t="str">
            <v/>
          </cell>
          <cell r="AC1314" t="str">
            <v/>
          </cell>
          <cell r="AD1314" t="str">
            <v/>
          </cell>
          <cell r="AE1314" t="str">
            <v/>
          </cell>
        </row>
        <row r="1315">
          <cell r="R1315" t="str">
            <v>INT LUX LXTF</v>
          </cell>
          <cell r="S1315" t="e">
            <v>#N/A</v>
          </cell>
          <cell r="T1315" t="e">
            <v>#N/A</v>
          </cell>
          <cell r="U1315" t="e">
            <v>#N/A</v>
          </cell>
          <cell r="V1315" t="e">
            <v>#N/A</v>
          </cell>
          <cell r="W1315" t="e">
            <v>#N/A</v>
          </cell>
          <cell r="AA1315">
            <v>0</v>
          </cell>
          <cell r="AB1315" t="str">
            <v/>
          </cell>
          <cell r="AC1315" t="str">
            <v/>
          </cell>
          <cell r="AD1315" t="str">
            <v/>
          </cell>
          <cell r="AE1315" t="str">
            <v/>
          </cell>
        </row>
        <row r="1316">
          <cell r="R1316" t="str">
            <v>INT MAC</v>
          </cell>
          <cell r="S1316" t="e">
            <v>#N/A</v>
          </cell>
          <cell r="T1316" t="e">
            <v>#N/A</v>
          </cell>
          <cell r="U1316" t="e">
            <v>#N/A</v>
          </cell>
          <cell r="V1316" t="e">
            <v>#N/A</v>
          </cell>
          <cell r="W1316" t="e">
            <v>#N/A</v>
          </cell>
          <cell r="AA1316">
            <v>0</v>
          </cell>
          <cell r="AB1316" t="str">
            <v/>
          </cell>
          <cell r="AC1316" t="str">
            <v/>
          </cell>
          <cell r="AD1316" t="str">
            <v/>
          </cell>
          <cell r="AE1316" t="str">
            <v/>
          </cell>
        </row>
        <row r="1317">
          <cell r="R1317" t="str">
            <v>INT MCD MCDMO</v>
          </cell>
          <cell r="S1317" t="e">
            <v>#N/A</v>
          </cell>
          <cell r="T1317" t="e">
            <v>#N/A</v>
          </cell>
          <cell r="U1317" t="e">
            <v>#N/A</v>
          </cell>
          <cell r="V1317" t="e">
            <v>#N/A</v>
          </cell>
          <cell r="W1317" t="e">
            <v>#N/A</v>
          </cell>
          <cell r="AA1317">
            <v>0</v>
          </cell>
          <cell r="AB1317" t="str">
            <v/>
          </cell>
          <cell r="AC1317" t="str">
            <v/>
          </cell>
          <cell r="AD1317" t="str">
            <v/>
          </cell>
          <cell r="AE1317" t="str">
            <v/>
          </cell>
        </row>
        <row r="1318">
          <cell r="R1318" t="str">
            <v>INT MCD</v>
          </cell>
          <cell r="S1318" t="e">
            <v>#N/A</v>
          </cell>
          <cell r="T1318" t="e">
            <v>#N/A</v>
          </cell>
          <cell r="U1318" t="e">
            <v>#N/A</v>
          </cell>
          <cell r="V1318" t="e">
            <v>#N/A</v>
          </cell>
          <cell r="W1318" t="e">
            <v>#N/A</v>
          </cell>
          <cell r="AA1318">
            <v>0</v>
          </cell>
          <cell r="AB1318" t="str">
            <v/>
          </cell>
          <cell r="AC1318" t="str">
            <v/>
          </cell>
          <cell r="AD1318" t="str">
            <v/>
          </cell>
          <cell r="AE1318" t="str">
            <v/>
          </cell>
        </row>
        <row r="1319">
          <cell r="R1319" t="str">
            <v>INT MDG MDGMO</v>
          </cell>
          <cell r="S1319" t="e">
            <v>#N/A</v>
          </cell>
          <cell r="T1319" t="e">
            <v>#N/A</v>
          </cell>
          <cell r="U1319" t="e">
            <v>#N/A</v>
          </cell>
          <cell r="V1319" t="e">
            <v>#N/A</v>
          </cell>
          <cell r="W1319" t="e">
            <v>#N/A</v>
          </cell>
          <cell r="AA1319">
            <v>0</v>
          </cell>
          <cell r="AB1319" t="str">
            <v/>
          </cell>
          <cell r="AC1319" t="str">
            <v/>
          </cell>
          <cell r="AD1319" t="str">
            <v/>
          </cell>
          <cell r="AE1319" t="str">
            <v/>
          </cell>
        </row>
        <row r="1320">
          <cell r="R1320" t="str">
            <v>INT MDG</v>
          </cell>
          <cell r="S1320" t="e">
            <v>#N/A</v>
          </cell>
          <cell r="T1320" t="e">
            <v>#N/A</v>
          </cell>
          <cell r="U1320" t="e">
            <v>#N/A</v>
          </cell>
          <cell r="V1320" t="e">
            <v>#N/A</v>
          </cell>
          <cell r="W1320" t="e">
            <v>#N/A</v>
          </cell>
          <cell r="AA1320">
            <v>0</v>
          </cell>
          <cell r="AB1320" t="str">
            <v/>
          </cell>
          <cell r="AC1320" t="str">
            <v/>
          </cell>
          <cell r="AD1320" t="str">
            <v/>
          </cell>
          <cell r="AE1320" t="str">
            <v/>
          </cell>
        </row>
        <row r="1321">
          <cell r="R1321" t="str">
            <v>INT PRT MDR</v>
          </cell>
          <cell r="S1321" t="e">
            <v>#N/A</v>
          </cell>
          <cell r="T1321" t="e">
            <v>#N/A</v>
          </cell>
          <cell r="U1321" t="e">
            <v>#N/A</v>
          </cell>
          <cell r="V1321" t="e">
            <v>#N/A</v>
          </cell>
          <cell r="W1321" t="e">
            <v>#N/A</v>
          </cell>
          <cell r="AA1321">
            <v>0</v>
          </cell>
          <cell r="AB1321" t="str">
            <v/>
          </cell>
          <cell r="AC1321" t="str">
            <v/>
          </cell>
          <cell r="AD1321" t="str">
            <v/>
          </cell>
          <cell r="AE1321" t="str">
            <v/>
          </cell>
        </row>
        <row r="1322">
          <cell r="R1322" t="str">
            <v>INT MWI MWIMO</v>
          </cell>
          <cell r="S1322" t="e">
            <v>#N/A</v>
          </cell>
          <cell r="T1322" t="e">
            <v>#N/A</v>
          </cell>
          <cell r="U1322" t="e">
            <v>#N/A</v>
          </cell>
          <cell r="V1322" t="e">
            <v>#N/A</v>
          </cell>
          <cell r="W1322" t="e">
            <v>#N/A</v>
          </cell>
          <cell r="AA1322">
            <v>0</v>
          </cell>
          <cell r="AB1322" t="str">
            <v/>
          </cell>
          <cell r="AC1322" t="str">
            <v/>
          </cell>
          <cell r="AD1322" t="str">
            <v/>
          </cell>
          <cell r="AE1322" t="str">
            <v/>
          </cell>
        </row>
        <row r="1323">
          <cell r="R1323" t="str">
            <v>INT MWI</v>
          </cell>
          <cell r="S1323" t="e">
            <v>#N/A</v>
          </cell>
          <cell r="T1323" t="e">
            <v>#N/A</v>
          </cell>
          <cell r="U1323" t="e">
            <v>#N/A</v>
          </cell>
          <cell r="V1323" t="e">
            <v>#N/A</v>
          </cell>
          <cell r="W1323" t="e">
            <v>#N/A</v>
          </cell>
          <cell r="AA1323">
            <v>0</v>
          </cell>
          <cell r="AB1323" t="str">
            <v/>
          </cell>
          <cell r="AC1323" t="str">
            <v/>
          </cell>
          <cell r="AD1323" t="str">
            <v/>
          </cell>
          <cell r="AE1323" t="str">
            <v/>
          </cell>
        </row>
        <row r="1324">
          <cell r="R1324" t="str">
            <v>INT MYS MYSMO</v>
          </cell>
          <cell r="S1324" t="e">
            <v>#N/A</v>
          </cell>
          <cell r="T1324" t="e">
            <v>#N/A</v>
          </cell>
          <cell r="U1324" t="e">
            <v>#N/A</v>
          </cell>
          <cell r="V1324" t="e">
            <v>#N/A</v>
          </cell>
          <cell r="W1324" t="e">
            <v>#N/A</v>
          </cell>
          <cell r="AA1324">
            <v>0</v>
          </cell>
          <cell r="AB1324" t="str">
            <v/>
          </cell>
          <cell r="AC1324" t="str">
            <v/>
          </cell>
          <cell r="AD1324" t="str">
            <v/>
          </cell>
          <cell r="AE1324" t="str">
            <v/>
          </cell>
        </row>
        <row r="1325">
          <cell r="R1325" t="str">
            <v>INT MYS</v>
          </cell>
          <cell r="S1325" t="e">
            <v>#N/A</v>
          </cell>
          <cell r="T1325" t="e">
            <v>#N/A</v>
          </cell>
          <cell r="U1325" t="e">
            <v>#N/A</v>
          </cell>
          <cell r="V1325" t="e">
            <v>#N/A</v>
          </cell>
          <cell r="W1325" t="e">
            <v>#N/A</v>
          </cell>
          <cell r="AA1325">
            <v>0</v>
          </cell>
          <cell r="AB1325" t="str">
            <v/>
          </cell>
          <cell r="AC1325" t="str">
            <v/>
          </cell>
          <cell r="AD1325" t="str">
            <v/>
          </cell>
          <cell r="AE1325" t="str">
            <v/>
          </cell>
        </row>
        <row r="1326">
          <cell r="R1326" t="str">
            <v>INT MDV</v>
          </cell>
          <cell r="S1326" t="e">
            <v>#N/A</v>
          </cell>
          <cell r="T1326" t="e">
            <v>#N/A</v>
          </cell>
          <cell r="U1326" t="e">
            <v>#N/A</v>
          </cell>
          <cell r="V1326" t="e">
            <v>#N/A</v>
          </cell>
          <cell r="W1326" t="e">
            <v>#N/A</v>
          </cell>
          <cell r="AA1326">
            <v>0</v>
          </cell>
          <cell r="AB1326" t="str">
            <v/>
          </cell>
          <cell r="AC1326" t="str">
            <v/>
          </cell>
          <cell r="AD1326" t="str">
            <v/>
          </cell>
          <cell r="AE1326" t="str">
            <v/>
          </cell>
        </row>
        <row r="1327">
          <cell r="R1327" t="str">
            <v>INT MLI MLIMO</v>
          </cell>
          <cell r="S1327" t="e">
            <v>#N/A</v>
          </cell>
          <cell r="T1327" t="e">
            <v>#N/A</v>
          </cell>
          <cell r="U1327" t="e">
            <v>#N/A</v>
          </cell>
          <cell r="V1327" t="e">
            <v>#N/A</v>
          </cell>
          <cell r="W1327" t="e">
            <v>#N/A</v>
          </cell>
          <cell r="AA1327">
            <v>0</v>
          </cell>
          <cell r="AB1327" t="str">
            <v/>
          </cell>
          <cell r="AC1327" t="str">
            <v/>
          </cell>
          <cell r="AD1327" t="str">
            <v/>
          </cell>
          <cell r="AE1327" t="str">
            <v/>
          </cell>
        </row>
        <row r="1328">
          <cell r="R1328" t="str">
            <v>INT MLI</v>
          </cell>
          <cell r="S1328" t="e">
            <v>#N/A</v>
          </cell>
          <cell r="T1328" t="e">
            <v>#N/A</v>
          </cell>
          <cell r="U1328" t="e">
            <v>#N/A</v>
          </cell>
          <cell r="V1328" t="e">
            <v>#N/A</v>
          </cell>
          <cell r="W1328" t="e">
            <v>#N/A</v>
          </cell>
          <cell r="AA1328">
            <v>0</v>
          </cell>
          <cell r="AB1328" t="str">
            <v/>
          </cell>
          <cell r="AC1328" t="str">
            <v/>
          </cell>
          <cell r="AD1328" t="str">
            <v/>
          </cell>
          <cell r="AE1328" t="str">
            <v/>
          </cell>
        </row>
        <row r="1329">
          <cell r="R1329" t="str">
            <v>INT MLT MLMO</v>
          </cell>
          <cell r="S1329" t="e">
            <v>#N/A</v>
          </cell>
          <cell r="T1329" t="e">
            <v>#N/A</v>
          </cell>
          <cell r="U1329" t="e">
            <v>#N/A</v>
          </cell>
          <cell r="V1329" t="e">
            <v>#N/A</v>
          </cell>
          <cell r="W1329" t="e">
            <v>#N/A</v>
          </cell>
          <cell r="AA1329">
            <v>0</v>
          </cell>
          <cell r="AB1329" t="str">
            <v/>
          </cell>
          <cell r="AC1329" t="str">
            <v/>
          </cell>
          <cell r="AD1329" t="str">
            <v/>
          </cell>
          <cell r="AE1329" t="str">
            <v/>
          </cell>
        </row>
        <row r="1330">
          <cell r="R1330" t="str">
            <v>INT MLT</v>
          </cell>
          <cell r="S1330" t="e">
            <v>#N/A</v>
          </cell>
          <cell r="T1330" t="e">
            <v>#N/A</v>
          </cell>
          <cell r="U1330" t="e">
            <v>#N/A</v>
          </cell>
          <cell r="V1330" t="e">
            <v>#N/A</v>
          </cell>
          <cell r="W1330" t="e">
            <v>#N/A</v>
          </cell>
          <cell r="AA1330">
            <v>0</v>
          </cell>
          <cell r="AB1330" t="str">
            <v/>
          </cell>
          <cell r="AC1330" t="str">
            <v/>
          </cell>
          <cell r="AD1330" t="str">
            <v/>
          </cell>
          <cell r="AE1330" t="str">
            <v/>
          </cell>
        </row>
        <row r="1331">
          <cell r="R1331" t="str">
            <v>INT EMS MCP</v>
          </cell>
          <cell r="S1331" t="e">
            <v>#N/A</v>
          </cell>
          <cell r="T1331" t="e">
            <v>#N/A</v>
          </cell>
          <cell r="U1331" t="e">
            <v>#N/A</v>
          </cell>
          <cell r="V1331" t="e">
            <v>#N/A</v>
          </cell>
          <cell r="W1331" t="e">
            <v>#N/A</v>
          </cell>
          <cell r="AA1331">
            <v>0</v>
          </cell>
          <cell r="AB1331" t="str">
            <v/>
          </cell>
          <cell r="AC1331" t="str">
            <v/>
          </cell>
          <cell r="AD1331" t="str">
            <v/>
          </cell>
          <cell r="AE1331" t="str">
            <v/>
          </cell>
        </row>
        <row r="1332">
          <cell r="R1332" t="str">
            <v>INT MHL</v>
          </cell>
          <cell r="S1332" t="e">
            <v>#N/A</v>
          </cell>
          <cell r="T1332" t="e">
            <v>#N/A</v>
          </cell>
          <cell r="U1332" t="e">
            <v>#N/A</v>
          </cell>
          <cell r="V1332" t="e">
            <v>#N/A</v>
          </cell>
          <cell r="W1332" t="e">
            <v>#N/A</v>
          </cell>
          <cell r="AA1332">
            <v>0</v>
          </cell>
          <cell r="AB1332" t="str">
            <v/>
          </cell>
          <cell r="AC1332" t="str">
            <v/>
          </cell>
          <cell r="AD1332" t="str">
            <v/>
          </cell>
          <cell r="AE1332" t="str">
            <v/>
          </cell>
        </row>
        <row r="1333">
          <cell r="R1333" t="str">
            <v>INT MTQ MTQMO</v>
          </cell>
          <cell r="S1333" t="e">
            <v>#N/A</v>
          </cell>
          <cell r="T1333" t="e">
            <v>#N/A</v>
          </cell>
          <cell r="U1333" t="e">
            <v>#N/A</v>
          </cell>
          <cell r="V1333" t="e">
            <v>#N/A</v>
          </cell>
          <cell r="W1333" t="e">
            <v>#N/A</v>
          </cell>
          <cell r="AA1333">
            <v>0</v>
          </cell>
          <cell r="AB1333" t="str">
            <v/>
          </cell>
          <cell r="AC1333" t="str">
            <v/>
          </cell>
          <cell r="AD1333" t="str">
            <v/>
          </cell>
          <cell r="AE1333" t="str">
            <v/>
          </cell>
        </row>
        <row r="1334">
          <cell r="R1334" t="str">
            <v>INT MTQ</v>
          </cell>
          <cell r="S1334" t="e">
            <v>#N/A</v>
          </cell>
          <cell r="T1334" t="e">
            <v>#N/A</v>
          </cell>
          <cell r="U1334" t="e">
            <v>#N/A</v>
          </cell>
          <cell r="V1334" t="e">
            <v>#N/A</v>
          </cell>
          <cell r="W1334" t="e">
            <v>#N/A</v>
          </cell>
          <cell r="AA1334">
            <v>0</v>
          </cell>
          <cell r="AB1334" t="str">
            <v/>
          </cell>
          <cell r="AC1334" t="str">
            <v/>
          </cell>
          <cell r="AD1334" t="str">
            <v/>
          </cell>
          <cell r="AE1334" t="str">
            <v/>
          </cell>
        </row>
        <row r="1335">
          <cell r="R1335" t="str">
            <v>INT MRT</v>
          </cell>
          <cell r="S1335" t="e">
            <v>#N/A</v>
          </cell>
          <cell r="T1335" t="e">
            <v>#N/A</v>
          </cell>
          <cell r="U1335" t="e">
            <v>#N/A</v>
          </cell>
          <cell r="V1335" t="e">
            <v>#N/A</v>
          </cell>
          <cell r="W1335" t="e">
            <v>#N/A</v>
          </cell>
          <cell r="AA1335">
            <v>0</v>
          </cell>
          <cell r="AB1335" t="str">
            <v/>
          </cell>
          <cell r="AC1335" t="str">
            <v/>
          </cell>
          <cell r="AD1335" t="str">
            <v/>
          </cell>
          <cell r="AE1335" t="str">
            <v/>
          </cell>
        </row>
        <row r="1336">
          <cell r="R1336" t="str">
            <v>INT MUS MUSMO</v>
          </cell>
          <cell r="S1336" t="e">
            <v>#N/A</v>
          </cell>
          <cell r="T1336" t="e">
            <v>#N/A</v>
          </cell>
          <cell r="U1336" t="e">
            <v>#N/A</v>
          </cell>
          <cell r="V1336" t="e">
            <v>#N/A</v>
          </cell>
          <cell r="W1336" t="e">
            <v>#N/A</v>
          </cell>
          <cell r="AA1336">
            <v>0</v>
          </cell>
          <cell r="AB1336" t="str">
            <v/>
          </cell>
          <cell r="AC1336" t="str">
            <v/>
          </cell>
          <cell r="AD1336" t="str">
            <v/>
          </cell>
          <cell r="AE1336" t="str">
            <v/>
          </cell>
        </row>
        <row r="1337">
          <cell r="R1337" t="str">
            <v>INT MUS</v>
          </cell>
          <cell r="S1337" t="e">
            <v>#N/A</v>
          </cell>
          <cell r="T1337" t="e">
            <v>#N/A</v>
          </cell>
          <cell r="U1337" t="e">
            <v>#N/A</v>
          </cell>
          <cell r="V1337" t="e">
            <v>#N/A</v>
          </cell>
          <cell r="W1337" t="e">
            <v>#N/A</v>
          </cell>
          <cell r="AA1337">
            <v>0</v>
          </cell>
          <cell r="AB1337" t="str">
            <v/>
          </cell>
          <cell r="AC1337" t="str">
            <v/>
          </cell>
          <cell r="AD1337" t="str">
            <v/>
          </cell>
          <cell r="AE1337" t="str">
            <v/>
          </cell>
        </row>
        <row r="1338">
          <cell r="R1338" t="str">
            <v>INT MAY</v>
          </cell>
          <cell r="S1338" t="e">
            <v>#N/A</v>
          </cell>
          <cell r="T1338" t="e">
            <v>#N/A</v>
          </cell>
          <cell r="U1338" t="e">
            <v>#N/A</v>
          </cell>
          <cell r="V1338" t="e">
            <v>#N/A</v>
          </cell>
          <cell r="W1338" t="e">
            <v>#N/A</v>
          </cell>
          <cell r="AA1338">
            <v>0</v>
          </cell>
          <cell r="AB1338" t="str">
            <v/>
          </cell>
          <cell r="AC1338" t="str">
            <v/>
          </cell>
          <cell r="AD1338" t="str">
            <v/>
          </cell>
          <cell r="AE1338" t="str">
            <v/>
          </cell>
        </row>
        <row r="1339">
          <cell r="R1339" t="str">
            <v>INT MEX MEXMO</v>
          </cell>
          <cell r="S1339" t="e">
            <v>#N/A</v>
          </cell>
          <cell r="T1339" t="e">
            <v>#N/A</v>
          </cell>
          <cell r="U1339" t="e">
            <v>#N/A</v>
          </cell>
          <cell r="V1339" t="e">
            <v>#N/A</v>
          </cell>
          <cell r="W1339" t="e">
            <v>#N/A</v>
          </cell>
          <cell r="AA1339">
            <v>0</v>
          </cell>
          <cell r="AB1339" t="str">
            <v/>
          </cell>
          <cell r="AC1339" t="str">
            <v/>
          </cell>
          <cell r="AD1339" t="str">
            <v/>
          </cell>
          <cell r="AE1339" t="str">
            <v/>
          </cell>
        </row>
        <row r="1340">
          <cell r="R1340" t="str">
            <v>INT MEX</v>
          </cell>
          <cell r="S1340" t="e">
            <v>#N/A</v>
          </cell>
          <cell r="T1340" t="e">
            <v>#N/A</v>
          </cell>
          <cell r="U1340" t="e">
            <v>#N/A</v>
          </cell>
          <cell r="V1340" t="e">
            <v>#N/A</v>
          </cell>
          <cell r="W1340" t="e">
            <v>#N/A</v>
          </cell>
          <cell r="AA1340">
            <v>0</v>
          </cell>
          <cell r="AB1340" t="str">
            <v/>
          </cell>
          <cell r="AC1340" t="str">
            <v/>
          </cell>
          <cell r="AD1340" t="str">
            <v/>
          </cell>
          <cell r="AE1340" t="str">
            <v/>
          </cell>
        </row>
        <row r="1341">
          <cell r="R1341" t="str">
            <v>INT FSM</v>
          </cell>
          <cell r="S1341" t="e">
            <v>#N/A</v>
          </cell>
          <cell r="T1341" t="e">
            <v>#N/A</v>
          </cell>
          <cell r="U1341" t="e">
            <v>#N/A</v>
          </cell>
          <cell r="V1341" t="e">
            <v>#N/A</v>
          </cell>
          <cell r="W1341" t="e">
            <v>#N/A</v>
          </cell>
          <cell r="AA1341">
            <v>0</v>
          </cell>
          <cell r="AB1341" t="str">
            <v/>
          </cell>
          <cell r="AC1341" t="str">
            <v/>
          </cell>
          <cell r="AD1341" t="str">
            <v/>
          </cell>
          <cell r="AE1341" t="str">
            <v/>
          </cell>
        </row>
        <row r="1342">
          <cell r="R1342" t="str">
            <v>INT UMI</v>
          </cell>
          <cell r="S1342" t="e">
            <v>#N/A</v>
          </cell>
          <cell r="T1342" t="e">
            <v>#N/A</v>
          </cell>
          <cell r="U1342" t="e">
            <v>#N/A</v>
          </cell>
          <cell r="V1342" t="e">
            <v>#N/A</v>
          </cell>
          <cell r="W1342" t="e">
            <v>#N/A</v>
          </cell>
          <cell r="AA1342">
            <v>0</v>
          </cell>
          <cell r="AB1342" t="str">
            <v/>
          </cell>
          <cell r="AC1342" t="str">
            <v/>
          </cell>
          <cell r="AD1342" t="str">
            <v/>
          </cell>
          <cell r="AE1342" t="str">
            <v/>
          </cell>
        </row>
        <row r="1343">
          <cell r="R1343" t="str">
            <v>INT MDA MDAMO</v>
          </cell>
          <cell r="S1343" t="e">
            <v>#N/A</v>
          </cell>
          <cell r="T1343" t="e">
            <v>#N/A</v>
          </cell>
          <cell r="U1343" t="e">
            <v>#N/A</v>
          </cell>
          <cell r="V1343" t="e">
            <v>#N/A</v>
          </cell>
          <cell r="W1343" t="e">
            <v>#N/A</v>
          </cell>
          <cell r="AA1343">
            <v>0</v>
          </cell>
          <cell r="AB1343" t="str">
            <v/>
          </cell>
          <cell r="AC1343" t="str">
            <v/>
          </cell>
          <cell r="AD1343" t="str">
            <v/>
          </cell>
          <cell r="AE1343" t="str">
            <v/>
          </cell>
        </row>
        <row r="1344">
          <cell r="R1344" t="str">
            <v>INT MDA</v>
          </cell>
          <cell r="S1344" t="e">
            <v>#N/A</v>
          </cell>
          <cell r="T1344" t="e">
            <v>#N/A</v>
          </cell>
          <cell r="U1344" t="e">
            <v>#N/A</v>
          </cell>
          <cell r="V1344" t="e">
            <v>#N/A</v>
          </cell>
          <cell r="W1344" t="e">
            <v>#N/A</v>
          </cell>
          <cell r="AA1344">
            <v>0</v>
          </cell>
          <cell r="AB1344" t="str">
            <v/>
          </cell>
          <cell r="AC1344" t="str">
            <v/>
          </cell>
          <cell r="AD1344" t="str">
            <v/>
          </cell>
          <cell r="AE1344" t="str">
            <v/>
          </cell>
        </row>
        <row r="1345">
          <cell r="R1345" t="str">
            <v>INT MCO MCOMO</v>
          </cell>
          <cell r="S1345" t="e">
            <v>#N/A</v>
          </cell>
          <cell r="T1345" t="e">
            <v>#N/A</v>
          </cell>
          <cell r="U1345" t="e">
            <v>#N/A</v>
          </cell>
          <cell r="V1345" t="e">
            <v>#N/A</v>
          </cell>
          <cell r="W1345" t="e">
            <v>#N/A</v>
          </cell>
          <cell r="AA1345">
            <v>0</v>
          </cell>
          <cell r="AB1345" t="str">
            <v/>
          </cell>
          <cell r="AC1345" t="str">
            <v/>
          </cell>
          <cell r="AD1345" t="str">
            <v/>
          </cell>
          <cell r="AE1345" t="str">
            <v/>
          </cell>
        </row>
        <row r="1346">
          <cell r="R1346" t="str">
            <v>INT MCO</v>
          </cell>
          <cell r="S1346" t="e">
            <v>#N/A</v>
          </cell>
          <cell r="T1346" t="e">
            <v>#N/A</v>
          </cell>
          <cell r="U1346" t="e">
            <v>#N/A</v>
          </cell>
          <cell r="V1346" t="e">
            <v>#N/A</v>
          </cell>
          <cell r="W1346" t="e">
            <v>#N/A</v>
          </cell>
          <cell r="AA1346">
            <v>0</v>
          </cell>
          <cell r="AB1346" t="str">
            <v/>
          </cell>
          <cell r="AC1346" t="str">
            <v/>
          </cell>
          <cell r="AD1346" t="str">
            <v/>
          </cell>
          <cell r="AE1346" t="str">
            <v/>
          </cell>
        </row>
        <row r="1347">
          <cell r="R1347" t="str">
            <v>INT MNG</v>
          </cell>
          <cell r="S1347" t="e">
            <v>#N/A</v>
          </cell>
          <cell r="T1347" t="e">
            <v>#N/A</v>
          </cell>
          <cell r="U1347" t="e">
            <v>#N/A</v>
          </cell>
          <cell r="V1347" t="e">
            <v>#N/A</v>
          </cell>
          <cell r="W1347" t="e">
            <v>#N/A</v>
          </cell>
          <cell r="AA1347">
            <v>0</v>
          </cell>
          <cell r="AB1347" t="str">
            <v/>
          </cell>
          <cell r="AC1347" t="str">
            <v/>
          </cell>
          <cell r="AD1347" t="str">
            <v/>
          </cell>
          <cell r="AE1347" t="str">
            <v/>
          </cell>
        </row>
        <row r="1348">
          <cell r="R1348" t="str">
            <v>INT MNE</v>
          </cell>
          <cell r="S1348" t="e">
            <v>#N/A</v>
          </cell>
          <cell r="T1348" t="e">
            <v>#N/A</v>
          </cell>
          <cell r="U1348" t="e">
            <v>#N/A</v>
          </cell>
          <cell r="V1348" t="e">
            <v>#N/A</v>
          </cell>
          <cell r="W1348" t="e">
            <v>#N/A</v>
          </cell>
          <cell r="AA1348">
            <v>0</v>
          </cell>
          <cell r="AB1348" t="str">
            <v/>
          </cell>
          <cell r="AC1348" t="str">
            <v/>
          </cell>
          <cell r="AD1348" t="str">
            <v/>
          </cell>
          <cell r="AE1348" t="str">
            <v/>
          </cell>
        </row>
        <row r="1349">
          <cell r="R1349" t="str">
            <v>INT MSR</v>
          </cell>
          <cell r="S1349" t="e">
            <v>#N/A</v>
          </cell>
          <cell r="T1349" t="e">
            <v>#N/A</v>
          </cell>
          <cell r="U1349" t="e">
            <v>#N/A</v>
          </cell>
          <cell r="V1349" t="e">
            <v>#N/A</v>
          </cell>
          <cell r="W1349" t="e">
            <v>#N/A</v>
          </cell>
          <cell r="AA1349">
            <v>0</v>
          </cell>
          <cell r="AB1349" t="str">
            <v/>
          </cell>
          <cell r="AC1349" t="str">
            <v/>
          </cell>
          <cell r="AD1349" t="str">
            <v/>
          </cell>
          <cell r="AE1349" t="str">
            <v/>
          </cell>
        </row>
        <row r="1350">
          <cell r="R1350" t="str">
            <v>INT MAR MARMO</v>
          </cell>
          <cell r="S1350" t="e">
            <v>#N/A</v>
          </cell>
          <cell r="T1350" t="e">
            <v>#N/A</v>
          </cell>
          <cell r="U1350" t="e">
            <v>#N/A</v>
          </cell>
          <cell r="V1350" t="e">
            <v>#N/A</v>
          </cell>
          <cell r="W1350" t="e">
            <v>#N/A</v>
          </cell>
          <cell r="AA1350">
            <v>0</v>
          </cell>
          <cell r="AB1350" t="str">
            <v/>
          </cell>
          <cell r="AC1350" t="str">
            <v/>
          </cell>
          <cell r="AD1350" t="str">
            <v/>
          </cell>
          <cell r="AE1350" t="str">
            <v/>
          </cell>
        </row>
        <row r="1351">
          <cell r="R1351" t="str">
            <v>INT MAR</v>
          </cell>
          <cell r="S1351" t="e">
            <v>#N/A</v>
          </cell>
          <cell r="T1351" t="e">
            <v>#N/A</v>
          </cell>
          <cell r="U1351" t="e">
            <v>#N/A</v>
          </cell>
          <cell r="V1351" t="e">
            <v>#N/A</v>
          </cell>
          <cell r="W1351" t="e">
            <v>#N/A</v>
          </cell>
          <cell r="AA1351">
            <v>0</v>
          </cell>
          <cell r="AB1351" t="str">
            <v/>
          </cell>
          <cell r="AC1351" t="str">
            <v/>
          </cell>
          <cell r="AD1351" t="str">
            <v/>
          </cell>
          <cell r="AE1351" t="str">
            <v/>
          </cell>
        </row>
        <row r="1352">
          <cell r="R1352" t="str">
            <v>INT MOZ MOZMO</v>
          </cell>
          <cell r="S1352" t="e">
            <v>#N/A</v>
          </cell>
          <cell r="T1352" t="e">
            <v>#N/A</v>
          </cell>
          <cell r="U1352" t="e">
            <v>#N/A</v>
          </cell>
          <cell r="V1352" t="e">
            <v>#N/A</v>
          </cell>
          <cell r="W1352" t="e">
            <v>#N/A</v>
          </cell>
          <cell r="AA1352">
            <v>0</v>
          </cell>
          <cell r="AB1352" t="str">
            <v/>
          </cell>
          <cell r="AC1352" t="str">
            <v/>
          </cell>
          <cell r="AD1352" t="str">
            <v/>
          </cell>
          <cell r="AE1352" t="str">
            <v/>
          </cell>
        </row>
        <row r="1353">
          <cell r="R1353" t="str">
            <v>INT MOZ</v>
          </cell>
          <cell r="S1353" t="e">
            <v>#N/A</v>
          </cell>
          <cell r="T1353" t="e">
            <v>#N/A</v>
          </cell>
          <cell r="U1353" t="e">
            <v>#N/A</v>
          </cell>
          <cell r="V1353" t="e">
            <v>#N/A</v>
          </cell>
          <cell r="W1353" t="e">
            <v>#N/A</v>
          </cell>
          <cell r="AA1353">
            <v>0</v>
          </cell>
          <cell r="AB1353" t="str">
            <v/>
          </cell>
          <cell r="AC1353" t="str">
            <v/>
          </cell>
          <cell r="AD1353" t="str">
            <v/>
          </cell>
          <cell r="AE1353" t="str">
            <v/>
          </cell>
        </row>
        <row r="1354">
          <cell r="R1354" t="str">
            <v>INT BUR BURMO</v>
          </cell>
          <cell r="S1354" t="e">
            <v>#N/A</v>
          </cell>
          <cell r="T1354" t="e">
            <v>#N/A</v>
          </cell>
          <cell r="U1354" t="e">
            <v>#N/A</v>
          </cell>
          <cell r="V1354" t="e">
            <v>#N/A</v>
          </cell>
          <cell r="W1354" t="e">
            <v>#N/A</v>
          </cell>
          <cell r="AA1354">
            <v>0</v>
          </cell>
          <cell r="AB1354" t="str">
            <v/>
          </cell>
          <cell r="AC1354" t="str">
            <v/>
          </cell>
          <cell r="AD1354" t="str">
            <v/>
          </cell>
          <cell r="AE1354" t="str">
            <v/>
          </cell>
        </row>
        <row r="1355">
          <cell r="R1355" t="str">
            <v>INT BUR</v>
          </cell>
          <cell r="S1355" t="e">
            <v>#N/A</v>
          </cell>
          <cell r="T1355" t="e">
            <v>#N/A</v>
          </cell>
          <cell r="U1355" t="e">
            <v>#N/A</v>
          </cell>
          <cell r="V1355" t="e">
            <v>#N/A</v>
          </cell>
          <cell r="W1355" t="e">
            <v>#N/A</v>
          </cell>
          <cell r="AA1355">
            <v>0</v>
          </cell>
          <cell r="AB1355" t="str">
            <v/>
          </cell>
          <cell r="AC1355" t="str">
            <v/>
          </cell>
          <cell r="AD1355" t="str">
            <v/>
          </cell>
          <cell r="AE1355" t="str">
            <v/>
          </cell>
        </row>
        <row r="1356">
          <cell r="R1356" t="str">
            <v>INT NAM NAMMO</v>
          </cell>
          <cell r="S1356" t="e">
            <v>#N/A</v>
          </cell>
          <cell r="T1356" t="e">
            <v>#N/A</v>
          </cell>
          <cell r="U1356" t="e">
            <v>#N/A</v>
          </cell>
          <cell r="V1356" t="e">
            <v>#N/A</v>
          </cell>
          <cell r="W1356" t="e">
            <v>#N/A</v>
          </cell>
          <cell r="AA1356">
            <v>0</v>
          </cell>
          <cell r="AB1356" t="str">
            <v/>
          </cell>
          <cell r="AC1356" t="str">
            <v/>
          </cell>
          <cell r="AD1356" t="str">
            <v/>
          </cell>
          <cell r="AE1356" t="str">
            <v/>
          </cell>
        </row>
        <row r="1357">
          <cell r="R1357" t="str">
            <v>INT NAM</v>
          </cell>
          <cell r="S1357" t="e">
            <v>#N/A</v>
          </cell>
          <cell r="T1357" t="e">
            <v>#N/A</v>
          </cell>
          <cell r="U1357" t="e">
            <v>#N/A</v>
          </cell>
          <cell r="V1357" t="e">
            <v>#N/A</v>
          </cell>
          <cell r="W1357" t="e">
            <v>#N/A</v>
          </cell>
          <cell r="AA1357">
            <v>0</v>
          </cell>
          <cell r="AB1357" t="str">
            <v/>
          </cell>
          <cell r="AC1357" t="str">
            <v/>
          </cell>
          <cell r="AD1357" t="str">
            <v/>
          </cell>
          <cell r="AE1357" t="str">
            <v/>
          </cell>
        </row>
        <row r="1358">
          <cell r="R1358" t="str">
            <v>INT NRU</v>
          </cell>
          <cell r="S1358" t="e">
            <v>#N/A</v>
          </cell>
          <cell r="T1358" t="e">
            <v>#N/A</v>
          </cell>
          <cell r="U1358" t="e">
            <v>#N/A</v>
          </cell>
          <cell r="V1358" t="e">
            <v>#N/A</v>
          </cell>
          <cell r="W1358" t="e">
            <v>#N/A</v>
          </cell>
          <cell r="AA1358">
            <v>0</v>
          </cell>
          <cell r="AB1358" t="str">
            <v/>
          </cell>
          <cell r="AC1358" t="str">
            <v/>
          </cell>
          <cell r="AD1358" t="str">
            <v/>
          </cell>
          <cell r="AE1358" t="str">
            <v/>
          </cell>
        </row>
        <row r="1359">
          <cell r="R1359" t="str">
            <v>INT NPL NPLMO</v>
          </cell>
          <cell r="S1359" t="e">
            <v>#N/A</v>
          </cell>
          <cell r="T1359" t="e">
            <v>#N/A</v>
          </cell>
          <cell r="U1359" t="e">
            <v>#N/A</v>
          </cell>
          <cell r="V1359" t="e">
            <v>#N/A</v>
          </cell>
          <cell r="W1359" t="e">
            <v>#N/A</v>
          </cell>
          <cell r="AA1359">
            <v>0</v>
          </cell>
          <cell r="AB1359" t="str">
            <v/>
          </cell>
          <cell r="AC1359" t="str">
            <v/>
          </cell>
          <cell r="AD1359" t="str">
            <v/>
          </cell>
          <cell r="AE1359" t="str">
            <v/>
          </cell>
        </row>
        <row r="1360">
          <cell r="R1360" t="str">
            <v>INT NPL</v>
          </cell>
          <cell r="S1360" t="e">
            <v>#N/A</v>
          </cell>
          <cell r="T1360" t="e">
            <v>#N/A</v>
          </cell>
          <cell r="U1360" t="e">
            <v>#N/A</v>
          </cell>
          <cell r="V1360" t="e">
            <v>#N/A</v>
          </cell>
          <cell r="W1360" t="e">
            <v>#N/A</v>
          </cell>
          <cell r="AA1360">
            <v>0</v>
          </cell>
          <cell r="AB1360" t="str">
            <v/>
          </cell>
          <cell r="AC1360" t="str">
            <v/>
          </cell>
          <cell r="AD1360" t="str">
            <v/>
          </cell>
          <cell r="AE1360" t="str">
            <v/>
          </cell>
        </row>
        <row r="1361">
          <cell r="R1361" t="str">
            <v>INT NDL NLMOB</v>
          </cell>
          <cell r="S1361" t="e">
            <v>#N/A</v>
          </cell>
          <cell r="T1361" t="e">
            <v>#N/A</v>
          </cell>
          <cell r="U1361" t="e">
            <v>#N/A</v>
          </cell>
          <cell r="V1361" t="e">
            <v>#N/A</v>
          </cell>
          <cell r="W1361" t="e">
            <v>#N/A</v>
          </cell>
          <cell r="AA1361">
            <v>0</v>
          </cell>
          <cell r="AB1361" t="str">
            <v/>
          </cell>
          <cell r="AC1361" t="str">
            <v/>
          </cell>
          <cell r="AD1361" t="str">
            <v/>
          </cell>
          <cell r="AE1361" t="str">
            <v/>
          </cell>
        </row>
        <row r="1362">
          <cell r="R1362" t="str">
            <v>INT NDL</v>
          </cell>
          <cell r="S1362" t="e">
            <v>#N/A</v>
          </cell>
          <cell r="T1362" t="e">
            <v>#N/A</v>
          </cell>
          <cell r="U1362" t="e">
            <v>#N/A</v>
          </cell>
          <cell r="V1362" t="e">
            <v>#N/A</v>
          </cell>
          <cell r="W1362" t="e">
            <v>#N/A</v>
          </cell>
          <cell r="AA1362">
            <v>0</v>
          </cell>
          <cell r="AB1362" t="str">
            <v/>
          </cell>
          <cell r="AC1362" t="str">
            <v/>
          </cell>
          <cell r="AD1362" t="str">
            <v/>
          </cell>
          <cell r="AE1362" t="str">
            <v/>
          </cell>
        </row>
        <row r="1363">
          <cell r="R1363" t="str">
            <v>INT NDL NDR</v>
          </cell>
          <cell r="S1363" t="e">
            <v>#N/A</v>
          </cell>
          <cell r="T1363" t="e">
            <v>#N/A</v>
          </cell>
          <cell r="U1363" t="e">
            <v>#N/A</v>
          </cell>
          <cell r="V1363" t="e">
            <v>#N/A</v>
          </cell>
          <cell r="W1363" t="e">
            <v>#N/A</v>
          </cell>
          <cell r="AA1363">
            <v>0</v>
          </cell>
          <cell r="AB1363" t="str">
            <v/>
          </cell>
          <cell r="AC1363" t="str">
            <v/>
          </cell>
          <cell r="AD1363" t="str">
            <v/>
          </cell>
          <cell r="AE1363" t="str">
            <v/>
          </cell>
        </row>
        <row r="1364">
          <cell r="R1364" t="str">
            <v>INT NDL NDG</v>
          </cell>
          <cell r="S1364" t="e">
            <v>#N/A</v>
          </cell>
          <cell r="T1364" t="e">
            <v>#N/A</v>
          </cell>
          <cell r="U1364" t="e">
            <v>#N/A</v>
          </cell>
          <cell r="V1364" t="e">
            <v>#N/A</v>
          </cell>
          <cell r="W1364" t="e">
            <v>#N/A</v>
          </cell>
          <cell r="AA1364">
            <v>0</v>
          </cell>
          <cell r="AB1364" t="str">
            <v/>
          </cell>
          <cell r="AC1364" t="str">
            <v/>
          </cell>
          <cell r="AD1364" t="str">
            <v/>
          </cell>
          <cell r="AE1364" t="str">
            <v/>
          </cell>
        </row>
        <row r="1365">
          <cell r="R1365" t="str">
            <v>INT NDL NDFRE</v>
          </cell>
          <cell r="S1365" t="e">
            <v>#N/A</v>
          </cell>
          <cell r="T1365" t="e">
            <v>#N/A</v>
          </cell>
          <cell r="U1365" t="e">
            <v>#N/A</v>
          </cell>
          <cell r="V1365" t="e">
            <v>#N/A</v>
          </cell>
          <cell r="W1365" t="e">
            <v>#N/A</v>
          </cell>
          <cell r="AA1365">
            <v>0</v>
          </cell>
          <cell r="AB1365" t="str">
            <v/>
          </cell>
          <cell r="AC1365" t="str">
            <v/>
          </cell>
          <cell r="AD1365" t="str">
            <v/>
          </cell>
          <cell r="AE1365" t="str">
            <v/>
          </cell>
        </row>
        <row r="1366">
          <cell r="R1366" t="str">
            <v>INT NCL</v>
          </cell>
          <cell r="S1366" t="e">
            <v>#N/A</v>
          </cell>
          <cell r="T1366" t="e">
            <v>#N/A</v>
          </cell>
          <cell r="U1366" t="e">
            <v>#N/A</v>
          </cell>
          <cell r="V1366" t="e">
            <v>#N/A</v>
          </cell>
          <cell r="W1366" t="e">
            <v>#N/A</v>
          </cell>
          <cell r="AA1366">
            <v>0</v>
          </cell>
          <cell r="AB1366" t="str">
            <v/>
          </cell>
          <cell r="AC1366" t="str">
            <v/>
          </cell>
          <cell r="AD1366" t="str">
            <v/>
          </cell>
          <cell r="AE1366" t="str">
            <v/>
          </cell>
        </row>
        <row r="1367">
          <cell r="R1367" t="str">
            <v>INT NZL NZLMO</v>
          </cell>
          <cell r="S1367" t="e">
            <v>#N/A</v>
          </cell>
          <cell r="T1367" t="e">
            <v>#N/A</v>
          </cell>
          <cell r="U1367" t="e">
            <v>#N/A</v>
          </cell>
          <cell r="V1367" t="e">
            <v>#N/A</v>
          </cell>
          <cell r="W1367" t="e">
            <v>#N/A</v>
          </cell>
          <cell r="AA1367">
            <v>0</v>
          </cell>
          <cell r="AB1367" t="str">
            <v/>
          </cell>
          <cell r="AC1367" t="str">
            <v/>
          </cell>
          <cell r="AD1367" t="str">
            <v/>
          </cell>
          <cell r="AE1367" t="str">
            <v/>
          </cell>
        </row>
        <row r="1368">
          <cell r="R1368" t="str">
            <v>INT NZL</v>
          </cell>
          <cell r="S1368" t="e">
            <v>#N/A</v>
          </cell>
          <cell r="T1368" t="e">
            <v>#N/A</v>
          </cell>
          <cell r="U1368" t="e">
            <v>#N/A</v>
          </cell>
          <cell r="V1368" t="e">
            <v>#N/A</v>
          </cell>
          <cell r="W1368" t="e">
            <v>#N/A</v>
          </cell>
          <cell r="AA1368">
            <v>0</v>
          </cell>
          <cell r="AB1368" t="str">
            <v/>
          </cell>
          <cell r="AC1368" t="str">
            <v/>
          </cell>
          <cell r="AD1368" t="str">
            <v/>
          </cell>
          <cell r="AE1368" t="str">
            <v/>
          </cell>
        </row>
        <row r="1369">
          <cell r="R1369" t="str">
            <v>INT NIC NICMO</v>
          </cell>
          <cell r="S1369" t="e">
            <v>#N/A</v>
          </cell>
          <cell r="T1369" t="e">
            <v>#N/A</v>
          </cell>
          <cell r="U1369" t="e">
            <v>#N/A</v>
          </cell>
          <cell r="V1369" t="e">
            <v>#N/A</v>
          </cell>
          <cell r="W1369" t="e">
            <v>#N/A</v>
          </cell>
          <cell r="AA1369">
            <v>0</v>
          </cell>
          <cell r="AB1369" t="str">
            <v/>
          </cell>
          <cell r="AC1369" t="str">
            <v/>
          </cell>
          <cell r="AD1369" t="str">
            <v/>
          </cell>
          <cell r="AE1369" t="str">
            <v/>
          </cell>
        </row>
        <row r="1370">
          <cell r="R1370" t="str">
            <v>INT NIC</v>
          </cell>
          <cell r="S1370" t="e">
            <v>#N/A</v>
          </cell>
          <cell r="T1370" t="e">
            <v>#N/A</v>
          </cell>
          <cell r="U1370" t="e">
            <v>#N/A</v>
          </cell>
          <cell r="V1370" t="e">
            <v>#N/A</v>
          </cell>
          <cell r="W1370" t="e">
            <v>#N/A</v>
          </cell>
          <cell r="AA1370">
            <v>0</v>
          </cell>
          <cell r="AB1370" t="str">
            <v/>
          </cell>
          <cell r="AC1370" t="str">
            <v/>
          </cell>
          <cell r="AD1370" t="str">
            <v/>
          </cell>
          <cell r="AE1370" t="str">
            <v/>
          </cell>
        </row>
        <row r="1371">
          <cell r="R1371" t="str">
            <v>INT NER NERMO</v>
          </cell>
          <cell r="S1371" t="e">
            <v>#N/A</v>
          </cell>
          <cell r="T1371" t="e">
            <v>#N/A</v>
          </cell>
          <cell r="U1371" t="e">
            <v>#N/A</v>
          </cell>
          <cell r="V1371" t="e">
            <v>#N/A</v>
          </cell>
          <cell r="W1371" t="e">
            <v>#N/A</v>
          </cell>
          <cell r="AA1371">
            <v>0</v>
          </cell>
          <cell r="AB1371" t="str">
            <v/>
          </cell>
          <cell r="AC1371" t="str">
            <v/>
          </cell>
          <cell r="AD1371" t="str">
            <v/>
          </cell>
          <cell r="AE1371" t="str">
            <v/>
          </cell>
        </row>
        <row r="1372">
          <cell r="R1372" t="str">
            <v>INT NER</v>
          </cell>
          <cell r="S1372" t="e">
            <v>#N/A</v>
          </cell>
          <cell r="T1372" t="e">
            <v>#N/A</v>
          </cell>
          <cell r="U1372" t="e">
            <v>#N/A</v>
          </cell>
          <cell r="V1372" t="e">
            <v>#N/A</v>
          </cell>
          <cell r="W1372" t="e">
            <v>#N/A</v>
          </cell>
          <cell r="AA1372">
            <v>0</v>
          </cell>
          <cell r="AB1372" t="str">
            <v/>
          </cell>
          <cell r="AC1372" t="str">
            <v/>
          </cell>
          <cell r="AD1372" t="str">
            <v/>
          </cell>
          <cell r="AE1372" t="str">
            <v/>
          </cell>
        </row>
        <row r="1373">
          <cell r="R1373" t="str">
            <v>INT NGA NGAMO</v>
          </cell>
          <cell r="S1373" t="e">
            <v>#N/A</v>
          </cell>
          <cell r="T1373" t="e">
            <v>#N/A</v>
          </cell>
          <cell r="U1373" t="e">
            <v>#N/A</v>
          </cell>
          <cell r="V1373" t="e">
            <v>#N/A</v>
          </cell>
          <cell r="W1373" t="e">
            <v>#N/A</v>
          </cell>
          <cell r="AA1373">
            <v>0</v>
          </cell>
          <cell r="AB1373" t="str">
            <v/>
          </cell>
          <cell r="AC1373" t="str">
            <v/>
          </cell>
          <cell r="AD1373" t="str">
            <v/>
          </cell>
          <cell r="AE1373" t="str">
            <v/>
          </cell>
        </row>
        <row r="1374">
          <cell r="R1374" t="str">
            <v>INT NGA</v>
          </cell>
          <cell r="S1374" t="e">
            <v>#N/A</v>
          </cell>
          <cell r="T1374" t="e">
            <v>#N/A</v>
          </cell>
          <cell r="U1374" t="e">
            <v>#N/A</v>
          </cell>
          <cell r="V1374" t="e">
            <v>#N/A</v>
          </cell>
          <cell r="W1374" t="e">
            <v>#N/A</v>
          </cell>
          <cell r="AA1374">
            <v>0</v>
          </cell>
          <cell r="AB1374" t="str">
            <v/>
          </cell>
          <cell r="AC1374" t="str">
            <v/>
          </cell>
          <cell r="AD1374" t="str">
            <v/>
          </cell>
          <cell r="AE1374" t="str">
            <v/>
          </cell>
        </row>
        <row r="1375">
          <cell r="R1375" t="str">
            <v>INT NIU NIUMO</v>
          </cell>
          <cell r="S1375" t="e">
            <v>#N/A</v>
          </cell>
          <cell r="T1375" t="e">
            <v>#N/A</v>
          </cell>
          <cell r="U1375" t="e">
            <v>#N/A</v>
          </cell>
          <cell r="V1375" t="e">
            <v>#N/A</v>
          </cell>
          <cell r="W1375" t="e">
            <v>#N/A</v>
          </cell>
          <cell r="AA1375">
            <v>0</v>
          </cell>
          <cell r="AB1375" t="str">
            <v/>
          </cell>
          <cell r="AC1375" t="str">
            <v/>
          </cell>
          <cell r="AD1375" t="str">
            <v/>
          </cell>
          <cell r="AE1375" t="str">
            <v/>
          </cell>
        </row>
        <row r="1376">
          <cell r="R1376" t="str">
            <v>INT NIU</v>
          </cell>
          <cell r="S1376" t="e">
            <v>#N/A</v>
          </cell>
          <cell r="T1376" t="e">
            <v>#N/A</v>
          </cell>
          <cell r="U1376" t="e">
            <v>#N/A</v>
          </cell>
          <cell r="V1376" t="e">
            <v>#N/A</v>
          </cell>
          <cell r="W1376" t="e">
            <v>#N/A</v>
          </cell>
          <cell r="AA1376">
            <v>0</v>
          </cell>
          <cell r="AB1376" t="str">
            <v/>
          </cell>
          <cell r="AC1376" t="str">
            <v/>
          </cell>
          <cell r="AD1376" t="str">
            <v/>
          </cell>
          <cell r="AE1376" t="str">
            <v/>
          </cell>
        </row>
        <row r="1377">
          <cell r="R1377" t="str">
            <v>INT ATA NFK</v>
          </cell>
          <cell r="S1377" t="e">
            <v>#N/A</v>
          </cell>
          <cell r="T1377" t="e">
            <v>#N/A</v>
          </cell>
          <cell r="U1377" t="e">
            <v>#N/A</v>
          </cell>
          <cell r="V1377" t="e">
            <v>#N/A</v>
          </cell>
          <cell r="W1377" t="e">
            <v>#N/A</v>
          </cell>
          <cell r="AA1377">
            <v>0</v>
          </cell>
          <cell r="AB1377" t="str">
            <v/>
          </cell>
          <cell r="AC1377" t="str">
            <v/>
          </cell>
          <cell r="AD1377" t="str">
            <v/>
          </cell>
          <cell r="AE1377" t="str">
            <v/>
          </cell>
        </row>
        <row r="1378">
          <cell r="R1378" t="str">
            <v>INT MNP</v>
          </cell>
          <cell r="S1378" t="e">
            <v>#N/A</v>
          </cell>
          <cell r="T1378" t="e">
            <v>#N/A</v>
          </cell>
          <cell r="U1378" t="e">
            <v>#N/A</v>
          </cell>
          <cell r="V1378" t="e">
            <v>#N/A</v>
          </cell>
          <cell r="W1378" t="e">
            <v>#N/A</v>
          </cell>
          <cell r="AA1378">
            <v>0</v>
          </cell>
          <cell r="AB1378" t="str">
            <v/>
          </cell>
          <cell r="AC1378" t="str">
            <v/>
          </cell>
          <cell r="AD1378" t="str">
            <v/>
          </cell>
          <cell r="AE1378" t="str">
            <v/>
          </cell>
        </row>
        <row r="1379">
          <cell r="R1379" t="str">
            <v>INT NOR NORMO</v>
          </cell>
          <cell r="S1379" t="e">
            <v>#N/A</v>
          </cell>
          <cell r="T1379" t="e">
            <v>#N/A</v>
          </cell>
          <cell r="U1379" t="e">
            <v>#N/A</v>
          </cell>
          <cell r="V1379" t="e">
            <v>#N/A</v>
          </cell>
          <cell r="W1379" t="e">
            <v>#N/A</v>
          </cell>
          <cell r="AA1379">
            <v>0</v>
          </cell>
          <cell r="AB1379" t="str">
            <v/>
          </cell>
          <cell r="AC1379" t="str">
            <v/>
          </cell>
          <cell r="AD1379" t="str">
            <v/>
          </cell>
          <cell r="AE1379" t="str">
            <v/>
          </cell>
        </row>
        <row r="1380">
          <cell r="R1380" t="str">
            <v>INT NOR</v>
          </cell>
          <cell r="S1380" t="e">
            <v>#N/A</v>
          </cell>
          <cell r="T1380" t="e">
            <v>#N/A</v>
          </cell>
          <cell r="U1380" t="e">
            <v>#N/A</v>
          </cell>
          <cell r="V1380" t="e">
            <v>#N/A</v>
          </cell>
          <cell r="W1380" t="e">
            <v>#N/A</v>
          </cell>
          <cell r="AA1380">
            <v>0</v>
          </cell>
          <cell r="AB1380" t="str">
            <v/>
          </cell>
          <cell r="AC1380" t="str">
            <v/>
          </cell>
          <cell r="AD1380" t="str">
            <v/>
          </cell>
          <cell r="AE1380" t="str">
            <v/>
          </cell>
        </row>
        <row r="1381">
          <cell r="R1381" t="str">
            <v>INT NOR NOR3E</v>
          </cell>
          <cell r="S1381" t="e">
            <v>#N/A</v>
          </cell>
          <cell r="T1381" t="e">
            <v>#N/A</v>
          </cell>
          <cell r="U1381" t="e">
            <v>#N/A</v>
          </cell>
          <cell r="V1381" t="e">
            <v>#N/A</v>
          </cell>
          <cell r="W1381" t="e">
            <v>#N/A</v>
          </cell>
          <cell r="AA1381">
            <v>0</v>
          </cell>
          <cell r="AB1381" t="str">
            <v/>
          </cell>
          <cell r="AC1381" t="str">
            <v/>
          </cell>
          <cell r="AD1381" t="str">
            <v/>
          </cell>
          <cell r="AE1381" t="str">
            <v/>
          </cell>
        </row>
        <row r="1382">
          <cell r="R1382" t="str">
            <v>INT NOR NORT2</v>
          </cell>
          <cell r="S1382" t="e">
            <v>#N/A</v>
          </cell>
          <cell r="T1382" t="e">
            <v>#N/A</v>
          </cell>
          <cell r="U1382" t="e">
            <v>#N/A</v>
          </cell>
          <cell r="V1382" t="e">
            <v>#N/A</v>
          </cell>
          <cell r="W1382" t="e">
            <v>#N/A</v>
          </cell>
          <cell r="AA1382">
            <v>0</v>
          </cell>
          <cell r="AB1382" t="str">
            <v/>
          </cell>
          <cell r="AC1382" t="str">
            <v/>
          </cell>
          <cell r="AD1382" t="str">
            <v/>
          </cell>
          <cell r="AE1382" t="str">
            <v/>
          </cell>
        </row>
        <row r="1383">
          <cell r="R1383" t="str">
            <v>INT NOR NORTF</v>
          </cell>
          <cell r="S1383" t="e">
            <v>#N/A</v>
          </cell>
          <cell r="T1383" t="e">
            <v>#N/A</v>
          </cell>
          <cell r="U1383" t="e">
            <v>#N/A</v>
          </cell>
          <cell r="V1383" t="e">
            <v>#N/A</v>
          </cell>
          <cell r="W1383" t="e">
            <v>#N/A</v>
          </cell>
          <cell r="AA1383">
            <v>0</v>
          </cell>
          <cell r="AB1383" t="str">
            <v/>
          </cell>
          <cell r="AC1383" t="str">
            <v/>
          </cell>
          <cell r="AD1383" t="str">
            <v/>
          </cell>
          <cell r="AE1383" t="str">
            <v/>
          </cell>
        </row>
        <row r="1384">
          <cell r="R1384" t="str">
            <v>INT OMN</v>
          </cell>
          <cell r="S1384" t="e">
            <v>#N/A</v>
          </cell>
          <cell r="T1384" t="e">
            <v>#N/A</v>
          </cell>
          <cell r="U1384" t="e">
            <v>#N/A</v>
          </cell>
          <cell r="V1384" t="e">
            <v>#N/A</v>
          </cell>
          <cell r="W1384" t="e">
            <v>#N/A</v>
          </cell>
          <cell r="AA1384">
            <v>0</v>
          </cell>
          <cell r="AB1384" t="str">
            <v/>
          </cell>
          <cell r="AC1384" t="str">
            <v/>
          </cell>
          <cell r="AD1384" t="str">
            <v/>
          </cell>
          <cell r="AE1384" t="str">
            <v/>
          </cell>
        </row>
        <row r="1385">
          <cell r="R1385" t="str">
            <v>INT PAK PAKMO</v>
          </cell>
          <cell r="S1385" t="e">
            <v>#N/A</v>
          </cell>
          <cell r="T1385" t="e">
            <v>#N/A</v>
          </cell>
          <cell r="U1385" t="e">
            <v>#N/A</v>
          </cell>
          <cell r="V1385" t="e">
            <v>#N/A</v>
          </cell>
          <cell r="W1385" t="e">
            <v>#N/A</v>
          </cell>
          <cell r="AA1385">
            <v>0</v>
          </cell>
          <cell r="AB1385" t="str">
            <v/>
          </cell>
          <cell r="AC1385" t="str">
            <v/>
          </cell>
          <cell r="AD1385" t="str">
            <v/>
          </cell>
          <cell r="AE1385" t="str">
            <v/>
          </cell>
        </row>
        <row r="1386">
          <cell r="R1386" t="str">
            <v>INT PAK</v>
          </cell>
          <cell r="S1386" t="e">
            <v>#N/A</v>
          </cell>
          <cell r="T1386" t="e">
            <v>#N/A</v>
          </cell>
          <cell r="U1386" t="e">
            <v>#N/A</v>
          </cell>
          <cell r="V1386" t="e">
            <v>#N/A</v>
          </cell>
          <cell r="W1386" t="e">
            <v>#N/A</v>
          </cell>
          <cell r="AA1386">
            <v>0</v>
          </cell>
          <cell r="AB1386" t="str">
            <v/>
          </cell>
          <cell r="AC1386" t="str">
            <v/>
          </cell>
          <cell r="AD1386" t="str">
            <v/>
          </cell>
          <cell r="AE1386" t="str">
            <v/>
          </cell>
        </row>
        <row r="1387">
          <cell r="R1387" t="str">
            <v>INT PLW</v>
          </cell>
          <cell r="S1387" t="e">
            <v>#N/A</v>
          </cell>
          <cell r="T1387" t="e">
            <v>#N/A</v>
          </cell>
          <cell r="U1387" t="e">
            <v>#N/A</v>
          </cell>
          <cell r="V1387" t="e">
            <v>#N/A</v>
          </cell>
          <cell r="W1387" t="e">
            <v>#N/A</v>
          </cell>
          <cell r="AA1387">
            <v>0</v>
          </cell>
          <cell r="AB1387" t="str">
            <v/>
          </cell>
          <cell r="AC1387" t="str">
            <v/>
          </cell>
          <cell r="AD1387" t="str">
            <v/>
          </cell>
          <cell r="AE1387" t="str">
            <v/>
          </cell>
        </row>
        <row r="1388">
          <cell r="R1388" t="str">
            <v>INT PAL</v>
          </cell>
          <cell r="S1388" t="e">
            <v>#N/A</v>
          </cell>
          <cell r="T1388" t="e">
            <v>#N/A</v>
          </cell>
          <cell r="U1388" t="e">
            <v>#N/A</v>
          </cell>
          <cell r="V1388" t="e">
            <v>#N/A</v>
          </cell>
          <cell r="W1388" t="e">
            <v>#N/A</v>
          </cell>
          <cell r="AA1388">
            <v>0</v>
          </cell>
          <cell r="AB1388" t="str">
            <v/>
          </cell>
          <cell r="AC1388" t="str">
            <v/>
          </cell>
          <cell r="AD1388" t="str">
            <v/>
          </cell>
          <cell r="AE1388" t="str">
            <v/>
          </cell>
        </row>
        <row r="1389">
          <cell r="R1389" t="str">
            <v>INT PAN PANMO</v>
          </cell>
          <cell r="S1389" t="e">
            <v>#N/A</v>
          </cell>
          <cell r="T1389" t="e">
            <v>#N/A</v>
          </cell>
          <cell r="U1389" t="e">
            <v>#N/A</v>
          </cell>
          <cell r="V1389" t="e">
            <v>#N/A</v>
          </cell>
          <cell r="W1389" t="e">
            <v>#N/A</v>
          </cell>
          <cell r="AA1389">
            <v>0</v>
          </cell>
          <cell r="AB1389" t="str">
            <v/>
          </cell>
          <cell r="AC1389" t="str">
            <v/>
          </cell>
          <cell r="AD1389" t="str">
            <v/>
          </cell>
          <cell r="AE1389" t="str">
            <v/>
          </cell>
        </row>
        <row r="1390">
          <cell r="R1390" t="str">
            <v>INT PAN</v>
          </cell>
          <cell r="S1390" t="e">
            <v>#N/A</v>
          </cell>
          <cell r="T1390" t="e">
            <v>#N/A</v>
          </cell>
          <cell r="U1390" t="e">
            <v>#N/A</v>
          </cell>
          <cell r="V1390" t="e">
            <v>#N/A</v>
          </cell>
          <cell r="W1390" t="e">
            <v>#N/A</v>
          </cell>
          <cell r="AA1390">
            <v>0</v>
          </cell>
          <cell r="AB1390" t="str">
            <v/>
          </cell>
          <cell r="AC1390" t="str">
            <v/>
          </cell>
          <cell r="AD1390" t="str">
            <v/>
          </cell>
          <cell r="AE1390" t="str">
            <v/>
          </cell>
        </row>
        <row r="1391">
          <cell r="R1391" t="str">
            <v>INT PNG PNGMO</v>
          </cell>
          <cell r="S1391" t="e">
            <v>#N/A</v>
          </cell>
          <cell r="T1391" t="e">
            <v>#N/A</v>
          </cell>
          <cell r="U1391" t="e">
            <v>#N/A</v>
          </cell>
          <cell r="V1391" t="e">
            <v>#N/A</v>
          </cell>
          <cell r="W1391" t="e">
            <v>#N/A</v>
          </cell>
          <cell r="AA1391">
            <v>0</v>
          </cell>
          <cell r="AB1391" t="str">
            <v/>
          </cell>
          <cell r="AC1391" t="str">
            <v/>
          </cell>
          <cell r="AD1391" t="str">
            <v/>
          </cell>
          <cell r="AE1391" t="str">
            <v/>
          </cell>
        </row>
        <row r="1392">
          <cell r="R1392" t="str">
            <v>INT PNG</v>
          </cell>
          <cell r="S1392" t="e">
            <v>#N/A</v>
          </cell>
          <cell r="T1392" t="e">
            <v>#N/A</v>
          </cell>
          <cell r="U1392" t="e">
            <v>#N/A</v>
          </cell>
          <cell r="V1392" t="e">
            <v>#N/A</v>
          </cell>
          <cell r="W1392" t="e">
            <v>#N/A</v>
          </cell>
          <cell r="AA1392">
            <v>0</v>
          </cell>
          <cell r="AB1392" t="str">
            <v/>
          </cell>
          <cell r="AC1392" t="str">
            <v/>
          </cell>
          <cell r="AD1392" t="str">
            <v/>
          </cell>
          <cell r="AE1392" t="str">
            <v/>
          </cell>
        </row>
        <row r="1393">
          <cell r="R1393" t="str">
            <v>INT PRY PRYMO</v>
          </cell>
          <cell r="S1393" t="e">
            <v>#N/A</v>
          </cell>
          <cell r="T1393" t="e">
            <v>#N/A</v>
          </cell>
          <cell r="U1393" t="e">
            <v>#N/A</v>
          </cell>
          <cell r="V1393" t="e">
            <v>#N/A</v>
          </cell>
          <cell r="W1393" t="e">
            <v>#N/A</v>
          </cell>
          <cell r="AA1393">
            <v>0</v>
          </cell>
          <cell r="AB1393" t="str">
            <v/>
          </cell>
          <cell r="AC1393" t="str">
            <v/>
          </cell>
          <cell r="AD1393" t="str">
            <v/>
          </cell>
          <cell r="AE1393" t="str">
            <v/>
          </cell>
        </row>
        <row r="1394">
          <cell r="R1394" t="str">
            <v>INT PRY</v>
          </cell>
          <cell r="S1394" t="e">
            <v>#N/A</v>
          </cell>
          <cell r="T1394" t="e">
            <v>#N/A</v>
          </cell>
          <cell r="U1394" t="e">
            <v>#N/A</v>
          </cell>
          <cell r="V1394" t="e">
            <v>#N/A</v>
          </cell>
          <cell r="W1394" t="e">
            <v>#N/A</v>
          </cell>
          <cell r="AA1394">
            <v>0</v>
          </cell>
          <cell r="AB1394" t="str">
            <v/>
          </cell>
          <cell r="AC1394" t="str">
            <v/>
          </cell>
          <cell r="AD1394" t="str">
            <v/>
          </cell>
          <cell r="AE1394" t="str">
            <v/>
          </cell>
        </row>
        <row r="1395">
          <cell r="R1395" t="str">
            <v>INT PER PERMO</v>
          </cell>
          <cell r="S1395" t="e">
            <v>#N/A</v>
          </cell>
          <cell r="T1395" t="e">
            <v>#N/A</v>
          </cell>
          <cell r="U1395" t="e">
            <v>#N/A</v>
          </cell>
          <cell r="V1395" t="e">
            <v>#N/A</v>
          </cell>
          <cell r="W1395" t="e">
            <v>#N/A</v>
          </cell>
          <cell r="AA1395">
            <v>0</v>
          </cell>
          <cell r="AB1395" t="str">
            <v/>
          </cell>
          <cell r="AC1395" t="str">
            <v/>
          </cell>
          <cell r="AD1395" t="str">
            <v/>
          </cell>
          <cell r="AE1395" t="str">
            <v/>
          </cell>
        </row>
        <row r="1396">
          <cell r="R1396" t="str">
            <v>INT PER</v>
          </cell>
          <cell r="S1396" t="e">
            <v>#N/A</v>
          </cell>
          <cell r="T1396" t="e">
            <v>#N/A</v>
          </cell>
          <cell r="U1396" t="e">
            <v>#N/A</v>
          </cell>
          <cell r="V1396" t="e">
            <v>#N/A</v>
          </cell>
          <cell r="W1396" t="e">
            <v>#N/A</v>
          </cell>
          <cell r="AA1396">
            <v>0</v>
          </cell>
          <cell r="AB1396" t="str">
            <v/>
          </cell>
          <cell r="AC1396" t="str">
            <v/>
          </cell>
          <cell r="AD1396" t="str">
            <v/>
          </cell>
          <cell r="AE1396" t="str">
            <v/>
          </cell>
        </row>
        <row r="1397">
          <cell r="R1397" t="str">
            <v>INT PHL PHLMO</v>
          </cell>
          <cell r="S1397" t="e">
            <v>#N/A</v>
          </cell>
          <cell r="T1397" t="e">
            <v>#N/A</v>
          </cell>
          <cell r="U1397" t="e">
            <v>#N/A</v>
          </cell>
          <cell r="V1397" t="e">
            <v>#N/A</v>
          </cell>
          <cell r="W1397" t="e">
            <v>#N/A</v>
          </cell>
          <cell r="AA1397">
            <v>0</v>
          </cell>
          <cell r="AB1397" t="str">
            <v/>
          </cell>
          <cell r="AC1397" t="str">
            <v/>
          </cell>
          <cell r="AD1397" t="str">
            <v/>
          </cell>
          <cell r="AE1397" t="str">
            <v/>
          </cell>
        </row>
        <row r="1398">
          <cell r="R1398" t="str">
            <v>INT PHL</v>
          </cell>
          <cell r="S1398" t="e">
            <v>#N/A</v>
          </cell>
          <cell r="T1398" t="e">
            <v>#N/A</v>
          </cell>
          <cell r="U1398" t="e">
            <v>#N/A</v>
          </cell>
          <cell r="V1398" t="e">
            <v>#N/A</v>
          </cell>
          <cell r="W1398" t="e">
            <v>#N/A</v>
          </cell>
          <cell r="AA1398">
            <v>0</v>
          </cell>
          <cell r="AB1398" t="str">
            <v/>
          </cell>
          <cell r="AC1398" t="str">
            <v/>
          </cell>
          <cell r="AD1398" t="str">
            <v/>
          </cell>
          <cell r="AE1398" t="str">
            <v/>
          </cell>
        </row>
        <row r="1399">
          <cell r="R1399" t="str">
            <v>INT POL POLMO</v>
          </cell>
          <cell r="S1399" t="e">
            <v>#N/A</v>
          </cell>
          <cell r="T1399" t="e">
            <v>#N/A</v>
          </cell>
          <cell r="U1399" t="e">
            <v>#N/A</v>
          </cell>
          <cell r="V1399" t="e">
            <v>#N/A</v>
          </cell>
          <cell r="W1399" t="e">
            <v>#N/A</v>
          </cell>
          <cell r="AA1399">
            <v>0</v>
          </cell>
          <cell r="AB1399" t="str">
            <v/>
          </cell>
          <cell r="AC1399" t="str">
            <v/>
          </cell>
          <cell r="AD1399" t="str">
            <v/>
          </cell>
          <cell r="AE1399" t="str">
            <v/>
          </cell>
        </row>
        <row r="1400">
          <cell r="R1400" t="str">
            <v>INT POL</v>
          </cell>
          <cell r="S1400" t="e">
            <v>#N/A</v>
          </cell>
          <cell r="T1400" t="e">
            <v>#N/A</v>
          </cell>
          <cell r="U1400" t="e">
            <v>#N/A</v>
          </cell>
          <cell r="V1400" t="e">
            <v>#N/A</v>
          </cell>
          <cell r="W1400" t="e">
            <v>#N/A</v>
          </cell>
          <cell r="AA1400">
            <v>0</v>
          </cell>
          <cell r="AB1400" t="str">
            <v/>
          </cell>
          <cell r="AC1400" t="str">
            <v/>
          </cell>
          <cell r="AD1400" t="str">
            <v/>
          </cell>
          <cell r="AE1400" t="str">
            <v/>
          </cell>
        </row>
        <row r="1401">
          <cell r="R1401" t="str">
            <v>INT PRT PRTMO</v>
          </cell>
          <cell r="S1401" t="e">
            <v>#N/A</v>
          </cell>
          <cell r="T1401" t="e">
            <v>#N/A</v>
          </cell>
          <cell r="U1401" t="e">
            <v>#N/A</v>
          </cell>
          <cell r="V1401" t="e">
            <v>#N/A</v>
          </cell>
          <cell r="W1401" t="e">
            <v>#N/A</v>
          </cell>
          <cell r="AA1401">
            <v>0</v>
          </cell>
          <cell r="AB1401" t="str">
            <v/>
          </cell>
          <cell r="AC1401" t="str">
            <v/>
          </cell>
          <cell r="AD1401" t="str">
            <v/>
          </cell>
          <cell r="AE1401" t="str">
            <v/>
          </cell>
        </row>
        <row r="1402">
          <cell r="R1402" t="str">
            <v>INT PRT</v>
          </cell>
          <cell r="S1402" t="e">
            <v>#N/A</v>
          </cell>
          <cell r="T1402" t="e">
            <v>#N/A</v>
          </cell>
          <cell r="U1402" t="e">
            <v>#N/A</v>
          </cell>
          <cell r="V1402" t="e">
            <v>#N/A</v>
          </cell>
          <cell r="W1402" t="e">
            <v>#N/A</v>
          </cell>
          <cell r="AA1402">
            <v>0</v>
          </cell>
          <cell r="AB1402" t="str">
            <v/>
          </cell>
          <cell r="AC1402" t="str">
            <v/>
          </cell>
          <cell r="AD1402" t="str">
            <v/>
          </cell>
          <cell r="AE1402" t="str">
            <v/>
          </cell>
        </row>
        <row r="1403">
          <cell r="R1403" t="str">
            <v>INT PRT PTFIC</v>
          </cell>
          <cell r="S1403" t="e">
            <v>#N/A</v>
          </cell>
          <cell r="T1403" t="e">
            <v>#N/A</v>
          </cell>
          <cell r="U1403" t="e">
            <v>#N/A</v>
          </cell>
          <cell r="V1403" t="e">
            <v>#N/A</v>
          </cell>
          <cell r="W1403" t="e">
            <v>#N/A</v>
          </cell>
          <cell r="AA1403">
            <v>0</v>
          </cell>
          <cell r="AB1403" t="str">
            <v/>
          </cell>
          <cell r="AC1403" t="str">
            <v/>
          </cell>
          <cell r="AD1403" t="str">
            <v/>
          </cell>
          <cell r="AE1403" t="str">
            <v/>
          </cell>
        </row>
        <row r="1404">
          <cell r="R1404" t="str">
            <v>INT PRT PTSC2</v>
          </cell>
          <cell r="S1404" t="e">
            <v>#N/A</v>
          </cell>
          <cell r="T1404" t="e">
            <v>#N/A</v>
          </cell>
          <cell r="U1404" t="e">
            <v>#N/A</v>
          </cell>
          <cell r="V1404" t="e">
            <v>#N/A</v>
          </cell>
          <cell r="W1404" t="e">
            <v>#N/A</v>
          </cell>
          <cell r="AA1404">
            <v>0</v>
          </cell>
          <cell r="AB1404" t="str">
            <v/>
          </cell>
          <cell r="AC1404" t="str">
            <v/>
          </cell>
          <cell r="AD1404" t="str">
            <v/>
          </cell>
          <cell r="AE1404" t="str">
            <v/>
          </cell>
        </row>
        <row r="1405">
          <cell r="R1405" t="str">
            <v>INT PRT PTSCS</v>
          </cell>
          <cell r="S1405" t="e">
            <v>#N/A</v>
          </cell>
          <cell r="T1405" t="e">
            <v>#N/A</v>
          </cell>
          <cell r="U1405" t="e">
            <v>#N/A</v>
          </cell>
          <cell r="V1405" t="e">
            <v>#N/A</v>
          </cell>
          <cell r="W1405" t="e">
            <v>#N/A</v>
          </cell>
          <cell r="AA1405">
            <v>0</v>
          </cell>
          <cell r="AB1405" t="str">
            <v/>
          </cell>
          <cell r="AC1405" t="str">
            <v/>
          </cell>
          <cell r="AD1405" t="str">
            <v/>
          </cell>
          <cell r="AE1405" t="str">
            <v/>
          </cell>
        </row>
        <row r="1406">
          <cell r="R1406" t="str">
            <v>INT PRI</v>
          </cell>
          <cell r="S1406" t="e">
            <v>#N/A</v>
          </cell>
          <cell r="T1406" t="e">
            <v>#N/A</v>
          </cell>
          <cell r="U1406" t="e">
            <v>#N/A</v>
          </cell>
          <cell r="V1406" t="e">
            <v>#N/A</v>
          </cell>
          <cell r="W1406" t="e">
            <v>#N/A</v>
          </cell>
          <cell r="AA1406">
            <v>0</v>
          </cell>
          <cell r="AB1406" t="str">
            <v/>
          </cell>
          <cell r="AC1406" t="str">
            <v/>
          </cell>
          <cell r="AD1406" t="str">
            <v/>
          </cell>
          <cell r="AE1406" t="str">
            <v/>
          </cell>
        </row>
        <row r="1407">
          <cell r="R1407" t="str">
            <v>INT QAT</v>
          </cell>
          <cell r="S1407" t="e">
            <v>#N/A</v>
          </cell>
          <cell r="T1407" t="e">
            <v>#N/A</v>
          </cell>
          <cell r="U1407" t="e">
            <v>#N/A</v>
          </cell>
          <cell r="V1407" t="e">
            <v>#N/A</v>
          </cell>
          <cell r="W1407" t="e">
            <v>#N/A</v>
          </cell>
          <cell r="AA1407">
            <v>0</v>
          </cell>
          <cell r="AB1407" t="str">
            <v/>
          </cell>
          <cell r="AC1407" t="str">
            <v/>
          </cell>
          <cell r="AD1407" t="str">
            <v/>
          </cell>
          <cell r="AE1407" t="str">
            <v/>
          </cell>
        </row>
        <row r="1408">
          <cell r="R1408" t="str">
            <v>INT REU REUMO</v>
          </cell>
          <cell r="S1408" t="e">
            <v>#N/A</v>
          </cell>
          <cell r="T1408" t="e">
            <v>#N/A</v>
          </cell>
          <cell r="U1408" t="e">
            <v>#N/A</v>
          </cell>
          <cell r="V1408" t="e">
            <v>#N/A</v>
          </cell>
          <cell r="W1408" t="e">
            <v>#N/A</v>
          </cell>
          <cell r="AA1408">
            <v>0</v>
          </cell>
          <cell r="AB1408" t="str">
            <v/>
          </cell>
          <cell r="AC1408" t="str">
            <v/>
          </cell>
          <cell r="AD1408" t="str">
            <v/>
          </cell>
          <cell r="AE1408" t="str">
            <v/>
          </cell>
        </row>
        <row r="1409">
          <cell r="R1409" t="str">
            <v>INT REU</v>
          </cell>
          <cell r="S1409" t="e">
            <v>#N/A</v>
          </cell>
          <cell r="T1409" t="e">
            <v>#N/A</v>
          </cell>
          <cell r="U1409" t="e">
            <v>#N/A</v>
          </cell>
          <cell r="V1409" t="e">
            <v>#N/A</v>
          </cell>
          <cell r="W1409" t="e">
            <v>#N/A</v>
          </cell>
          <cell r="AA1409">
            <v>0</v>
          </cell>
          <cell r="AB1409" t="str">
            <v/>
          </cell>
          <cell r="AC1409" t="str">
            <v/>
          </cell>
          <cell r="AD1409" t="str">
            <v/>
          </cell>
          <cell r="AE1409" t="str">
            <v/>
          </cell>
        </row>
        <row r="1410">
          <cell r="R1410" t="str">
            <v>INT ROM ROMMO</v>
          </cell>
          <cell r="S1410" t="e">
            <v>#N/A</v>
          </cell>
          <cell r="T1410" t="e">
            <v>#N/A</v>
          </cell>
          <cell r="U1410" t="e">
            <v>#N/A</v>
          </cell>
          <cell r="V1410" t="e">
            <v>#N/A</v>
          </cell>
          <cell r="W1410" t="e">
            <v>#N/A</v>
          </cell>
          <cell r="AA1410">
            <v>0</v>
          </cell>
          <cell r="AB1410" t="str">
            <v/>
          </cell>
          <cell r="AC1410" t="str">
            <v/>
          </cell>
          <cell r="AD1410" t="str">
            <v/>
          </cell>
          <cell r="AE1410" t="str">
            <v/>
          </cell>
        </row>
        <row r="1411">
          <cell r="R1411" t="str">
            <v>INT ROM</v>
          </cell>
          <cell r="S1411" t="e">
            <v>#N/A</v>
          </cell>
          <cell r="T1411" t="e">
            <v>#N/A</v>
          </cell>
          <cell r="U1411" t="e">
            <v>#N/A</v>
          </cell>
          <cell r="V1411" t="e">
            <v>#N/A</v>
          </cell>
          <cell r="W1411" t="e">
            <v>#N/A</v>
          </cell>
          <cell r="AA1411">
            <v>0</v>
          </cell>
          <cell r="AB1411" t="str">
            <v/>
          </cell>
          <cell r="AC1411" t="str">
            <v/>
          </cell>
          <cell r="AD1411" t="str">
            <v/>
          </cell>
          <cell r="AE1411" t="str">
            <v/>
          </cell>
        </row>
        <row r="1412">
          <cell r="R1412" t="str">
            <v>INT RUS RUSMO</v>
          </cell>
          <cell r="S1412" t="e">
            <v>#N/A</v>
          </cell>
          <cell r="T1412" t="e">
            <v>#N/A</v>
          </cell>
          <cell r="U1412" t="e">
            <v>#N/A</v>
          </cell>
          <cell r="V1412" t="e">
            <v>#N/A</v>
          </cell>
          <cell r="W1412" t="e">
            <v>#N/A</v>
          </cell>
          <cell r="AA1412">
            <v>0</v>
          </cell>
          <cell r="AB1412" t="str">
            <v/>
          </cell>
          <cell r="AC1412" t="str">
            <v/>
          </cell>
          <cell r="AD1412" t="str">
            <v/>
          </cell>
          <cell r="AE1412" t="str">
            <v/>
          </cell>
        </row>
        <row r="1413">
          <cell r="R1413" t="str">
            <v>INT RUS</v>
          </cell>
          <cell r="S1413" t="e">
            <v>#N/A</v>
          </cell>
          <cell r="T1413" t="e">
            <v>#N/A</v>
          </cell>
          <cell r="U1413" t="e">
            <v>#N/A</v>
          </cell>
          <cell r="V1413" t="e">
            <v>#N/A</v>
          </cell>
          <cell r="W1413" t="e">
            <v>#N/A</v>
          </cell>
          <cell r="AA1413">
            <v>0</v>
          </cell>
          <cell r="AB1413" t="str">
            <v/>
          </cell>
          <cell r="AC1413" t="str">
            <v/>
          </cell>
          <cell r="AD1413" t="str">
            <v/>
          </cell>
          <cell r="AE1413" t="str">
            <v/>
          </cell>
        </row>
        <row r="1414">
          <cell r="R1414" t="str">
            <v>INT RUS RUSKA</v>
          </cell>
          <cell r="S1414" t="e">
            <v>#N/A</v>
          </cell>
          <cell r="T1414" t="e">
            <v>#N/A</v>
          </cell>
          <cell r="U1414" t="e">
            <v>#N/A</v>
          </cell>
          <cell r="V1414" t="e">
            <v>#N/A</v>
          </cell>
          <cell r="W1414" t="e">
            <v>#N/A</v>
          </cell>
          <cell r="AA1414">
            <v>0</v>
          </cell>
          <cell r="AB1414" t="str">
            <v/>
          </cell>
          <cell r="AC1414" t="str">
            <v/>
          </cell>
          <cell r="AD1414" t="str">
            <v/>
          </cell>
          <cell r="AE1414" t="str">
            <v/>
          </cell>
        </row>
        <row r="1415">
          <cell r="R1415" t="str">
            <v>INT RUS MOS</v>
          </cell>
          <cell r="S1415" t="e">
            <v>#N/A</v>
          </cell>
          <cell r="T1415" t="e">
            <v>#N/A</v>
          </cell>
          <cell r="U1415" t="e">
            <v>#N/A</v>
          </cell>
          <cell r="V1415" t="e">
            <v>#N/A</v>
          </cell>
          <cell r="W1415" t="e">
            <v>#N/A</v>
          </cell>
          <cell r="AA1415">
            <v>0</v>
          </cell>
          <cell r="AB1415" t="str">
            <v/>
          </cell>
          <cell r="AC1415" t="str">
            <v/>
          </cell>
          <cell r="AD1415" t="str">
            <v/>
          </cell>
          <cell r="AE1415" t="str">
            <v/>
          </cell>
        </row>
        <row r="1416">
          <cell r="R1416" t="str">
            <v>INT RUS RUSSP</v>
          </cell>
          <cell r="S1416" t="e">
            <v>#N/A</v>
          </cell>
          <cell r="T1416" t="e">
            <v>#N/A</v>
          </cell>
          <cell r="U1416" t="e">
            <v>#N/A</v>
          </cell>
          <cell r="V1416" t="e">
            <v>#N/A</v>
          </cell>
          <cell r="W1416" t="e">
            <v>#N/A</v>
          </cell>
          <cell r="AA1416">
            <v>0</v>
          </cell>
          <cell r="AB1416" t="str">
            <v/>
          </cell>
          <cell r="AC1416" t="str">
            <v/>
          </cell>
          <cell r="AD1416" t="str">
            <v/>
          </cell>
          <cell r="AE1416" t="str">
            <v/>
          </cell>
        </row>
        <row r="1417">
          <cell r="R1417" t="str">
            <v>INT RUS RUVAS</v>
          </cell>
          <cell r="S1417" t="e">
            <v>#N/A</v>
          </cell>
          <cell r="T1417" t="e">
            <v>#N/A</v>
          </cell>
          <cell r="U1417" t="e">
            <v>#N/A</v>
          </cell>
          <cell r="V1417" t="e">
            <v>#N/A</v>
          </cell>
          <cell r="W1417" t="e">
            <v>#N/A</v>
          </cell>
          <cell r="AA1417">
            <v>0</v>
          </cell>
          <cell r="AB1417" t="str">
            <v/>
          </cell>
          <cell r="AC1417" t="str">
            <v/>
          </cell>
          <cell r="AD1417" t="str">
            <v/>
          </cell>
          <cell r="AE1417" t="str">
            <v/>
          </cell>
        </row>
        <row r="1418">
          <cell r="R1418" t="str">
            <v>INT RWA</v>
          </cell>
          <cell r="S1418" t="e">
            <v>#N/A</v>
          </cell>
          <cell r="T1418" t="e">
            <v>#N/A</v>
          </cell>
          <cell r="U1418" t="e">
            <v>#N/A</v>
          </cell>
          <cell r="V1418" t="e">
            <v>#N/A</v>
          </cell>
          <cell r="W1418" t="e">
            <v>#N/A</v>
          </cell>
          <cell r="AA1418">
            <v>0</v>
          </cell>
          <cell r="AB1418" t="str">
            <v/>
          </cell>
          <cell r="AC1418" t="str">
            <v/>
          </cell>
          <cell r="AD1418" t="str">
            <v/>
          </cell>
          <cell r="AE1418" t="str">
            <v/>
          </cell>
        </row>
        <row r="1419">
          <cell r="R1419" t="str">
            <v>INT SXM</v>
          </cell>
          <cell r="S1419" t="e">
            <v>#N/A</v>
          </cell>
          <cell r="T1419" t="e">
            <v>#N/A</v>
          </cell>
          <cell r="U1419" t="e">
            <v>#N/A</v>
          </cell>
          <cell r="V1419" t="e">
            <v>#N/A</v>
          </cell>
          <cell r="W1419" t="e">
            <v>#N/A</v>
          </cell>
          <cell r="AA1419">
            <v>0</v>
          </cell>
          <cell r="AB1419" t="str">
            <v/>
          </cell>
          <cell r="AC1419" t="str">
            <v/>
          </cell>
          <cell r="AD1419" t="str">
            <v/>
          </cell>
          <cell r="AE1419" t="str">
            <v/>
          </cell>
        </row>
        <row r="1420">
          <cell r="R1420" t="str">
            <v>INT SXM SXMMO</v>
          </cell>
          <cell r="S1420" t="e">
            <v>#N/A</v>
          </cell>
          <cell r="T1420" t="e">
            <v>#N/A</v>
          </cell>
          <cell r="U1420" t="e">
            <v>#N/A</v>
          </cell>
          <cell r="V1420" t="e">
            <v>#N/A</v>
          </cell>
          <cell r="W1420" t="e">
            <v>#N/A</v>
          </cell>
          <cell r="AA1420">
            <v>0</v>
          </cell>
          <cell r="AB1420" t="str">
            <v/>
          </cell>
          <cell r="AC1420" t="str">
            <v/>
          </cell>
          <cell r="AD1420" t="str">
            <v/>
          </cell>
          <cell r="AE1420" t="str">
            <v/>
          </cell>
        </row>
        <row r="1421">
          <cell r="R1421" t="str">
            <v>INT WSM WSMMO</v>
          </cell>
          <cell r="S1421" t="e">
            <v>#N/A</v>
          </cell>
          <cell r="T1421" t="e">
            <v>#N/A</v>
          </cell>
          <cell r="U1421" t="e">
            <v>#N/A</v>
          </cell>
          <cell r="V1421" t="e">
            <v>#N/A</v>
          </cell>
          <cell r="W1421" t="e">
            <v>#N/A</v>
          </cell>
          <cell r="AA1421">
            <v>0</v>
          </cell>
          <cell r="AB1421" t="str">
            <v/>
          </cell>
          <cell r="AC1421" t="str">
            <v/>
          </cell>
          <cell r="AD1421" t="str">
            <v/>
          </cell>
          <cell r="AE1421" t="str">
            <v/>
          </cell>
        </row>
        <row r="1422">
          <cell r="R1422" t="str">
            <v>INT WSM</v>
          </cell>
          <cell r="S1422" t="e">
            <v>#N/A</v>
          </cell>
          <cell r="T1422" t="e">
            <v>#N/A</v>
          </cell>
          <cell r="U1422" t="e">
            <v>#N/A</v>
          </cell>
          <cell r="V1422" t="e">
            <v>#N/A</v>
          </cell>
          <cell r="W1422" t="e">
            <v>#N/A</v>
          </cell>
          <cell r="AA1422">
            <v>0</v>
          </cell>
          <cell r="AB1422" t="str">
            <v/>
          </cell>
          <cell r="AC1422" t="str">
            <v/>
          </cell>
          <cell r="AD1422" t="str">
            <v/>
          </cell>
          <cell r="AE1422" t="str">
            <v/>
          </cell>
        </row>
        <row r="1423">
          <cell r="R1423" t="str">
            <v>INT SMR</v>
          </cell>
          <cell r="S1423" t="e">
            <v>#N/A</v>
          </cell>
          <cell r="T1423" t="e">
            <v>#N/A</v>
          </cell>
          <cell r="U1423" t="e">
            <v>#N/A</v>
          </cell>
          <cell r="V1423" t="e">
            <v>#N/A</v>
          </cell>
          <cell r="W1423" t="e">
            <v>#N/A</v>
          </cell>
          <cell r="AA1423">
            <v>0</v>
          </cell>
          <cell r="AB1423" t="str">
            <v/>
          </cell>
          <cell r="AC1423" t="str">
            <v/>
          </cell>
          <cell r="AD1423" t="str">
            <v/>
          </cell>
          <cell r="AE1423" t="str">
            <v/>
          </cell>
        </row>
        <row r="1424">
          <cell r="R1424" t="str">
            <v>INT STP</v>
          </cell>
          <cell r="S1424" t="e">
            <v>#N/A</v>
          </cell>
          <cell r="T1424" t="e">
            <v>#N/A</v>
          </cell>
          <cell r="U1424" t="e">
            <v>#N/A</v>
          </cell>
          <cell r="V1424" t="e">
            <v>#N/A</v>
          </cell>
          <cell r="W1424" t="e">
            <v>#N/A</v>
          </cell>
          <cell r="AA1424">
            <v>0</v>
          </cell>
          <cell r="AB1424" t="str">
            <v/>
          </cell>
          <cell r="AC1424" t="str">
            <v/>
          </cell>
          <cell r="AD1424" t="str">
            <v/>
          </cell>
          <cell r="AE1424" t="str">
            <v/>
          </cell>
        </row>
        <row r="1425">
          <cell r="R1425" t="str">
            <v>INT SAU SAUMO</v>
          </cell>
          <cell r="S1425" t="e">
            <v>#N/A</v>
          </cell>
          <cell r="T1425" t="e">
            <v>#N/A</v>
          </cell>
          <cell r="U1425" t="e">
            <v>#N/A</v>
          </cell>
          <cell r="V1425" t="e">
            <v>#N/A</v>
          </cell>
          <cell r="W1425" t="e">
            <v>#N/A</v>
          </cell>
          <cell r="AA1425">
            <v>0</v>
          </cell>
          <cell r="AB1425" t="str">
            <v/>
          </cell>
          <cell r="AC1425" t="str">
            <v/>
          </cell>
          <cell r="AD1425" t="str">
            <v/>
          </cell>
          <cell r="AE1425" t="str">
            <v/>
          </cell>
        </row>
        <row r="1426">
          <cell r="R1426" t="str">
            <v>INT SAU</v>
          </cell>
          <cell r="S1426" t="e">
            <v>#N/A</v>
          </cell>
          <cell r="T1426" t="e">
            <v>#N/A</v>
          </cell>
          <cell r="U1426" t="e">
            <v>#N/A</v>
          </cell>
          <cell r="V1426" t="e">
            <v>#N/A</v>
          </cell>
          <cell r="W1426" t="e">
            <v>#N/A</v>
          </cell>
          <cell r="AA1426">
            <v>0</v>
          </cell>
          <cell r="AB1426" t="str">
            <v/>
          </cell>
          <cell r="AC1426" t="str">
            <v/>
          </cell>
          <cell r="AD1426" t="str">
            <v/>
          </cell>
          <cell r="AE1426" t="str">
            <v/>
          </cell>
        </row>
        <row r="1427">
          <cell r="R1427" t="str">
            <v>INT SEN SENMO</v>
          </cell>
          <cell r="S1427" t="e">
            <v>#N/A</v>
          </cell>
          <cell r="T1427" t="e">
            <v>#N/A</v>
          </cell>
          <cell r="U1427" t="e">
            <v>#N/A</v>
          </cell>
          <cell r="V1427" t="e">
            <v>#N/A</v>
          </cell>
          <cell r="W1427" t="e">
            <v>#N/A</v>
          </cell>
          <cell r="AA1427">
            <v>0</v>
          </cell>
          <cell r="AB1427" t="str">
            <v/>
          </cell>
          <cell r="AC1427" t="str">
            <v/>
          </cell>
          <cell r="AD1427" t="str">
            <v/>
          </cell>
          <cell r="AE1427" t="str">
            <v/>
          </cell>
        </row>
        <row r="1428">
          <cell r="R1428" t="str">
            <v>INT SEN</v>
          </cell>
          <cell r="S1428" t="e">
            <v>#N/A</v>
          </cell>
          <cell r="T1428" t="e">
            <v>#N/A</v>
          </cell>
          <cell r="U1428" t="e">
            <v>#N/A</v>
          </cell>
          <cell r="V1428" t="e">
            <v>#N/A</v>
          </cell>
          <cell r="W1428" t="e">
            <v>#N/A</v>
          </cell>
          <cell r="AA1428">
            <v>0</v>
          </cell>
          <cell r="AB1428" t="str">
            <v/>
          </cell>
          <cell r="AC1428" t="str">
            <v/>
          </cell>
          <cell r="AD1428" t="str">
            <v/>
          </cell>
          <cell r="AE1428" t="str">
            <v/>
          </cell>
        </row>
        <row r="1429">
          <cell r="R1429" t="str">
            <v>INT SRB</v>
          </cell>
          <cell r="S1429" t="e">
            <v>#N/A</v>
          </cell>
          <cell r="T1429" t="e">
            <v>#N/A</v>
          </cell>
          <cell r="U1429" t="e">
            <v>#N/A</v>
          </cell>
          <cell r="V1429" t="e">
            <v>#N/A</v>
          </cell>
          <cell r="W1429" t="e">
            <v>#N/A</v>
          </cell>
          <cell r="AA1429">
            <v>0</v>
          </cell>
          <cell r="AB1429" t="str">
            <v/>
          </cell>
          <cell r="AC1429" t="str">
            <v/>
          </cell>
          <cell r="AD1429" t="str">
            <v/>
          </cell>
          <cell r="AE1429" t="str">
            <v/>
          </cell>
        </row>
        <row r="1430">
          <cell r="R1430" t="str">
            <v>INT SYC</v>
          </cell>
          <cell r="S1430" t="e">
            <v>#N/A</v>
          </cell>
          <cell r="T1430" t="e">
            <v>#N/A</v>
          </cell>
          <cell r="U1430" t="e">
            <v>#N/A</v>
          </cell>
          <cell r="V1430" t="e">
            <v>#N/A</v>
          </cell>
          <cell r="W1430" t="e">
            <v>#N/A</v>
          </cell>
          <cell r="AA1430">
            <v>0</v>
          </cell>
          <cell r="AB1430" t="str">
            <v/>
          </cell>
          <cell r="AC1430" t="str">
            <v/>
          </cell>
          <cell r="AD1430" t="str">
            <v/>
          </cell>
          <cell r="AE1430" t="str">
            <v/>
          </cell>
        </row>
        <row r="1431">
          <cell r="R1431" t="str">
            <v>INT SLE SLEMO</v>
          </cell>
          <cell r="S1431" t="e">
            <v>#N/A</v>
          </cell>
          <cell r="T1431" t="e">
            <v>#N/A</v>
          </cell>
          <cell r="U1431" t="e">
            <v>#N/A</v>
          </cell>
          <cell r="V1431" t="e">
            <v>#N/A</v>
          </cell>
          <cell r="W1431" t="e">
            <v>#N/A</v>
          </cell>
          <cell r="AA1431">
            <v>0</v>
          </cell>
          <cell r="AB1431" t="str">
            <v/>
          </cell>
          <cell r="AC1431" t="str">
            <v/>
          </cell>
          <cell r="AD1431" t="str">
            <v/>
          </cell>
          <cell r="AE1431" t="str">
            <v/>
          </cell>
        </row>
        <row r="1432">
          <cell r="R1432" t="str">
            <v>INT SLE</v>
          </cell>
          <cell r="S1432" t="e">
            <v>#N/A</v>
          </cell>
          <cell r="T1432" t="e">
            <v>#N/A</v>
          </cell>
          <cell r="U1432" t="e">
            <v>#N/A</v>
          </cell>
          <cell r="V1432" t="e">
            <v>#N/A</v>
          </cell>
          <cell r="W1432" t="e">
            <v>#N/A</v>
          </cell>
          <cell r="AA1432">
            <v>0</v>
          </cell>
          <cell r="AB1432" t="str">
            <v/>
          </cell>
          <cell r="AC1432" t="str">
            <v/>
          </cell>
          <cell r="AD1432" t="str">
            <v/>
          </cell>
          <cell r="AE1432" t="str">
            <v/>
          </cell>
        </row>
        <row r="1433">
          <cell r="R1433" t="str">
            <v>INT SGP SGPMO</v>
          </cell>
          <cell r="S1433" t="e">
            <v>#N/A</v>
          </cell>
          <cell r="T1433" t="e">
            <v>#N/A</v>
          </cell>
          <cell r="U1433" t="e">
            <v>#N/A</v>
          </cell>
          <cell r="V1433" t="e">
            <v>#N/A</v>
          </cell>
          <cell r="W1433" t="e">
            <v>#N/A</v>
          </cell>
          <cell r="AA1433">
            <v>0</v>
          </cell>
          <cell r="AB1433" t="str">
            <v/>
          </cell>
          <cell r="AC1433" t="str">
            <v/>
          </cell>
          <cell r="AD1433" t="str">
            <v/>
          </cell>
          <cell r="AE1433" t="str">
            <v/>
          </cell>
        </row>
        <row r="1434">
          <cell r="R1434" t="str">
            <v>INT SGP</v>
          </cell>
          <cell r="S1434" t="e">
            <v>#N/A</v>
          </cell>
          <cell r="T1434" t="e">
            <v>#N/A</v>
          </cell>
          <cell r="U1434" t="e">
            <v>#N/A</v>
          </cell>
          <cell r="V1434" t="e">
            <v>#N/A</v>
          </cell>
          <cell r="W1434" t="e">
            <v>#N/A</v>
          </cell>
          <cell r="AA1434">
            <v>0</v>
          </cell>
          <cell r="AB1434" t="str">
            <v/>
          </cell>
          <cell r="AC1434" t="str">
            <v/>
          </cell>
          <cell r="AD1434" t="str">
            <v/>
          </cell>
          <cell r="AE1434" t="str">
            <v/>
          </cell>
        </row>
        <row r="1435">
          <cell r="R1435" t="str">
            <v>INT SVK SVKMO</v>
          </cell>
          <cell r="S1435" t="e">
            <v>#N/A</v>
          </cell>
          <cell r="T1435" t="e">
            <v>#N/A</v>
          </cell>
          <cell r="U1435" t="e">
            <v>#N/A</v>
          </cell>
          <cell r="V1435" t="e">
            <v>#N/A</v>
          </cell>
          <cell r="W1435" t="e">
            <v>#N/A</v>
          </cell>
          <cell r="AA1435">
            <v>0</v>
          </cell>
          <cell r="AB1435" t="str">
            <v/>
          </cell>
          <cell r="AC1435" t="str">
            <v/>
          </cell>
          <cell r="AD1435" t="str">
            <v/>
          </cell>
          <cell r="AE1435" t="str">
            <v/>
          </cell>
        </row>
        <row r="1436">
          <cell r="R1436" t="str">
            <v>INT SVK</v>
          </cell>
          <cell r="S1436" t="e">
            <v>#N/A</v>
          </cell>
          <cell r="T1436" t="e">
            <v>#N/A</v>
          </cell>
          <cell r="U1436" t="e">
            <v>#N/A</v>
          </cell>
          <cell r="V1436" t="e">
            <v>#N/A</v>
          </cell>
          <cell r="W1436" t="e">
            <v>#N/A</v>
          </cell>
          <cell r="AA1436">
            <v>0</v>
          </cell>
          <cell r="AB1436" t="str">
            <v/>
          </cell>
          <cell r="AC1436" t="str">
            <v/>
          </cell>
          <cell r="AD1436" t="str">
            <v/>
          </cell>
          <cell r="AE1436" t="str">
            <v/>
          </cell>
        </row>
        <row r="1437">
          <cell r="R1437" t="str">
            <v>INT SVN SVNMO</v>
          </cell>
          <cell r="S1437" t="e">
            <v>#N/A</v>
          </cell>
          <cell r="T1437" t="e">
            <v>#N/A</v>
          </cell>
          <cell r="U1437" t="e">
            <v>#N/A</v>
          </cell>
          <cell r="V1437" t="e">
            <v>#N/A</v>
          </cell>
          <cell r="W1437" t="e">
            <v>#N/A</v>
          </cell>
          <cell r="AA1437">
            <v>0</v>
          </cell>
          <cell r="AB1437" t="str">
            <v/>
          </cell>
          <cell r="AC1437" t="str">
            <v/>
          </cell>
          <cell r="AD1437" t="str">
            <v/>
          </cell>
          <cell r="AE1437" t="str">
            <v/>
          </cell>
        </row>
        <row r="1438">
          <cell r="R1438" t="str">
            <v>INT SVN</v>
          </cell>
          <cell r="S1438" t="e">
            <v>#N/A</v>
          </cell>
          <cell r="T1438" t="e">
            <v>#N/A</v>
          </cell>
          <cell r="U1438" t="e">
            <v>#N/A</v>
          </cell>
          <cell r="V1438" t="e">
            <v>#N/A</v>
          </cell>
          <cell r="W1438" t="e">
            <v>#N/A</v>
          </cell>
          <cell r="AA1438">
            <v>0</v>
          </cell>
          <cell r="AB1438" t="str">
            <v/>
          </cell>
          <cell r="AC1438" t="str">
            <v/>
          </cell>
          <cell r="AD1438" t="str">
            <v/>
          </cell>
          <cell r="AE1438" t="str">
            <v/>
          </cell>
        </row>
        <row r="1439">
          <cell r="R1439" t="str">
            <v>INT SLB</v>
          </cell>
          <cell r="S1439" t="e">
            <v>#N/A</v>
          </cell>
          <cell r="T1439" t="e">
            <v>#N/A</v>
          </cell>
          <cell r="U1439" t="e">
            <v>#N/A</v>
          </cell>
          <cell r="V1439" t="e">
            <v>#N/A</v>
          </cell>
          <cell r="W1439" t="e">
            <v>#N/A</v>
          </cell>
          <cell r="AA1439">
            <v>0</v>
          </cell>
          <cell r="AB1439" t="str">
            <v/>
          </cell>
          <cell r="AC1439" t="str">
            <v/>
          </cell>
          <cell r="AD1439" t="str">
            <v/>
          </cell>
          <cell r="AE1439" t="str">
            <v/>
          </cell>
        </row>
        <row r="1440">
          <cell r="R1440" t="str">
            <v>INT SOM</v>
          </cell>
          <cell r="S1440" t="e">
            <v>#N/A</v>
          </cell>
          <cell r="T1440" t="e">
            <v>#N/A</v>
          </cell>
          <cell r="U1440" t="e">
            <v>#N/A</v>
          </cell>
          <cell r="V1440" t="e">
            <v>#N/A</v>
          </cell>
          <cell r="W1440" t="e">
            <v>#N/A</v>
          </cell>
          <cell r="AA1440">
            <v>0</v>
          </cell>
          <cell r="AB1440" t="str">
            <v/>
          </cell>
          <cell r="AC1440" t="str">
            <v/>
          </cell>
          <cell r="AD1440" t="str">
            <v/>
          </cell>
          <cell r="AE1440" t="str">
            <v/>
          </cell>
        </row>
        <row r="1441">
          <cell r="R1441" t="str">
            <v>INT ZAF ZAFMO</v>
          </cell>
          <cell r="S1441" t="e">
            <v>#N/A</v>
          </cell>
          <cell r="T1441" t="e">
            <v>#N/A</v>
          </cell>
          <cell r="U1441" t="e">
            <v>#N/A</v>
          </cell>
          <cell r="V1441" t="e">
            <v>#N/A</v>
          </cell>
          <cell r="W1441" t="e">
            <v>#N/A</v>
          </cell>
          <cell r="AA1441">
            <v>0</v>
          </cell>
          <cell r="AB1441" t="str">
            <v/>
          </cell>
          <cell r="AC1441" t="str">
            <v/>
          </cell>
          <cell r="AD1441" t="str">
            <v/>
          </cell>
          <cell r="AE1441" t="str">
            <v/>
          </cell>
        </row>
        <row r="1442">
          <cell r="R1442" t="str">
            <v>INT ZAF</v>
          </cell>
          <cell r="S1442" t="e">
            <v>#N/A</v>
          </cell>
          <cell r="T1442" t="e">
            <v>#N/A</v>
          </cell>
          <cell r="U1442" t="e">
            <v>#N/A</v>
          </cell>
          <cell r="V1442" t="e">
            <v>#N/A</v>
          </cell>
          <cell r="W1442" t="e">
            <v>#N/A</v>
          </cell>
          <cell r="AA1442">
            <v>0</v>
          </cell>
          <cell r="AB1442" t="str">
            <v/>
          </cell>
          <cell r="AC1442" t="str">
            <v/>
          </cell>
          <cell r="AD1442" t="str">
            <v/>
          </cell>
          <cell r="AE1442" t="str">
            <v/>
          </cell>
        </row>
        <row r="1443">
          <cell r="R1443" t="str">
            <v>INT SSD SSDMO</v>
          </cell>
          <cell r="S1443" t="e">
            <v>#N/A</v>
          </cell>
          <cell r="T1443" t="e">
            <v>#N/A</v>
          </cell>
          <cell r="U1443" t="e">
            <v>#N/A</v>
          </cell>
          <cell r="V1443" t="e">
            <v>#N/A</v>
          </cell>
          <cell r="W1443" t="e">
            <v>#N/A</v>
          </cell>
          <cell r="AA1443">
            <v>0</v>
          </cell>
          <cell r="AB1443" t="str">
            <v/>
          </cell>
          <cell r="AC1443" t="str">
            <v/>
          </cell>
          <cell r="AD1443" t="str">
            <v/>
          </cell>
          <cell r="AE1443" t="str">
            <v/>
          </cell>
        </row>
        <row r="1444">
          <cell r="R1444" t="str">
            <v>INT SSD</v>
          </cell>
          <cell r="S1444" t="e">
            <v>#N/A</v>
          </cell>
          <cell r="T1444" t="e">
            <v>#N/A</v>
          </cell>
          <cell r="U1444" t="e">
            <v>#N/A</v>
          </cell>
          <cell r="V1444" t="e">
            <v>#N/A</v>
          </cell>
          <cell r="W1444" t="e">
            <v>#N/A</v>
          </cell>
          <cell r="AA1444">
            <v>0</v>
          </cell>
          <cell r="AB1444" t="str">
            <v/>
          </cell>
          <cell r="AC1444" t="str">
            <v/>
          </cell>
          <cell r="AD1444" t="str">
            <v/>
          </cell>
          <cell r="AE1444" t="str">
            <v/>
          </cell>
        </row>
        <row r="1445">
          <cell r="R1445" t="str">
            <v>INT ESP ESPMO</v>
          </cell>
          <cell r="S1445" t="e">
            <v>#N/A</v>
          </cell>
          <cell r="T1445" t="e">
            <v>#N/A</v>
          </cell>
          <cell r="U1445" t="e">
            <v>#N/A</v>
          </cell>
          <cell r="V1445" t="e">
            <v>#N/A</v>
          </cell>
          <cell r="W1445" t="e">
            <v>#N/A</v>
          </cell>
          <cell r="AA1445">
            <v>0</v>
          </cell>
          <cell r="AB1445" t="str">
            <v/>
          </cell>
          <cell r="AC1445" t="str">
            <v/>
          </cell>
          <cell r="AD1445" t="str">
            <v/>
          </cell>
          <cell r="AE1445" t="str">
            <v/>
          </cell>
        </row>
        <row r="1446">
          <cell r="R1446" t="str">
            <v>INT ESP</v>
          </cell>
          <cell r="S1446" t="e">
            <v>#N/A</v>
          </cell>
          <cell r="T1446" t="e">
            <v>#N/A</v>
          </cell>
          <cell r="U1446" t="e">
            <v>#N/A</v>
          </cell>
          <cell r="V1446" t="e">
            <v>#N/A</v>
          </cell>
          <cell r="W1446" t="e">
            <v>#N/A</v>
          </cell>
          <cell r="AA1446">
            <v>0</v>
          </cell>
          <cell r="AB1446" t="str">
            <v/>
          </cell>
          <cell r="AC1446" t="str">
            <v/>
          </cell>
          <cell r="AD1446" t="str">
            <v/>
          </cell>
          <cell r="AE1446" t="str">
            <v/>
          </cell>
        </row>
        <row r="1447">
          <cell r="R1447" t="str">
            <v>INT ESP SPP08</v>
          </cell>
          <cell r="S1447" t="e">
            <v>#N/A</v>
          </cell>
          <cell r="T1447" t="e">
            <v>#N/A</v>
          </cell>
          <cell r="U1447" t="e">
            <v>#N/A</v>
          </cell>
          <cell r="V1447" t="e">
            <v>#N/A</v>
          </cell>
          <cell r="W1447" t="e">
            <v>#N/A</v>
          </cell>
          <cell r="AA1447">
            <v>0</v>
          </cell>
          <cell r="AB1447" t="str">
            <v/>
          </cell>
          <cell r="AC1447" t="str">
            <v/>
          </cell>
          <cell r="AD1447" t="str">
            <v/>
          </cell>
          <cell r="AE1447" t="str">
            <v/>
          </cell>
        </row>
        <row r="1448">
          <cell r="R1448" t="str">
            <v>INT ESP SPPRS</v>
          </cell>
          <cell r="S1448" t="e">
            <v>#N/A</v>
          </cell>
          <cell r="T1448" t="e">
            <v>#N/A</v>
          </cell>
          <cell r="U1448" t="e">
            <v>#N/A</v>
          </cell>
          <cell r="V1448" t="e">
            <v>#N/A</v>
          </cell>
          <cell r="W1448" t="e">
            <v>#N/A</v>
          </cell>
          <cell r="AA1448">
            <v>0</v>
          </cell>
          <cell r="AB1448" t="str">
            <v/>
          </cell>
          <cell r="AC1448" t="str">
            <v/>
          </cell>
          <cell r="AD1448" t="str">
            <v/>
          </cell>
          <cell r="AE1448" t="str">
            <v/>
          </cell>
        </row>
        <row r="1449">
          <cell r="R1449" t="str">
            <v>INT ESP SPFRE</v>
          </cell>
          <cell r="S1449" t="e">
            <v>#N/A</v>
          </cell>
          <cell r="T1449" t="e">
            <v>#N/A</v>
          </cell>
          <cell r="U1449" t="e">
            <v>#N/A</v>
          </cell>
          <cell r="V1449" t="e">
            <v>#N/A</v>
          </cell>
          <cell r="W1449" t="e">
            <v>#N/A</v>
          </cell>
          <cell r="AA1449">
            <v>0</v>
          </cell>
          <cell r="AB1449" t="str">
            <v/>
          </cell>
          <cell r="AC1449" t="str">
            <v/>
          </cell>
          <cell r="AD1449" t="str">
            <v/>
          </cell>
          <cell r="AE1449" t="str">
            <v/>
          </cell>
        </row>
        <row r="1450">
          <cell r="R1450" t="str">
            <v>INT LKA LKAMO</v>
          </cell>
          <cell r="S1450" t="e">
            <v>#N/A</v>
          </cell>
          <cell r="T1450" t="e">
            <v>#N/A</v>
          </cell>
          <cell r="U1450" t="e">
            <v>#N/A</v>
          </cell>
          <cell r="V1450" t="e">
            <v>#N/A</v>
          </cell>
          <cell r="W1450" t="e">
            <v>#N/A</v>
          </cell>
          <cell r="AA1450">
            <v>0</v>
          </cell>
          <cell r="AB1450" t="str">
            <v/>
          </cell>
          <cell r="AC1450" t="str">
            <v/>
          </cell>
          <cell r="AD1450" t="str">
            <v/>
          </cell>
          <cell r="AE1450" t="str">
            <v/>
          </cell>
        </row>
        <row r="1451">
          <cell r="R1451" t="str">
            <v>INT LKA</v>
          </cell>
          <cell r="S1451" t="e">
            <v>#N/A</v>
          </cell>
          <cell r="T1451" t="e">
            <v>#N/A</v>
          </cell>
          <cell r="U1451" t="e">
            <v>#N/A</v>
          </cell>
          <cell r="V1451" t="e">
            <v>#N/A</v>
          </cell>
          <cell r="W1451" t="e">
            <v>#N/A</v>
          </cell>
          <cell r="AA1451">
            <v>0</v>
          </cell>
          <cell r="AB1451" t="str">
            <v/>
          </cell>
          <cell r="AC1451" t="str">
            <v/>
          </cell>
          <cell r="AD1451" t="str">
            <v/>
          </cell>
          <cell r="AE1451" t="str">
            <v/>
          </cell>
        </row>
        <row r="1452">
          <cell r="R1452" t="str">
            <v>INT SHN</v>
          </cell>
          <cell r="S1452" t="e">
            <v>#N/A</v>
          </cell>
          <cell r="T1452" t="e">
            <v>#N/A</v>
          </cell>
          <cell r="U1452" t="e">
            <v>#N/A</v>
          </cell>
          <cell r="V1452" t="e">
            <v>#N/A</v>
          </cell>
          <cell r="W1452" t="e">
            <v>#N/A</v>
          </cell>
          <cell r="AA1452">
            <v>0</v>
          </cell>
          <cell r="AB1452" t="str">
            <v/>
          </cell>
          <cell r="AC1452" t="str">
            <v/>
          </cell>
          <cell r="AD1452" t="str">
            <v/>
          </cell>
          <cell r="AE1452" t="str">
            <v/>
          </cell>
        </row>
        <row r="1453">
          <cell r="R1453" t="str">
            <v>INT KNA</v>
          </cell>
          <cell r="S1453" t="e">
            <v>#N/A</v>
          </cell>
          <cell r="T1453" t="e">
            <v>#N/A</v>
          </cell>
          <cell r="U1453" t="e">
            <v>#N/A</v>
          </cell>
          <cell r="V1453" t="e">
            <v>#N/A</v>
          </cell>
          <cell r="W1453" t="e">
            <v>#N/A</v>
          </cell>
          <cell r="AA1453">
            <v>0</v>
          </cell>
          <cell r="AB1453" t="str">
            <v/>
          </cell>
          <cell r="AC1453" t="str">
            <v/>
          </cell>
          <cell r="AD1453" t="str">
            <v/>
          </cell>
          <cell r="AE1453" t="str">
            <v/>
          </cell>
        </row>
        <row r="1454">
          <cell r="R1454" t="str">
            <v>INT LCA</v>
          </cell>
          <cell r="S1454" t="e">
            <v>#N/A</v>
          </cell>
          <cell r="T1454" t="e">
            <v>#N/A</v>
          </cell>
          <cell r="U1454" t="e">
            <v>#N/A</v>
          </cell>
          <cell r="V1454" t="e">
            <v>#N/A</v>
          </cell>
          <cell r="W1454" t="e">
            <v>#N/A</v>
          </cell>
          <cell r="AA1454">
            <v>0</v>
          </cell>
          <cell r="AB1454" t="str">
            <v/>
          </cell>
          <cell r="AC1454" t="str">
            <v/>
          </cell>
          <cell r="AD1454" t="str">
            <v/>
          </cell>
          <cell r="AE1454" t="str">
            <v/>
          </cell>
        </row>
        <row r="1455">
          <cell r="R1455" t="str">
            <v>INT SPM SPMMO</v>
          </cell>
          <cell r="S1455" t="e">
            <v>#N/A</v>
          </cell>
          <cell r="T1455" t="e">
            <v>#N/A</v>
          </cell>
          <cell r="U1455" t="e">
            <v>#N/A</v>
          </cell>
          <cell r="V1455" t="e">
            <v>#N/A</v>
          </cell>
          <cell r="W1455" t="e">
            <v>#N/A</v>
          </cell>
          <cell r="AA1455">
            <v>0</v>
          </cell>
          <cell r="AB1455" t="str">
            <v/>
          </cell>
          <cell r="AC1455" t="str">
            <v/>
          </cell>
          <cell r="AD1455" t="str">
            <v/>
          </cell>
          <cell r="AE1455" t="str">
            <v/>
          </cell>
        </row>
        <row r="1456">
          <cell r="R1456" t="str">
            <v>INT SPM</v>
          </cell>
          <cell r="S1456" t="e">
            <v>#N/A</v>
          </cell>
          <cell r="T1456" t="e">
            <v>#N/A</v>
          </cell>
          <cell r="U1456" t="e">
            <v>#N/A</v>
          </cell>
          <cell r="V1456" t="e">
            <v>#N/A</v>
          </cell>
          <cell r="W1456" t="e">
            <v>#N/A</v>
          </cell>
          <cell r="AA1456">
            <v>0</v>
          </cell>
          <cell r="AB1456" t="str">
            <v/>
          </cell>
          <cell r="AC1456" t="str">
            <v/>
          </cell>
          <cell r="AD1456" t="str">
            <v/>
          </cell>
          <cell r="AE1456" t="str">
            <v/>
          </cell>
        </row>
        <row r="1457">
          <cell r="R1457" t="str">
            <v>INT VCT</v>
          </cell>
          <cell r="S1457" t="e">
            <v>#N/A</v>
          </cell>
          <cell r="T1457" t="e">
            <v>#N/A</v>
          </cell>
          <cell r="U1457" t="e">
            <v>#N/A</v>
          </cell>
          <cell r="V1457" t="e">
            <v>#N/A</v>
          </cell>
          <cell r="W1457" t="e">
            <v>#N/A</v>
          </cell>
          <cell r="AA1457">
            <v>0</v>
          </cell>
          <cell r="AB1457" t="str">
            <v/>
          </cell>
          <cell r="AC1457" t="str">
            <v/>
          </cell>
          <cell r="AD1457" t="str">
            <v/>
          </cell>
          <cell r="AE1457" t="str">
            <v/>
          </cell>
        </row>
        <row r="1458">
          <cell r="R1458" t="str">
            <v>INT SDN</v>
          </cell>
          <cell r="S1458" t="e">
            <v>#N/A</v>
          </cell>
          <cell r="T1458" t="e">
            <v>#N/A</v>
          </cell>
          <cell r="U1458" t="e">
            <v>#N/A</v>
          </cell>
          <cell r="V1458" t="e">
            <v>#N/A</v>
          </cell>
          <cell r="W1458" t="e">
            <v>#N/A</v>
          </cell>
          <cell r="AA1458">
            <v>0</v>
          </cell>
          <cell r="AB1458" t="str">
            <v/>
          </cell>
          <cell r="AC1458" t="str">
            <v/>
          </cell>
          <cell r="AD1458" t="str">
            <v/>
          </cell>
          <cell r="AE1458" t="str">
            <v/>
          </cell>
        </row>
        <row r="1459">
          <cell r="R1459" t="str">
            <v>INT SUR SURMO</v>
          </cell>
          <cell r="S1459" t="e">
            <v>#N/A</v>
          </cell>
          <cell r="T1459" t="e">
            <v>#N/A</v>
          </cell>
          <cell r="U1459" t="e">
            <v>#N/A</v>
          </cell>
          <cell r="V1459" t="e">
            <v>#N/A</v>
          </cell>
          <cell r="W1459" t="e">
            <v>#N/A</v>
          </cell>
          <cell r="AA1459">
            <v>0</v>
          </cell>
          <cell r="AB1459" t="str">
            <v/>
          </cell>
          <cell r="AC1459" t="str">
            <v/>
          </cell>
          <cell r="AD1459" t="str">
            <v/>
          </cell>
          <cell r="AE1459" t="str">
            <v/>
          </cell>
        </row>
        <row r="1460">
          <cell r="R1460" t="str">
            <v>INT SUR</v>
          </cell>
          <cell r="S1460" t="e">
            <v>#N/A</v>
          </cell>
          <cell r="T1460" t="e">
            <v>#N/A</v>
          </cell>
          <cell r="U1460" t="e">
            <v>#N/A</v>
          </cell>
          <cell r="V1460" t="e">
            <v>#N/A</v>
          </cell>
          <cell r="W1460" t="e">
            <v>#N/A</v>
          </cell>
          <cell r="AA1460">
            <v>0</v>
          </cell>
          <cell r="AB1460" t="str">
            <v/>
          </cell>
          <cell r="AC1460" t="str">
            <v/>
          </cell>
          <cell r="AD1460" t="str">
            <v/>
          </cell>
          <cell r="AE1460" t="str">
            <v/>
          </cell>
        </row>
        <row r="1461">
          <cell r="R1461" t="str">
            <v>INT SWZ SWZMO</v>
          </cell>
          <cell r="S1461" t="e">
            <v>#N/A</v>
          </cell>
          <cell r="T1461" t="e">
            <v>#N/A</v>
          </cell>
          <cell r="U1461" t="e">
            <v>#N/A</v>
          </cell>
          <cell r="V1461" t="e">
            <v>#N/A</v>
          </cell>
          <cell r="W1461" t="e">
            <v>#N/A</v>
          </cell>
          <cell r="AA1461">
            <v>0</v>
          </cell>
          <cell r="AB1461" t="str">
            <v/>
          </cell>
          <cell r="AC1461" t="str">
            <v/>
          </cell>
          <cell r="AD1461" t="str">
            <v/>
          </cell>
          <cell r="AE1461" t="str">
            <v/>
          </cell>
        </row>
        <row r="1462">
          <cell r="R1462" t="str">
            <v>INT SWZ</v>
          </cell>
          <cell r="S1462" t="e">
            <v>#N/A</v>
          </cell>
          <cell r="T1462" t="e">
            <v>#N/A</v>
          </cell>
          <cell r="U1462" t="e">
            <v>#N/A</v>
          </cell>
          <cell r="V1462" t="e">
            <v>#N/A</v>
          </cell>
          <cell r="W1462" t="e">
            <v>#N/A</v>
          </cell>
          <cell r="AA1462">
            <v>0</v>
          </cell>
          <cell r="AB1462" t="str">
            <v/>
          </cell>
          <cell r="AC1462" t="str">
            <v/>
          </cell>
          <cell r="AD1462" t="str">
            <v/>
          </cell>
          <cell r="AE1462" t="str">
            <v/>
          </cell>
        </row>
        <row r="1463">
          <cell r="R1463" t="str">
            <v>INT SWE SWEMO</v>
          </cell>
          <cell r="S1463" t="e">
            <v>#N/A</v>
          </cell>
          <cell r="T1463" t="e">
            <v>#N/A</v>
          </cell>
          <cell r="U1463" t="e">
            <v>#N/A</v>
          </cell>
          <cell r="V1463" t="e">
            <v>#N/A</v>
          </cell>
          <cell r="W1463" t="e">
            <v>#N/A</v>
          </cell>
          <cell r="AA1463">
            <v>0</v>
          </cell>
          <cell r="AB1463" t="str">
            <v/>
          </cell>
          <cell r="AC1463" t="str">
            <v/>
          </cell>
          <cell r="AD1463" t="str">
            <v/>
          </cell>
          <cell r="AE1463" t="str">
            <v/>
          </cell>
        </row>
        <row r="1464">
          <cell r="R1464" t="str">
            <v>INT SWE SWEEU</v>
          </cell>
          <cell r="S1464" t="e">
            <v>#N/A</v>
          </cell>
          <cell r="T1464" t="e">
            <v>#N/A</v>
          </cell>
          <cell r="U1464" t="e">
            <v>#N/A</v>
          </cell>
          <cell r="V1464" t="e">
            <v>#N/A</v>
          </cell>
          <cell r="W1464" t="e">
            <v>#N/A</v>
          </cell>
          <cell r="AA1464">
            <v>0</v>
          </cell>
          <cell r="AB1464" t="str">
            <v/>
          </cell>
          <cell r="AC1464" t="str">
            <v/>
          </cell>
          <cell r="AD1464" t="str">
            <v/>
          </cell>
          <cell r="AE1464" t="str">
            <v/>
          </cell>
        </row>
        <row r="1465">
          <cell r="R1465" t="str">
            <v>INT SWE</v>
          </cell>
          <cell r="S1465" t="e">
            <v>#N/A</v>
          </cell>
          <cell r="T1465" t="e">
            <v>#N/A</v>
          </cell>
          <cell r="U1465" t="e">
            <v>#N/A</v>
          </cell>
          <cell r="V1465" t="e">
            <v>#N/A</v>
          </cell>
          <cell r="W1465" t="e">
            <v>#N/A</v>
          </cell>
          <cell r="AA1465">
            <v>0</v>
          </cell>
          <cell r="AB1465" t="str">
            <v/>
          </cell>
          <cell r="AC1465" t="str">
            <v/>
          </cell>
          <cell r="AD1465" t="str">
            <v/>
          </cell>
          <cell r="AE1465" t="str">
            <v/>
          </cell>
        </row>
        <row r="1466">
          <cell r="R1466" t="str">
            <v>INT SWE SWPRM</v>
          </cell>
          <cell r="S1466" t="e">
            <v>#N/A</v>
          </cell>
          <cell r="T1466" t="e">
            <v>#N/A</v>
          </cell>
          <cell r="U1466" t="e">
            <v>#N/A</v>
          </cell>
          <cell r="V1466" t="e">
            <v>#N/A</v>
          </cell>
          <cell r="W1466" t="e">
            <v>#N/A</v>
          </cell>
          <cell r="AA1466">
            <v>0</v>
          </cell>
          <cell r="AB1466" t="str">
            <v/>
          </cell>
          <cell r="AC1466" t="str">
            <v/>
          </cell>
          <cell r="AD1466" t="str">
            <v/>
          </cell>
          <cell r="AE1466" t="str">
            <v/>
          </cell>
        </row>
        <row r="1467">
          <cell r="R1467" t="str">
            <v>INT SWE SCN</v>
          </cell>
          <cell r="S1467" t="e">
            <v>#N/A</v>
          </cell>
          <cell r="T1467" t="e">
            <v>#N/A</v>
          </cell>
          <cell r="U1467" t="e">
            <v>#N/A</v>
          </cell>
          <cell r="V1467" t="e">
            <v>#N/A</v>
          </cell>
          <cell r="W1467" t="e">
            <v>#N/A</v>
          </cell>
          <cell r="AA1467">
            <v>0</v>
          </cell>
          <cell r="AB1467" t="str">
            <v/>
          </cell>
          <cell r="AC1467" t="str">
            <v/>
          </cell>
          <cell r="AD1467" t="str">
            <v/>
          </cell>
          <cell r="AE1467" t="str">
            <v/>
          </cell>
        </row>
        <row r="1468">
          <cell r="R1468" t="str">
            <v>INT SWE SFREE</v>
          </cell>
          <cell r="S1468" t="e">
            <v>#N/A</v>
          </cell>
          <cell r="T1468" t="e">
            <v>#N/A</v>
          </cell>
          <cell r="U1468" t="e">
            <v>#N/A</v>
          </cell>
          <cell r="V1468" t="e">
            <v>#N/A</v>
          </cell>
          <cell r="W1468" t="e">
            <v>#N/A</v>
          </cell>
          <cell r="AA1468">
            <v>0</v>
          </cell>
          <cell r="AB1468" t="str">
            <v/>
          </cell>
          <cell r="AC1468" t="str">
            <v/>
          </cell>
          <cell r="AD1468" t="str">
            <v/>
          </cell>
          <cell r="AE1468" t="str">
            <v/>
          </cell>
        </row>
        <row r="1469">
          <cell r="R1469" t="str">
            <v>INT CHE CHEMO</v>
          </cell>
          <cell r="S1469" t="e">
            <v>#N/A</v>
          </cell>
          <cell r="T1469" t="e">
            <v>#N/A</v>
          </cell>
          <cell r="U1469" t="e">
            <v>#N/A</v>
          </cell>
          <cell r="V1469" t="e">
            <v>#N/A</v>
          </cell>
          <cell r="W1469" t="e">
            <v>#N/A</v>
          </cell>
          <cell r="AA1469">
            <v>0</v>
          </cell>
          <cell r="AB1469" t="str">
            <v/>
          </cell>
          <cell r="AC1469" t="str">
            <v/>
          </cell>
          <cell r="AD1469" t="str">
            <v/>
          </cell>
          <cell r="AE1469" t="str">
            <v/>
          </cell>
        </row>
        <row r="1470">
          <cell r="R1470" t="str">
            <v>INT CHE CHESW</v>
          </cell>
          <cell r="S1470" t="e">
            <v>#N/A</v>
          </cell>
          <cell r="T1470" t="e">
            <v>#N/A</v>
          </cell>
          <cell r="U1470" t="e">
            <v>#N/A</v>
          </cell>
          <cell r="V1470" t="e">
            <v>#N/A</v>
          </cell>
          <cell r="W1470" t="e">
            <v>#N/A</v>
          </cell>
          <cell r="AA1470">
            <v>0</v>
          </cell>
          <cell r="AB1470" t="str">
            <v/>
          </cell>
          <cell r="AC1470" t="str">
            <v/>
          </cell>
          <cell r="AD1470" t="str">
            <v/>
          </cell>
          <cell r="AE1470" t="str">
            <v/>
          </cell>
        </row>
        <row r="1471">
          <cell r="R1471" t="str">
            <v>INT CHE ZCHCA</v>
          </cell>
          <cell r="S1471" t="e">
            <v>#N/A</v>
          </cell>
          <cell r="T1471" t="e">
            <v>#N/A</v>
          </cell>
          <cell r="U1471" t="e">
            <v>#N/A</v>
          </cell>
          <cell r="V1471" t="e">
            <v>#N/A</v>
          </cell>
          <cell r="W1471" t="e">
            <v>#N/A</v>
          </cell>
          <cell r="AA1471">
            <v>0</v>
          </cell>
          <cell r="AB1471" t="str">
            <v/>
          </cell>
          <cell r="AC1471" t="str">
            <v/>
          </cell>
          <cell r="AD1471" t="str">
            <v/>
          </cell>
          <cell r="AE1471" t="str">
            <v/>
          </cell>
        </row>
        <row r="1472">
          <cell r="R1472" t="str">
            <v>INT CHE ZCHSC</v>
          </cell>
          <cell r="S1472" t="e">
            <v>#N/A</v>
          </cell>
          <cell r="T1472" t="e">
            <v>#N/A</v>
          </cell>
          <cell r="U1472" t="e">
            <v>#N/A</v>
          </cell>
          <cell r="V1472" t="e">
            <v>#N/A</v>
          </cell>
          <cell r="W1472" t="e">
            <v>#N/A</v>
          </cell>
          <cell r="AA1472">
            <v>0</v>
          </cell>
          <cell r="AB1472" t="str">
            <v/>
          </cell>
          <cell r="AC1472" t="str">
            <v/>
          </cell>
          <cell r="AD1472" t="str">
            <v/>
          </cell>
          <cell r="AE1472" t="str">
            <v/>
          </cell>
        </row>
        <row r="1473">
          <cell r="R1473" t="str">
            <v>INT CHE</v>
          </cell>
          <cell r="S1473" t="e">
            <v>#N/A</v>
          </cell>
          <cell r="T1473" t="e">
            <v>#N/A</v>
          </cell>
          <cell r="U1473" t="e">
            <v>#N/A</v>
          </cell>
          <cell r="V1473" t="e">
            <v>#N/A</v>
          </cell>
          <cell r="W1473" t="e">
            <v>#N/A</v>
          </cell>
          <cell r="AA1473">
            <v>0</v>
          </cell>
          <cell r="AB1473" t="str">
            <v/>
          </cell>
          <cell r="AC1473" t="str">
            <v/>
          </cell>
          <cell r="AD1473" t="str">
            <v/>
          </cell>
          <cell r="AE1473" t="str">
            <v/>
          </cell>
        </row>
        <row r="1474">
          <cell r="R1474" t="str">
            <v>INT CHE CHEIN</v>
          </cell>
          <cell r="S1474" t="e">
            <v>#N/A</v>
          </cell>
          <cell r="T1474" t="e">
            <v>#N/A</v>
          </cell>
          <cell r="U1474" t="e">
            <v>#N/A</v>
          </cell>
          <cell r="V1474" t="e">
            <v>#N/A</v>
          </cell>
          <cell r="W1474" t="e">
            <v>#N/A</v>
          </cell>
          <cell r="AA1474">
            <v>0</v>
          </cell>
          <cell r="AB1474" t="str">
            <v/>
          </cell>
          <cell r="AC1474" t="str">
            <v/>
          </cell>
          <cell r="AD1474" t="str">
            <v/>
          </cell>
          <cell r="AE1474" t="str">
            <v/>
          </cell>
        </row>
        <row r="1475">
          <cell r="R1475" t="str">
            <v>INT CHE ZCH28</v>
          </cell>
          <cell r="S1475" t="e">
            <v>#N/A</v>
          </cell>
          <cell r="T1475" t="e">
            <v>#N/A</v>
          </cell>
          <cell r="U1475" t="e">
            <v>#N/A</v>
          </cell>
          <cell r="V1475" t="e">
            <v>#N/A</v>
          </cell>
          <cell r="W1475" t="e">
            <v>#N/A</v>
          </cell>
          <cell r="AA1475">
            <v>0</v>
          </cell>
          <cell r="AB1475" t="str">
            <v/>
          </cell>
          <cell r="AC1475" t="str">
            <v/>
          </cell>
          <cell r="AD1475" t="str">
            <v/>
          </cell>
          <cell r="AE1475" t="str">
            <v/>
          </cell>
        </row>
        <row r="1476">
          <cell r="R1476" t="str">
            <v>INT CHE ZCH25</v>
          </cell>
          <cell r="S1476" t="e">
            <v>#N/A</v>
          </cell>
          <cell r="T1476" t="e">
            <v>#N/A</v>
          </cell>
          <cell r="U1476" t="e">
            <v>#N/A</v>
          </cell>
          <cell r="V1476" t="e">
            <v>#N/A</v>
          </cell>
          <cell r="W1476" t="e">
            <v>#N/A</v>
          </cell>
          <cell r="AA1476">
            <v>0</v>
          </cell>
          <cell r="AB1476" t="str">
            <v/>
          </cell>
          <cell r="AC1476" t="str">
            <v/>
          </cell>
          <cell r="AD1476" t="str">
            <v/>
          </cell>
          <cell r="AE1476" t="str">
            <v/>
          </cell>
        </row>
        <row r="1477">
          <cell r="R1477" t="str">
            <v>INT CHE ZCH26</v>
          </cell>
          <cell r="S1477" t="e">
            <v>#N/A</v>
          </cell>
          <cell r="T1477" t="e">
            <v>#N/A</v>
          </cell>
          <cell r="U1477" t="e">
            <v>#N/A</v>
          </cell>
          <cell r="V1477" t="e">
            <v>#N/A</v>
          </cell>
          <cell r="W1477" t="e">
            <v>#N/A</v>
          </cell>
          <cell r="AA1477">
            <v>0</v>
          </cell>
          <cell r="AB1477" t="str">
            <v/>
          </cell>
          <cell r="AC1477" t="str">
            <v/>
          </cell>
          <cell r="AD1477" t="str">
            <v/>
          </cell>
          <cell r="AE1477" t="str">
            <v/>
          </cell>
        </row>
        <row r="1478">
          <cell r="R1478" t="str">
            <v>INT SYR</v>
          </cell>
          <cell r="S1478" t="e">
            <v>#N/A</v>
          </cell>
          <cell r="T1478" t="e">
            <v>#N/A</v>
          </cell>
          <cell r="U1478" t="e">
            <v>#N/A</v>
          </cell>
          <cell r="V1478" t="e">
            <v>#N/A</v>
          </cell>
          <cell r="W1478" t="e">
            <v>#N/A</v>
          </cell>
          <cell r="AA1478">
            <v>0</v>
          </cell>
          <cell r="AB1478" t="str">
            <v/>
          </cell>
          <cell r="AC1478" t="str">
            <v/>
          </cell>
          <cell r="AD1478" t="str">
            <v/>
          </cell>
          <cell r="AE1478" t="str">
            <v/>
          </cell>
        </row>
        <row r="1479">
          <cell r="R1479" t="str">
            <v>INT TWN TWNMO</v>
          </cell>
          <cell r="S1479" t="e">
            <v>#N/A</v>
          </cell>
          <cell r="T1479" t="e">
            <v>#N/A</v>
          </cell>
          <cell r="U1479" t="e">
            <v>#N/A</v>
          </cell>
          <cell r="V1479" t="e">
            <v>#N/A</v>
          </cell>
          <cell r="W1479" t="e">
            <v>#N/A</v>
          </cell>
          <cell r="AA1479">
            <v>0</v>
          </cell>
          <cell r="AB1479" t="str">
            <v/>
          </cell>
          <cell r="AC1479" t="str">
            <v/>
          </cell>
          <cell r="AD1479" t="str">
            <v/>
          </cell>
          <cell r="AE1479" t="str">
            <v/>
          </cell>
        </row>
        <row r="1480">
          <cell r="R1480" t="str">
            <v>INT TWN</v>
          </cell>
          <cell r="S1480" t="e">
            <v>#N/A</v>
          </cell>
          <cell r="T1480" t="e">
            <v>#N/A</v>
          </cell>
          <cell r="U1480" t="e">
            <v>#N/A</v>
          </cell>
          <cell r="V1480" t="e">
            <v>#N/A</v>
          </cell>
          <cell r="W1480" t="e">
            <v>#N/A</v>
          </cell>
          <cell r="AA1480">
            <v>0</v>
          </cell>
          <cell r="AB1480" t="str">
            <v/>
          </cell>
          <cell r="AC1480" t="str">
            <v/>
          </cell>
          <cell r="AD1480" t="str">
            <v/>
          </cell>
          <cell r="AE1480" t="str">
            <v/>
          </cell>
        </row>
        <row r="1481">
          <cell r="R1481" t="str">
            <v>INT TJK</v>
          </cell>
          <cell r="S1481" t="e">
            <v>#N/A</v>
          </cell>
          <cell r="T1481" t="e">
            <v>#N/A</v>
          </cell>
          <cell r="U1481" t="e">
            <v>#N/A</v>
          </cell>
          <cell r="V1481" t="e">
            <v>#N/A</v>
          </cell>
          <cell r="W1481" t="e">
            <v>#N/A</v>
          </cell>
          <cell r="AA1481">
            <v>0</v>
          </cell>
          <cell r="AB1481" t="str">
            <v/>
          </cell>
          <cell r="AC1481" t="str">
            <v/>
          </cell>
          <cell r="AD1481" t="str">
            <v/>
          </cell>
          <cell r="AE1481" t="str">
            <v/>
          </cell>
        </row>
        <row r="1482">
          <cell r="R1482" t="str">
            <v>INT TZA TZAMO</v>
          </cell>
          <cell r="S1482" t="e">
            <v>#N/A</v>
          </cell>
          <cell r="T1482" t="e">
            <v>#N/A</v>
          </cell>
          <cell r="U1482" t="e">
            <v>#N/A</v>
          </cell>
          <cell r="V1482" t="e">
            <v>#N/A</v>
          </cell>
          <cell r="W1482" t="e">
            <v>#N/A</v>
          </cell>
          <cell r="AA1482">
            <v>0</v>
          </cell>
          <cell r="AB1482" t="str">
            <v/>
          </cell>
          <cell r="AC1482" t="str">
            <v/>
          </cell>
          <cell r="AD1482" t="str">
            <v/>
          </cell>
          <cell r="AE1482" t="str">
            <v/>
          </cell>
        </row>
        <row r="1483">
          <cell r="R1483" t="str">
            <v>INT TZA</v>
          </cell>
          <cell r="S1483" t="e">
            <v>#N/A</v>
          </cell>
          <cell r="T1483" t="e">
            <v>#N/A</v>
          </cell>
          <cell r="U1483" t="e">
            <v>#N/A</v>
          </cell>
          <cell r="V1483" t="e">
            <v>#N/A</v>
          </cell>
          <cell r="W1483" t="e">
            <v>#N/A</v>
          </cell>
          <cell r="AA1483">
            <v>0</v>
          </cell>
          <cell r="AB1483" t="str">
            <v/>
          </cell>
          <cell r="AC1483" t="str">
            <v/>
          </cell>
          <cell r="AD1483" t="str">
            <v/>
          </cell>
          <cell r="AE1483" t="str">
            <v/>
          </cell>
        </row>
        <row r="1484">
          <cell r="R1484" t="str">
            <v>INT EMS TELE</v>
          </cell>
          <cell r="S1484" t="e">
            <v>#N/A</v>
          </cell>
          <cell r="T1484" t="e">
            <v>#N/A</v>
          </cell>
          <cell r="U1484" t="e">
            <v>#N/A</v>
          </cell>
          <cell r="V1484" t="e">
            <v>#N/A</v>
          </cell>
          <cell r="W1484" t="e">
            <v>#N/A</v>
          </cell>
          <cell r="AA1484">
            <v>0</v>
          </cell>
          <cell r="AB1484" t="str">
            <v/>
          </cell>
          <cell r="AC1484" t="str">
            <v/>
          </cell>
          <cell r="AD1484" t="str">
            <v/>
          </cell>
          <cell r="AE1484" t="str">
            <v/>
          </cell>
        </row>
        <row r="1485">
          <cell r="R1485" t="str">
            <v>INT THA THAMO</v>
          </cell>
          <cell r="S1485" t="e">
            <v>#N/A</v>
          </cell>
          <cell r="T1485" t="e">
            <v>#N/A</v>
          </cell>
          <cell r="U1485" t="e">
            <v>#N/A</v>
          </cell>
          <cell r="V1485" t="e">
            <v>#N/A</v>
          </cell>
          <cell r="W1485" t="e">
            <v>#N/A</v>
          </cell>
          <cell r="AA1485">
            <v>0</v>
          </cell>
          <cell r="AB1485" t="str">
            <v/>
          </cell>
          <cell r="AC1485" t="str">
            <v/>
          </cell>
          <cell r="AD1485" t="str">
            <v/>
          </cell>
          <cell r="AE1485" t="str">
            <v/>
          </cell>
        </row>
        <row r="1486">
          <cell r="R1486" t="str">
            <v>INT THA</v>
          </cell>
          <cell r="S1486" t="e">
            <v>#N/A</v>
          </cell>
          <cell r="T1486" t="e">
            <v>#N/A</v>
          </cell>
          <cell r="U1486" t="e">
            <v>#N/A</v>
          </cell>
          <cell r="V1486" t="e">
            <v>#N/A</v>
          </cell>
          <cell r="W1486" t="e">
            <v>#N/A</v>
          </cell>
          <cell r="AA1486">
            <v>0</v>
          </cell>
          <cell r="AB1486" t="str">
            <v/>
          </cell>
          <cell r="AC1486" t="str">
            <v/>
          </cell>
          <cell r="AD1486" t="str">
            <v/>
          </cell>
          <cell r="AE1486" t="str">
            <v/>
          </cell>
        </row>
        <row r="1487">
          <cell r="R1487" t="str">
            <v>INT EMS THUR</v>
          </cell>
          <cell r="S1487" t="e">
            <v>#N/A</v>
          </cell>
          <cell r="T1487" t="e">
            <v>#N/A</v>
          </cell>
          <cell r="U1487" t="e">
            <v>#N/A</v>
          </cell>
          <cell r="V1487" t="e">
            <v>#N/A</v>
          </cell>
          <cell r="W1487" t="e">
            <v>#N/A</v>
          </cell>
          <cell r="AA1487">
            <v>0</v>
          </cell>
          <cell r="AB1487" t="str">
            <v/>
          </cell>
          <cell r="AC1487" t="str">
            <v/>
          </cell>
          <cell r="AD1487" t="str">
            <v/>
          </cell>
          <cell r="AE1487" t="str">
            <v/>
          </cell>
        </row>
        <row r="1488">
          <cell r="R1488" t="str">
            <v>INT TGO</v>
          </cell>
          <cell r="S1488" t="e">
            <v>#N/A</v>
          </cell>
          <cell r="T1488" t="e">
            <v>#N/A</v>
          </cell>
          <cell r="U1488" t="e">
            <v>#N/A</v>
          </cell>
          <cell r="V1488" t="e">
            <v>#N/A</v>
          </cell>
          <cell r="W1488" t="e">
            <v>#N/A</v>
          </cell>
          <cell r="AA1488">
            <v>0</v>
          </cell>
          <cell r="AB1488" t="str">
            <v/>
          </cell>
          <cell r="AC1488" t="str">
            <v/>
          </cell>
          <cell r="AD1488" t="str">
            <v/>
          </cell>
          <cell r="AE1488" t="str">
            <v/>
          </cell>
        </row>
        <row r="1489">
          <cell r="R1489" t="str">
            <v>INT TKL</v>
          </cell>
          <cell r="S1489" t="e">
            <v>#N/A</v>
          </cell>
          <cell r="T1489" t="e">
            <v>#N/A</v>
          </cell>
          <cell r="U1489" t="e">
            <v>#N/A</v>
          </cell>
          <cell r="V1489" t="e">
            <v>#N/A</v>
          </cell>
          <cell r="W1489" t="e">
            <v>#N/A</v>
          </cell>
          <cell r="AA1489">
            <v>0</v>
          </cell>
          <cell r="AB1489" t="str">
            <v/>
          </cell>
          <cell r="AC1489" t="str">
            <v/>
          </cell>
          <cell r="AD1489" t="str">
            <v/>
          </cell>
          <cell r="AE1489" t="str">
            <v/>
          </cell>
        </row>
        <row r="1490">
          <cell r="R1490" t="str">
            <v>INT TON TONMO</v>
          </cell>
          <cell r="S1490" t="e">
            <v>#N/A</v>
          </cell>
          <cell r="T1490" t="e">
            <v>#N/A</v>
          </cell>
          <cell r="U1490" t="e">
            <v>#N/A</v>
          </cell>
          <cell r="V1490" t="e">
            <v>#N/A</v>
          </cell>
          <cell r="W1490" t="e">
            <v>#N/A</v>
          </cell>
          <cell r="AA1490">
            <v>0</v>
          </cell>
          <cell r="AB1490" t="str">
            <v/>
          </cell>
          <cell r="AC1490" t="str">
            <v/>
          </cell>
          <cell r="AD1490" t="str">
            <v/>
          </cell>
          <cell r="AE1490" t="str">
            <v/>
          </cell>
        </row>
        <row r="1491">
          <cell r="R1491" t="str">
            <v>INT TON</v>
          </cell>
          <cell r="S1491" t="e">
            <v>#N/A</v>
          </cell>
          <cell r="T1491" t="e">
            <v>#N/A</v>
          </cell>
          <cell r="U1491" t="e">
            <v>#N/A</v>
          </cell>
          <cell r="V1491" t="e">
            <v>#N/A</v>
          </cell>
          <cell r="W1491" t="e">
            <v>#N/A</v>
          </cell>
          <cell r="AA1491">
            <v>0</v>
          </cell>
          <cell r="AB1491" t="str">
            <v/>
          </cell>
          <cell r="AC1491" t="str">
            <v/>
          </cell>
          <cell r="AD1491" t="str">
            <v/>
          </cell>
          <cell r="AE1491" t="str">
            <v/>
          </cell>
        </row>
        <row r="1492">
          <cell r="R1492" t="str">
            <v>INT TTO MOB</v>
          </cell>
          <cell r="S1492" t="e">
            <v>#N/A</v>
          </cell>
          <cell r="T1492" t="e">
            <v>#N/A</v>
          </cell>
          <cell r="U1492" t="e">
            <v>#N/A</v>
          </cell>
          <cell r="V1492" t="e">
            <v>#N/A</v>
          </cell>
          <cell r="W1492" t="e">
            <v>#N/A</v>
          </cell>
          <cell r="AA1492">
            <v>0</v>
          </cell>
          <cell r="AB1492" t="str">
            <v/>
          </cell>
          <cell r="AC1492" t="str">
            <v/>
          </cell>
          <cell r="AD1492" t="str">
            <v/>
          </cell>
          <cell r="AE1492" t="str">
            <v/>
          </cell>
        </row>
        <row r="1493">
          <cell r="R1493" t="str">
            <v>INT TTO</v>
          </cell>
          <cell r="S1493" t="e">
            <v>#N/A</v>
          </cell>
          <cell r="T1493" t="e">
            <v>#N/A</v>
          </cell>
          <cell r="U1493" t="e">
            <v>#N/A</v>
          </cell>
          <cell r="V1493" t="e">
            <v>#N/A</v>
          </cell>
          <cell r="W1493" t="e">
            <v>#N/A</v>
          </cell>
          <cell r="AA1493">
            <v>0</v>
          </cell>
          <cell r="AB1493" t="str">
            <v/>
          </cell>
          <cell r="AC1493" t="str">
            <v/>
          </cell>
          <cell r="AD1493" t="str">
            <v/>
          </cell>
          <cell r="AE1493" t="str">
            <v/>
          </cell>
        </row>
        <row r="1494">
          <cell r="R1494" t="str">
            <v>INT TUN TUNMO</v>
          </cell>
          <cell r="S1494" t="e">
            <v>#N/A</v>
          </cell>
          <cell r="T1494" t="e">
            <v>#N/A</v>
          </cell>
          <cell r="U1494" t="e">
            <v>#N/A</v>
          </cell>
          <cell r="V1494" t="e">
            <v>#N/A</v>
          </cell>
          <cell r="W1494" t="e">
            <v>#N/A</v>
          </cell>
          <cell r="AA1494">
            <v>0</v>
          </cell>
          <cell r="AB1494" t="str">
            <v/>
          </cell>
          <cell r="AC1494" t="str">
            <v/>
          </cell>
          <cell r="AD1494" t="str">
            <v/>
          </cell>
          <cell r="AE1494" t="str">
            <v/>
          </cell>
        </row>
        <row r="1495">
          <cell r="R1495" t="str">
            <v>INT TUN</v>
          </cell>
          <cell r="S1495" t="e">
            <v>#N/A</v>
          </cell>
          <cell r="T1495" t="e">
            <v>#N/A</v>
          </cell>
          <cell r="U1495" t="e">
            <v>#N/A</v>
          </cell>
          <cell r="V1495" t="e">
            <v>#N/A</v>
          </cell>
          <cell r="W1495" t="e">
            <v>#N/A</v>
          </cell>
          <cell r="AA1495">
            <v>0</v>
          </cell>
          <cell r="AB1495" t="str">
            <v/>
          </cell>
          <cell r="AC1495" t="str">
            <v/>
          </cell>
          <cell r="AD1495" t="str">
            <v/>
          </cell>
          <cell r="AE1495" t="str">
            <v/>
          </cell>
        </row>
        <row r="1496">
          <cell r="R1496" t="str">
            <v>INT TKM</v>
          </cell>
          <cell r="S1496" t="e">
            <v>#N/A</v>
          </cell>
          <cell r="T1496" t="e">
            <v>#N/A</v>
          </cell>
          <cell r="U1496" t="e">
            <v>#N/A</v>
          </cell>
          <cell r="V1496" t="e">
            <v>#N/A</v>
          </cell>
          <cell r="W1496" t="e">
            <v>#N/A</v>
          </cell>
          <cell r="AA1496">
            <v>0</v>
          </cell>
          <cell r="AB1496" t="str">
            <v/>
          </cell>
          <cell r="AC1496" t="str">
            <v/>
          </cell>
          <cell r="AD1496" t="str">
            <v/>
          </cell>
          <cell r="AE1496" t="str">
            <v/>
          </cell>
        </row>
        <row r="1497">
          <cell r="R1497" t="str">
            <v>INT TCA</v>
          </cell>
          <cell r="S1497" t="e">
            <v>#N/A</v>
          </cell>
          <cell r="T1497" t="e">
            <v>#N/A</v>
          </cell>
          <cell r="U1497" t="e">
            <v>#N/A</v>
          </cell>
          <cell r="V1497" t="e">
            <v>#N/A</v>
          </cell>
          <cell r="W1497" t="e">
            <v>#N/A</v>
          </cell>
          <cell r="AA1497">
            <v>0</v>
          </cell>
          <cell r="AB1497" t="str">
            <v/>
          </cell>
          <cell r="AC1497" t="str">
            <v/>
          </cell>
          <cell r="AD1497" t="str">
            <v/>
          </cell>
          <cell r="AE1497" t="str">
            <v/>
          </cell>
        </row>
        <row r="1498">
          <cell r="R1498" t="str">
            <v>INT TUV TUVMO</v>
          </cell>
          <cell r="S1498" t="e">
            <v>#N/A</v>
          </cell>
          <cell r="T1498" t="e">
            <v>#N/A</v>
          </cell>
          <cell r="U1498" t="e">
            <v>#N/A</v>
          </cell>
          <cell r="V1498" t="e">
            <v>#N/A</v>
          </cell>
          <cell r="W1498" t="e">
            <v>#N/A</v>
          </cell>
          <cell r="AA1498">
            <v>0</v>
          </cell>
          <cell r="AB1498" t="str">
            <v/>
          </cell>
          <cell r="AC1498" t="str">
            <v/>
          </cell>
          <cell r="AD1498" t="str">
            <v/>
          </cell>
          <cell r="AE1498" t="str">
            <v/>
          </cell>
        </row>
        <row r="1499">
          <cell r="R1499" t="str">
            <v>INT TUV</v>
          </cell>
          <cell r="S1499" t="e">
            <v>#N/A</v>
          </cell>
          <cell r="T1499" t="e">
            <v>#N/A</v>
          </cell>
          <cell r="U1499" t="e">
            <v>#N/A</v>
          </cell>
          <cell r="V1499" t="e">
            <v>#N/A</v>
          </cell>
          <cell r="W1499" t="e">
            <v>#N/A</v>
          </cell>
          <cell r="AA1499">
            <v>0</v>
          </cell>
          <cell r="AB1499" t="str">
            <v/>
          </cell>
          <cell r="AC1499" t="str">
            <v/>
          </cell>
          <cell r="AD1499" t="str">
            <v/>
          </cell>
          <cell r="AE1499" t="str">
            <v/>
          </cell>
        </row>
        <row r="1500">
          <cell r="R1500" t="str">
            <v>INT UGA UGAMO</v>
          </cell>
          <cell r="S1500" t="e">
            <v>#N/A</v>
          </cell>
          <cell r="T1500" t="e">
            <v>#N/A</v>
          </cell>
          <cell r="U1500" t="e">
            <v>#N/A</v>
          </cell>
          <cell r="V1500" t="e">
            <v>#N/A</v>
          </cell>
          <cell r="W1500" t="e">
            <v>#N/A</v>
          </cell>
          <cell r="AA1500">
            <v>0</v>
          </cell>
          <cell r="AB1500" t="str">
            <v/>
          </cell>
          <cell r="AC1500" t="str">
            <v/>
          </cell>
          <cell r="AD1500" t="str">
            <v/>
          </cell>
          <cell r="AE1500" t="str">
            <v/>
          </cell>
        </row>
        <row r="1501">
          <cell r="R1501" t="str">
            <v>INT UGA</v>
          </cell>
          <cell r="S1501" t="e">
            <v>#N/A</v>
          </cell>
          <cell r="T1501" t="e">
            <v>#N/A</v>
          </cell>
          <cell r="U1501" t="e">
            <v>#N/A</v>
          </cell>
          <cell r="V1501" t="e">
            <v>#N/A</v>
          </cell>
          <cell r="W1501" t="e">
            <v>#N/A</v>
          </cell>
          <cell r="AA1501">
            <v>0</v>
          </cell>
          <cell r="AB1501" t="str">
            <v/>
          </cell>
          <cell r="AC1501" t="str">
            <v/>
          </cell>
          <cell r="AD1501" t="str">
            <v/>
          </cell>
          <cell r="AE1501" t="str">
            <v/>
          </cell>
        </row>
        <row r="1502">
          <cell r="R1502" t="str">
            <v>INT UKR UKRMO</v>
          </cell>
          <cell r="S1502" t="e">
            <v>#N/A</v>
          </cell>
          <cell r="T1502" t="e">
            <v>#N/A</v>
          </cell>
          <cell r="U1502" t="e">
            <v>#N/A</v>
          </cell>
          <cell r="V1502" t="e">
            <v>#N/A</v>
          </cell>
          <cell r="W1502" t="e">
            <v>#N/A</v>
          </cell>
          <cell r="AA1502">
            <v>0</v>
          </cell>
          <cell r="AB1502" t="str">
            <v/>
          </cell>
          <cell r="AC1502" t="str">
            <v/>
          </cell>
          <cell r="AD1502" t="str">
            <v/>
          </cell>
          <cell r="AE1502" t="str">
            <v/>
          </cell>
        </row>
        <row r="1503">
          <cell r="R1503" t="str">
            <v>INT UKR</v>
          </cell>
          <cell r="S1503" t="e">
            <v>#N/A</v>
          </cell>
          <cell r="T1503" t="e">
            <v>#N/A</v>
          </cell>
          <cell r="U1503" t="e">
            <v>#N/A</v>
          </cell>
          <cell r="V1503" t="e">
            <v>#N/A</v>
          </cell>
          <cell r="W1503" t="e">
            <v>#N/A</v>
          </cell>
          <cell r="AA1503">
            <v>0</v>
          </cell>
          <cell r="AB1503" t="str">
            <v/>
          </cell>
          <cell r="AC1503" t="str">
            <v/>
          </cell>
          <cell r="AD1503" t="str">
            <v/>
          </cell>
          <cell r="AE1503" t="str">
            <v/>
          </cell>
        </row>
        <row r="1504">
          <cell r="R1504" t="str">
            <v>INT ARE AREMO</v>
          </cell>
          <cell r="S1504" t="e">
            <v>#N/A</v>
          </cell>
          <cell r="T1504" t="e">
            <v>#N/A</v>
          </cell>
          <cell r="U1504" t="e">
            <v>#N/A</v>
          </cell>
          <cell r="V1504" t="e">
            <v>#N/A</v>
          </cell>
          <cell r="W1504" t="e">
            <v>#N/A</v>
          </cell>
          <cell r="AA1504">
            <v>0</v>
          </cell>
          <cell r="AB1504" t="str">
            <v/>
          </cell>
          <cell r="AC1504" t="str">
            <v/>
          </cell>
          <cell r="AD1504" t="str">
            <v/>
          </cell>
          <cell r="AE1504" t="str">
            <v/>
          </cell>
        </row>
        <row r="1505">
          <cell r="R1505" t="str">
            <v>INT ARE</v>
          </cell>
          <cell r="S1505" t="e">
            <v>#N/A</v>
          </cell>
          <cell r="T1505" t="e">
            <v>#N/A</v>
          </cell>
          <cell r="U1505" t="e">
            <v>#N/A</v>
          </cell>
          <cell r="V1505" t="e">
            <v>#N/A</v>
          </cell>
          <cell r="W1505" t="e">
            <v>#N/A</v>
          </cell>
          <cell r="AA1505">
            <v>0</v>
          </cell>
          <cell r="AB1505" t="str">
            <v/>
          </cell>
          <cell r="AC1505" t="str">
            <v/>
          </cell>
          <cell r="AD1505" t="str">
            <v/>
          </cell>
          <cell r="AE1505" t="str">
            <v/>
          </cell>
        </row>
        <row r="1506">
          <cell r="R1506" t="str">
            <v>INT GBR GBRMO</v>
          </cell>
          <cell r="S1506" t="e">
            <v>#N/A</v>
          </cell>
          <cell r="T1506" t="e">
            <v>#N/A</v>
          </cell>
          <cell r="U1506" t="e">
            <v>#N/A</v>
          </cell>
          <cell r="V1506" t="e">
            <v>#N/A</v>
          </cell>
          <cell r="W1506" t="e">
            <v>#N/A</v>
          </cell>
          <cell r="AA1506">
            <v>0</v>
          </cell>
          <cell r="AB1506" t="str">
            <v/>
          </cell>
          <cell r="AC1506" t="str">
            <v/>
          </cell>
          <cell r="AD1506" t="str">
            <v/>
          </cell>
          <cell r="AE1506" t="str">
            <v/>
          </cell>
        </row>
        <row r="1507">
          <cell r="R1507" t="str">
            <v>INT GBR</v>
          </cell>
          <cell r="S1507" t="e">
            <v>#N/A</v>
          </cell>
          <cell r="T1507" t="e">
            <v>#N/A</v>
          </cell>
          <cell r="U1507" t="e">
            <v>#N/A</v>
          </cell>
          <cell r="V1507" t="e">
            <v>#N/A</v>
          </cell>
          <cell r="W1507" t="e">
            <v>#N/A</v>
          </cell>
          <cell r="AA1507">
            <v>0</v>
          </cell>
          <cell r="AB1507" t="str">
            <v/>
          </cell>
          <cell r="AC1507" t="str">
            <v/>
          </cell>
          <cell r="AD1507" t="str">
            <v/>
          </cell>
          <cell r="AE1507" t="str">
            <v/>
          </cell>
        </row>
        <row r="1508">
          <cell r="R1508" t="str">
            <v>INT URY URYMO</v>
          </cell>
          <cell r="S1508" t="e">
            <v>#N/A</v>
          </cell>
          <cell r="T1508" t="e">
            <v>#N/A</v>
          </cell>
          <cell r="U1508" t="e">
            <v>#N/A</v>
          </cell>
          <cell r="V1508" t="e">
            <v>#N/A</v>
          </cell>
          <cell r="W1508" t="e">
            <v>#N/A</v>
          </cell>
          <cell r="AA1508">
            <v>0</v>
          </cell>
          <cell r="AB1508" t="str">
            <v/>
          </cell>
          <cell r="AC1508" t="str">
            <v/>
          </cell>
          <cell r="AD1508" t="str">
            <v/>
          </cell>
          <cell r="AE1508" t="str">
            <v/>
          </cell>
        </row>
        <row r="1509">
          <cell r="R1509" t="str">
            <v>INT URY</v>
          </cell>
          <cell r="S1509" t="e">
            <v>#N/A</v>
          </cell>
          <cell r="T1509" t="e">
            <v>#N/A</v>
          </cell>
          <cell r="U1509" t="e">
            <v>#N/A</v>
          </cell>
          <cell r="V1509" t="e">
            <v>#N/A</v>
          </cell>
          <cell r="W1509" t="e">
            <v>#N/A</v>
          </cell>
          <cell r="AA1509">
            <v>0</v>
          </cell>
          <cell r="AB1509" t="str">
            <v/>
          </cell>
          <cell r="AC1509" t="str">
            <v/>
          </cell>
          <cell r="AD1509" t="str">
            <v/>
          </cell>
          <cell r="AE1509" t="str">
            <v/>
          </cell>
        </row>
        <row r="1510">
          <cell r="R1510" t="str">
            <v>INT USA</v>
          </cell>
          <cell r="S1510" t="e">
            <v>#N/A</v>
          </cell>
          <cell r="T1510" t="e">
            <v>#N/A</v>
          </cell>
          <cell r="U1510" t="e">
            <v>#N/A</v>
          </cell>
          <cell r="V1510" t="e">
            <v>#N/A</v>
          </cell>
          <cell r="W1510" t="e">
            <v>#N/A</v>
          </cell>
          <cell r="AA1510">
            <v>0</v>
          </cell>
          <cell r="AB1510" t="str">
            <v/>
          </cell>
          <cell r="AC1510" t="str">
            <v/>
          </cell>
          <cell r="AD1510" t="str">
            <v/>
          </cell>
          <cell r="AE1510" t="str">
            <v/>
          </cell>
        </row>
        <row r="1511">
          <cell r="R1511" t="str">
            <v>INT USA USAFR</v>
          </cell>
          <cell r="S1511" t="e">
            <v>#N/A</v>
          </cell>
          <cell r="T1511" t="e">
            <v>#N/A</v>
          </cell>
          <cell r="U1511" t="e">
            <v>#N/A</v>
          </cell>
          <cell r="V1511" t="e">
            <v>#N/A</v>
          </cell>
          <cell r="W1511" t="e">
            <v>#N/A</v>
          </cell>
          <cell r="AA1511">
            <v>0</v>
          </cell>
          <cell r="AB1511" t="str">
            <v/>
          </cell>
          <cell r="AC1511" t="str">
            <v/>
          </cell>
          <cell r="AD1511" t="str">
            <v/>
          </cell>
          <cell r="AE1511" t="str">
            <v/>
          </cell>
        </row>
        <row r="1512">
          <cell r="R1512" t="str">
            <v>INT UZB UZBMO</v>
          </cell>
          <cell r="S1512" t="e">
            <v>#N/A</v>
          </cell>
          <cell r="T1512" t="e">
            <v>#N/A</v>
          </cell>
          <cell r="U1512" t="e">
            <v>#N/A</v>
          </cell>
          <cell r="V1512" t="e">
            <v>#N/A</v>
          </cell>
          <cell r="W1512" t="e">
            <v>#N/A</v>
          </cell>
          <cell r="AA1512">
            <v>0</v>
          </cell>
          <cell r="AB1512" t="str">
            <v/>
          </cell>
          <cell r="AC1512" t="str">
            <v/>
          </cell>
          <cell r="AD1512" t="str">
            <v/>
          </cell>
          <cell r="AE1512" t="str">
            <v/>
          </cell>
        </row>
        <row r="1513">
          <cell r="R1513" t="str">
            <v>INT UZB</v>
          </cell>
          <cell r="S1513" t="e">
            <v>#N/A</v>
          </cell>
          <cell r="T1513" t="e">
            <v>#N/A</v>
          </cell>
          <cell r="U1513" t="e">
            <v>#N/A</v>
          </cell>
          <cell r="V1513" t="e">
            <v>#N/A</v>
          </cell>
          <cell r="W1513" t="e">
            <v>#N/A</v>
          </cell>
          <cell r="AA1513">
            <v>0</v>
          </cell>
          <cell r="AB1513" t="str">
            <v/>
          </cell>
          <cell r="AC1513" t="str">
            <v/>
          </cell>
          <cell r="AD1513" t="str">
            <v/>
          </cell>
          <cell r="AE1513" t="str">
            <v/>
          </cell>
        </row>
        <row r="1514">
          <cell r="R1514" t="str">
            <v>INT VUT VUTMO</v>
          </cell>
          <cell r="S1514" t="e">
            <v>#N/A</v>
          </cell>
          <cell r="T1514" t="e">
            <v>#N/A</v>
          </cell>
          <cell r="U1514" t="e">
            <v>#N/A</v>
          </cell>
          <cell r="V1514" t="e">
            <v>#N/A</v>
          </cell>
          <cell r="W1514" t="e">
            <v>#N/A</v>
          </cell>
          <cell r="AA1514">
            <v>0</v>
          </cell>
          <cell r="AB1514" t="str">
            <v/>
          </cell>
          <cell r="AC1514" t="str">
            <v/>
          </cell>
          <cell r="AD1514" t="str">
            <v/>
          </cell>
          <cell r="AE1514" t="str">
            <v/>
          </cell>
        </row>
        <row r="1515">
          <cell r="R1515" t="str">
            <v>INT VUT</v>
          </cell>
          <cell r="S1515" t="e">
            <v>#N/A</v>
          </cell>
          <cell r="T1515" t="e">
            <v>#N/A</v>
          </cell>
          <cell r="U1515" t="e">
            <v>#N/A</v>
          </cell>
          <cell r="V1515" t="e">
            <v>#N/A</v>
          </cell>
          <cell r="W1515" t="e">
            <v>#N/A</v>
          </cell>
          <cell r="AA1515">
            <v>0</v>
          </cell>
          <cell r="AB1515" t="str">
            <v/>
          </cell>
          <cell r="AC1515" t="str">
            <v/>
          </cell>
          <cell r="AD1515" t="str">
            <v/>
          </cell>
          <cell r="AE1515" t="str">
            <v/>
          </cell>
        </row>
        <row r="1516">
          <cell r="R1516" t="str">
            <v>INT VAT</v>
          </cell>
          <cell r="S1516" t="e">
            <v>#N/A</v>
          </cell>
          <cell r="T1516" t="e">
            <v>#N/A</v>
          </cell>
          <cell r="U1516" t="e">
            <v>#N/A</v>
          </cell>
          <cell r="V1516" t="e">
            <v>#N/A</v>
          </cell>
          <cell r="W1516" t="e">
            <v>#N/A</v>
          </cell>
          <cell r="AA1516">
            <v>0</v>
          </cell>
          <cell r="AB1516" t="str">
            <v/>
          </cell>
          <cell r="AC1516" t="str">
            <v/>
          </cell>
          <cell r="AD1516" t="str">
            <v/>
          </cell>
          <cell r="AE1516" t="str">
            <v/>
          </cell>
        </row>
        <row r="1517">
          <cell r="R1517" t="str">
            <v>INT VEN VENMO</v>
          </cell>
          <cell r="S1517" t="e">
            <v>#N/A</v>
          </cell>
          <cell r="T1517" t="e">
            <v>#N/A</v>
          </cell>
          <cell r="U1517" t="e">
            <v>#N/A</v>
          </cell>
          <cell r="V1517" t="e">
            <v>#N/A</v>
          </cell>
          <cell r="W1517" t="e">
            <v>#N/A</v>
          </cell>
          <cell r="AA1517">
            <v>0</v>
          </cell>
          <cell r="AB1517" t="str">
            <v/>
          </cell>
          <cell r="AC1517" t="str">
            <v/>
          </cell>
          <cell r="AD1517" t="str">
            <v/>
          </cell>
          <cell r="AE1517" t="str">
            <v/>
          </cell>
        </row>
        <row r="1518">
          <cell r="R1518" t="str">
            <v>INT VEN</v>
          </cell>
          <cell r="S1518" t="e">
            <v>#N/A</v>
          </cell>
          <cell r="T1518" t="e">
            <v>#N/A</v>
          </cell>
          <cell r="U1518" t="e">
            <v>#N/A</v>
          </cell>
          <cell r="V1518" t="e">
            <v>#N/A</v>
          </cell>
          <cell r="W1518" t="e">
            <v>#N/A</v>
          </cell>
          <cell r="AA1518">
            <v>0</v>
          </cell>
          <cell r="AB1518" t="str">
            <v/>
          </cell>
          <cell r="AC1518" t="str">
            <v/>
          </cell>
          <cell r="AD1518" t="str">
            <v/>
          </cell>
          <cell r="AE1518" t="str">
            <v/>
          </cell>
        </row>
        <row r="1519">
          <cell r="R1519" t="str">
            <v>INT VNM VNMMO</v>
          </cell>
          <cell r="S1519" t="e">
            <v>#N/A</v>
          </cell>
          <cell r="T1519" t="e">
            <v>#N/A</v>
          </cell>
          <cell r="U1519" t="e">
            <v>#N/A</v>
          </cell>
          <cell r="V1519" t="e">
            <v>#N/A</v>
          </cell>
          <cell r="W1519" t="e">
            <v>#N/A</v>
          </cell>
          <cell r="AA1519">
            <v>0</v>
          </cell>
          <cell r="AB1519" t="str">
            <v/>
          </cell>
          <cell r="AC1519" t="str">
            <v/>
          </cell>
          <cell r="AD1519" t="str">
            <v/>
          </cell>
          <cell r="AE1519" t="str">
            <v/>
          </cell>
        </row>
        <row r="1520">
          <cell r="R1520" t="str">
            <v>INT VNM</v>
          </cell>
          <cell r="S1520" t="e">
            <v>#N/A</v>
          </cell>
          <cell r="T1520" t="e">
            <v>#N/A</v>
          </cell>
          <cell r="U1520" t="e">
            <v>#N/A</v>
          </cell>
          <cell r="V1520" t="e">
            <v>#N/A</v>
          </cell>
          <cell r="W1520" t="e">
            <v>#N/A</v>
          </cell>
          <cell r="AA1520">
            <v>0</v>
          </cell>
          <cell r="AB1520" t="str">
            <v/>
          </cell>
          <cell r="AC1520" t="str">
            <v/>
          </cell>
          <cell r="AD1520" t="str">
            <v/>
          </cell>
          <cell r="AE1520" t="str">
            <v/>
          </cell>
        </row>
        <row r="1521">
          <cell r="R1521" t="str">
            <v>INT VGB</v>
          </cell>
          <cell r="S1521" t="e">
            <v>#N/A</v>
          </cell>
          <cell r="T1521" t="e">
            <v>#N/A</v>
          </cell>
          <cell r="U1521" t="e">
            <v>#N/A</v>
          </cell>
          <cell r="V1521" t="e">
            <v>#N/A</v>
          </cell>
          <cell r="W1521" t="e">
            <v>#N/A</v>
          </cell>
          <cell r="AA1521">
            <v>0</v>
          </cell>
          <cell r="AB1521" t="str">
            <v/>
          </cell>
          <cell r="AC1521" t="str">
            <v/>
          </cell>
          <cell r="AD1521" t="str">
            <v/>
          </cell>
          <cell r="AE1521" t="str">
            <v/>
          </cell>
        </row>
        <row r="1522">
          <cell r="R1522" t="str">
            <v>INT VIR</v>
          </cell>
          <cell r="S1522" t="e">
            <v>#N/A</v>
          </cell>
          <cell r="T1522" t="e">
            <v>#N/A</v>
          </cell>
          <cell r="U1522" t="e">
            <v>#N/A</v>
          </cell>
          <cell r="V1522" t="e">
            <v>#N/A</v>
          </cell>
          <cell r="W1522" t="e">
            <v>#N/A</v>
          </cell>
          <cell r="AA1522">
            <v>0</v>
          </cell>
          <cell r="AB1522" t="str">
            <v/>
          </cell>
          <cell r="AC1522" t="str">
            <v/>
          </cell>
          <cell r="AD1522" t="str">
            <v/>
          </cell>
          <cell r="AE1522" t="str">
            <v/>
          </cell>
        </row>
        <row r="1523">
          <cell r="R1523" t="str">
            <v>INT WLF</v>
          </cell>
          <cell r="S1523" t="e">
            <v>#N/A</v>
          </cell>
          <cell r="T1523" t="e">
            <v>#N/A</v>
          </cell>
          <cell r="U1523" t="e">
            <v>#N/A</v>
          </cell>
          <cell r="V1523" t="e">
            <v>#N/A</v>
          </cell>
          <cell r="W1523" t="e">
            <v>#N/A</v>
          </cell>
          <cell r="AA1523">
            <v>0</v>
          </cell>
          <cell r="AB1523" t="str">
            <v/>
          </cell>
          <cell r="AC1523" t="str">
            <v/>
          </cell>
          <cell r="AD1523" t="str">
            <v/>
          </cell>
          <cell r="AE1523" t="str">
            <v/>
          </cell>
        </row>
        <row r="1524">
          <cell r="R1524" t="str">
            <v>INT YEM</v>
          </cell>
          <cell r="S1524" t="e">
            <v>#N/A</v>
          </cell>
          <cell r="T1524" t="e">
            <v>#N/A</v>
          </cell>
          <cell r="U1524" t="e">
            <v>#N/A</v>
          </cell>
          <cell r="V1524" t="e">
            <v>#N/A</v>
          </cell>
          <cell r="W1524" t="e">
            <v>#N/A</v>
          </cell>
          <cell r="AA1524">
            <v>0</v>
          </cell>
          <cell r="AB1524" t="str">
            <v/>
          </cell>
          <cell r="AC1524" t="str">
            <v/>
          </cell>
          <cell r="AD1524" t="str">
            <v/>
          </cell>
          <cell r="AE1524" t="str">
            <v/>
          </cell>
        </row>
        <row r="1525">
          <cell r="R1525" t="str">
            <v>INT ZMB ZMBMO</v>
          </cell>
          <cell r="S1525" t="e">
            <v>#N/A</v>
          </cell>
          <cell r="T1525" t="e">
            <v>#N/A</v>
          </cell>
          <cell r="U1525" t="e">
            <v>#N/A</v>
          </cell>
          <cell r="V1525" t="e">
            <v>#N/A</v>
          </cell>
          <cell r="W1525" t="e">
            <v>#N/A</v>
          </cell>
          <cell r="AA1525">
            <v>0</v>
          </cell>
          <cell r="AB1525" t="str">
            <v/>
          </cell>
          <cell r="AC1525" t="str">
            <v/>
          </cell>
          <cell r="AD1525" t="str">
            <v/>
          </cell>
          <cell r="AE1525" t="str">
            <v/>
          </cell>
        </row>
        <row r="1526">
          <cell r="R1526" t="str">
            <v>INT ZMB</v>
          </cell>
          <cell r="S1526" t="e">
            <v>#N/A</v>
          </cell>
          <cell r="T1526" t="e">
            <v>#N/A</v>
          </cell>
          <cell r="U1526" t="e">
            <v>#N/A</v>
          </cell>
          <cell r="V1526" t="e">
            <v>#N/A</v>
          </cell>
          <cell r="W1526" t="e">
            <v>#N/A</v>
          </cell>
          <cell r="AA1526">
            <v>0</v>
          </cell>
          <cell r="AB1526" t="str">
            <v/>
          </cell>
          <cell r="AC1526" t="str">
            <v/>
          </cell>
          <cell r="AD1526" t="str">
            <v/>
          </cell>
          <cell r="AE1526" t="str">
            <v/>
          </cell>
        </row>
        <row r="1527">
          <cell r="R1527" t="str">
            <v>INT ZWE ZWEMO</v>
          </cell>
          <cell r="S1527" t="e">
            <v>#N/A</v>
          </cell>
          <cell r="T1527" t="e">
            <v>#N/A</v>
          </cell>
          <cell r="U1527" t="e">
            <v>#N/A</v>
          </cell>
          <cell r="V1527" t="e">
            <v>#N/A</v>
          </cell>
          <cell r="W1527" t="e">
            <v>#N/A</v>
          </cell>
          <cell r="AA1527">
            <v>0</v>
          </cell>
          <cell r="AB1527" t="str">
            <v/>
          </cell>
          <cell r="AC1527" t="str">
            <v/>
          </cell>
          <cell r="AD1527" t="str">
            <v/>
          </cell>
          <cell r="AE1527" t="str">
            <v/>
          </cell>
        </row>
        <row r="1528">
          <cell r="R1528" t="str">
            <v>INT ZWE</v>
          </cell>
          <cell r="S1528" t="e">
            <v>#N/A</v>
          </cell>
          <cell r="T1528" t="e">
            <v>#N/A</v>
          </cell>
          <cell r="U1528" t="e">
            <v>#N/A</v>
          </cell>
          <cell r="V1528" t="e">
            <v>#N/A</v>
          </cell>
          <cell r="W1528" t="e">
            <v>#N/A</v>
          </cell>
          <cell r="AA1528">
            <v>0</v>
          </cell>
          <cell r="AB1528" t="str">
            <v/>
          </cell>
          <cell r="AC1528" t="str">
            <v/>
          </cell>
          <cell r="AD1528" t="str">
            <v/>
          </cell>
          <cell r="AE1528" t="str">
            <v/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9">
          <cell r="A9" t="str">
            <v>DOM AUS AUSB1</v>
          </cell>
          <cell r="K9" t="b">
            <v>1</v>
          </cell>
        </row>
        <row r="10">
          <cell r="A10" t="str">
            <v>DOM AUS RESTA</v>
          </cell>
          <cell r="K10" t="b">
            <v>1</v>
          </cell>
        </row>
        <row r="11">
          <cell r="A11" t="str">
            <v>DOM AUS AUSMO</v>
          </cell>
          <cell r="K11" t="b">
            <v>1</v>
          </cell>
        </row>
        <row r="12">
          <cell r="A12" t="str">
            <v>DOM AUS AUSCS</v>
          </cell>
          <cell r="K12" t="b">
            <v>0</v>
          </cell>
        </row>
        <row r="13">
          <cell r="A13" t="str">
            <v>DOM AUS AUSD1</v>
          </cell>
          <cell r="K13" t="b">
            <v>0</v>
          </cell>
        </row>
        <row r="14">
          <cell r="A14" t="str">
            <v>DOM AUS AUSD2</v>
          </cell>
          <cell r="K14" t="b">
            <v>0</v>
          </cell>
        </row>
        <row r="15">
          <cell r="A15" t="str">
            <v>DOM AUS AUSEM</v>
          </cell>
          <cell r="K15" t="b">
            <v>0</v>
          </cell>
        </row>
        <row r="16">
          <cell r="A16" t="str">
            <v>DOM AUS T1300</v>
          </cell>
          <cell r="K16" t="b">
            <v>1</v>
          </cell>
        </row>
        <row r="17">
          <cell r="A17" t="str">
            <v>DOM AUS AUSOR</v>
          </cell>
          <cell r="K17" t="b">
            <v>0</v>
          </cell>
        </row>
        <row r="18">
          <cell r="A18" t="str">
            <v>DOM AUS AUSPS</v>
          </cell>
          <cell r="K18" t="b">
            <v>0</v>
          </cell>
        </row>
        <row r="19">
          <cell r="A19" t="str">
            <v>DOM AUS AUSC1</v>
          </cell>
          <cell r="K19" t="b">
            <v>0</v>
          </cell>
        </row>
        <row r="20">
          <cell r="A20" t="str">
            <v>DOM AUS AUSC2</v>
          </cell>
          <cell r="K20" t="b">
            <v>0</v>
          </cell>
        </row>
        <row r="21">
          <cell r="A21" t="str">
            <v>DOM AUS AUSC3</v>
          </cell>
          <cell r="K21" t="b">
            <v>0</v>
          </cell>
        </row>
        <row r="22">
          <cell r="A22" t="str">
            <v>DOM AUS AUSC4</v>
          </cell>
          <cell r="K22" t="b">
            <v>0</v>
          </cell>
        </row>
        <row r="23">
          <cell r="A23" t="str">
            <v>DOM AUS AUSC5</v>
          </cell>
          <cell r="K23" t="b">
            <v>0</v>
          </cell>
        </row>
        <row r="24">
          <cell r="A24" t="str">
            <v>DOM AUS AUCM1</v>
          </cell>
          <cell r="K24" t="b">
            <v>0</v>
          </cell>
        </row>
        <row r="25">
          <cell r="A25" t="str">
            <v>DOM AUS AUCM2</v>
          </cell>
          <cell r="K25" t="b">
            <v>0</v>
          </cell>
        </row>
        <row r="26">
          <cell r="A26" t="str">
            <v>DOM AUS AUCM3</v>
          </cell>
          <cell r="K26" t="b">
            <v>0</v>
          </cell>
        </row>
        <row r="27">
          <cell r="A27" t="str">
            <v>DOM AUS AUCM4</v>
          </cell>
          <cell r="K27" t="b">
            <v>0</v>
          </cell>
        </row>
        <row r="28">
          <cell r="A28" t="str">
            <v>DOM AUS AUCM5</v>
          </cell>
          <cell r="K28" t="b">
            <v>0</v>
          </cell>
        </row>
        <row r="29">
          <cell r="A29" t="str">
            <v>DOM AUS AUCM6</v>
          </cell>
          <cell r="K29" t="b">
            <v>0</v>
          </cell>
        </row>
        <row r="30">
          <cell r="A30" t="str">
            <v>DOM AUS AUCM7</v>
          </cell>
          <cell r="K30" t="b">
            <v>0</v>
          </cell>
        </row>
        <row r="31">
          <cell r="A31" t="str">
            <v>DOM AUS AUSM1</v>
          </cell>
          <cell r="K31" t="b">
            <v>0</v>
          </cell>
        </row>
        <row r="32">
          <cell r="A32" t="str">
            <v>DOM AUS AUSM2</v>
          </cell>
          <cell r="K32" t="b">
            <v>0</v>
          </cell>
        </row>
        <row r="33">
          <cell r="A33" t="str">
            <v>DOM AUS AUSM3</v>
          </cell>
          <cell r="K33" t="b">
            <v>0</v>
          </cell>
        </row>
        <row r="34">
          <cell r="A34" t="str">
            <v>DOM AUS AUSOP</v>
          </cell>
          <cell r="K34" t="b">
            <v>0</v>
          </cell>
        </row>
        <row r="35">
          <cell r="A35" t="str">
            <v>DOM AUS AUST1</v>
          </cell>
          <cell r="K35" t="b">
            <v>0</v>
          </cell>
        </row>
        <row r="36">
          <cell r="A36" t="str">
            <v>DOM AUS AUST2</v>
          </cell>
          <cell r="K36" t="b">
            <v>0</v>
          </cell>
        </row>
        <row r="37">
          <cell r="A37" t="str">
            <v>DOM AUS AUSFR</v>
          </cell>
          <cell r="K37" t="b">
            <v>0</v>
          </cell>
        </row>
        <row r="38">
          <cell r="A38" t="str">
            <v>DOM AUT ZAUT0</v>
          </cell>
          <cell r="K38" t="b">
            <v>1</v>
          </cell>
        </row>
        <row r="39">
          <cell r="A39" t="str">
            <v>DOM AUT AUNAS</v>
          </cell>
          <cell r="K39" t="b">
            <v>0</v>
          </cell>
        </row>
        <row r="40">
          <cell r="A40" t="str">
            <v>DOM AUT AUNCS</v>
          </cell>
          <cell r="K40" t="b">
            <v>0</v>
          </cell>
        </row>
        <row r="41">
          <cell r="A41" t="str">
            <v>DOM AUT AUNS</v>
          </cell>
          <cell r="K41" t="b">
            <v>0</v>
          </cell>
        </row>
        <row r="42">
          <cell r="A42" t="str">
            <v>DOM AUT AUMKM</v>
          </cell>
          <cell r="K42" t="b">
            <v>1</v>
          </cell>
        </row>
        <row r="43">
          <cell r="A43" t="str">
            <v>DOM AUT AUM1</v>
          </cell>
          <cell r="K43" t="b">
            <v>1</v>
          </cell>
        </row>
        <row r="44">
          <cell r="A44" t="str">
            <v>DOM AUT ZAUT3</v>
          </cell>
          <cell r="K44" t="b">
            <v>1</v>
          </cell>
        </row>
        <row r="45">
          <cell r="A45" t="str">
            <v>DOM AUT AUMTG</v>
          </cell>
          <cell r="K45" t="b">
            <v>1</v>
          </cell>
        </row>
        <row r="46">
          <cell r="A46" t="str">
            <v>DOM AUT ATMT</v>
          </cell>
          <cell r="K46" t="b">
            <v>1</v>
          </cell>
        </row>
        <row r="47">
          <cell r="A47" t="str">
            <v>DOM AUT AUCS</v>
          </cell>
          <cell r="K47" t="b">
            <v>0</v>
          </cell>
        </row>
        <row r="48">
          <cell r="A48" t="str">
            <v>DOM AUT AUDIR</v>
          </cell>
          <cell r="K48" t="b">
            <v>0</v>
          </cell>
        </row>
        <row r="49">
          <cell r="A49" t="str">
            <v>DOM AUT ATDR1</v>
          </cell>
          <cell r="K49" t="b">
            <v>0</v>
          </cell>
        </row>
        <row r="50">
          <cell r="A50" t="str">
            <v>DOM AUT ATDR2</v>
          </cell>
          <cell r="K50" t="b">
            <v>0</v>
          </cell>
        </row>
        <row r="51">
          <cell r="A51" t="str">
            <v>DOM AUT ATDR3</v>
          </cell>
          <cell r="K51" t="b">
            <v>0</v>
          </cell>
        </row>
        <row r="52">
          <cell r="A52" t="str">
            <v>DOM AUT ATDR4</v>
          </cell>
          <cell r="K52" t="b">
            <v>0</v>
          </cell>
        </row>
        <row r="53">
          <cell r="A53" t="str">
            <v>DOM AUT ATDR5</v>
          </cell>
          <cell r="K53" t="b">
            <v>0</v>
          </cell>
        </row>
        <row r="54">
          <cell r="A54" t="str">
            <v>DOM AUT ATDR6</v>
          </cell>
          <cell r="K54" t="b">
            <v>0</v>
          </cell>
        </row>
        <row r="55">
          <cell r="A55" t="str">
            <v>DOM AUT ATDR7</v>
          </cell>
          <cell r="K55" t="b">
            <v>0</v>
          </cell>
        </row>
        <row r="56">
          <cell r="A56" t="str">
            <v>DOM AUT ATDR8</v>
          </cell>
          <cell r="K56" t="b">
            <v>0</v>
          </cell>
        </row>
        <row r="57">
          <cell r="A57" t="str">
            <v>DOM AUT ATDR9</v>
          </cell>
          <cell r="K57" t="b">
            <v>0</v>
          </cell>
        </row>
        <row r="58">
          <cell r="A58" t="str">
            <v>DOM AUT AUSOS</v>
          </cell>
          <cell r="K58" t="b">
            <v>0</v>
          </cell>
        </row>
        <row r="59">
          <cell r="A59" t="str">
            <v>DOM AUT AUEUS</v>
          </cell>
          <cell r="K59" t="b">
            <v>0</v>
          </cell>
        </row>
        <row r="60">
          <cell r="A60" t="str">
            <v>DOM AUT AUMR</v>
          </cell>
          <cell r="K60" t="b">
            <v>0</v>
          </cell>
        </row>
        <row r="61">
          <cell r="A61" t="str">
            <v>DOM AUT AUPR</v>
          </cell>
          <cell r="K61" t="b">
            <v>0</v>
          </cell>
        </row>
        <row r="62">
          <cell r="A62" t="str">
            <v>DOM AUT AUPSN</v>
          </cell>
          <cell r="K62" t="b">
            <v>0</v>
          </cell>
        </row>
        <row r="63">
          <cell r="A63" t="str">
            <v>DOM AUT AU001</v>
          </cell>
          <cell r="K63" t="b">
            <v>0</v>
          </cell>
        </row>
        <row r="64">
          <cell r="A64" t="str">
            <v>DOM AUT AU00A</v>
          </cell>
          <cell r="K64" t="b">
            <v>0</v>
          </cell>
        </row>
        <row r="65">
          <cell r="A65" t="str">
            <v>DOM AUT AU00B</v>
          </cell>
          <cell r="K65" t="b">
            <v>0</v>
          </cell>
        </row>
        <row r="66">
          <cell r="A66" t="str">
            <v>DOM AUT AU00C</v>
          </cell>
          <cell r="K66" t="b">
            <v>0</v>
          </cell>
        </row>
        <row r="67">
          <cell r="A67" t="str">
            <v>DOM AUT AU00D</v>
          </cell>
          <cell r="K67" t="b">
            <v>0</v>
          </cell>
        </row>
        <row r="68">
          <cell r="A68" t="str">
            <v>DOM AUT AU00E</v>
          </cell>
          <cell r="K68" t="b">
            <v>0</v>
          </cell>
        </row>
        <row r="69">
          <cell r="A69" t="str">
            <v>DOM AUT AU00F</v>
          </cell>
          <cell r="K69" t="b">
            <v>0</v>
          </cell>
        </row>
        <row r="70">
          <cell r="A70" t="str">
            <v>DOM AUT AU00G</v>
          </cell>
          <cell r="K70" t="b">
            <v>0</v>
          </cell>
        </row>
        <row r="71">
          <cell r="A71" t="str">
            <v>DOM AUT AU00H</v>
          </cell>
          <cell r="K71" t="b">
            <v>0</v>
          </cell>
        </row>
        <row r="72">
          <cell r="A72" t="str">
            <v>DOM AUT AU00I</v>
          </cell>
          <cell r="K72" t="b">
            <v>0</v>
          </cell>
        </row>
        <row r="73">
          <cell r="A73" t="str">
            <v>DOM AUT AU002</v>
          </cell>
          <cell r="K73" t="b">
            <v>0</v>
          </cell>
        </row>
        <row r="74">
          <cell r="A74" t="str">
            <v>DOM AUT AU003</v>
          </cell>
          <cell r="K74" t="b">
            <v>0</v>
          </cell>
        </row>
        <row r="75">
          <cell r="A75" t="str">
            <v>DOM AUT AU004</v>
          </cell>
          <cell r="K75" t="b">
            <v>0</v>
          </cell>
        </row>
        <row r="76">
          <cell r="A76" t="str">
            <v>DOM AUT AU005</v>
          </cell>
          <cell r="K76" t="b">
            <v>0</v>
          </cell>
        </row>
        <row r="77">
          <cell r="A77" t="str">
            <v>DOM AUT AU006</v>
          </cell>
          <cell r="K77" t="b">
            <v>0</v>
          </cell>
        </row>
        <row r="78">
          <cell r="A78" t="str">
            <v>DOM AUT AU007</v>
          </cell>
          <cell r="K78" t="b">
            <v>0</v>
          </cell>
        </row>
        <row r="79">
          <cell r="A79" t="str">
            <v>DOM AUT AU008</v>
          </cell>
          <cell r="K79" t="b">
            <v>0</v>
          </cell>
        </row>
        <row r="80">
          <cell r="A80" t="str">
            <v>DOM AUT AU009</v>
          </cell>
          <cell r="K80" t="b">
            <v>0</v>
          </cell>
        </row>
        <row r="81">
          <cell r="A81" t="str">
            <v>DOM AUT AU011</v>
          </cell>
          <cell r="K81" t="b">
            <v>0</v>
          </cell>
        </row>
        <row r="82">
          <cell r="A82" t="str">
            <v>DOM AUT AU012</v>
          </cell>
          <cell r="K82" t="b">
            <v>0</v>
          </cell>
        </row>
        <row r="83">
          <cell r="A83" t="str">
            <v>DOM AUT AU013</v>
          </cell>
          <cell r="K83" t="b">
            <v>0</v>
          </cell>
        </row>
        <row r="84">
          <cell r="A84" t="str">
            <v>DOM AUT AU014</v>
          </cell>
          <cell r="K84" t="b">
            <v>0</v>
          </cell>
        </row>
        <row r="85">
          <cell r="A85" t="str">
            <v>DOM AUT AU015</v>
          </cell>
          <cell r="K85" t="b">
            <v>0</v>
          </cell>
        </row>
        <row r="86">
          <cell r="A86" t="str">
            <v>DOM AUT AU016</v>
          </cell>
          <cell r="K86" t="b">
            <v>0</v>
          </cell>
        </row>
        <row r="87">
          <cell r="A87" t="str">
            <v>DOM AUT AU017</v>
          </cell>
          <cell r="K87" t="b">
            <v>0</v>
          </cell>
        </row>
        <row r="88">
          <cell r="A88" t="str">
            <v>DOM AUT AU018</v>
          </cell>
          <cell r="K88" t="b">
            <v>0</v>
          </cell>
        </row>
        <row r="89">
          <cell r="A89" t="str">
            <v>DOM AUT AU019</v>
          </cell>
          <cell r="K89" t="b">
            <v>0</v>
          </cell>
        </row>
        <row r="90">
          <cell r="A90" t="str">
            <v>DOM AUT AU01A</v>
          </cell>
          <cell r="K90" t="b">
            <v>0</v>
          </cell>
        </row>
        <row r="91">
          <cell r="A91" t="str">
            <v>DOM AUT AU01B</v>
          </cell>
          <cell r="K91" t="b">
            <v>0</v>
          </cell>
        </row>
        <row r="92">
          <cell r="A92" t="str">
            <v>DOM AUT AU01C</v>
          </cell>
          <cell r="K92" t="b">
            <v>0</v>
          </cell>
        </row>
        <row r="93">
          <cell r="A93" t="str">
            <v>DOM AUT AU01D</v>
          </cell>
          <cell r="K93" t="b">
            <v>0</v>
          </cell>
        </row>
        <row r="94">
          <cell r="A94" t="str">
            <v>DOM AUT AU01E</v>
          </cell>
          <cell r="K94" t="b">
            <v>0</v>
          </cell>
        </row>
        <row r="95">
          <cell r="A95" t="str">
            <v>DOM AUT AU01F</v>
          </cell>
          <cell r="K95" t="b">
            <v>0</v>
          </cell>
        </row>
        <row r="96">
          <cell r="A96" t="str">
            <v>DOM AUT AU01G</v>
          </cell>
          <cell r="K96" t="b">
            <v>0</v>
          </cell>
        </row>
        <row r="97">
          <cell r="A97" t="str">
            <v>DOM AUT AU01H</v>
          </cell>
          <cell r="K97" t="b">
            <v>0</v>
          </cell>
        </row>
        <row r="98">
          <cell r="A98" t="str">
            <v>DOM AUT AU01I</v>
          </cell>
          <cell r="K98" t="b">
            <v>0</v>
          </cell>
        </row>
        <row r="99">
          <cell r="A99" t="str">
            <v>DOM AUT AU101</v>
          </cell>
          <cell r="K99" t="b">
            <v>0</v>
          </cell>
        </row>
        <row r="100">
          <cell r="A100" t="str">
            <v>DOM AUT AU102</v>
          </cell>
          <cell r="K100" t="b">
            <v>0</v>
          </cell>
        </row>
        <row r="101">
          <cell r="A101" t="str">
            <v>DOM AUT AU103</v>
          </cell>
          <cell r="K101" t="b">
            <v>0</v>
          </cell>
        </row>
        <row r="102">
          <cell r="A102" t="str">
            <v>DOM AUT AU104</v>
          </cell>
          <cell r="K102" t="b">
            <v>0</v>
          </cell>
        </row>
        <row r="103">
          <cell r="A103" t="str">
            <v>DOM AUT AU105</v>
          </cell>
          <cell r="K103" t="b">
            <v>0</v>
          </cell>
        </row>
        <row r="104">
          <cell r="A104" t="str">
            <v>DOM AUT AU201</v>
          </cell>
          <cell r="K104" t="b">
            <v>0</v>
          </cell>
        </row>
        <row r="105">
          <cell r="A105" t="str">
            <v>DOM AUT AU202</v>
          </cell>
          <cell r="K105" t="b">
            <v>0</v>
          </cell>
        </row>
        <row r="106">
          <cell r="A106" t="str">
            <v>DOM AUT AU203</v>
          </cell>
          <cell r="K106" t="b">
            <v>0</v>
          </cell>
        </row>
        <row r="107">
          <cell r="A107" t="str">
            <v>DOM AUT AU204</v>
          </cell>
          <cell r="K107" t="b">
            <v>0</v>
          </cell>
        </row>
        <row r="108">
          <cell r="A108" t="str">
            <v>DOM AUT AU211</v>
          </cell>
          <cell r="K108" t="b">
            <v>0</v>
          </cell>
        </row>
        <row r="109">
          <cell r="A109" t="str">
            <v>DOM AUT AU212</v>
          </cell>
          <cell r="K109" t="b">
            <v>0</v>
          </cell>
        </row>
        <row r="110">
          <cell r="A110" t="str">
            <v>DOM AUT AUFRE</v>
          </cell>
          <cell r="K110" t="b">
            <v>0</v>
          </cell>
        </row>
        <row r="111">
          <cell r="A111" t="str">
            <v>DOM AUT AUWC</v>
          </cell>
          <cell r="K111" t="b">
            <v>0</v>
          </cell>
        </row>
        <row r="112">
          <cell r="A112" t="str">
            <v>DOM BHR FIX</v>
          </cell>
          <cell r="K112" t="b">
            <v>1</v>
          </cell>
        </row>
        <row r="113">
          <cell r="A113" t="str">
            <v>DOM BEL BXL</v>
          </cell>
          <cell r="K113" t="b">
            <v>1</v>
          </cell>
        </row>
        <row r="114">
          <cell r="A114" t="str">
            <v>DOM BEL MOBS</v>
          </cell>
          <cell r="K114" t="b">
            <v>1</v>
          </cell>
        </row>
        <row r="115">
          <cell r="A115" t="str">
            <v>DOM BEL MOBM</v>
          </cell>
          <cell r="K115" t="b">
            <v>1</v>
          </cell>
        </row>
        <row r="116">
          <cell r="A116" t="str">
            <v>DOM BEL MOBO</v>
          </cell>
          <cell r="K116" t="b">
            <v>1</v>
          </cell>
        </row>
        <row r="117">
          <cell r="A117" t="str">
            <v>DOM BEL MOPX</v>
          </cell>
          <cell r="K117" t="b">
            <v>1</v>
          </cell>
        </row>
        <row r="118">
          <cell r="A118" t="str">
            <v>DOM BEL BGASH</v>
          </cell>
          <cell r="K118" t="b">
            <v>0</v>
          </cell>
        </row>
        <row r="119">
          <cell r="A119" t="str">
            <v>DOM BEL EAS3</v>
          </cell>
          <cell r="K119" t="b">
            <v>0</v>
          </cell>
        </row>
        <row r="120">
          <cell r="A120" t="str">
            <v>DOM BEL EAS4</v>
          </cell>
          <cell r="K120" t="b">
            <v>0</v>
          </cell>
        </row>
        <row r="121">
          <cell r="A121" t="str">
            <v>DOM BEL EDD</v>
          </cell>
          <cell r="K121" t="b">
            <v>0</v>
          </cell>
        </row>
        <row r="122">
          <cell r="A122" t="str">
            <v>DOM BEL EDE</v>
          </cell>
          <cell r="K122" t="b">
            <v>0</v>
          </cell>
        </row>
        <row r="123">
          <cell r="A123" t="str">
            <v>DOM BEL EDF</v>
          </cell>
          <cell r="K123" t="b">
            <v>0</v>
          </cell>
        </row>
        <row r="124">
          <cell r="A124" t="str">
            <v>DOM BEL EDO</v>
          </cell>
          <cell r="K124" t="b">
            <v>0</v>
          </cell>
        </row>
        <row r="125">
          <cell r="A125" t="str">
            <v>DOM BEL EAS1</v>
          </cell>
          <cell r="K125" t="b">
            <v>0</v>
          </cell>
        </row>
        <row r="126">
          <cell r="A126" t="str">
            <v>DOM BEL EAS2</v>
          </cell>
          <cell r="K126" t="b">
            <v>0</v>
          </cell>
        </row>
        <row r="127">
          <cell r="A127" t="str">
            <v>DOM BEL BGHLP</v>
          </cell>
          <cell r="K127" t="b">
            <v>0</v>
          </cell>
        </row>
        <row r="128">
          <cell r="A128" t="str">
            <v>DOM BEL PSN</v>
          </cell>
          <cell r="K128" t="b">
            <v>0</v>
          </cell>
        </row>
        <row r="129">
          <cell r="A129" t="str">
            <v>DOM BEL PRM1</v>
          </cell>
          <cell r="K129" t="b">
            <v>0</v>
          </cell>
        </row>
        <row r="130">
          <cell r="A130" t="str">
            <v>DOM BEL PRM2</v>
          </cell>
          <cell r="K130" t="b">
            <v>0</v>
          </cell>
        </row>
        <row r="131">
          <cell r="A131" t="str">
            <v>DOM BEL PRM3</v>
          </cell>
          <cell r="K131" t="b">
            <v>0</v>
          </cell>
        </row>
        <row r="132">
          <cell r="A132" t="str">
            <v>DOM BEL PRM4</v>
          </cell>
          <cell r="K132" t="b">
            <v>0</v>
          </cell>
        </row>
        <row r="133">
          <cell r="A133" t="str">
            <v>DOM BEL PRM5</v>
          </cell>
          <cell r="K133" t="b">
            <v>0</v>
          </cell>
        </row>
        <row r="134">
          <cell r="A134" t="str">
            <v>DOM BEL PRM6</v>
          </cell>
          <cell r="K134" t="b">
            <v>0</v>
          </cell>
        </row>
        <row r="135">
          <cell r="A135" t="str">
            <v>DOM BEL PRM7</v>
          </cell>
          <cell r="K135" t="b">
            <v>0</v>
          </cell>
        </row>
        <row r="136">
          <cell r="A136" t="str">
            <v>DOM BEL PRM8</v>
          </cell>
          <cell r="K136" t="b">
            <v>0</v>
          </cell>
        </row>
        <row r="137">
          <cell r="A137" t="str">
            <v>DOM BEL PRM9</v>
          </cell>
          <cell r="K137" t="b">
            <v>0</v>
          </cell>
        </row>
        <row r="138">
          <cell r="A138" t="str">
            <v>DOM BEL SCS</v>
          </cell>
          <cell r="K138" t="b">
            <v>0</v>
          </cell>
        </row>
        <row r="139">
          <cell r="A139" t="str">
            <v>DOM BEL DTFN</v>
          </cell>
          <cell r="K139" t="b">
            <v>0</v>
          </cell>
        </row>
        <row r="140">
          <cell r="A140" t="str">
            <v>DOM BRA MOB</v>
          </cell>
          <cell r="K140" t="b">
            <v>1</v>
          </cell>
        </row>
        <row r="141">
          <cell r="A141" t="str">
            <v>DOM BRA FIX</v>
          </cell>
          <cell r="K141" t="b">
            <v>1</v>
          </cell>
        </row>
        <row r="142">
          <cell r="A142" t="str">
            <v>DOM BGR MOB</v>
          </cell>
          <cell r="K142" t="b">
            <v>1</v>
          </cell>
        </row>
        <row r="143">
          <cell r="A143" t="str">
            <v>DOM BGR FIX</v>
          </cell>
          <cell r="K143" t="b">
            <v>1</v>
          </cell>
        </row>
        <row r="144">
          <cell r="A144" t="str">
            <v>DOM CAN CAOTH</v>
          </cell>
          <cell r="K144" t="b">
            <v>1</v>
          </cell>
        </row>
        <row r="145">
          <cell r="A145" t="str">
            <v>DOM CHL MOB</v>
          </cell>
          <cell r="K145" t="b">
            <v>1</v>
          </cell>
        </row>
        <row r="146">
          <cell r="A146" t="str">
            <v>DOM CHL FIX</v>
          </cell>
          <cell r="K146" t="b">
            <v>1</v>
          </cell>
        </row>
        <row r="147">
          <cell r="A147" t="str">
            <v>DOM CRI CRI</v>
          </cell>
          <cell r="K147" t="b">
            <v>1</v>
          </cell>
        </row>
        <row r="148">
          <cell r="A148" t="str">
            <v>DOM CRI CRIMO</v>
          </cell>
          <cell r="K148" t="b">
            <v>1</v>
          </cell>
        </row>
        <row r="149">
          <cell r="A149" t="str">
            <v>DOM HRV MOB</v>
          </cell>
          <cell r="K149" t="b">
            <v>1</v>
          </cell>
        </row>
        <row r="150">
          <cell r="A150" t="str">
            <v>DOM HRV HRMT</v>
          </cell>
          <cell r="K150" t="b">
            <v>1</v>
          </cell>
        </row>
        <row r="151">
          <cell r="A151" t="str">
            <v>DOM HRV FIX</v>
          </cell>
          <cell r="K151" t="b">
            <v>1</v>
          </cell>
        </row>
        <row r="152">
          <cell r="A152" t="str">
            <v>DOM CSK CZMT</v>
          </cell>
          <cell r="K152" t="b">
            <v>1</v>
          </cell>
        </row>
        <row r="153">
          <cell r="A153" t="str">
            <v>DOM CSK MOBIL</v>
          </cell>
          <cell r="K153" t="b">
            <v>1</v>
          </cell>
        </row>
        <row r="154">
          <cell r="A154" t="str">
            <v>DOM CSK FIX</v>
          </cell>
          <cell r="K154" t="b">
            <v>1</v>
          </cell>
        </row>
        <row r="155">
          <cell r="A155" t="str">
            <v>DOM CSK WNM</v>
          </cell>
          <cell r="K155" t="b">
            <v>0</v>
          </cell>
        </row>
        <row r="156">
          <cell r="A156" t="str">
            <v>DOM DNK AREA1</v>
          </cell>
          <cell r="K156" t="b">
            <v>1</v>
          </cell>
        </row>
        <row r="157">
          <cell r="A157" t="str">
            <v>DOM DNK AREA3</v>
          </cell>
          <cell r="K157" t="b">
            <v>1</v>
          </cell>
        </row>
        <row r="158">
          <cell r="A158" t="str">
            <v>DOM DNK DKMTE</v>
          </cell>
          <cell r="K158" t="b">
            <v>1</v>
          </cell>
        </row>
        <row r="159">
          <cell r="A159" t="str">
            <v>DOM DNK DKANI</v>
          </cell>
          <cell r="K159" t="b">
            <v>0</v>
          </cell>
        </row>
        <row r="160">
          <cell r="A160" t="str">
            <v>DOM DNK DKCNF</v>
          </cell>
          <cell r="K160" t="b">
            <v>0</v>
          </cell>
        </row>
        <row r="161">
          <cell r="A161" t="str">
            <v>DOM DNK DKCRP</v>
          </cell>
          <cell r="K161" t="b">
            <v>0</v>
          </cell>
        </row>
        <row r="162">
          <cell r="A162" t="str">
            <v>DOM DNK DKDQ2</v>
          </cell>
          <cell r="K162" t="b">
            <v>0</v>
          </cell>
        </row>
        <row r="163">
          <cell r="A163" t="str">
            <v>DOM DNK DKEMG</v>
          </cell>
          <cell r="K163" t="b">
            <v>0</v>
          </cell>
        </row>
        <row r="164">
          <cell r="A164" t="str">
            <v>DOM DNK DKFLX</v>
          </cell>
          <cell r="K164" t="b">
            <v>0</v>
          </cell>
        </row>
        <row r="165">
          <cell r="A165" t="str">
            <v>DOM DNK DKFRE</v>
          </cell>
          <cell r="K165" t="b">
            <v>0</v>
          </cell>
        </row>
        <row r="166">
          <cell r="A166" t="str">
            <v>DOM DNK DKHLT</v>
          </cell>
          <cell r="K166" t="b">
            <v>0</v>
          </cell>
        </row>
        <row r="167">
          <cell r="A167" t="str">
            <v>DOM DNK DKDIQ</v>
          </cell>
          <cell r="K167" t="b">
            <v>0</v>
          </cell>
        </row>
        <row r="168">
          <cell r="A168" t="str">
            <v>DOM DNK DKNEW</v>
          </cell>
          <cell r="K168" t="b">
            <v>0</v>
          </cell>
        </row>
        <row r="169">
          <cell r="A169" t="str">
            <v>DOM DNK DKN2N</v>
          </cell>
          <cell r="K169" t="b">
            <v>0</v>
          </cell>
        </row>
        <row r="170">
          <cell r="A170" t="str">
            <v>DOM DNK DKPOL</v>
          </cell>
          <cell r="K170" t="b">
            <v>0</v>
          </cell>
        </row>
        <row r="171">
          <cell r="A171" t="str">
            <v>DOM DNK DKP01</v>
          </cell>
          <cell r="K171" t="b">
            <v>0</v>
          </cell>
        </row>
        <row r="172">
          <cell r="A172" t="str">
            <v>DOM DNK DKP02</v>
          </cell>
          <cell r="K172" t="b">
            <v>0</v>
          </cell>
        </row>
        <row r="173">
          <cell r="A173" t="str">
            <v>DOM DNK DKP03</v>
          </cell>
          <cell r="K173" t="b">
            <v>0</v>
          </cell>
        </row>
        <row r="174">
          <cell r="A174" t="str">
            <v>DOM DNK DKP04</v>
          </cell>
          <cell r="K174" t="b">
            <v>0</v>
          </cell>
        </row>
        <row r="175">
          <cell r="A175" t="str">
            <v>DOM DNK DKP05</v>
          </cell>
          <cell r="K175" t="b">
            <v>0</v>
          </cell>
        </row>
        <row r="176">
          <cell r="A176" t="str">
            <v>DOM DNK DKP06</v>
          </cell>
          <cell r="K176" t="b">
            <v>0</v>
          </cell>
        </row>
        <row r="177">
          <cell r="A177" t="str">
            <v>DOM DNK DKP07</v>
          </cell>
          <cell r="K177" t="b">
            <v>0</v>
          </cell>
        </row>
        <row r="178">
          <cell r="A178" t="str">
            <v>DOM DNK DKP08</v>
          </cell>
          <cell r="K178" t="b">
            <v>0</v>
          </cell>
        </row>
        <row r="179">
          <cell r="A179" t="str">
            <v>DOM DNK DKP09</v>
          </cell>
          <cell r="K179" t="b">
            <v>0</v>
          </cell>
        </row>
        <row r="180">
          <cell r="A180" t="str">
            <v>DOM DNK DKP10</v>
          </cell>
          <cell r="K180" t="b">
            <v>0</v>
          </cell>
        </row>
        <row r="181">
          <cell r="A181" t="str">
            <v>DOM DNK DKP11</v>
          </cell>
          <cell r="K181" t="b">
            <v>0</v>
          </cell>
        </row>
        <row r="182">
          <cell r="A182" t="str">
            <v>DOM DNK DKP12</v>
          </cell>
          <cell r="K182" t="b">
            <v>0</v>
          </cell>
        </row>
        <row r="183">
          <cell r="A183" t="str">
            <v>DOM DNK DKP13</v>
          </cell>
          <cell r="K183" t="b">
            <v>0</v>
          </cell>
        </row>
        <row r="184">
          <cell r="A184" t="str">
            <v>DOM DNK DKP14</v>
          </cell>
          <cell r="K184" t="b">
            <v>0</v>
          </cell>
        </row>
        <row r="185">
          <cell r="A185" t="str">
            <v>DOM DNK DKP15</v>
          </cell>
          <cell r="K185" t="b">
            <v>0</v>
          </cell>
        </row>
        <row r="186">
          <cell r="A186" t="str">
            <v>DOM DNK DKP18</v>
          </cell>
          <cell r="K186" t="b">
            <v>0</v>
          </cell>
        </row>
        <row r="187">
          <cell r="A187" t="str">
            <v>DOM DNK DKP19</v>
          </cell>
          <cell r="K187" t="b">
            <v>0</v>
          </cell>
        </row>
        <row r="188">
          <cell r="A188" t="str">
            <v>DOM DNK DKP20</v>
          </cell>
          <cell r="K188" t="b">
            <v>0</v>
          </cell>
        </row>
        <row r="189">
          <cell r="A189" t="str">
            <v>DOM DNK DKP21</v>
          </cell>
          <cell r="K189" t="b">
            <v>0</v>
          </cell>
        </row>
        <row r="190">
          <cell r="A190" t="str">
            <v>DOM DNK DKP22</v>
          </cell>
          <cell r="K190" t="b">
            <v>0</v>
          </cell>
        </row>
        <row r="191">
          <cell r="A191" t="str">
            <v>DOM DNK DKP23</v>
          </cell>
          <cell r="K191" t="b">
            <v>0</v>
          </cell>
        </row>
        <row r="192">
          <cell r="A192" t="str">
            <v>DOM DNK DKP24</v>
          </cell>
          <cell r="K192" t="b">
            <v>0</v>
          </cell>
        </row>
        <row r="193">
          <cell r="A193" t="str">
            <v>DOM DNK DKP25</v>
          </cell>
          <cell r="K193" t="b">
            <v>0</v>
          </cell>
        </row>
        <row r="194">
          <cell r="A194" t="str">
            <v>DOM DNK DKP26</v>
          </cell>
          <cell r="K194" t="b">
            <v>0</v>
          </cell>
        </row>
        <row r="195">
          <cell r="A195" t="str">
            <v>DOM DNK DKP27</v>
          </cell>
          <cell r="K195" t="b">
            <v>0</v>
          </cell>
        </row>
        <row r="196">
          <cell r="A196" t="str">
            <v>DOM DNK DKP28</v>
          </cell>
          <cell r="K196" t="b">
            <v>0</v>
          </cell>
        </row>
        <row r="197">
          <cell r="A197" t="str">
            <v>DOM DNK DKP29</v>
          </cell>
          <cell r="K197" t="b">
            <v>0</v>
          </cell>
        </row>
        <row r="198">
          <cell r="A198" t="str">
            <v>DOM DNK DKROI</v>
          </cell>
          <cell r="K198" t="b">
            <v>0</v>
          </cell>
        </row>
        <row r="199">
          <cell r="A199" t="str">
            <v>DOM DNK DKWFC</v>
          </cell>
          <cell r="K199" t="b">
            <v>0</v>
          </cell>
        </row>
        <row r="200">
          <cell r="A200" t="str">
            <v>DOM EST MOB</v>
          </cell>
          <cell r="K200" t="b">
            <v>1</v>
          </cell>
        </row>
        <row r="201">
          <cell r="A201" t="str">
            <v>DOM EST EEMEM</v>
          </cell>
          <cell r="K201" t="b">
            <v>1</v>
          </cell>
        </row>
        <row r="202">
          <cell r="A202" t="str">
            <v>DOM EST FIX</v>
          </cell>
          <cell r="K202" t="b">
            <v>1</v>
          </cell>
        </row>
        <row r="203">
          <cell r="A203" t="str">
            <v>DOM FIN AREA2</v>
          </cell>
          <cell r="K203" t="b">
            <v>1</v>
          </cell>
        </row>
        <row r="204">
          <cell r="A204" t="str">
            <v>DOM FIN FIMSO</v>
          </cell>
          <cell r="K204" t="b">
            <v>1</v>
          </cell>
        </row>
        <row r="205">
          <cell r="A205" t="str">
            <v>DOM FIN AREA1</v>
          </cell>
          <cell r="K205" t="b">
            <v>1</v>
          </cell>
        </row>
        <row r="206">
          <cell r="A206" t="str">
            <v>DOM FIN FIB01</v>
          </cell>
          <cell r="K206" t="b">
            <v>0</v>
          </cell>
        </row>
        <row r="207">
          <cell r="A207" t="str">
            <v>DOM FIN FIB02</v>
          </cell>
          <cell r="K207" t="b">
            <v>0</v>
          </cell>
        </row>
        <row r="208">
          <cell r="A208" t="str">
            <v>DOM FIN FIB03</v>
          </cell>
          <cell r="K208" t="b">
            <v>0</v>
          </cell>
        </row>
        <row r="209">
          <cell r="A209" t="str">
            <v>DOM FIN FIB04</v>
          </cell>
          <cell r="K209" t="b">
            <v>0</v>
          </cell>
        </row>
        <row r="210">
          <cell r="A210" t="str">
            <v>DOM FIN FIB05</v>
          </cell>
          <cell r="K210" t="b">
            <v>0</v>
          </cell>
        </row>
        <row r="211">
          <cell r="A211" t="str">
            <v>DOM FIN FIB06</v>
          </cell>
          <cell r="K211" t="b">
            <v>0</v>
          </cell>
        </row>
        <row r="212">
          <cell r="A212" t="str">
            <v>DOM FIN FIB07</v>
          </cell>
          <cell r="K212" t="b">
            <v>0</v>
          </cell>
        </row>
        <row r="213">
          <cell r="A213" t="str">
            <v>DOM FIN FIB08</v>
          </cell>
          <cell r="K213" t="b">
            <v>0</v>
          </cell>
        </row>
        <row r="214">
          <cell r="A214" t="str">
            <v>DOM FIN FIB09</v>
          </cell>
          <cell r="K214" t="b">
            <v>0</v>
          </cell>
        </row>
        <row r="215">
          <cell r="A215" t="str">
            <v>DOM FIN FIB10</v>
          </cell>
          <cell r="K215" t="b">
            <v>0</v>
          </cell>
        </row>
        <row r="216">
          <cell r="A216" t="str">
            <v>DOM FIN FIB11</v>
          </cell>
          <cell r="K216" t="b">
            <v>0</v>
          </cell>
        </row>
        <row r="217">
          <cell r="A217" t="str">
            <v>DOM FIN FIB12</v>
          </cell>
          <cell r="K217" t="b">
            <v>0</v>
          </cell>
        </row>
        <row r="218">
          <cell r="A218" t="str">
            <v>DOM FIN FIB13</v>
          </cell>
          <cell r="K218" t="b">
            <v>0</v>
          </cell>
        </row>
        <row r="219">
          <cell r="A219" t="str">
            <v>DOM FIN FIB14</v>
          </cell>
          <cell r="K219" t="b">
            <v>0</v>
          </cell>
        </row>
        <row r="220">
          <cell r="A220" t="str">
            <v>DOM FIN FIB15</v>
          </cell>
          <cell r="K220" t="b">
            <v>0</v>
          </cell>
        </row>
        <row r="221">
          <cell r="A221" t="str">
            <v>DOM FIN FIB16</v>
          </cell>
          <cell r="K221" t="b">
            <v>0</v>
          </cell>
        </row>
        <row r="222">
          <cell r="A222" t="str">
            <v>DOM FIN FIB17</v>
          </cell>
          <cell r="K222" t="b">
            <v>0</v>
          </cell>
        </row>
        <row r="223">
          <cell r="A223" t="str">
            <v>DOM FIN FIB18</v>
          </cell>
          <cell r="K223" t="b">
            <v>0</v>
          </cell>
        </row>
        <row r="224">
          <cell r="A224" t="str">
            <v>DOM FIN FIB19</v>
          </cell>
          <cell r="K224" t="b">
            <v>0</v>
          </cell>
        </row>
        <row r="225">
          <cell r="A225" t="str">
            <v>DOM FIN FIB20</v>
          </cell>
          <cell r="K225" t="b">
            <v>0</v>
          </cell>
        </row>
        <row r="226">
          <cell r="A226" t="str">
            <v>DOM FIN FIB21</v>
          </cell>
          <cell r="K226" t="b">
            <v>0</v>
          </cell>
        </row>
        <row r="227">
          <cell r="A227" t="str">
            <v>DOM FIN FIB22</v>
          </cell>
          <cell r="K227" t="b">
            <v>0</v>
          </cell>
        </row>
        <row r="228">
          <cell r="A228" t="str">
            <v>DOM FIN FIB23</v>
          </cell>
          <cell r="K228" t="b">
            <v>0</v>
          </cell>
        </row>
        <row r="229">
          <cell r="A229" t="str">
            <v>DOM FIN FIB24</v>
          </cell>
          <cell r="K229" t="b">
            <v>0</v>
          </cell>
        </row>
        <row r="230">
          <cell r="A230" t="str">
            <v>DOM FIN FIB25</v>
          </cell>
          <cell r="K230" t="b">
            <v>0</v>
          </cell>
        </row>
        <row r="231">
          <cell r="A231" t="str">
            <v>DOM FIN FIB26</v>
          </cell>
          <cell r="K231" t="b">
            <v>0</v>
          </cell>
        </row>
        <row r="232">
          <cell r="A232" t="str">
            <v>DOM FIN FIB27</v>
          </cell>
          <cell r="K232" t="b">
            <v>0</v>
          </cell>
        </row>
        <row r="233">
          <cell r="A233" t="str">
            <v>DOM FIN FIB28</v>
          </cell>
          <cell r="K233" t="b">
            <v>0</v>
          </cell>
        </row>
        <row r="234">
          <cell r="A234" t="str">
            <v>DOM FIN FIB29</v>
          </cell>
          <cell r="K234" t="b">
            <v>0</v>
          </cell>
        </row>
        <row r="235">
          <cell r="A235" t="str">
            <v>DOM FIN FIDIR</v>
          </cell>
          <cell r="K235" t="b">
            <v>0</v>
          </cell>
        </row>
        <row r="236">
          <cell r="A236" t="str">
            <v>DOM FIN FISOS</v>
          </cell>
          <cell r="K236" t="b">
            <v>0</v>
          </cell>
        </row>
        <row r="237">
          <cell r="A237" t="str">
            <v>DOM FIN FITFR</v>
          </cell>
          <cell r="K237" t="b">
            <v>0</v>
          </cell>
        </row>
        <row r="238">
          <cell r="A238" t="str">
            <v>DOM FIN FITS1</v>
          </cell>
          <cell r="K238" t="b">
            <v>0</v>
          </cell>
        </row>
        <row r="239">
          <cell r="A239" t="str">
            <v>DOM FIN FITS2</v>
          </cell>
          <cell r="K239" t="b">
            <v>0</v>
          </cell>
        </row>
        <row r="240">
          <cell r="A240" t="str">
            <v>DOM FRA OFPOP</v>
          </cell>
          <cell r="K240" t="b">
            <v>1</v>
          </cell>
        </row>
        <row r="241">
          <cell r="A241" t="str">
            <v>DOM FRA MOBIL</v>
          </cell>
          <cell r="K241" t="b">
            <v>1</v>
          </cell>
        </row>
        <row r="242">
          <cell r="A242" t="str">
            <v>DOM FRA MOBBO</v>
          </cell>
          <cell r="K242" t="b">
            <v>1</v>
          </cell>
        </row>
        <row r="243">
          <cell r="A243" t="str">
            <v>DOM FRA FRMGL</v>
          </cell>
          <cell r="K243" t="b">
            <v>1</v>
          </cell>
        </row>
        <row r="244">
          <cell r="A244" t="str">
            <v>DOM FRA MOBI1</v>
          </cell>
          <cell r="K244" t="b">
            <v>1</v>
          </cell>
        </row>
        <row r="245">
          <cell r="A245" t="str">
            <v>DOM FRA MOBSF</v>
          </cell>
          <cell r="K245" t="b">
            <v>1</v>
          </cell>
        </row>
        <row r="246">
          <cell r="A246" t="str">
            <v>DOM GUF MOB</v>
          </cell>
          <cell r="K246" t="b">
            <v>1</v>
          </cell>
        </row>
        <row r="247">
          <cell r="A247" t="str">
            <v>DOM GUF FIX</v>
          </cell>
          <cell r="K247" t="b">
            <v>1</v>
          </cell>
        </row>
        <row r="248">
          <cell r="A248" t="str">
            <v>DOM GUF GU1FR</v>
          </cell>
          <cell r="K248" t="b">
            <v>0</v>
          </cell>
        </row>
        <row r="249">
          <cell r="A249" t="str">
            <v>DOM GUF GU1TS</v>
          </cell>
          <cell r="K249" t="b">
            <v>0</v>
          </cell>
        </row>
        <row r="250">
          <cell r="A250" t="str">
            <v>DOM GUF GU300</v>
          </cell>
          <cell r="K250" t="b">
            <v>0</v>
          </cell>
        </row>
        <row r="251">
          <cell r="A251" t="str">
            <v>DOM GUF GU301</v>
          </cell>
          <cell r="K251" t="b">
            <v>0</v>
          </cell>
        </row>
        <row r="252">
          <cell r="A252" t="str">
            <v>DOM GUF GU302</v>
          </cell>
          <cell r="K252" t="b">
            <v>0</v>
          </cell>
        </row>
        <row r="253">
          <cell r="A253" t="str">
            <v>DOM GUF GU303</v>
          </cell>
          <cell r="K253" t="b">
            <v>0</v>
          </cell>
        </row>
        <row r="254">
          <cell r="A254" t="str">
            <v>DOM GUF GU304</v>
          </cell>
          <cell r="K254" t="b">
            <v>0</v>
          </cell>
        </row>
        <row r="255">
          <cell r="A255" t="str">
            <v>DOM GUF GU305</v>
          </cell>
          <cell r="K255" t="b">
            <v>0</v>
          </cell>
        </row>
        <row r="256">
          <cell r="A256" t="str">
            <v>DOM GUF GU306</v>
          </cell>
          <cell r="K256" t="b">
            <v>0</v>
          </cell>
        </row>
        <row r="257">
          <cell r="A257" t="str">
            <v>DOM GUF GU307</v>
          </cell>
          <cell r="K257" t="b">
            <v>0</v>
          </cell>
        </row>
        <row r="258">
          <cell r="A258" t="str">
            <v>DOM GUF GU308</v>
          </cell>
          <cell r="K258" t="b">
            <v>0</v>
          </cell>
        </row>
        <row r="259">
          <cell r="A259" t="str">
            <v>DOM GUF GU309</v>
          </cell>
          <cell r="K259" t="b">
            <v>0</v>
          </cell>
        </row>
        <row r="260">
          <cell r="A260" t="str">
            <v>DOM GUF GU310</v>
          </cell>
          <cell r="K260" t="b">
            <v>0</v>
          </cell>
        </row>
        <row r="261">
          <cell r="A261" t="str">
            <v>DOM GUF GU311</v>
          </cell>
          <cell r="K261" t="b">
            <v>0</v>
          </cell>
        </row>
        <row r="262">
          <cell r="A262" t="str">
            <v>DOM GUF GU312</v>
          </cell>
          <cell r="K262" t="b">
            <v>0</v>
          </cell>
        </row>
        <row r="263">
          <cell r="A263" t="str">
            <v>DOM GUF GU313</v>
          </cell>
          <cell r="K263" t="b">
            <v>0</v>
          </cell>
        </row>
        <row r="264">
          <cell r="A264" t="str">
            <v>DOM GUF GU314</v>
          </cell>
          <cell r="K264" t="b">
            <v>0</v>
          </cell>
        </row>
        <row r="265">
          <cell r="A265" t="str">
            <v>DOM GUF GU315</v>
          </cell>
          <cell r="K265" t="b">
            <v>0</v>
          </cell>
        </row>
        <row r="266">
          <cell r="A266" t="str">
            <v>DOM GUF GU316</v>
          </cell>
          <cell r="K266" t="b">
            <v>0</v>
          </cell>
        </row>
        <row r="267">
          <cell r="A267" t="str">
            <v>DOM GUF GU317</v>
          </cell>
          <cell r="K267" t="b">
            <v>0</v>
          </cell>
        </row>
        <row r="268">
          <cell r="A268" t="str">
            <v>DOM GUF GU318</v>
          </cell>
          <cell r="K268" t="b">
            <v>0</v>
          </cell>
        </row>
        <row r="269">
          <cell r="A269" t="str">
            <v>DOM GUF GU319</v>
          </cell>
          <cell r="K269" t="b">
            <v>0</v>
          </cell>
        </row>
        <row r="270">
          <cell r="A270" t="str">
            <v>DOM GUF GU320</v>
          </cell>
          <cell r="K270" t="b">
            <v>0</v>
          </cell>
        </row>
        <row r="271">
          <cell r="A271" t="str">
            <v>DOM GUF GU321</v>
          </cell>
          <cell r="K271" t="b">
            <v>0</v>
          </cell>
        </row>
        <row r="272">
          <cell r="A272" t="str">
            <v>DOM GUF GUVAS</v>
          </cell>
          <cell r="K272" t="b">
            <v>0</v>
          </cell>
        </row>
        <row r="273">
          <cell r="A273" t="str">
            <v>DOM GUF GUSOS</v>
          </cell>
          <cell r="K273" t="b">
            <v>0</v>
          </cell>
        </row>
        <row r="274">
          <cell r="A274" t="str">
            <v>DOM GUF GU860</v>
          </cell>
          <cell r="K274" t="b">
            <v>0</v>
          </cell>
        </row>
        <row r="275">
          <cell r="A275" t="str">
            <v>DOM GUF GU82H</v>
          </cell>
          <cell r="K275" t="b">
            <v>0</v>
          </cell>
        </row>
        <row r="276">
          <cell r="A276" t="str">
            <v>DOM GUF GU82L</v>
          </cell>
          <cell r="K276" t="b">
            <v>0</v>
          </cell>
        </row>
        <row r="277">
          <cell r="A277" t="str">
            <v>DOM GUF GU825</v>
          </cell>
          <cell r="K277" t="b">
            <v>0</v>
          </cell>
        </row>
        <row r="278">
          <cell r="A278" t="str">
            <v>DOM GUF GU89H</v>
          </cell>
          <cell r="K278" t="b">
            <v>0</v>
          </cell>
        </row>
        <row r="279">
          <cell r="A279" t="str">
            <v>DOM GUF GU89L</v>
          </cell>
          <cell r="K279" t="b">
            <v>0</v>
          </cell>
        </row>
        <row r="280">
          <cell r="A280" t="str">
            <v>DOM GUF GU891</v>
          </cell>
          <cell r="K280" t="b">
            <v>0</v>
          </cell>
        </row>
        <row r="281">
          <cell r="A281" t="str">
            <v>DOM GUF GU892</v>
          </cell>
          <cell r="K281" t="b">
            <v>0</v>
          </cell>
        </row>
        <row r="282">
          <cell r="A282" t="str">
            <v>DOM GUF GU897</v>
          </cell>
          <cell r="K282" t="b">
            <v>0</v>
          </cell>
        </row>
        <row r="283">
          <cell r="A283" t="str">
            <v>DOM GUF GU899</v>
          </cell>
          <cell r="K283" t="b">
            <v>0</v>
          </cell>
        </row>
        <row r="284">
          <cell r="A284" t="str">
            <v>DOM GUF GU006</v>
          </cell>
          <cell r="K284" t="b">
            <v>0</v>
          </cell>
        </row>
        <row r="285">
          <cell r="A285" t="str">
            <v>DOM GUF GU218</v>
          </cell>
          <cell r="K285" t="b">
            <v>0</v>
          </cell>
        </row>
        <row r="286">
          <cell r="A286" t="str">
            <v>DOM GUF GU222</v>
          </cell>
          <cell r="K286" t="b">
            <v>0</v>
          </cell>
        </row>
        <row r="287">
          <cell r="A287" t="str">
            <v>DOM GUF GU700</v>
          </cell>
          <cell r="K287" t="b">
            <v>0</v>
          </cell>
        </row>
        <row r="288">
          <cell r="A288" t="str">
            <v>DOM GUF GU710</v>
          </cell>
          <cell r="K288" t="b">
            <v>0</v>
          </cell>
        </row>
        <row r="289">
          <cell r="A289" t="str">
            <v>DOM GUF GU711</v>
          </cell>
          <cell r="K289" t="b">
            <v>0</v>
          </cell>
        </row>
        <row r="290">
          <cell r="A290" t="str">
            <v>DOM GUF GU712</v>
          </cell>
          <cell r="K290" t="b">
            <v>0</v>
          </cell>
        </row>
        <row r="291">
          <cell r="A291" t="str">
            <v>DOM GUF GU888</v>
          </cell>
          <cell r="K291" t="b">
            <v>0</v>
          </cell>
        </row>
        <row r="292">
          <cell r="A292" t="str">
            <v>DOM GUF GUFRE</v>
          </cell>
          <cell r="K292" t="b">
            <v>0</v>
          </cell>
        </row>
        <row r="293">
          <cell r="A293" t="str">
            <v>DOM GUF GU810</v>
          </cell>
          <cell r="K293" t="b">
            <v>0</v>
          </cell>
        </row>
        <row r="294">
          <cell r="A294" t="str">
            <v>DOM GEO MOB</v>
          </cell>
          <cell r="K294" t="b">
            <v>1</v>
          </cell>
        </row>
        <row r="295">
          <cell r="A295" t="str">
            <v>DOM GEO GEMGE</v>
          </cell>
          <cell r="K295" t="b">
            <v>1</v>
          </cell>
        </row>
        <row r="296">
          <cell r="A296" t="str">
            <v>DOM GEO FIX</v>
          </cell>
          <cell r="K296" t="b">
            <v>1</v>
          </cell>
        </row>
        <row r="297">
          <cell r="A297" t="str">
            <v>DOM GER GEVPN</v>
          </cell>
          <cell r="K297" t="b">
            <v>0</v>
          </cell>
        </row>
        <row r="298">
          <cell r="A298" t="str">
            <v>DOM GER GMOTH</v>
          </cell>
          <cell r="K298" t="b">
            <v>1</v>
          </cell>
        </row>
        <row r="299">
          <cell r="A299" t="str">
            <v>DOM GER GEMEP</v>
          </cell>
          <cell r="K299" t="b">
            <v>1</v>
          </cell>
        </row>
        <row r="300">
          <cell r="A300" t="str">
            <v>DOM GER GEMO2</v>
          </cell>
          <cell r="K300" t="b">
            <v>1</v>
          </cell>
        </row>
        <row r="301">
          <cell r="A301" t="str">
            <v>DOM GER GMMOB</v>
          </cell>
          <cell r="K301" t="b">
            <v>1</v>
          </cell>
        </row>
        <row r="302">
          <cell r="A302" t="str">
            <v>DOM GER GEMTM</v>
          </cell>
          <cell r="K302" t="b">
            <v>1</v>
          </cell>
        </row>
        <row r="303">
          <cell r="A303" t="str">
            <v>DOM GER GEMVO</v>
          </cell>
          <cell r="K303" t="b">
            <v>1</v>
          </cell>
        </row>
        <row r="304">
          <cell r="A304" t="str">
            <v>DOM GER GEDIR</v>
          </cell>
          <cell r="K304" t="b">
            <v>0</v>
          </cell>
        </row>
        <row r="305">
          <cell r="A305" t="str">
            <v>DOM GER GEEMN</v>
          </cell>
          <cell r="K305" t="b">
            <v>0</v>
          </cell>
        </row>
        <row r="306">
          <cell r="A306" t="str">
            <v>DOM GER GEONL</v>
          </cell>
          <cell r="K306" t="b">
            <v>0</v>
          </cell>
        </row>
        <row r="307">
          <cell r="A307" t="str">
            <v>DOM GER PAGE</v>
          </cell>
          <cell r="K307" t="b">
            <v>0</v>
          </cell>
        </row>
        <row r="308">
          <cell r="A308" t="str">
            <v>DOM GER GEPN1</v>
          </cell>
          <cell r="K308" t="b">
            <v>0</v>
          </cell>
        </row>
        <row r="309">
          <cell r="A309" t="str">
            <v>DOM GER GEPAD</v>
          </cell>
          <cell r="K309" t="b">
            <v>0</v>
          </cell>
        </row>
        <row r="310">
          <cell r="A310" t="str">
            <v>DOM GER GEPDL</v>
          </cell>
          <cell r="K310" t="b">
            <v>0</v>
          </cell>
        </row>
        <row r="311">
          <cell r="A311" t="str">
            <v>DOM GER GEPEN</v>
          </cell>
          <cell r="K311" t="b">
            <v>0</v>
          </cell>
        </row>
        <row r="312">
          <cell r="A312" t="str">
            <v>DOM GER GEPIN</v>
          </cell>
          <cell r="K312" t="b">
            <v>0</v>
          </cell>
        </row>
        <row r="313">
          <cell r="A313" t="str">
            <v>DOM GER GETS1</v>
          </cell>
          <cell r="K313" t="b">
            <v>0</v>
          </cell>
        </row>
        <row r="314">
          <cell r="A314" t="str">
            <v>DOM GER GETS2</v>
          </cell>
          <cell r="K314" t="b">
            <v>0</v>
          </cell>
        </row>
        <row r="315">
          <cell r="A315" t="str">
            <v>DOM GER GETS3</v>
          </cell>
          <cell r="K315" t="b">
            <v>0</v>
          </cell>
        </row>
        <row r="316">
          <cell r="A316" t="str">
            <v>DOM GER GETS4</v>
          </cell>
          <cell r="K316" t="b">
            <v>0</v>
          </cell>
        </row>
        <row r="317">
          <cell r="A317" t="str">
            <v>DOM GER GETS5</v>
          </cell>
          <cell r="K317" t="b">
            <v>0</v>
          </cell>
        </row>
        <row r="318">
          <cell r="A318" t="str">
            <v>DOM GER GETS6</v>
          </cell>
          <cell r="K318" t="b">
            <v>0</v>
          </cell>
        </row>
        <row r="319">
          <cell r="A319" t="str">
            <v>DOM GER GETS7</v>
          </cell>
          <cell r="K319" t="b">
            <v>0</v>
          </cell>
        </row>
        <row r="320">
          <cell r="A320" t="str">
            <v>DOM GER GESOC</v>
          </cell>
          <cell r="K320" t="b">
            <v>0</v>
          </cell>
        </row>
        <row r="321">
          <cell r="A321" t="str">
            <v>DOM GER GEV01</v>
          </cell>
          <cell r="K321" t="b">
            <v>0</v>
          </cell>
        </row>
        <row r="322">
          <cell r="A322" t="str">
            <v>DOM GER GEV02</v>
          </cell>
          <cell r="K322" t="b">
            <v>0</v>
          </cell>
        </row>
        <row r="323">
          <cell r="A323" t="str">
            <v>DOM GER GEV03</v>
          </cell>
          <cell r="K323" t="b">
            <v>0</v>
          </cell>
        </row>
        <row r="324">
          <cell r="A324" t="str">
            <v>DOM GER GEV04</v>
          </cell>
          <cell r="K324" t="b">
            <v>0</v>
          </cell>
        </row>
        <row r="325">
          <cell r="A325" t="str">
            <v>DOM GER GEV05</v>
          </cell>
          <cell r="K325" t="b">
            <v>0</v>
          </cell>
        </row>
        <row r="326">
          <cell r="A326" t="str">
            <v>DOM GER GETFR</v>
          </cell>
          <cell r="K326" t="b">
            <v>0</v>
          </cell>
        </row>
        <row r="327">
          <cell r="A327" t="str">
            <v>DOM GIB MOB</v>
          </cell>
          <cell r="K327" t="b">
            <v>1</v>
          </cell>
        </row>
        <row r="328">
          <cell r="A328" t="str">
            <v>DOM GIB FIX</v>
          </cell>
          <cell r="K328" t="b">
            <v>1</v>
          </cell>
        </row>
        <row r="329">
          <cell r="A329" t="str">
            <v>DOM GRC MOBGR</v>
          </cell>
          <cell r="K329" t="b">
            <v>1</v>
          </cell>
        </row>
        <row r="330">
          <cell r="A330" t="str">
            <v>DOM GRC GRMCO</v>
          </cell>
          <cell r="K330" t="b">
            <v>1</v>
          </cell>
        </row>
        <row r="331">
          <cell r="A331" t="str">
            <v>DOM GRC FIXGR</v>
          </cell>
          <cell r="K331" t="b">
            <v>1</v>
          </cell>
        </row>
        <row r="332">
          <cell r="A332" t="str">
            <v>DOM GLP MOB</v>
          </cell>
          <cell r="K332" t="b">
            <v>1</v>
          </cell>
        </row>
        <row r="333">
          <cell r="A333" t="str">
            <v>DOM GLP FIX</v>
          </cell>
          <cell r="K333" t="b">
            <v>1</v>
          </cell>
        </row>
        <row r="334">
          <cell r="A334" t="str">
            <v>DOM GLP GL1FR</v>
          </cell>
          <cell r="K334" t="b">
            <v>0</v>
          </cell>
        </row>
        <row r="335">
          <cell r="A335" t="str">
            <v>DOM GLP GL1TS</v>
          </cell>
          <cell r="K335" t="b">
            <v>0</v>
          </cell>
        </row>
        <row r="336">
          <cell r="A336" t="str">
            <v>DOM GLP GL300</v>
          </cell>
          <cell r="K336" t="b">
            <v>0</v>
          </cell>
        </row>
        <row r="337">
          <cell r="A337" t="str">
            <v>DOM GLP GL301</v>
          </cell>
          <cell r="K337" t="b">
            <v>0</v>
          </cell>
        </row>
        <row r="338">
          <cell r="A338" t="str">
            <v>DOM GLP GL302</v>
          </cell>
          <cell r="K338" t="b">
            <v>0</v>
          </cell>
        </row>
        <row r="339">
          <cell r="A339" t="str">
            <v>DOM GLP GL303</v>
          </cell>
          <cell r="K339" t="b">
            <v>0</v>
          </cell>
        </row>
        <row r="340">
          <cell r="A340" t="str">
            <v>DOM GLP GL304</v>
          </cell>
          <cell r="K340" t="b">
            <v>0</v>
          </cell>
        </row>
        <row r="341">
          <cell r="A341" t="str">
            <v>DOM GLP GL305</v>
          </cell>
          <cell r="K341" t="b">
            <v>0</v>
          </cell>
        </row>
        <row r="342">
          <cell r="A342" t="str">
            <v>DOM GLP GL306</v>
          </cell>
          <cell r="K342" t="b">
            <v>0</v>
          </cell>
        </row>
        <row r="343">
          <cell r="A343" t="str">
            <v>DOM GLP GL307</v>
          </cell>
          <cell r="K343" t="b">
            <v>0</v>
          </cell>
        </row>
        <row r="344">
          <cell r="A344" t="str">
            <v>DOM GLP GL308</v>
          </cell>
          <cell r="K344" t="b">
            <v>0</v>
          </cell>
        </row>
        <row r="345">
          <cell r="A345" t="str">
            <v>DOM GLP GL309</v>
          </cell>
          <cell r="K345" t="b">
            <v>0</v>
          </cell>
        </row>
        <row r="346">
          <cell r="A346" t="str">
            <v>DOM GLP GL310</v>
          </cell>
          <cell r="K346" t="b">
            <v>0</v>
          </cell>
        </row>
        <row r="347">
          <cell r="A347" t="str">
            <v>DOM GLP GL311</v>
          </cell>
          <cell r="K347" t="b">
            <v>0</v>
          </cell>
        </row>
        <row r="348">
          <cell r="A348" t="str">
            <v>DOM GLP GL312</v>
          </cell>
          <cell r="K348" t="b">
            <v>0</v>
          </cell>
        </row>
        <row r="349">
          <cell r="A349" t="str">
            <v>DOM GLP GL313</v>
          </cell>
          <cell r="K349" t="b">
            <v>0</v>
          </cell>
        </row>
        <row r="350">
          <cell r="A350" t="str">
            <v>DOM GLP GL314</v>
          </cell>
          <cell r="K350" t="b">
            <v>0</v>
          </cell>
        </row>
        <row r="351">
          <cell r="A351" t="str">
            <v>DOM GLP GL315</v>
          </cell>
          <cell r="K351" t="b">
            <v>0</v>
          </cell>
        </row>
        <row r="352">
          <cell r="A352" t="str">
            <v>DOM GLP GL316</v>
          </cell>
          <cell r="K352" t="b">
            <v>0</v>
          </cell>
        </row>
        <row r="353">
          <cell r="A353" t="str">
            <v>DOM GLP GL317</v>
          </cell>
          <cell r="K353" t="b">
            <v>0</v>
          </cell>
        </row>
        <row r="354">
          <cell r="A354" t="str">
            <v>DOM GLP GL318</v>
          </cell>
          <cell r="K354" t="b">
            <v>0</v>
          </cell>
        </row>
        <row r="355">
          <cell r="A355" t="str">
            <v>DOM GLP GL319</v>
          </cell>
          <cell r="K355" t="b">
            <v>0</v>
          </cell>
        </row>
        <row r="356">
          <cell r="A356" t="str">
            <v>DOM GLP GL320</v>
          </cell>
          <cell r="K356" t="b">
            <v>0</v>
          </cell>
        </row>
        <row r="357">
          <cell r="A357" t="str">
            <v>DOM GLP GL321</v>
          </cell>
          <cell r="K357" t="b">
            <v>0</v>
          </cell>
        </row>
        <row r="358">
          <cell r="A358" t="str">
            <v>DOM GLP GLVAS</v>
          </cell>
          <cell r="K358" t="b">
            <v>0</v>
          </cell>
        </row>
        <row r="359">
          <cell r="A359" t="str">
            <v>DOM GLP GLSOS</v>
          </cell>
          <cell r="K359" t="b">
            <v>0</v>
          </cell>
        </row>
        <row r="360">
          <cell r="A360" t="str">
            <v>DOM GLP GL860</v>
          </cell>
          <cell r="K360" t="b">
            <v>0</v>
          </cell>
        </row>
        <row r="361">
          <cell r="A361" t="str">
            <v>DOM GLP GL82H</v>
          </cell>
          <cell r="K361" t="b">
            <v>0</v>
          </cell>
        </row>
        <row r="362">
          <cell r="A362" t="str">
            <v>DOM GLP GL82L</v>
          </cell>
          <cell r="K362" t="b">
            <v>0</v>
          </cell>
        </row>
        <row r="363">
          <cell r="A363" t="str">
            <v>DOM GLP GL825</v>
          </cell>
          <cell r="K363" t="b">
            <v>0</v>
          </cell>
        </row>
        <row r="364">
          <cell r="A364" t="str">
            <v>DOM GLP GL89H</v>
          </cell>
          <cell r="K364" t="b">
            <v>0</v>
          </cell>
        </row>
        <row r="365">
          <cell r="A365" t="str">
            <v>DOM GLP GL89L</v>
          </cell>
          <cell r="K365" t="b">
            <v>0</v>
          </cell>
        </row>
        <row r="366">
          <cell r="A366" t="str">
            <v>DOM GLP GL891</v>
          </cell>
          <cell r="K366" t="b">
            <v>0</v>
          </cell>
        </row>
        <row r="367">
          <cell r="A367" t="str">
            <v>DOM GLP GL892</v>
          </cell>
          <cell r="K367" t="b">
            <v>0</v>
          </cell>
        </row>
        <row r="368">
          <cell r="A368" t="str">
            <v>DOM GLP GL897</v>
          </cell>
          <cell r="K368" t="b">
            <v>0</v>
          </cell>
        </row>
        <row r="369">
          <cell r="A369" t="str">
            <v>DOM GLP GL899</v>
          </cell>
          <cell r="K369" t="b">
            <v>0</v>
          </cell>
        </row>
        <row r="370">
          <cell r="A370" t="str">
            <v>DOM GLP GL006</v>
          </cell>
          <cell r="K370" t="b">
            <v>0</v>
          </cell>
        </row>
        <row r="371">
          <cell r="A371" t="str">
            <v>DOM GLP GL218</v>
          </cell>
          <cell r="K371" t="b">
            <v>0</v>
          </cell>
        </row>
        <row r="372">
          <cell r="A372" t="str">
            <v>DOM GLP GL222</v>
          </cell>
          <cell r="K372" t="b">
            <v>0</v>
          </cell>
        </row>
        <row r="373">
          <cell r="A373" t="str">
            <v>DOM GLP GL700</v>
          </cell>
          <cell r="K373" t="b">
            <v>0</v>
          </cell>
        </row>
        <row r="374">
          <cell r="A374" t="str">
            <v>DOM GLP GL710</v>
          </cell>
          <cell r="K374" t="b">
            <v>0</v>
          </cell>
        </row>
        <row r="375">
          <cell r="A375" t="str">
            <v>DOM GLP GL711</v>
          </cell>
          <cell r="K375" t="b">
            <v>0</v>
          </cell>
        </row>
        <row r="376">
          <cell r="A376" t="str">
            <v>DOM GLP GL712</v>
          </cell>
          <cell r="K376" t="b">
            <v>0</v>
          </cell>
        </row>
        <row r="377">
          <cell r="A377" t="str">
            <v>DOM GLP GL888</v>
          </cell>
          <cell r="K377" t="b">
            <v>0</v>
          </cell>
        </row>
        <row r="378">
          <cell r="A378" t="str">
            <v>DOM GLP GLFRE</v>
          </cell>
          <cell r="K378" t="b">
            <v>0</v>
          </cell>
        </row>
        <row r="379">
          <cell r="A379" t="str">
            <v>DOM GLP GL810</v>
          </cell>
          <cell r="K379" t="b">
            <v>0</v>
          </cell>
        </row>
        <row r="380">
          <cell r="A380" t="str">
            <v>DOM GUM FIX</v>
          </cell>
          <cell r="K380" t="b">
            <v>1</v>
          </cell>
        </row>
        <row r="381">
          <cell r="A381" t="str">
            <v>DOM HKG MOB</v>
          </cell>
          <cell r="K381" t="b">
            <v>1</v>
          </cell>
        </row>
        <row r="382">
          <cell r="A382" t="str">
            <v>DOM HKG HKG1</v>
          </cell>
          <cell r="K382" t="b">
            <v>1</v>
          </cell>
        </row>
        <row r="383">
          <cell r="A383" t="str">
            <v>DOM HKG HKACC</v>
          </cell>
          <cell r="K383" t="b">
            <v>0</v>
          </cell>
        </row>
        <row r="384">
          <cell r="A384" t="str">
            <v>DOM HKG HKDIR</v>
          </cell>
          <cell r="K384" t="b">
            <v>0</v>
          </cell>
        </row>
        <row r="385">
          <cell r="A385" t="str">
            <v>DOM HKG HKSOS</v>
          </cell>
          <cell r="K385" t="b">
            <v>0</v>
          </cell>
        </row>
        <row r="386">
          <cell r="A386" t="str">
            <v>DOM HKG HKHLP</v>
          </cell>
          <cell r="K386" t="b">
            <v>0</v>
          </cell>
        </row>
        <row r="387">
          <cell r="A387" t="str">
            <v>DOM HKG HKPAG</v>
          </cell>
          <cell r="K387" t="b">
            <v>0</v>
          </cell>
        </row>
        <row r="388">
          <cell r="A388" t="str">
            <v>DOM HKG HKTIM</v>
          </cell>
          <cell r="K388" t="b">
            <v>0</v>
          </cell>
        </row>
        <row r="389">
          <cell r="A389" t="str">
            <v>DOM HKG HKFRE</v>
          </cell>
          <cell r="K389" t="b">
            <v>0</v>
          </cell>
        </row>
        <row r="390">
          <cell r="A390" t="str">
            <v>DOM HKG HKVAS</v>
          </cell>
          <cell r="K390" t="b">
            <v>0</v>
          </cell>
        </row>
        <row r="391">
          <cell r="A391" t="str">
            <v>DOM HUN MOBIL</v>
          </cell>
          <cell r="K391" t="b">
            <v>1</v>
          </cell>
        </row>
        <row r="392">
          <cell r="A392" t="str">
            <v>DOM HUN HUMT</v>
          </cell>
          <cell r="K392" t="b">
            <v>1</v>
          </cell>
        </row>
        <row r="393">
          <cell r="A393" t="str">
            <v>DOM HUN FIX</v>
          </cell>
          <cell r="K393" t="b">
            <v>1</v>
          </cell>
        </row>
        <row r="394">
          <cell r="A394" t="str">
            <v>DOM HUN T40</v>
          </cell>
          <cell r="K394" t="b">
            <v>0</v>
          </cell>
        </row>
        <row r="395">
          <cell r="A395" t="str">
            <v>DOM ISL ISLMO</v>
          </cell>
          <cell r="K395" t="b">
            <v>1</v>
          </cell>
        </row>
        <row r="396">
          <cell r="A396" t="str">
            <v>DOM ISL ISL01</v>
          </cell>
          <cell r="K396" t="b">
            <v>1</v>
          </cell>
        </row>
        <row r="397">
          <cell r="A397" t="str">
            <v>DOM IRL DUBAR</v>
          </cell>
          <cell r="K397" t="b">
            <v>1</v>
          </cell>
        </row>
        <row r="398">
          <cell r="A398" t="str">
            <v>DOM IRL MOBAR</v>
          </cell>
          <cell r="K398" t="b">
            <v>1</v>
          </cell>
        </row>
        <row r="399">
          <cell r="A399" t="str">
            <v>DOM IRL IEMBE</v>
          </cell>
          <cell r="K399" t="b">
            <v>0</v>
          </cell>
        </row>
        <row r="400">
          <cell r="A400" t="str">
            <v>DOM IRL IECSS</v>
          </cell>
          <cell r="K400" t="b">
            <v>0</v>
          </cell>
        </row>
        <row r="401">
          <cell r="A401" t="str">
            <v>DOM IRL IEDQS</v>
          </cell>
          <cell r="K401" t="b">
            <v>0</v>
          </cell>
        </row>
        <row r="402">
          <cell r="A402" t="str">
            <v>DOM IRL IEEHS</v>
          </cell>
          <cell r="K402" t="b">
            <v>0</v>
          </cell>
        </row>
        <row r="403">
          <cell r="A403" t="str">
            <v>DOM IRL IEFRE</v>
          </cell>
          <cell r="K403" t="b">
            <v>0</v>
          </cell>
        </row>
        <row r="404">
          <cell r="A404" t="str">
            <v>DOM IRL IEHHS</v>
          </cell>
          <cell r="K404" t="b">
            <v>0</v>
          </cell>
        </row>
        <row r="405">
          <cell r="A405" t="str">
            <v>DOM IRL IEPFF</v>
          </cell>
          <cell r="K405" t="b">
            <v>0</v>
          </cell>
        </row>
        <row r="406">
          <cell r="A406" t="str">
            <v>DOM IRL IEILO</v>
          </cell>
          <cell r="K406" t="b">
            <v>0</v>
          </cell>
        </row>
        <row r="407">
          <cell r="A407" t="str">
            <v>DOM IRL IEPYG</v>
          </cell>
          <cell r="K407" t="b">
            <v>0</v>
          </cell>
        </row>
        <row r="408">
          <cell r="A408" t="str">
            <v>DOM IRL IEPNS</v>
          </cell>
          <cell r="K408" t="b">
            <v>0</v>
          </cell>
        </row>
        <row r="409">
          <cell r="A409" t="str">
            <v>DOM IRL IEPC1</v>
          </cell>
          <cell r="K409" t="b">
            <v>0</v>
          </cell>
        </row>
        <row r="410">
          <cell r="A410" t="str">
            <v>DOM IRL IEPC2</v>
          </cell>
          <cell r="K410" t="b">
            <v>0</v>
          </cell>
        </row>
        <row r="411">
          <cell r="A411" t="str">
            <v>DOM IRL IEPC3</v>
          </cell>
          <cell r="K411" t="b">
            <v>0</v>
          </cell>
        </row>
        <row r="412">
          <cell r="A412" t="str">
            <v>DOM IRL IEPC4</v>
          </cell>
          <cell r="K412" t="b">
            <v>0</v>
          </cell>
        </row>
        <row r="413">
          <cell r="A413" t="str">
            <v>DOM IRL IEPC5</v>
          </cell>
          <cell r="K413" t="b">
            <v>0</v>
          </cell>
        </row>
        <row r="414">
          <cell r="A414" t="str">
            <v>DOM IRL IEPC6</v>
          </cell>
          <cell r="K414" t="b">
            <v>0</v>
          </cell>
        </row>
        <row r="415">
          <cell r="A415" t="str">
            <v>DOM IRL IEPC7</v>
          </cell>
          <cell r="K415" t="b">
            <v>0</v>
          </cell>
        </row>
        <row r="416">
          <cell r="A416" t="str">
            <v>DOM IRL IEPM1</v>
          </cell>
          <cell r="K416" t="b">
            <v>0</v>
          </cell>
        </row>
        <row r="417">
          <cell r="A417" t="str">
            <v>DOM IRL IEPM2</v>
          </cell>
          <cell r="K417" t="b">
            <v>0</v>
          </cell>
        </row>
        <row r="418">
          <cell r="A418" t="str">
            <v>DOM IRL IEPM3</v>
          </cell>
          <cell r="K418" t="b">
            <v>0</v>
          </cell>
        </row>
        <row r="419">
          <cell r="A419" t="str">
            <v>DOM IRL IEPM4</v>
          </cell>
          <cell r="K419" t="b">
            <v>0</v>
          </cell>
        </row>
        <row r="420">
          <cell r="A420" t="str">
            <v>DOM IRL IEPM5</v>
          </cell>
          <cell r="K420" t="b">
            <v>0</v>
          </cell>
        </row>
        <row r="421">
          <cell r="A421" t="str">
            <v>DOM IRL IEPM6</v>
          </cell>
          <cell r="K421" t="b">
            <v>0</v>
          </cell>
        </row>
        <row r="422">
          <cell r="A422" t="str">
            <v>DOM IRL IEPM7</v>
          </cell>
          <cell r="K422" t="b">
            <v>0</v>
          </cell>
        </row>
        <row r="423">
          <cell r="A423" t="str">
            <v>DOM IRL IEPM8</v>
          </cell>
          <cell r="K423" t="b">
            <v>0</v>
          </cell>
        </row>
        <row r="424">
          <cell r="A424" t="str">
            <v>DOM IRL IESCC</v>
          </cell>
          <cell r="K424" t="b">
            <v>0</v>
          </cell>
        </row>
        <row r="425">
          <cell r="A425" t="str">
            <v>DOM IRL IESCM</v>
          </cell>
          <cell r="K425" t="b">
            <v>0</v>
          </cell>
        </row>
        <row r="426">
          <cell r="A426" t="str">
            <v>DOM IRL IEUAS</v>
          </cell>
          <cell r="K426" t="b">
            <v>0</v>
          </cell>
        </row>
        <row r="427">
          <cell r="A427" t="str">
            <v>DOM IRL IEIPN</v>
          </cell>
          <cell r="K427" t="b">
            <v>0</v>
          </cell>
        </row>
        <row r="428">
          <cell r="A428" t="str">
            <v>DOM ITA REST</v>
          </cell>
          <cell r="K428" t="b">
            <v>1</v>
          </cell>
        </row>
        <row r="429">
          <cell r="A429" t="str">
            <v>DOM ITA ZITA7</v>
          </cell>
          <cell r="K429" t="b">
            <v>1</v>
          </cell>
        </row>
        <row r="430">
          <cell r="A430" t="str">
            <v>DOM ITA ZITA9</v>
          </cell>
          <cell r="K430" t="b">
            <v>1</v>
          </cell>
        </row>
        <row r="431">
          <cell r="A431" t="str">
            <v>DOM ITA ZITA8</v>
          </cell>
          <cell r="K431" t="b">
            <v>1</v>
          </cell>
        </row>
        <row r="432">
          <cell r="A432" t="str">
            <v>DOM ITA ZIT10</v>
          </cell>
          <cell r="K432" t="b">
            <v>1</v>
          </cell>
        </row>
        <row r="433">
          <cell r="A433" t="str">
            <v>DOM ITA ITPR5</v>
          </cell>
          <cell r="K433" t="b">
            <v>0</v>
          </cell>
        </row>
        <row r="434">
          <cell r="A434" t="str">
            <v>DOM ITA ITCCS</v>
          </cell>
          <cell r="K434" t="b">
            <v>0</v>
          </cell>
        </row>
        <row r="435">
          <cell r="A435" t="str">
            <v>DOM ITA ITDIR</v>
          </cell>
          <cell r="K435" t="b">
            <v>0</v>
          </cell>
        </row>
        <row r="436">
          <cell r="A436" t="str">
            <v>DOM ITA ITSOS</v>
          </cell>
          <cell r="K436" t="b">
            <v>0</v>
          </cell>
        </row>
        <row r="437">
          <cell r="A437" t="str">
            <v>DOM ITA ITPR7</v>
          </cell>
          <cell r="K437" t="b">
            <v>0</v>
          </cell>
        </row>
        <row r="438">
          <cell r="A438" t="str">
            <v>DOM ITA ITEUN</v>
          </cell>
          <cell r="K438" t="b">
            <v>0</v>
          </cell>
        </row>
        <row r="439">
          <cell r="A439" t="str">
            <v>DOM ITA ITIA1</v>
          </cell>
          <cell r="K439" t="b">
            <v>0</v>
          </cell>
        </row>
        <row r="440">
          <cell r="A440" t="str">
            <v>DOM ITA ITPR4</v>
          </cell>
          <cell r="K440" t="b">
            <v>0</v>
          </cell>
        </row>
        <row r="441">
          <cell r="A441" t="str">
            <v>DOM ITA ITPR3</v>
          </cell>
          <cell r="K441" t="b">
            <v>0</v>
          </cell>
        </row>
        <row r="442">
          <cell r="A442" t="str">
            <v>DOM ITA ITSC3</v>
          </cell>
          <cell r="K442" t="b">
            <v>0</v>
          </cell>
        </row>
        <row r="443">
          <cell r="A443" t="str">
            <v>DOM ITA ITIA2</v>
          </cell>
          <cell r="K443" t="b">
            <v>0</v>
          </cell>
        </row>
        <row r="444">
          <cell r="A444" t="str">
            <v>DOM ITA ITIA3</v>
          </cell>
          <cell r="K444" t="b">
            <v>0</v>
          </cell>
        </row>
        <row r="445">
          <cell r="A445" t="str">
            <v>DOM ITA ITIA4</v>
          </cell>
          <cell r="K445" t="b">
            <v>0</v>
          </cell>
        </row>
        <row r="446">
          <cell r="A446" t="str">
            <v>DOM ITA ITPR6</v>
          </cell>
          <cell r="K446" t="b">
            <v>0</v>
          </cell>
        </row>
        <row r="447">
          <cell r="A447" t="str">
            <v>DOM ITA ITNOM</v>
          </cell>
          <cell r="K447" t="b">
            <v>0</v>
          </cell>
        </row>
        <row r="448">
          <cell r="A448" t="str">
            <v>DOM ITA ITPB1</v>
          </cell>
          <cell r="K448" t="b">
            <v>0</v>
          </cell>
        </row>
        <row r="449">
          <cell r="A449" t="str">
            <v>DOM ITA ITPRA</v>
          </cell>
          <cell r="K449" t="b">
            <v>0</v>
          </cell>
        </row>
        <row r="450">
          <cell r="A450" t="str">
            <v>DOM ITA ITPRB</v>
          </cell>
          <cell r="K450" t="b">
            <v>0</v>
          </cell>
        </row>
        <row r="451">
          <cell r="A451" t="str">
            <v>DOM ITA ITPRC</v>
          </cell>
          <cell r="K451" t="b">
            <v>0</v>
          </cell>
        </row>
        <row r="452">
          <cell r="A452" t="str">
            <v>DOM ITA ITPRD</v>
          </cell>
          <cell r="K452" t="b">
            <v>0</v>
          </cell>
        </row>
        <row r="453">
          <cell r="A453" t="str">
            <v>DOM ITA ITPRE</v>
          </cell>
          <cell r="K453" t="b">
            <v>0</v>
          </cell>
        </row>
        <row r="454">
          <cell r="A454" t="str">
            <v>DOM ITA ITPRF</v>
          </cell>
          <cell r="K454" t="b">
            <v>0</v>
          </cell>
        </row>
        <row r="455">
          <cell r="A455" t="str">
            <v>DOM ITA ITVPN</v>
          </cell>
          <cell r="K455" t="b">
            <v>0</v>
          </cell>
        </row>
        <row r="456">
          <cell r="A456" t="str">
            <v>DOM ITA ITSAT</v>
          </cell>
          <cell r="K456" t="b">
            <v>1</v>
          </cell>
        </row>
        <row r="457">
          <cell r="A457" t="str">
            <v>DOM ITA ITSC1</v>
          </cell>
          <cell r="K457" t="b">
            <v>1</v>
          </cell>
        </row>
        <row r="458">
          <cell r="A458" t="str">
            <v>DOM ITA ITSC2</v>
          </cell>
          <cell r="K458" t="b">
            <v>0</v>
          </cell>
        </row>
        <row r="459">
          <cell r="A459" t="str">
            <v>DOM ITA ITSC4</v>
          </cell>
          <cell r="K459" t="b">
            <v>0</v>
          </cell>
        </row>
        <row r="460">
          <cell r="A460" t="str">
            <v>DOM ITA ITSC0</v>
          </cell>
          <cell r="K460" t="b">
            <v>0</v>
          </cell>
        </row>
        <row r="461">
          <cell r="A461" t="str">
            <v>DOM ITA ITSB1</v>
          </cell>
          <cell r="K461" t="b">
            <v>0</v>
          </cell>
        </row>
        <row r="462">
          <cell r="A462" t="str">
            <v>DOM ITA ITSB2</v>
          </cell>
          <cell r="K462" t="b">
            <v>0</v>
          </cell>
        </row>
        <row r="463">
          <cell r="A463" t="str">
            <v>DOM ITA ITSSV</v>
          </cell>
          <cell r="K463" t="b">
            <v>0</v>
          </cell>
        </row>
        <row r="464">
          <cell r="A464" t="str">
            <v>DOM ITA ITFRE</v>
          </cell>
          <cell r="K464" t="b">
            <v>0</v>
          </cell>
        </row>
        <row r="465">
          <cell r="A465" t="str">
            <v>DOM ITA ITSHN</v>
          </cell>
          <cell r="K465" t="b">
            <v>0</v>
          </cell>
        </row>
        <row r="466">
          <cell r="A466" t="str">
            <v>DOM JAM MOB</v>
          </cell>
          <cell r="K466" t="b">
            <v>1</v>
          </cell>
        </row>
        <row r="467">
          <cell r="A467" t="str">
            <v>DOM JAM FIX</v>
          </cell>
          <cell r="K467" t="b">
            <v>1</v>
          </cell>
        </row>
        <row r="468">
          <cell r="A468" t="str">
            <v>DOM JPN CJPN3</v>
          </cell>
          <cell r="K468" t="b">
            <v>1</v>
          </cell>
        </row>
        <row r="469">
          <cell r="A469" t="str">
            <v>DOM JPN OPAR</v>
          </cell>
          <cell r="K469" t="b">
            <v>1</v>
          </cell>
        </row>
        <row r="470">
          <cell r="A470" t="str">
            <v>DOM KEN KEFIX</v>
          </cell>
          <cell r="K470" t="b">
            <v>1</v>
          </cell>
        </row>
        <row r="471">
          <cell r="A471" t="str">
            <v>DOM KEN KEMOB</v>
          </cell>
          <cell r="K471" t="b">
            <v>1</v>
          </cell>
        </row>
        <row r="472">
          <cell r="A472" t="str">
            <v>DOM KOR KMOB</v>
          </cell>
          <cell r="K472" t="b">
            <v>1</v>
          </cell>
        </row>
        <row r="473">
          <cell r="A473" t="str">
            <v>DOM KOR SKOR</v>
          </cell>
          <cell r="K473" t="b">
            <v>1</v>
          </cell>
        </row>
        <row r="474">
          <cell r="A474" t="str">
            <v>DOM LVA MOB</v>
          </cell>
          <cell r="K474" t="b">
            <v>1</v>
          </cell>
        </row>
        <row r="475">
          <cell r="A475" t="str">
            <v>DOM LVA LVMLM</v>
          </cell>
          <cell r="K475" t="b">
            <v>1</v>
          </cell>
        </row>
        <row r="476">
          <cell r="A476" t="str">
            <v>DOM LVA FIX</v>
          </cell>
          <cell r="K476" t="b">
            <v>1</v>
          </cell>
        </row>
        <row r="477">
          <cell r="A477" t="str">
            <v>DOM LIE MOB</v>
          </cell>
          <cell r="K477" t="b">
            <v>1</v>
          </cell>
        </row>
        <row r="478">
          <cell r="A478" t="str">
            <v>DOM LIE LIMOR</v>
          </cell>
          <cell r="K478" t="b">
            <v>1</v>
          </cell>
        </row>
        <row r="479">
          <cell r="A479" t="str">
            <v>DOM LIE FIX</v>
          </cell>
          <cell r="K479" t="b">
            <v>1</v>
          </cell>
        </row>
        <row r="480">
          <cell r="A480" t="str">
            <v>DOM LTU MOB</v>
          </cell>
          <cell r="K480" t="b">
            <v>1</v>
          </cell>
        </row>
        <row r="481">
          <cell r="A481" t="str">
            <v>DOM LTU LTMOM</v>
          </cell>
          <cell r="K481" t="b">
            <v>1</v>
          </cell>
        </row>
        <row r="482">
          <cell r="A482" t="str">
            <v>DOM LTU FIX</v>
          </cell>
          <cell r="K482" t="b">
            <v>1</v>
          </cell>
        </row>
        <row r="483">
          <cell r="A483" t="str">
            <v>DOM LUX AREA1</v>
          </cell>
          <cell r="K483" t="b">
            <v>1</v>
          </cell>
        </row>
        <row r="484">
          <cell r="A484" t="str">
            <v>DOM LUX AREA6</v>
          </cell>
          <cell r="K484" t="b">
            <v>0</v>
          </cell>
        </row>
        <row r="485">
          <cell r="A485" t="str">
            <v>DOM LUX LXNS2</v>
          </cell>
          <cell r="K485" t="b">
            <v>0</v>
          </cell>
        </row>
        <row r="486">
          <cell r="A486" t="str">
            <v>DOM LUX AREA2</v>
          </cell>
          <cell r="K486" t="b">
            <v>1</v>
          </cell>
        </row>
        <row r="487">
          <cell r="A487" t="str">
            <v>DOM LUX LXMJO</v>
          </cell>
          <cell r="K487" t="b">
            <v>1</v>
          </cell>
        </row>
        <row r="488">
          <cell r="A488" t="str">
            <v>DOM LUX LXMVO</v>
          </cell>
          <cell r="K488" t="b">
            <v>1</v>
          </cell>
        </row>
        <row r="489">
          <cell r="A489" t="str">
            <v>DOM LUX LXMTA</v>
          </cell>
          <cell r="K489" t="b">
            <v>1</v>
          </cell>
        </row>
        <row r="490">
          <cell r="A490" t="str">
            <v>DOM LUX CLOCK</v>
          </cell>
          <cell r="K490" t="b">
            <v>0</v>
          </cell>
        </row>
        <row r="491">
          <cell r="A491" t="str">
            <v>DOM LUX LXCSV</v>
          </cell>
          <cell r="K491" t="b">
            <v>0</v>
          </cell>
        </row>
        <row r="492">
          <cell r="A492" t="str">
            <v>DOM LUX LXDIN</v>
          </cell>
          <cell r="K492" t="b">
            <v>0</v>
          </cell>
        </row>
        <row r="493">
          <cell r="A493" t="str">
            <v>DOM LUX AREA7</v>
          </cell>
          <cell r="K493" t="b">
            <v>0</v>
          </cell>
        </row>
        <row r="494">
          <cell r="A494" t="str">
            <v>DOM LUX LXEMS</v>
          </cell>
          <cell r="K494" t="b">
            <v>0</v>
          </cell>
        </row>
        <row r="495">
          <cell r="A495" t="str">
            <v>DOM LUX LXEUH</v>
          </cell>
          <cell r="K495" t="b">
            <v>0</v>
          </cell>
        </row>
        <row r="496">
          <cell r="A496" t="str">
            <v>DOM LUX LXIS1</v>
          </cell>
          <cell r="K496" t="b">
            <v>0</v>
          </cell>
        </row>
        <row r="497">
          <cell r="A497" t="str">
            <v>DOM LUX LXIS2</v>
          </cell>
          <cell r="K497" t="b">
            <v>0</v>
          </cell>
        </row>
        <row r="498">
          <cell r="A498" t="str">
            <v>DOM LUX LXIS3</v>
          </cell>
          <cell r="K498" t="b">
            <v>0</v>
          </cell>
        </row>
        <row r="499">
          <cell r="A499" t="str">
            <v>DOM LUX LXOTS</v>
          </cell>
          <cell r="K499" t="b">
            <v>0</v>
          </cell>
        </row>
        <row r="500">
          <cell r="A500" t="str">
            <v>DOM LUX LXP1C</v>
          </cell>
          <cell r="K500" t="b">
            <v>0</v>
          </cell>
        </row>
        <row r="501">
          <cell r="A501" t="str">
            <v>DOM LUX LXP1M</v>
          </cell>
          <cell r="K501" t="b">
            <v>0</v>
          </cell>
        </row>
        <row r="502">
          <cell r="A502" t="str">
            <v>DOM LUX LXP2C</v>
          </cell>
          <cell r="K502" t="b">
            <v>0</v>
          </cell>
        </row>
        <row r="503">
          <cell r="A503" t="str">
            <v>DOM LUX LXP2M</v>
          </cell>
          <cell r="K503" t="b">
            <v>0</v>
          </cell>
        </row>
        <row r="504">
          <cell r="A504" t="str">
            <v>DOM LUX LXP3C</v>
          </cell>
          <cell r="K504" t="b">
            <v>0</v>
          </cell>
        </row>
        <row r="505">
          <cell r="A505" t="str">
            <v>DOM LUX LXP3M</v>
          </cell>
          <cell r="K505" t="b">
            <v>0</v>
          </cell>
        </row>
        <row r="506">
          <cell r="A506" t="str">
            <v>DOM LUX LXP4C</v>
          </cell>
          <cell r="K506" t="b">
            <v>0</v>
          </cell>
        </row>
        <row r="507">
          <cell r="A507" t="str">
            <v>DOM LUX LXP4M</v>
          </cell>
          <cell r="K507" t="b">
            <v>0</v>
          </cell>
        </row>
        <row r="508">
          <cell r="A508" t="str">
            <v>DOM LUX LXP5C</v>
          </cell>
          <cell r="K508" t="b">
            <v>0</v>
          </cell>
        </row>
        <row r="509">
          <cell r="A509" t="str">
            <v>DOM LUX LXP5M</v>
          </cell>
          <cell r="K509" t="b">
            <v>0</v>
          </cell>
        </row>
        <row r="510">
          <cell r="A510" t="str">
            <v>DOM LUX LXP6C</v>
          </cell>
          <cell r="K510" t="b">
            <v>0</v>
          </cell>
        </row>
        <row r="511">
          <cell r="A511" t="str">
            <v>DOM LUX LXP6M</v>
          </cell>
          <cell r="K511" t="b">
            <v>0</v>
          </cell>
        </row>
        <row r="512">
          <cell r="A512" t="str">
            <v>DOM LUX LXP7C</v>
          </cell>
          <cell r="K512" t="b">
            <v>0</v>
          </cell>
        </row>
        <row r="513">
          <cell r="A513" t="str">
            <v>DOM LUX LXP7M</v>
          </cell>
          <cell r="K513" t="b">
            <v>0</v>
          </cell>
        </row>
        <row r="514">
          <cell r="A514" t="str">
            <v>DOM LUX LXP8C</v>
          </cell>
          <cell r="K514" t="b">
            <v>0</v>
          </cell>
        </row>
        <row r="515">
          <cell r="A515" t="str">
            <v>DOM LUX LXP8M</v>
          </cell>
          <cell r="K515" t="b">
            <v>0</v>
          </cell>
        </row>
        <row r="516">
          <cell r="A516" t="str">
            <v>DOM LUX LXSC1</v>
          </cell>
          <cell r="K516" t="b">
            <v>0</v>
          </cell>
        </row>
        <row r="517">
          <cell r="A517" t="str">
            <v>DOM LUX LXTS</v>
          </cell>
          <cell r="K517" t="b">
            <v>0</v>
          </cell>
        </row>
        <row r="518">
          <cell r="A518" t="str">
            <v>DOM LUX LXTF</v>
          </cell>
          <cell r="K518" t="b">
            <v>0</v>
          </cell>
        </row>
        <row r="519">
          <cell r="A519" t="str">
            <v>DOM MYS MMOB</v>
          </cell>
          <cell r="K519" t="b">
            <v>1</v>
          </cell>
        </row>
        <row r="520">
          <cell r="A520" t="str">
            <v>DOM MYS MALA</v>
          </cell>
          <cell r="K520" t="b">
            <v>1</v>
          </cell>
        </row>
        <row r="521">
          <cell r="A521" t="str">
            <v>DOM MLT MOB</v>
          </cell>
          <cell r="K521" t="b">
            <v>1</v>
          </cell>
        </row>
        <row r="522">
          <cell r="A522" t="str">
            <v>DOM MLT FIX</v>
          </cell>
          <cell r="K522" t="b">
            <v>1</v>
          </cell>
        </row>
        <row r="523">
          <cell r="A523" t="str">
            <v>DOM MTQ MOB</v>
          </cell>
          <cell r="K523" t="b">
            <v>1</v>
          </cell>
        </row>
        <row r="524">
          <cell r="A524" t="str">
            <v>DOM MTQ FIX</v>
          </cell>
          <cell r="K524" t="b">
            <v>1</v>
          </cell>
        </row>
        <row r="525">
          <cell r="A525" t="str">
            <v>DOM MTQ MQ1FR</v>
          </cell>
          <cell r="K525" t="b">
            <v>0</v>
          </cell>
        </row>
        <row r="526">
          <cell r="A526" t="str">
            <v>DOM MTQ MQ1TS</v>
          </cell>
          <cell r="K526" t="b">
            <v>0</v>
          </cell>
        </row>
        <row r="527">
          <cell r="A527" t="str">
            <v>DOM MTQ MQ300</v>
          </cell>
          <cell r="K527" t="b">
            <v>0</v>
          </cell>
        </row>
        <row r="528">
          <cell r="A528" t="str">
            <v>DOM MTQ MQ301</v>
          </cell>
          <cell r="K528" t="b">
            <v>0</v>
          </cell>
        </row>
        <row r="529">
          <cell r="A529" t="str">
            <v>DOM MTQ MQ302</v>
          </cell>
          <cell r="K529" t="b">
            <v>0</v>
          </cell>
        </row>
        <row r="530">
          <cell r="A530" t="str">
            <v>DOM MTQ MQ303</v>
          </cell>
          <cell r="K530" t="b">
            <v>0</v>
          </cell>
        </row>
        <row r="531">
          <cell r="A531" t="str">
            <v>DOM MTQ MQ304</v>
          </cell>
          <cell r="K531" t="b">
            <v>0</v>
          </cell>
        </row>
        <row r="532">
          <cell r="A532" t="str">
            <v>DOM MTQ MQ305</v>
          </cell>
          <cell r="K532" t="b">
            <v>0</v>
          </cell>
        </row>
        <row r="533">
          <cell r="A533" t="str">
            <v>DOM MTQ MQ306</v>
          </cell>
          <cell r="K533" t="b">
            <v>0</v>
          </cell>
        </row>
        <row r="534">
          <cell r="A534" t="str">
            <v>DOM MTQ MQ307</v>
          </cell>
          <cell r="K534" t="b">
            <v>0</v>
          </cell>
        </row>
        <row r="535">
          <cell r="A535" t="str">
            <v>DOM MTQ MQ308</v>
          </cell>
          <cell r="K535" t="b">
            <v>0</v>
          </cell>
        </row>
        <row r="536">
          <cell r="A536" t="str">
            <v>DOM MTQ MQ309</v>
          </cell>
          <cell r="K536" t="b">
            <v>0</v>
          </cell>
        </row>
        <row r="537">
          <cell r="A537" t="str">
            <v>DOM MTQ MQ310</v>
          </cell>
          <cell r="K537" t="b">
            <v>0</v>
          </cell>
        </row>
        <row r="538">
          <cell r="A538" t="str">
            <v>DOM MTQ MQ311</v>
          </cell>
          <cell r="K538" t="b">
            <v>0</v>
          </cell>
        </row>
        <row r="539">
          <cell r="A539" t="str">
            <v>DOM MTQ MQ312</v>
          </cell>
          <cell r="K539" t="b">
            <v>0</v>
          </cell>
        </row>
        <row r="540">
          <cell r="A540" t="str">
            <v>DOM MTQ MQ313</v>
          </cell>
          <cell r="K540" t="b">
            <v>0</v>
          </cell>
        </row>
        <row r="541">
          <cell r="A541" t="str">
            <v>DOM MTQ MQ314</v>
          </cell>
          <cell r="K541" t="b">
            <v>0</v>
          </cell>
        </row>
        <row r="542">
          <cell r="A542" t="str">
            <v>DOM MTQ MQ315</v>
          </cell>
          <cell r="K542" t="b">
            <v>0</v>
          </cell>
        </row>
        <row r="543">
          <cell r="A543" t="str">
            <v>DOM MTQ MQ316</v>
          </cell>
          <cell r="K543" t="b">
            <v>0</v>
          </cell>
        </row>
        <row r="544">
          <cell r="A544" t="str">
            <v>DOM MTQ MQ317</v>
          </cell>
          <cell r="K544" t="b">
            <v>0</v>
          </cell>
        </row>
        <row r="545">
          <cell r="A545" t="str">
            <v>DOM MTQ MQ318</v>
          </cell>
          <cell r="K545" t="b">
            <v>0</v>
          </cell>
        </row>
        <row r="546">
          <cell r="A546" t="str">
            <v>DOM MTQ MQ319</v>
          </cell>
          <cell r="K546" t="b">
            <v>0</v>
          </cell>
        </row>
        <row r="547">
          <cell r="A547" t="str">
            <v>DOM MTQ MQ320</v>
          </cell>
          <cell r="K547" t="b">
            <v>0</v>
          </cell>
        </row>
        <row r="548">
          <cell r="A548" t="str">
            <v>DOM MTQ MQ321</v>
          </cell>
          <cell r="K548" t="b">
            <v>0</v>
          </cell>
        </row>
        <row r="549">
          <cell r="A549" t="str">
            <v>DOM MTQ MQVAS</v>
          </cell>
          <cell r="K549" t="b">
            <v>0</v>
          </cell>
        </row>
        <row r="550">
          <cell r="A550" t="str">
            <v>DOM MTQ MQSOS</v>
          </cell>
          <cell r="K550" t="b">
            <v>0</v>
          </cell>
        </row>
        <row r="551">
          <cell r="A551" t="str">
            <v>DOM MTQ MQ860</v>
          </cell>
          <cell r="K551" t="b">
            <v>0</v>
          </cell>
        </row>
        <row r="552">
          <cell r="A552" t="str">
            <v>DOM MTQ MQ82H</v>
          </cell>
          <cell r="K552" t="b">
            <v>0</v>
          </cell>
        </row>
        <row r="553">
          <cell r="A553" t="str">
            <v>DOM MTQ MQ82L</v>
          </cell>
          <cell r="K553" t="b">
            <v>0</v>
          </cell>
        </row>
        <row r="554">
          <cell r="A554" t="str">
            <v>DOM MTQ MQ825</v>
          </cell>
          <cell r="K554" t="b">
            <v>0</v>
          </cell>
        </row>
        <row r="555">
          <cell r="A555" t="str">
            <v>DOM MTQ MQ89H</v>
          </cell>
          <cell r="K555" t="b">
            <v>0</v>
          </cell>
        </row>
        <row r="556">
          <cell r="A556" t="str">
            <v>DOM MTQ MQ89L</v>
          </cell>
          <cell r="K556" t="b">
            <v>0</v>
          </cell>
        </row>
        <row r="557">
          <cell r="A557" t="str">
            <v>DOM MTQ MQ891</v>
          </cell>
          <cell r="K557" t="b">
            <v>0</v>
          </cell>
        </row>
        <row r="558">
          <cell r="A558" t="str">
            <v>DOM MTQ MQ892</v>
          </cell>
          <cell r="K558" t="b">
            <v>0</v>
          </cell>
        </row>
        <row r="559">
          <cell r="A559" t="str">
            <v>DOM MTQ MQ897</v>
          </cell>
          <cell r="K559" t="b">
            <v>0</v>
          </cell>
        </row>
        <row r="560">
          <cell r="A560" t="str">
            <v>DOM MTQ MQ899</v>
          </cell>
          <cell r="K560" t="b">
            <v>0</v>
          </cell>
        </row>
        <row r="561">
          <cell r="A561" t="str">
            <v>DOM MTQ MQ006</v>
          </cell>
          <cell r="K561" t="b">
            <v>0</v>
          </cell>
        </row>
        <row r="562">
          <cell r="A562" t="str">
            <v>DOM MTQ MQ218</v>
          </cell>
          <cell r="K562" t="b">
            <v>0</v>
          </cell>
        </row>
        <row r="563">
          <cell r="A563" t="str">
            <v>DOM MTQ MQ222</v>
          </cell>
          <cell r="K563" t="b">
            <v>0</v>
          </cell>
        </row>
        <row r="564">
          <cell r="A564" t="str">
            <v>DOM MTQ MQ700</v>
          </cell>
          <cell r="K564" t="b">
            <v>0</v>
          </cell>
        </row>
        <row r="565">
          <cell r="A565" t="str">
            <v>DOM MTQ MQ710</v>
          </cell>
          <cell r="K565" t="b">
            <v>0</v>
          </cell>
        </row>
        <row r="566">
          <cell r="A566" t="str">
            <v>DOM MTQ MQ711</v>
          </cell>
          <cell r="K566" t="b">
            <v>0</v>
          </cell>
        </row>
        <row r="567">
          <cell r="A567" t="str">
            <v>DOM MTQ MQ712</v>
          </cell>
          <cell r="K567" t="b">
            <v>0</v>
          </cell>
        </row>
        <row r="568">
          <cell r="A568" t="str">
            <v>DOM MTQ MQ888</v>
          </cell>
          <cell r="K568" t="b">
            <v>0</v>
          </cell>
        </row>
        <row r="569">
          <cell r="A569" t="str">
            <v>DOM MTQ MQFRE</v>
          </cell>
          <cell r="K569" t="b">
            <v>0</v>
          </cell>
        </row>
        <row r="570">
          <cell r="A570" t="str">
            <v>DOM MTQ MQ810</v>
          </cell>
          <cell r="K570" t="b">
            <v>0</v>
          </cell>
        </row>
        <row r="571">
          <cell r="A571" t="str">
            <v>DOM MAY YTFIX</v>
          </cell>
          <cell r="K571" t="b">
            <v>1</v>
          </cell>
        </row>
        <row r="572">
          <cell r="A572" t="str">
            <v>DOM MAY YTMOB</v>
          </cell>
          <cell r="K572" t="b">
            <v>1</v>
          </cell>
        </row>
        <row r="573">
          <cell r="A573" t="str">
            <v>DOM MAY MY1FR</v>
          </cell>
          <cell r="K573" t="b">
            <v>0</v>
          </cell>
        </row>
        <row r="574">
          <cell r="A574" t="str">
            <v>DOM MAY MY1TS</v>
          </cell>
          <cell r="K574" t="b">
            <v>0</v>
          </cell>
        </row>
        <row r="575">
          <cell r="A575" t="str">
            <v>DOM MAY MY300</v>
          </cell>
          <cell r="K575" t="b">
            <v>0</v>
          </cell>
        </row>
        <row r="576">
          <cell r="A576" t="str">
            <v>DOM MAY MY301</v>
          </cell>
          <cell r="K576" t="b">
            <v>0</v>
          </cell>
        </row>
        <row r="577">
          <cell r="A577" t="str">
            <v>DOM MAY MY302</v>
          </cell>
          <cell r="K577" t="b">
            <v>0</v>
          </cell>
        </row>
        <row r="578">
          <cell r="A578" t="str">
            <v>DOM MAY MY303</v>
          </cell>
          <cell r="K578" t="b">
            <v>0</v>
          </cell>
        </row>
        <row r="579">
          <cell r="A579" t="str">
            <v>DOM MAY MY304</v>
          </cell>
          <cell r="K579" t="b">
            <v>0</v>
          </cell>
        </row>
        <row r="580">
          <cell r="A580" t="str">
            <v>DOM MAY MY305</v>
          </cell>
          <cell r="K580" t="b">
            <v>0</v>
          </cell>
        </row>
        <row r="581">
          <cell r="A581" t="str">
            <v>DOM MAY MY306</v>
          </cell>
          <cell r="K581" t="b">
            <v>0</v>
          </cell>
        </row>
        <row r="582">
          <cell r="A582" t="str">
            <v>DOM MAY MY307</v>
          </cell>
          <cell r="K582" t="b">
            <v>0</v>
          </cell>
        </row>
        <row r="583">
          <cell r="A583" t="str">
            <v>DOM MAY MY308</v>
          </cell>
          <cell r="K583" t="b">
            <v>0</v>
          </cell>
        </row>
        <row r="584">
          <cell r="A584" t="str">
            <v>DOM MAY MY309</v>
          </cell>
          <cell r="K584" t="b">
            <v>0</v>
          </cell>
        </row>
        <row r="585">
          <cell r="A585" t="str">
            <v>DOM MAY MY310</v>
          </cell>
          <cell r="K585" t="b">
            <v>0</v>
          </cell>
        </row>
        <row r="586">
          <cell r="A586" t="str">
            <v>DOM MAY MY311</v>
          </cell>
          <cell r="K586" t="b">
            <v>0</v>
          </cell>
        </row>
        <row r="587">
          <cell r="A587" t="str">
            <v>DOM MAY MY312</v>
          </cell>
          <cell r="K587" t="b">
            <v>0</v>
          </cell>
        </row>
        <row r="588">
          <cell r="A588" t="str">
            <v>DOM MAY MY313</v>
          </cell>
          <cell r="K588" t="b">
            <v>0</v>
          </cell>
        </row>
        <row r="589">
          <cell r="A589" t="str">
            <v>DOM MAY MY314</v>
          </cell>
          <cell r="K589" t="b">
            <v>0</v>
          </cell>
        </row>
        <row r="590">
          <cell r="A590" t="str">
            <v>DOM MAY MY315</v>
          </cell>
          <cell r="K590" t="b">
            <v>0</v>
          </cell>
        </row>
        <row r="591">
          <cell r="A591" t="str">
            <v>DOM MAY MY316</v>
          </cell>
          <cell r="K591" t="b">
            <v>0</v>
          </cell>
        </row>
        <row r="592">
          <cell r="A592" t="str">
            <v>DOM MAY MY317</v>
          </cell>
          <cell r="K592" t="b">
            <v>0</v>
          </cell>
        </row>
        <row r="593">
          <cell r="A593" t="str">
            <v>DOM MAY MY318</v>
          </cell>
          <cell r="K593" t="b">
            <v>0</v>
          </cell>
        </row>
        <row r="594">
          <cell r="A594" t="str">
            <v>DOM MAY MY319</v>
          </cell>
          <cell r="K594" t="b">
            <v>0</v>
          </cell>
        </row>
        <row r="595">
          <cell r="A595" t="str">
            <v>DOM MAY MY320</v>
          </cell>
          <cell r="K595" t="b">
            <v>0</v>
          </cell>
        </row>
        <row r="596">
          <cell r="A596" t="str">
            <v>DOM MAY MY321</v>
          </cell>
          <cell r="K596" t="b">
            <v>0</v>
          </cell>
        </row>
        <row r="597">
          <cell r="A597" t="str">
            <v>DOM MAY MYVAS</v>
          </cell>
          <cell r="K597" t="b">
            <v>0</v>
          </cell>
        </row>
        <row r="598">
          <cell r="A598" t="str">
            <v>DOM MAY MYSOS</v>
          </cell>
          <cell r="K598" t="b">
            <v>0</v>
          </cell>
        </row>
        <row r="599">
          <cell r="A599" t="str">
            <v>DOM MAY MY860</v>
          </cell>
          <cell r="K599" t="b">
            <v>0</v>
          </cell>
        </row>
        <row r="600">
          <cell r="A600" t="str">
            <v>DOM MAY MY82H</v>
          </cell>
          <cell r="K600" t="b">
            <v>0</v>
          </cell>
        </row>
        <row r="601">
          <cell r="A601" t="str">
            <v>DOM MAY MY82L</v>
          </cell>
          <cell r="K601" t="b">
            <v>0</v>
          </cell>
        </row>
        <row r="602">
          <cell r="A602" t="str">
            <v>DOM MAY MY825</v>
          </cell>
          <cell r="K602" t="b">
            <v>0</v>
          </cell>
        </row>
        <row r="603">
          <cell r="A603" t="str">
            <v>DOM MAY MY89H</v>
          </cell>
          <cell r="K603" t="b">
            <v>0</v>
          </cell>
        </row>
        <row r="604">
          <cell r="A604" t="str">
            <v>DOM MAY MY89L</v>
          </cell>
          <cell r="K604" t="b">
            <v>0</v>
          </cell>
        </row>
        <row r="605">
          <cell r="A605" t="str">
            <v>DOM MAY MY891</v>
          </cell>
          <cell r="K605" t="b">
            <v>0</v>
          </cell>
        </row>
        <row r="606">
          <cell r="A606" t="str">
            <v>DOM MAY MY892</v>
          </cell>
          <cell r="K606" t="b">
            <v>0</v>
          </cell>
        </row>
        <row r="607">
          <cell r="A607" t="str">
            <v>DOM MAY MY897</v>
          </cell>
          <cell r="K607" t="b">
            <v>0</v>
          </cell>
        </row>
        <row r="608">
          <cell r="A608" t="str">
            <v>DOM MAY MY899</v>
          </cell>
          <cell r="K608" t="b">
            <v>0</v>
          </cell>
        </row>
        <row r="609">
          <cell r="A609" t="str">
            <v>DOM MAY MY006</v>
          </cell>
          <cell r="K609" t="b">
            <v>0</v>
          </cell>
        </row>
        <row r="610">
          <cell r="A610" t="str">
            <v>DOM MAY MY218</v>
          </cell>
          <cell r="K610" t="b">
            <v>0</v>
          </cell>
        </row>
        <row r="611">
          <cell r="A611" t="str">
            <v>DOM MAY MY222</v>
          </cell>
          <cell r="K611" t="b">
            <v>0</v>
          </cell>
        </row>
        <row r="612">
          <cell r="A612" t="str">
            <v>DOM MAY MY700</v>
          </cell>
          <cell r="K612" t="b">
            <v>0</v>
          </cell>
        </row>
        <row r="613">
          <cell r="A613" t="str">
            <v>DOM MAY MY710</v>
          </cell>
          <cell r="K613" t="b">
            <v>0</v>
          </cell>
        </row>
        <row r="614">
          <cell r="A614" t="str">
            <v>DOM MAY MY711</v>
          </cell>
          <cell r="K614" t="b">
            <v>0</v>
          </cell>
        </row>
        <row r="615">
          <cell r="A615" t="str">
            <v>DOM MAY MY712</v>
          </cell>
          <cell r="K615" t="b">
            <v>0</v>
          </cell>
        </row>
        <row r="616">
          <cell r="A616" t="str">
            <v>DOM MAY MY888</v>
          </cell>
          <cell r="K616" t="b">
            <v>0</v>
          </cell>
        </row>
        <row r="617">
          <cell r="A617" t="str">
            <v>DOM MAY MYFRE</v>
          </cell>
          <cell r="K617" t="b">
            <v>0</v>
          </cell>
        </row>
        <row r="618">
          <cell r="A618" t="str">
            <v>DOM MAY MY810</v>
          </cell>
          <cell r="K618" t="b">
            <v>0</v>
          </cell>
        </row>
        <row r="619">
          <cell r="A619" t="str">
            <v>DOM NDL OPAR</v>
          </cell>
          <cell r="K619" t="b">
            <v>1</v>
          </cell>
        </row>
        <row r="620">
          <cell r="A620" t="str">
            <v>DOM NDL NDKPN</v>
          </cell>
          <cell r="K620" t="b">
            <v>1</v>
          </cell>
        </row>
        <row r="621">
          <cell r="A621" t="str">
            <v>DOM NDL CNDL3</v>
          </cell>
          <cell r="K621" t="b">
            <v>1</v>
          </cell>
        </row>
        <row r="622">
          <cell r="A622" t="str">
            <v>DOM NDL NDTMO</v>
          </cell>
          <cell r="K622" t="b">
            <v>1</v>
          </cell>
        </row>
        <row r="623">
          <cell r="A623" t="str">
            <v>DOM NDL NDVOD</v>
          </cell>
          <cell r="K623" t="b">
            <v>1</v>
          </cell>
        </row>
        <row r="624">
          <cell r="A624" t="str">
            <v>DOM NDL NDACC</v>
          </cell>
          <cell r="K624" t="b">
            <v>0</v>
          </cell>
        </row>
        <row r="625">
          <cell r="A625" t="str">
            <v>DOM NDL NDCOR</v>
          </cell>
          <cell r="K625" t="b">
            <v>0</v>
          </cell>
        </row>
        <row r="626">
          <cell r="A626" t="str">
            <v>DOM NDL NDDIR</v>
          </cell>
          <cell r="K626" t="b">
            <v>0</v>
          </cell>
        </row>
        <row r="627">
          <cell r="A627" t="str">
            <v>DOM NDL NDDI2</v>
          </cell>
          <cell r="K627" t="b">
            <v>0</v>
          </cell>
        </row>
        <row r="628">
          <cell r="A628" t="str">
            <v>DOM NDL NDDI3</v>
          </cell>
          <cell r="K628" t="b">
            <v>0</v>
          </cell>
        </row>
        <row r="629">
          <cell r="A629" t="str">
            <v>DOM NDL NDDI4</v>
          </cell>
          <cell r="K629" t="b">
            <v>0</v>
          </cell>
        </row>
        <row r="630">
          <cell r="A630" t="str">
            <v>DOM NDL NDDI5</v>
          </cell>
          <cell r="K630" t="b">
            <v>0</v>
          </cell>
        </row>
        <row r="631">
          <cell r="A631" t="str">
            <v>DOM NDL NDDI6</v>
          </cell>
          <cell r="K631" t="b">
            <v>0</v>
          </cell>
        </row>
        <row r="632">
          <cell r="A632" t="str">
            <v>DOM NDL NDDI7</v>
          </cell>
          <cell r="K632" t="b">
            <v>0</v>
          </cell>
        </row>
        <row r="633">
          <cell r="A633" t="str">
            <v>DOM NDL NDSOS</v>
          </cell>
          <cell r="K633" t="b">
            <v>0</v>
          </cell>
        </row>
        <row r="634">
          <cell r="A634" t="str">
            <v>DOM NDL NDHLP</v>
          </cell>
          <cell r="K634" t="b">
            <v>0</v>
          </cell>
        </row>
        <row r="635">
          <cell r="A635" t="str">
            <v>DOM NDL NDI10</v>
          </cell>
          <cell r="K635" t="b">
            <v>0</v>
          </cell>
        </row>
        <row r="636">
          <cell r="A636" t="str">
            <v>DOM NDL NDI11</v>
          </cell>
          <cell r="K636" t="b">
            <v>0</v>
          </cell>
        </row>
        <row r="637">
          <cell r="A637" t="str">
            <v>DOM NDL NDI12</v>
          </cell>
          <cell r="K637" t="b">
            <v>0</v>
          </cell>
        </row>
        <row r="638">
          <cell r="A638" t="str">
            <v>DOM NDL NDI13</v>
          </cell>
          <cell r="K638" t="b">
            <v>0</v>
          </cell>
        </row>
        <row r="639">
          <cell r="A639" t="str">
            <v>DOM NDL NDI14</v>
          </cell>
          <cell r="K639" t="b">
            <v>0</v>
          </cell>
        </row>
        <row r="640">
          <cell r="A640" t="str">
            <v>DOM NDL NDI15</v>
          </cell>
          <cell r="K640" t="b">
            <v>0</v>
          </cell>
        </row>
        <row r="641">
          <cell r="A641" t="str">
            <v>DOM NDL NDI16</v>
          </cell>
          <cell r="K641" t="b">
            <v>0</v>
          </cell>
        </row>
        <row r="642">
          <cell r="A642" t="str">
            <v>DOM NDL NDI17</v>
          </cell>
          <cell r="K642" t="b">
            <v>0</v>
          </cell>
        </row>
        <row r="643">
          <cell r="A643" t="str">
            <v>DOM NDL NDI18</v>
          </cell>
          <cell r="K643" t="b">
            <v>0</v>
          </cell>
        </row>
        <row r="644">
          <cell r="A644" t="str">
            <v>DOM NDL NDI19</v>
          </cell>
          <cell r="K644" t="b">
            <v>0</v>
          </cell>
        </row>
        <row r="645">
          <cell r="A645" t="str">
            <v>DOM NDL NDI20</v>
          </cell>
          <cell r="K645" t="b">
            <v>0</v>
          </cell>
        </row>
        <row r="646">
          <cell r="A646" t="str">
            <v>DOM NDL NDI21</v>
          </cell>
          <cell r="K646" t="b">
            <v>0</v>
          </cell>
        </row>
        <row r="647">
          <cell r="A647" t="str">
            <v>DOM NDL NDI22</v>
          </cell>
          <cell r="K647" t="b">
            <v>0</v>
          </cell>
        </row>
        <row r="648">
          <cell r="A648" t="str">
            <v>DOM NDL NDI23</v>
          </cell>
          <cell r="K648" t="b">
            <v>0</v>
          </cell>
        </row>
        <row r="649">
          <cell r="A649" t="str">
            <v>DOM NDL NDI24</v>
          </cell>
          <cell r="K649" t="b">
            <v>0</v>
          </cell>
        </row>
        <row r="650">
          <cell r="A650" t="str">
            <v>DOM NDL NDI25</v>
          </cell>
          <cell r="K650" t="b">
            <v>0</v>
          </cell>
        </row>
        <row r="651">
          <cell r="A651" t="str">
            <v>DOM NDL NDI26</v>
          </cell>
          <cell r="K651" t="b">
            <v>0</v>
          </cell>
        </row>
        <row r="652">
          <cell r="A652" t="str">
            <v>DOM NDL NDI27</v>
          </cell>
          <cell r="K652" t="b">
            <v>0</v>
          </cell>
        </row>
        <row r="653">
          <cell r="A653" t="str">
            <v>DOM NDL NDI28</v>
          </cell>
          <cell r="K653" t="b">
            <v>0</v>
          </cell>
        </row>
        <row r="654">
          <cell r="A654" t="str">
            <v>DOM NDL NDI29</v>
          </cell>
          <cell r="K654" t="b">
            <v>0</v>
          </cell>
        </row>
        <row r="655">
          <cell r="A655" t="str">
            <v>DOM NDL NDI30</v>
          </cell>
          <cell r="K655" t="b">
            <v>0</v>
          </cell>
        </row>
        <row r="656">
          <cell r="A656" t="str">
            <v>DOM NDL NDI31</v>
          </cell>
          <cell r="K656" t="b">
            <v>0</v>
          </cell>
        </row>
        <row r="657">
          <cell r="A657" t="str">
            <v>DOM NDL NDI32</v>
          </cell>
          <cell r="K657" t="b">
            <v>0</v>
          </cell>
        </row>
        <row r="658">
          <cell r="A658" t="str">
            <v>DOM NDL NDI33</v>
          </cell>
          <cell r="K658" t="b">
            <v>0</v>
          </cell>
        </row>
        <row r="659">
          <cell r="A659" t="str">
            <v>DOM NDL NDI34</v>
          </cell>
          <cell r="K659" t="b">
            <v>0</v>
          </cell>
        </row>
        <row r="660">
          <cell r="A660" t="str">
            <v>DOM NDL NDI35</v>
          </cell>
          <cell r="K660" t="b">
            <v>0</v>
          </cell>
        </row>
        <row r="661">
          <cell r="A661" t="str">
            <v>DOM NDL NDI36</v>
          </cell>
          <cell r="K661" t="b">
            <v>0</v>
          </cell>
        </row>
        <row r="662">
          <cell r="A662" t="str">
            <v>DOM NDL NDI37</v>
          </cell>
          <cell r="K662" t="b">
            <v>0</v>
          </cell>
        </row>
        <row r="663">
          <cell r="A663" t="str">
            <v>DOM NDL NDI38</v>
          </cell>
          <cell r="K663" t="b">
            <v>0</v>
          </cell>
        </row>
        <row r="664">
          <cell r="A664" t="str">
            <v>DOM NDL NDI39</v>
          </cell>
          <cell r="K664" t="b">
            <v>0</v>
          </cell>
        </row>
        <row r="665">
          <cell r="A665" t="str">
            <v>DOM NDL NDI40</v>
          </cell>
          <cell r="K665" t="b">
            <v>0</v>
          </cell>
        </row>
        <row r="666">
          <cell r="A666" t="str">
            <v>DOM NDL NDI60</v>
          </cell>
          <cell r="K666" t="b">
            <v>0</v>
          </cell>
        </row>
        <row r="667">
          <cell r="A667" t="str">
            <v>DOM NDL NDI61</v>
          </cell>
          <cell r="K667" t="b">
            <v>0</v>
          </cell>
        </row>
        <row r="668">
          <cell r="A668" t="str">
            <v>DOM NDL NDI62</v>
          </cell>
          <cell r="K668" t="b">
            <v>0</v>
          </cell>
        </row>
        <row r="669">
          <cell r="A669" t="str">
            <v>DOM NDL NDI63</v>
          </cell>
          <cell r="K669" t="b">
            <v>0</v>
          </cell>
        </row>
        <row r="670">
          <cell r="A670" t="str">
            <v>DOM NDL NDI64</v>
          </cell>
          <cell r="K670" t="b">
            <v>0</v>
          </cell>
        </row>
        <row r="671">
          <cell r="A671" t="str">
            <v>DOM NDL NDI65</v>
          </cell>
          <cell r="K671" t="b">
            <v>0</v>
          </cell>
        </row>
        <row r="672">
          <cell r="A672" t="str">
            <v>DOM NDL NDI66</v>
          </cell>
          <cell r="K672" t="b">
            <v>0</v>
          </cell>
        </row>
        <row r="673">
          <cell r="A673" t="str">
            <v>DOM NDL NDI67</v>
          </cell>
          <cell r="K673" t="b">
            <v>0</v>
          </cell>
        </row>
        <row r="674">
          <cell r="A674" t="str">
            <v>DOM NDL NDI68</v>
          </cell>
          <cell r="K674" t="b">
            <v>0</v>
          </cell>
        </row>
        <row r="675">
          <cell r="A675" t="str">
            <v>DOM NDL NDI69</v>
          </cell>
          <cell r="K675" t="b">
            <v>0</v>
          </cell>
        </row>
        <row r="676">
          <cell r="A676" t="str">
            <v>DOM NDL NDI70</v>
          </cell>
          <cell r="K676" t="b">
            <v>0</v>
          </cell>
        </row>
        <row r="677">
          <cell r="A677" t="str">
            <v>DOM NDL NDI71</v>
          </cell>
          <cell r="K677" t="b">
            <v>0</v>
          </cell>
        </row>
        <row r="678">
          <cell r="A678" t="str">
            <v>DOM NDL NDI72</v>
          </cell>
          <cell r="K678" t="b">
            <v>0</v>
          </cell>
        </row>
        <row r="679">
          <cell r="A679" t="str">
            <v>DOM NDL NDI73</v>
          </cell>
          <cell r="K679" t="b">
            <v>0</v>
          </cell>
        </row>
        <row r="680">
          <cell r="A680" t="str">
            <v>DOM NDL NDI74</v>
          </cell>
          <cell r="K680" t="b">
            <v>0</v>
          </cell>
        </row>
        <row r="681">
          <cell r="A681" t="str">
            <v>DOM NDL NDI75</v>
          </cell>
          <cell r="K681" t="b">
            <v>0</v>
          </cell>
        </row>
        <row r="682">
          <cell r="A682" t="str">
            <v>DOM NDL NDI76</v>
          </cell>
          <cell r="K682" t="b">
            <v>0</v>
          </cell>
        </row>
        <row r="683">
          <cell r="A683" t="str">
            <v>DOM NDL NDI77</v>
          </cell>
          <cell r="K683" t="b">
            <v>0</v>
          </cell>
        </row>
        <row r="684">
          <cell r="A684" t="str">
            <v>DOM NDL NDI78</v>
          </cell>
          <cell r="K684" t="b">
            <v>0</v>
          </cell>
        </row>
        <row r="685">
          <cell r="A685" t="str">
            <v>DOM NDL NDI79</v>
          </cell>
          <cell r="K685" t="b">
            <v>0</v>
          </cell>
        </row>
        <row r="686">
          <cell r="A686" t="str">
            <v>DOM NDL NDI80</v>
          </cell>
          <cell r="K686" t="b">
            <v>0</v>
          </cell>
        </row>
        <row r="687">
          <cell r="A687" t="str">
            <v>DOM NDL NDI81</v>
          </cell>
          <cell r="K687" t="b">
            <v>0</v>
          </cell>
        </row>
        <row r="688">
          <cell r="A688" t="str">
            <v>DOM NDL NDI82</v>
          </cell>
          <cell r="K688" t="b">
            <v>0</v>
          </cell>
        </row>
        <row r="689">
          <cell r="A689" t="str">
            <v>DOM NDL NDI83</v>
          </cell>
          <cell r="K689" t="b">
            <v>0</v>
          </cell>
        </row>
        <row r="690">
          <cell r="A690" t="str">
            <v>DOM NDL NDIPN</v>
          </cell>
          <cell r="K690" t="b">
            <v>0</v>
          </cell>
        </row>
        <row r="691">
          <cell r="A691" t="str">
            <v>DOM NDL NDPGC</v>
          </cell>
          <cell r="K691" t="b">
            <v>0</v>
          </cell>
        </row>
        <row r="692">
          <cell r="A692" t="str">
            <v>DOM NDL NDPGM</v>
          </cell>
          <cell r="K692" t="b">
            <v>0</v>
          </cell>
        </row>
        <row r="693">
          <cell r="A693" t="str">
            <v>DOM NDL NDG01</v>
          </cell>
          <cell r="K693" t="b">
            <v>0</v>
          </cell>
        </row>
        <row r="694">
          <cell r="A694" t="str">
            <v>DOM NDL NDG10</v>
          </cell>
          <cell r="K694" t="b">
            <v>0</v>
          </cell>
        </row>
        <row r="695">
          <cell r="A695" t="str">
            <v>DOM NDL NDG11</v>
          </cell>
          <cell r="K695" t="b">
            <v>0</v>
          </cell>
        </row>
        <row r="696">
          <cell r="A696" t="str">
            <v>DOM NDL NDG12</v>
          </cell>
          <cell r="K696" t="b">
            <v>0</v>
          </cell>
        </row>
        <row r="697">
          <cell r="A697" t="str">
            <v>DOM NDL NDG13</v>
          </cell>
          <cell r="K697" t="b">
            <v>0</v>
          </cell>
        </row>
        <row r="698">
          <cell r="A698" t="str">
            <v>DOM NDL NDG14</v>
          </cell>
          <cell r="K698" t="b">
            <v>0</v>
          </cell>
        </row>
        <row r="699">
          <cell r="A699" t="str">
            <v>DOM NDL NDG15</v>
          </cell>
          <cell r="K699" t="b">
            <v>0</v>
          </cell>
        </row>
        <row r="700">
          <cell r="A700" t="str">
            <v>DOM NDL NDG16</v>
          </cell>
          <cell r="K700" t="b">
            <v>0</v>
          </cell>
        </row>
        <row r="701">
          <cell r="A701" t="str">
            <v>DOM NDL NDG17</v>
          </cell>
          <cell r="K701" t="b">
            <v>0</v>
          </cell>
        </row>
        <row r="702">
          <cell r="A702" t="str">
            <v>DOM NDL NDG18</v>
          </cell>
          <cell r="K702" t="b">
            <v>0</v>
          </cell>
        </row>
        <row r="703">
          <cell r="A703" t="str">
            <v>DOM NDL NDG19</v>
          </cell>
          <cell r="K703" t="b">
            <v>0</v>
          </cell>
        </row>
        <row r="704">
          <cell r="A704" t="str">
            <v>DOM NDL NDG02</v>
          </cell>
          <cell r="K704" t="b">
            <v>0</v>
          </cell>
        </row>
        <row r="705">
          <cell r="A705" t="str">
            <v>DOM NDL NDG20</v>
          </cell>
          <cell r="K705" t="b">
            <v>0</v>
          </cell>
        </row>
        <row r="706">
          <cell r="A706" t="str">
            <v>DOM NDL NDG21</v>
          </cell>
          <cell r="K706" t="b">
            <v>0</v>
          </cell>
        </row>
        <row r="707">
          <cell r="A707" t="str">
            <v>DOM NDL NDG22</v>
          </cell>
          <cell r="K707" t="b">
            <v>0</v>
          </cell>
        </row>
        <row r="708">
          <cell r="A708" t="str">
            <v>DOM NDL NDG23</v>
          </cell>
          <cell r="K708" t="b">
            <v>0</v>
          </cell>
        </row>
        <row r="709">
          <cell r="A709" t="str">
            <v>DOM NDL NDG24</v>
          </cell>
          <cell r="K709" t="b">
            <v>0</v>
          </cell>
        </row>
        <row r="710">
          <cell r="A710" t="str">
            <v>DOM NDL NDG25</v>
          </cell>
          <cell r="K710" t="b">
            <v>0</v>
          </cell>
        </row>
        <row r="711">
          <cell r="A711" t="str">
            <v>DOM NDL NDG26</v>
          </cell>
          <cell r="K711" t="b">
            <v>0</v>
          </cell>
        </row>
        <row r="712">
          <cell r="A712" t="str">
            <v>DOM NDL NDG27</v>
          </cell>
          <cell r="K712" t="b">
            <v>0</v>
          </cell>
        </row>
        <row r="713">
          <cell r="A713" t="str">
            <v>DOM NDL NDG28</v>
          </cell>
          <cell r="K713" t="b">
            <v>0</v>
          </cell>
        </row>
        <row r="714">
          <cell r="A714" t="str">
            <v>DOM NDL NDG29</v>
          </cell>
          <cell r="K714" t="b">
            <v>0</v>
          </cell>
        </row>
        <row r="715">
          <cell r="A715" t="str">
            <v>DOM NDL NDG03</v>
          </cell>
          <cell r="K715" t="b">
            <v>0</v>
          </cell>
        </row>
        <row r="716">
          <cell r="A716" t="str">
            <v>DOM NDL NDG30</v>
          </cell>
          <cell r="K716" t="b">
            <v>0</v>
          </cell>
        </row>
        <row r="717">
          <cell r="A717" t="str">
            <v>DOM NDL NDG31</v>
          </cell>
          <cell r="K717" t="b">
            <v>0</v>
          </cell>
        </row>
        <row r="718">
          <cell r="A718" t="str">
            <v>DOM NDL NDG32</v>
          </cell>
          <cell r="K718" t="b">
            <v>0</v>
          </cell>
        </row>
        <row r="719">
          <cell r="A719" t="str">
            <v>DOM NDL NDG33</v>
          </cell>
          <cell r="K719" t="b">
            <v>0</v>
          </cell>
        </row>
        <row r="720">
          <cell r="A720" t="str">
            <v>DOM NDL NDG34</v>
          </cell>
          <cell r="K720" t="b">
            <v>0</v>
          </cell>
        </row>
        <row r="721">
          <cell r="A721" t="str">
            <v>DOM NDL NDG35</v>
          </cell>
          <cell r="K721" t="b">
            <v>0</v>
          </cell>
        </row>
        <row r="722">
          <cell r="A722" t="str">
            <v>DOM NDL NDG36</v>
          </cell>
          <cell r="K722" t="b">
            <v>0</v>
          </cell>
        </row>
        <row r="723">
          <cell r="A723" t="str">
            <v>DOM NDL NDG37</v>
          </cell>
          <cell r="K723" t="b">
            <v>0</v>
          </cell>
        </row>
        <row r="724">
          <cell r="A724" t="str">
            <v>DOM NDL NDG38</v>
          </cell>
          <cell r="K724" t="b">
            <v>0</v>
          </cell>
        </row>
        <row r="725">
          <cell r="A725" t="str">
            <v>DOM NDL NDG39</v>
          </cell>
          <cell r="K725" t="b">
            <v>0</v>
          </cell>
        </row>
        <row r="726">
          <cell r="A726" t="str">
            <v>DOM NDL NDG04</v>
          </cell>
          <cell r="K726" t="b">
            <v>0</v>
          </cell>
        </row>
        <row r="727">
          <cell r="A727" t="str">
            <v>DOM NDL NDG40</v>
          </cell>
          <cell r="K727" t="b">
            <v>0</v>
          </cell>
        </row>
        <row r="728">
          <cell r="A728" t="str">
            <v>DOM NDL NDG41</v>
          </cell>
          <cell r="K728" t="b">
            <v>0</v>
          </cell>
        </row>
        <row r="729">
          <cell r="A729" t="str">
            <v>DOM NDL NDG42</v>
          </cell>
          <cell r="K729" t="b">
            <v>0</v>
          </cell>
        </row>
        <row r="730">
          <cell r="A730" t="str">
            <v>DOM NDL NDG43</v>
          </cell>
          <cell r="K730" t="b">
            <v>0</v>
          </cell>
        </row>
        <row r="731">
          <cell r="A731" t="str">
            <v>DOM NDL NDG44</v>
          </cell>
          <cell r="K731" t="b">
            <v>0</v>
          </cell>
        </row>
        <row r="732">
          <cell r="A732" t="str">
            <v>DOM NDL NDG45</v>
          </cell>
          <cell r="K732" t="b">
            <v>0</v>
          </cell>
        </row>
        <row r="733">
          <cell r="A733" t="str">
            <v>DOM NDL NDG46</v>
          </cell>
          <cell r="K733" t="b">
            <v>0</v>
          </cell>
        </row>
        <row r="734">
          <cell r="A734" t="str">
            <v>DOM NDL NDG05</v>
          </cell>
          <cell r="K734" t="b">
            <v>0</v>
          </cell>
        </row>
        <row r="735">
          <cell r="A735" t="str">
            <v>DOM NDL NDG06</v>
          </cell>
          <cell r="K735" t="b">
            <v>0</v>
          </cell>
        </row>
        <row r="736">
          <cell r="A736" t="str">
            <v>DOM NDL NDG07</v>
          </cell>
          <cell r="K736" t="b">
            <v>0</v>
          </cell>
        </row>
        <row r="737">
          <cell r="A737" t="str">
            <v>DOM NDL NDG08</v>
          </cell>
          <cell r="K737" t="b">
            <v>0</v>
          </cell>
        </row>
        <row r="738">
          <cell r="A738" t="str">
            <v>DOM NDL NDG09</v>
          </cell>
          <cell r="K738" t="b">
            <v>0</v>
          </cell>
        </row>
        <row r="739">
          <cell r="A739" t="str">
            <v>DOM NDL NDG91</v>
          </cell>
          <cell r="K739" t="b">
            <v>0</v>
          </cell>
        </row>
        <row r="740">
          <cell r="A740" t="str">
            <v>DOM NDL NDG92</v>
          </cell>
          <cell r="K740" t="b">
            <v>0</v>
          </cell>
        </row>
        <row r="741">
          <cell r="A741" t="str">
            <v>DOM NDL NDG93</v>
          </cell>
          <cell r="K741" t="b">
            <v>0</v>
          </cell>
        </row>
        <row r="742">
          <cell r="A742" t="str">
            <v>DOM NDL NDR01</v>
          </cell>
          <cell r="K742" t="b">
            <v>0</v>
          </cell>
        </row>
        <row r="743">
          <cell r="A743" t="str">
            <v>DOM NDL NDR10</v>
          </cell>
          <cell r="K743" t="b">
            <v>0</v>
          </cell>
        </row>
        <row r="744">
          <cell r="A744" t="str">
            <v>DOM NDL NDR11</v>
          </cell>
          <cell r="K744" t="b">
            <v>0</v>
          </cell>
        </row>
        <row r="745">
          <cell r="A745" t="str">
            <v>DOM NDL NDR12</v>
          </cell>
          <cell r="K745" t="b">
            <v>0</v>
          </cell>
        </row>
        <row r="746">
          <cell r="A746" t="str">
            <v>DOM NDL NDR13</v>
          </cell>
          <cell r="K746" t="b">
            <v>0</v>
          </cell>
        </row>
        <row r="747">
          <cell r="A747" t="str">
            <v>DOM NDL NDR14</v>
          </cell>
          <cell r="K747" t="b">
            <v>0</v>
          </cell>
        </row>
        <row r="748">
          <cell r="A748" t="str">
            <v>DOM NDL NDR15</v>
          </cell>
          <cell r="K748" t="b">
            <v>0</v>
          </cell>
        </row>
        <row r="749">
          <cell r="A749" t="str">
            <v>DOM NDL NDR16</v>
          </cell>
          <cell r="K749" t="b">
            <v>0</v>
          </cell>
        </row>
        <row r="750">
          <cell r="A750" t="str">
            <v>DOM NDL NDR17</v>
          </cell>
          <cell r="K750" t="b">
            <v>0</v>
          </cell>
        </row>
        <row r="751">
          <cell r="A751" t="str">
            <v>DOM NDL NDR18</v>
          </cell>
          <cell r="K751" t="b">
            <v>0</v>
          </cell>
        </row>
        <row r="752">
          <cell r="A752" t="str">
            <v>DOM NDL NDR19</v>
          </cell>
          <cell r="K752" t="b">
            <v>0</v>
          </cell>
        </row>
        <row r="753">
          <cell r="A753" t="str">
            <v>DOM NDL NDR02</v>
          </cell>
          <cell r="K753" t="b">
            <v>0</v>
          </cell>
        </row>
        <row r="754">
          <cell r="A754" t="str">
            <v>DOM NDL NDR20</v>
          </cell>
          <cell r="K754" t="b">
            <v>0</v>
          </cell>
        </row>
        <row r="755">
          <cell r="A755" t="str">
            <v>DOM NDL NDR21</v>
          </cell>
          <cell r="K755" t="b">
            <v>0</v>
          </cell>
        </row>
        <row r="756">
          <cell r="A756" t="str">
            <v>DOM NDL NDR22</v>
          </cell>
          <cell r="K756" t="b">
            <v>0</v>
          </cell>
        </row>
        <row r="757">
          <cell r="A757" t="str">
            <v>DOM NDL NDR23</v>
          </cell>
          <cell r="K757" t="b">
            <v>0</v>
          </cell>
        </row>
        <row r="758">
          <cell r="A758" t="str">
            <v>DOM NDL NDR24</v>
          </cell>
          <cell r="K758" t="b">
            <v>0</v>
          </cell>
        </row>
        <row r="759">
          <cell r="A759" t="str">
            <v>DOM NDL NDR25</v>
          </cell>
          <cell r="K759" t="b">
            <v>0</v>
          </cell>
        </row>
        <row r="760">
          <cell r="A760" t="str">
            <v>DOM NDL NDR26</v>
          </cell>
          <cell r="K760" t="b">
            <v>0</v>
          </cell>
        </row>
        <row r="761">
          <cell r="A761" t="str">
            <v>DOM NDL NDR27</v>
          </cell>
          <cell r="K761" t="b">
            <v>0</v>
          </cell>
        </row>
        <row r="762">
          <cell r="A762" t="str">
            <v>DOM NDL NDR28</v>
          </cell>
          <cell r="K762" t="b">
            <v>0</v>
          </cell>
        </row>
        <row r="763">
          <cell r="A763" t="str">
            <v>DOM NDL NDR29</v>
          </cell>
          <cell r="K763" t="b">
            <v>0</v>
          </cell>
        </row>
        <row r="764">
          <cell r="A764" t="str">
            <v>DOM NDL NDR03</v>
          </cell>
          <cell r="K764" t="b">
            <v>0</v>
          </cell>
        </row>
        <row r="765">
          <cell r="A765" t="str">
            <v>DOM NDL NDR30</v>
          </cell>
          <cell r="K765" t="b">
            <v>0</v>
          </cell>
        </row>
        <row r="766">
          <cell r="A766" t="str">
            <v>DOM NDL NDR31</v>
          </cell>
          <cell r="K766" t="b">
            <v>0</v>
          </cell>
        </row>
        <row r="767">
          <cell r="A767" t="str">
            <v>DOM NDL NDR32</v>
          </cell>
          <cell r="K767" t="b">
            <v>0</v>
          </cell>
        </row>
        <row r="768">
          <cell r="A768" t="str">
            <v>DOM NDL NDR33</v>
          </cell>
          <cell r="K768" t="b">
            <v>0</v>
          </cell>
        </row>
        <row r="769">
          <cell r="A769" t="str">
            <v>DOM NDL NDR34</v>
          </cell>
          <cell r="K769" t="b">
            <v>0</v>
          </cell>
        </row>
        <row r="770">
          <cell r="A770" t="str">
            <v>DOM NDL NDR35</v>
          </cell>
          <cell r="K770" t="b">
            <v>0</v>
          </cell>
        </row>
        <row r="771">
          <cell r="A771" t="str">
            <v>DOM NDL NDR36</v>
          </cell>
          <cell r="K771" t="b">
            <v>0</v>
          </cell>
        </row>
        <row r="772">
          <cell r="A772" t="str">
            <v>DOM NDL NDR37</v>
          </cell>
          <cell r="K772" t="b">
            <v>0</v>
          </cell>
        </row>
        <row r="773">
          <cell r="A773" t="str">
            <v>DOM NDL NDR38</v>
          </cell>
          <cell r="K773" t="b">
            <v>0</v>
          </cell>
        </row>
        <row r="774">
          <cell r="A774" t="str">
            <v>DOM NDL NDR39</v>
          </cell>
          <cell r="K774" t="b">
            <v>0</v>
          </cell>
        </row>
        <row r="775">
          <cell r="A775" t="str">
            <v>DOM NDL NDR04</v>
          </cell>
          <cell r="K775" t="b">
            <v>0</v>
          </cell>
        </row>
        <row r="776">
          <cell r="A776" t="str">
            <v>DOM NDL NDR40</v>
          </cell>
          <cell r="K776" t="b">
            <v>0</v>
          </cell>
        </row>
        <row r="777">
          <cell r="A777" t="str">
            <v>DOM NDL NDR41</v>
          </cell>
          <cell r="K777" t="b">
            <v>0</v>
          </cell>
        </row>
        <row r="778">
          <cell r="A778" t="str">
            <v>DOM NDL NDR42</v>
          </cell>
          <cell r="K778" t="b">
            <v>0</v>
          </cell>
        </row>
        <row r="779">
          <cell r="A779" t="str">
            <v>DOM NDL NDR43</v>
          </cell>
          <cell r="K779" t="b">
            <v>0</v>
          </cell>
        </row>
        <row r="780">
          <cell r="A780" t="str">
            <v>DOM NDL NDR44</v>
          </cell>
          <cell r="K780" t="b">
            <v>0</v>
          </cell>
        </row>
        <row r="781">
          <cell r="A781" t="str">
            <v>DOM NDL NDR45</v>
          </cell>
          <cell r="K781" t="b">
            <v>0</v>
          </cell>
        </row>
        <row r="782">
          <cell r="A782" t="str">
            <v>DOM NDL NDR46</v>
          </cell>
          <cell r="K782" t="b">
            <v>0</v>
          </cell>
        </row>
        <row r="783">
          <cell r="A783" t="str">
            <v>DOM NDL NDR05</v>
          </cell>
          <cell r="K783" t="b">
            <v>0</v>
          </cell>
        </row>
        <row r="784">
          <cell r="A784" t="str">
            <v>DOM NDL NDR06</v>
          </cell>
          <cell r="K784" t="b">
            <v>0</v>
          </cell>
        </row>
        <row r="785">
          <cell r="A785" t="str">
            <v>DOM NDL NDR07</v>
          </cell>
          <cell r="K785" t="b">
            <v>0</v>
          </cell>
        </row>
        <row r="786">
          <cell r="A786" t="str">
            <v>DOM NDL NDR08</v>
          </cell>
          <cell r="K786" t="b">
            <v>0</v>
          </cell>
        </row>
        <row r="787">
          <cell r="A787" t="str">
            <v>DOM NDL NDR09</v>
          </cell>
          <cell r="K787" t="b">
            <v>0</v>
          </cell>
        </row>
        <row r="788">
          <cell r="A788" t="str">
            <v>DOM NDL NDFRE</v>
          </cell>
          <cell r="K788" t="b">
            <v>0</v>
          </cell>
        </row>
        <row r="789">
          <cell r="A789" t="str">
            <v>DOM NDL NDVPN</v>
          </cell>
          <cell r="K789" t="b">
            <v>0</v>
          </cell>
        </row>
        <row r="790">
          <cell r="A790" t="str">
            <v>DOM NZL NZDRN</v>
          </cell>
          <cell r="K790" t="b">
            <v>0</v>
          </cell>
        </row>
        <row r="791">
          <cell r="A791" t="str">
            <v>DOM NZL AREA3</v>
          </cell>
          <cell r="K791" t="b">
            <v>1</v>
          </cell>
        </row>
        <row r="792">
          <cell r="A792" t="str">
            <v>DOM NZL AREA2</v>
          </cell>
          <cell r="K792" t="b">
            <v>1</v>
          </cell>
        </row>
        <row r="793">
          <cell r="A793" t="str">
            <v>DOM NZL NZDRI</v>
          </cell>
          <cell r="K793" t="b">
            <v>0</v>
          </cell>
        </row>
        <row r="794">
          <cell r="A794" t="str">
            <v>DOM NZL NZSOS</v>
          </cell>
          <cell r="K794" t="b">
            <v>0</v>
          </cell>
        </row>
        <row r="795">
          <cell r="A795" t="str">
            <v>DOM NZL NZFRE</v>
          </cell>
          <cell r="K795" t="b">
            <v>0</v>
          </cell>
        </row>
        <row r="796">
          <cell r="A796" t="str">
            <v>DOM MNP FIX</v>
          </cell>
          <cell r="K796" t="b">
            <v>1</v>
          </cell>
        </row>
        <row r="797">
          <cell r="A797" t="str">
            <v>DOM NOR AREA2</v>
          </cell>
          <cell r="K797" t="b">
            <v>1</v>
          </cell>
        </row>
        <row r="798">
          <cell r="A798" t="str">
            <v>DOM NOR AREA4</v>
          </cell>
          <cell r="K798" t="b">
            <v>1</v>
          </cell>
        </row>
        <row r="799">
          <cell r="A799" t="str">
            <v>DOM NOR AREA3</v>
          </cell>
          <cell r="K799" t="b">
            <v>1</v>
          </cell>
        </row>
        <row r="800">
          <cell r="A800" t="str">
            <v>DOM NOR AREA5</v>
          </cell>
          <cell r="K800" t="b">
            <v>1</v>
          </cell>
        </row>
        <row r="801">
          <cell r="A801" t="str">
            <v>DOM NOR NOREN</v>
          </cell>
          <cell r="K801" t="b">
            <v>0</v>
          </cell>
        </row>
        <row r="802">
          <cell r="A802" t="str">
            <v>DOM NOR NEM1N</v>
          </cell>
          <cell r="K802" t="b">
            <v>0</v>
          </cell>
        </row>
        <row r="803">
          <cell r="A803" t="str">
            <v>DOM NOR NEM2N</v>
          </cell>
          <cell r="K803" t="b">
            <v>0</v>
          </cell>
        </row>
        <row r="804">
          <cell r="A804" t="str">
            <v>DOM NOR NORPN</v>
          </cell>
          <cell r="K804" t="b">
            <v>0</v>
          </cell>
        </row>
        <row r="805">
          <cell r="A805" t="str">
            <v>DOM NOR NOR1A</v>
          </cell>
          <cell r="K805" t="b">
            <v>0</v>
          </cell>
        </row>
        <row r="806">
          <cell r="A806" t="str">
            <v>DOM NOR NOR1B</v>
          </cell>
          <cell r="K806" t="b">
            <v>0</v>
          </cell>
        </row>
        <row r="807">
          <cell r="A807" t="str">
            <v>DOM NOR NOR1C</v>
          </cell>
          <cell r="K807" t="b">
            <v>0</v>
          </cell>
        </row>
        <row r="808">
          <cell r="A808" t="str">
            <v>DOM NOR NOR1D</v>
          </cell>
          <cell r="K808" t="b">
            <v>0</v>
          </cell>
        </row>
        <row r="809">
          <cell r="A809" t="str">
            <v>DOM NOR NOR1E</v>
          </cell>
          <cell r="K809" t="b">
            <v>0</v>
          </cell>
        </row>
        <row r="810">
          <cell r="A810" t="str">
            <v>DOM NOR NOR1F</v>
          </cell>
          <cell r="K810" t="b">
            <v>0</v>
          </cell>
        </row>
        <row r="811">
          <cell r="A811" t="str">
            <v>DOM NOR NOR1G</v>
          </cell>
          <cell r="K811" t="b">
            <v>0</v>
          </cell>
        </row>
        <row r="812">
          <cell r="A812" t="str">
            <v>DOM NOR NOR1H</v>
          </cell>
          <cell r="K812" t="b">
            <v>0</v>
          </cell>
        </row>
        <row r="813">
          <cell r="A813" t="str">
            <v>DOM NOR NOR1I</v>
          </cell>
          <cell r="K813" t="b">
            <v>0</v>
          </cell>
        </row>
        <row r="814">
          <cell r="A814" t="str">
            <v>DOM NOR NOR1J</v>
          </cell>
          <cell r="K814" t="b">
            <v>0</v>
          </cell>
        </row>
        <row r="815">
          <cell r="A815" t="str">
            <v>DOM NOR NOR1K</v>
          </cell>
          <cell r="K815" t="b">
            <v>0</v>
          </cell>
        </row>
        <row r="816">
          <cell r="A816" t="str">
            <v>DOM NOR NOR2A</v>
          </cell>
          <cell r="K816" t="b">
            <v>0</v>
          </cell>
        </row>
        <row r="817">
          <cell r="A817" t="str">
            <v>DOM NOR NOR2B</v>
          </cell>
          <cell r="K817" t="b">
            <v>0</v>
          </cell>
        </row>
        <row r="818">
          <cell r="A818" t="str">
            <v>DOM NOR NOR2C</v>
          </cell>
          <cell r="K818" t="b">
            <v>0</v>
          </cell>
        </row>
        <row r="819">
          <cell r="A819" t="str">
            <v>DOM NOR NOR2D</v>
          </cell>
          <cell r="K819" t="b">
            <v>0</v>
          </cell>
        </row>
        <row r="820">
          <cell r="A820" t="str">
            <v>DOM NOR NOR2E</v>
          </cell>
          <cell r="K820" t="b">
            <v>0</v>
          </cell>
        </row>
        <row r="821">
          <cell r="A821" t="str">
            <v>DOM NOR NOR2F</v>
          </cell>
          <cell r="K821" t="b">
            <v>0</v>
          </cell>
        </row>
        <row r="822">
          <cell r="A822" t="str">
            <v>DOM NOR NOR2G</v>
          </cell>
          <cell r="K822" t="b">
            <v>0</v>
          </cell>
        </row>
        <row r="823">
          <cell r="A823" t="str">
            <v>DOM NOR NOR2H</v>
          </cell>
          <cell r="K823" t="b">
            <v>0</v>
          </cell>
        </row>
        <row r="824">
          <cell r="A824" t="str">
            <v>DOM NOR NOR2I</v>
          </cell>
          <cell r="K824" t="b">
            <v>0</v>
          </cell>
        </row>
        <row r="825">
          <cell r="A825" t="str">
            <v>DOM NOR NOR2J</v>
          </cell>
          <cell r="K825" t="b">
            <v>0</v>
          </cell>
        </row>
        <row r="826">
          <cell r="A826" t="str">
            <v>DOM NOR NOR2K</v>
          </cell>
          <cell r="K826" t="b">
            <v>0</v>
          </cell>
        </row>
        <row r="827">
          <cell r="A827" t="str">
            <v>DOM NOR NOR3A</v>
          </cell>
          <cell r="K827" t="b">
            <v>0</v>
          </cell>
        </row>
        <row r="828">
          <cell r="A828" t="str">
            <v>DOM NOR NOR3B</v>
          </cell>
          <cell r="K828" t="b">
            <v>0</v>
          </cell>
        </row>
        <row r="829">
          <cell r="A829" t="str">
            <v>DOM NOR NOR3C</v>
          </cell>
          <cell r="K829" t="b">
            <v>0</v>
          </cell>
        </row>
        <row r="830">
          <cell r="A830" t="str">
            <v>DOM NOR NOR3D</v>
          </cell>
          <cell r="K830" t="b">
            <v>0</v>
          </cell>
        </row>
        <row r="831">
          <cell r="A831" t="str">
            <v>DOM NOR NOR3E</v>
          </cell>
          <cell r="K831" t="b">
            <v>0</v>
          </cell>
        </row>
        <row r="832">
          <cell r="A832" t="str">
            <v>DOM NOR NOR3F</v>
          </cell>
          <cell r="K832" t="b">
            <v>0</v>
          </cell>
        </row>
        <row r="833">
          <cell r="A833" t="str">
            <v>DOM NOR NOR3G</v>
          </cell>
          <cell r="K833" t="b">
            <v>0</v>
          </cell>
        </row>
        <row r="834">
          <cell r="A834" t="str">
            <v>DOM NOR NOR3H</v>
          </cell>
          <cell r="K834" t="b">
            <v>0</v>
          </cell>
        </row>
        <row r="835">
          <cell r="A835" t="str">
            <v>DOM NOR NOR3I</v>
          </cell>
          <cell r="K835" t="b">
            <v>0</v>
          </cell>
        </row>
        <row r="836">
          <cell r="A836" t="str">
            <v>DOM NOR NORT1</v>
          </cell>
          <cell r="K836" t="b">
            <v>0</v>
          </cell>
        </row>
        <row r="837">
          <cell r="A837" t="str">
            <v>DOM NOR NORT3</v>
          </cell>
          <cell r="K837" t="b">
            <v>0</v>
          </cell>
        </row>
        <row r="838">
          <cell r="A838" t="str">
            <v>DOM NOR NORT2</v>
          </cell>
          <cell r="K838" t="b">
            <v>0</v>
          </cell>
        </row>
        <row r="839">
          <cell r="A839" t="str">
            <v>DOM NOR NORTF</v>
          </cell>
          <cell r="K839" t="b">
            <v>0</v>
          </cell>
        </row>
        <row r="840">
          <cell r="A840" t="str">
            <v>DOM POL MOBPL</v>
          </cell>
          <cell r="K840" t="b">
            <v>1</v>
          </cell>
        </row>
        <row r="841">
          <cell r="A841" t="str">
            <v>DOM POL PLMOR</v>
          </cell>
          <cell r="K841" t="b">
            <v>1</v>
          </cell>
        </row>
        <row r="842">
          <cell r="A842" t="str">
            <v>DOM POL POL</v>
          </cell>
          <cell r="K842" t="b">
            <v>1</v>
          </cell>
        </row>
        <row r="843">
          <cell r="A843" t="str">
            <v>DOM PRT PTDSM</v>
          </cell>
          <cell r="K843" t="b">
            <v>0</v>
          </cell>
        </row>
        <row r="844">
          <cell r="A844" t="str">
            <v>DOM PRT PTFSM</v>
          </cell>
          <cell r="K844" t="b">
            <v>0</v>
          </cell>
        </row>
        <row r="845">
          <cell r="A845" t="str">
            <v>DOM PRT ZPOR5</v>
          </cell>
          <cell r="K845" t="b">
            <v>1</v>
          </cell>
        </row>
        <row r="846">
          <cell r="A846" t="str">
            <v>DOM PRT ZPOR1</v>
          </cell>
          <cell r="K846" t="b">
            <v>1</v>
          </cell>
        </row>
        <row r="847">
          <cell r="A847" t="str">
            <v>DOM PRT PTBN</v>
          </cell>
          <cell r="K847" t="b">
            <v>0</v>
          </cell>
        </row>
        <row r="848">
          <cell r="A848" t="str">
            <v>DOM PRT PTCUS</v>
          </cell>
          <cell r="K848" t="b">
            <v>0</v>
          </cell>
        </row>
        <row r="849">
          <cell r="A849" t="str">
            <v>DOM PRT PTCSP</v>
          </cell>
          <cell r="K849" t="b">
            <v>0</v>
          </cell>
        </row>
        <row r="850">
          <cell r="A850" t="str">
            <v>DOM PRT PTDE</v>
          </cell>
          <cell r="K850" t="b">
            <v>0</v>
          </cell>
        </row>
        <row r="851">
          <cell r="A851" t="str">
            <v>DOM PRT PTSOS</v>
          </cell>
          <cell r="K851" t="b">
            <v>0</v>
          </cell>
        </row>
        <row r="852">
          <cell r="A852" t="str">
            <v>DOM PRT PTFIC</v>
          </cell>
          <cell r="K852" t="b">
            <v>0</v>
          </cell>
        </row>
        <row r="853">
          <cell r="A853" t="str">
            <v>DOM PRT PTGAS</v>
          </cell>
          <cell r="K853" t="b">
            <v>0</v>
          </cell>
        </row>
        <row r="854">
          <cell r="A854" t="str">
            <v>DOM PRT PTMC</v>
          </cell>
          <cell r="K854" t="b">
            <v>0</v>
          </cell>
        </row>
        <row r="855">
          <cell r="A855" t="str">
            <v>DOM PRT PTPN</v>
          </cell>
          <cell r="K855" t="b">
            <v>0</v>
          </cell>
        </row>
        <row r="856">
          <cell r="A856" t="str">
            <v>DOM PRT PTSC0</v>
          </cell>
          <cell r="K856" t="b">
            <v>0</v>
          </cell>
        </row>
        <row r="857">
          <cell r="A857" t="str">
            <v>DOM PRT PTSC1</v>
          </cell>
          <cell r="K857" t="b">
            <v>0</v>
          </cell>
        </row>
        <row r="858">
          <cell r="A858" t="str">
            <v>DOM PRT PTSC2</v>
          </cell>
          <cell r="K858" t="b">
            <v>0</v>
          </cell>
        </row>
        <row r="859">
          <cell r="A859" t="str">
            <v>DOM PRT PTSI</v>
          </cell>
          <cell r="K859" t="b">
            <v>0</v>
          </cell>
        </row>
        <row r="860">
          <cell r="A860" t="str">
            <v>DOM PRT PTSCS</v>
          </cell>
          <cell r="K860" t="b">
            <v>0</v>
          </cell>
        </row>
        <row r="861">
          <cell r="A861" t="str">
            <v>DOM PRT PTTT</v>
          </cell>
          <cell r="K861" t="b">
            <v>0</v>
          </cell>
        </row>
        <row r="862">
          <cell r="A862" t="str">
            <v>DOM PRT PTFRE</v>
          </cell>
          <cell r="K862" t="b">
            <v>0</v>
          </cell>
        </row>
        <row r="863">
          <cell r="A863" t="str">
            <v>DOM PRT PTVCS</v>
          </cell>
          <cell r="K863" t="b">
            <v>0</v>
          </cell>
        </row>
        <row r="864">
          <cell r="A864" t="str">
            <v>DOM PRT PTVPN</v>
          </cell>
          <cell r="K864" t="b">
            <v>0</v>
          </cell>
        </row>
        <row r="865">
          <cell r="A865" t="str">
            <v>DOM PRT PTVMS</v>
          </cell>
          <cell r="K865" t="b">
            <v>0</v>
          </cell>
        </row>
        <row r="866">
          <cell r="A866" t="str">
            <v>DOM PRT PTVNS</v>
          </cell>
          <cell r="K866" t="b">
            <v>0</v>
          </cell>
        </row>
        <row r="867">
          <cell r="A867" t="str">
            <v>DOM PRI FIX</v>
          </cell>
          <cell r="K867" t="b">
            <v>1</v>
          </cell>
        </row>
        <row r="868">
          <cell r="A868" t="str">
            <v>DOM REU MOB</v>
          </cell>
          <cell r="K868" t="b">
            <v>1</v>
          </cell>
        </row>
        <row r="869">
          <cell r="A869" t="str">
            <v>DOM REU FIX</v>
          </cell>
          <cell r="K869" t="b">
            <v>1</v>
          </cell>
        </row>
        <row r="870">
          <cell r="A870" t="str">
            <v>DOM REU RE1FR</v>
          </cell>
          <cell r="K870" t="b">
            <v>0</v>
          </cell>
        </row>
        <row r="871">
          <cell r="A871" t="str">
            <v>DOM REU RE1TS</v>
          </cell>
          <cell r="K871" t="b">
            <v>0</v>
          </cell>
        </row>
        <row r="872">
          <cell r="A872" t="str">
            <v>DOM REU RE300</v>
          </cell>
          <cell r="K872" t="b">
            <v>0</v>
          </cell>
        </row>
        <row r="873">
          <cell r="A873" t="str">
            <v>DOM REU RE301</v>
          </cell>
          <cell r="K873" t="b">
            <v>0</v>
          </cell>
        </row>
        <row r="874">
          <cell r="A874" t="str">
            <v>DOM REU RE302</v>
          </cell>
          <cell r="K874" t="b">
            <v>0</v>
          </cell>
        </row>
        <row r="875">
          <cell r="A875" t="str">
            <v>DOM REU RE303</v>
          </cell>
          <cell r="K875" t="b">
            <v>0</v>
          </cell>
        </row>
        <row r="876">
          <cell r="A876" t="str">
            <v>DOM REU RE304</v>
          </cell>
          <cell r="K876" t="b">
            <v>0</v>
          </cell>
        </row>
        <row r="877">
          <cell r="A877" t="str">
            <v>DOM REU RE305</v>
          </cell>
          <cell r="K877" t="b">
            <v>0</v>
          </cell>
        </row>
        <row r="878">
          <cell r="A878" t="str">
            <v>DOM REU RE306</v>
          </cell>
          <cell r="K878" t="b">
            <v>0</v>
          </cell>
        </row>
        <row r="879">
          <cell r="A879" t="str">
            <v>DOM REU RE307</v>
          </cell>
          <cell r="K879" t="b">
            <v>0</v>
          </cell>
        </row>
        <row r="880">
          <cell r="A880" t="str">
            <v>DOM REU RE308</v>
          </cell>
          <cell r="K880" t="b">
            <v>0</v>
          </cell>
        </row>
        <row r="881">
          <cell r="A881" t="str">
            <v>DOM REU RE309</v>
          </cell>
          <cell r="K881" t="b">
            <v>0</v>
          </cell>
        </row>
        <row r="882">
          <cell r="A882" t="str">
            <v>DOM REU RE310</v>
          </cell>
          <cell r="K882" t="b">
            <v>0</v>
          </cell>
        </row>
        <row r="883">
          <cell r="A883" t="str">
            <v>DOM REU RE311</v>
          </cell>
          <cell r="K883" t="b">
            <v>0</v>
          </cell>
        </row>
        <row r="884">
          <cell r="A884" t="str">
            <v>DOM REU RE312</v>
          </cell>
          <cell r="K884" t="b">
            <v>0</v>
          </cell>
        </row>
        <row r="885">
          <cell r="A885" t="str">
            <v>DOM REU RE313</v>
          </cell>
          <cell r="K885" t="b">
            <v>0</v>
          </cell>
        </row>
        <row r="886">
          <cell r="A886" t="str">
            <v>DOM REU RE314</v>
          </cell>
          <cell r="K886" t="b">
            <v>0</v>
          </cell>
        </row>
        <row r="887">
          <cell r="A887" t="str">
            <v>DOM REU RE315</v>
          </cell>
          <cell r="K887" t="b">
            <v>0</v>
          </cell>
        </row>
        <row r="888">
          <cell r="A888" t="str">
            <v>DOM REU RE316</v>
          </cell>
          <cell r="K888" t="b">
            <v>0</v>
          </cell>
        </row>
        <row r="889">
          <cell r="A889" t="str">
            <v>DOM REU RE317</v>
          </cell>
          <cell r="K889" t="b">
            <v>0</v>
          </cell>
        </row>
        <row r="890">
          <cell r="A890" t="str">
            <v>DOM REU RE318</v>
          </cell>
          <cell r="K890" t="b">
            <v>0</v>
          </cell>
        </row>
        <row r="891">
          <cell r="A891" t="str">
            <v>DOM REU RE319</v>
          </cell>
          <cell r="K891" t="b">
            <v>0</v>
          </cell>
        </row>
        <row r="892">
          <cell r="A892" t="str">
            <v>DOM REU RE320</v>
          </cell>
          <cell r="K892" t="b">
            <v>0</v>
          </cell>
        </row>
        <row r="893">
          <cell r="A893" t="str">
            <v>DOM REU RE321</v>
          </cell>
          <cell r="K893" t="b">
            <v>0</v>
          </cell>
        </row>
        <row r="894">
          <cell r="A894" t="str">
            <v>DOM REU REVAS</v>
          </cell>
          <cell r="K894" t="b">
            <v>0</v>
          </cell>
        </row>
        <row r="895">
          <cell r="A895" t="str">
            <v>DOM REU RESOS</v>
          </cell>
          <cell r="K895" t="b">
            <v>0</v>
          </cell>
        </row>
        <row r="896">
          <cell r="A896" t="str">
            <v>DOM REU RE860</v>
          </cell>
          <cell r="K896" t="b">
            <v>0</v>
          </cell>
        </row>
        <row r="897">
          <cell r="A897" t="str">
            <v>DOM REU RE82H</v>
          </cell>
          <cell r="K897" t="b">
            <v>0</v>
          </cell>
        </row>
        <row r="898">
          <cell r="A898" t="str">
            <v>DOM REU RE82L</v>
          </cell>
          <cell r="K898" t="b">
            <v>0</v>
          </cell>
        </row>
        <row r="899">
          <cell r="A899" t="str">
            <v>DOM REU RE825</v>
          </cell>
          <cell r="K899" t="b">
            <v>0</v>
          </cell>
        </row>
        <row r="900">
          <cell r="A900" t="str">
            <v>DOM REU RE89H</v>
          </cell>
          <cell r="K900" t="b">
            <v>0</v>
          </cell>
        </row>
        <row r="901">
          <cell r="A901" t="str">
            <v>DOM REU RE89L</v>
          </cell>
          <cell r="K901" t="b">
            <v>0</v>
          </cell>
        </row>
        <row r="902">
          <cell r="A902" t="str">
            <v>DOM REU RE891</v>
          </cell>
          <cell r="K902" t="b">
            <v>0</v>
          </cell>
        </row>
        <row r="903">
          <cell r="A903" t="str">
            <v>DOM REU RE892</v>
          </cell>
          <cell r="K903" t="b">
            <v>0</v>
          </cell>
        </row>
        <row r="904">
          <cell r="A904" t="str">
            <v>DOM REU RE897</v>
          </cell>
          <cell r="K904" t="b">
            <v>0</v>
          </cell>
        </row>
        <row r="905">
          <cell r="A905" t="str">
            <v>DOM REU RE899</v>
          </cell>
          <cell r="K905" t="b">
            <v>0</v>
          </cell>
        </row>
        <row r="906">
          <cell r="A906" t="str">
            <v>DOM REU RE006</v>
          </cell>
          <cell r="K906" t="b">
            <v>0</v>
          </cell>
        </row>
        <row r="907">
          <cell r="A907" t="str">
            <v>DOM REU RE218</v>
          </cell>
          <cell r="K907" t="b">
            <v>0</v>
          </cell>
        </row>
        <row r="908">
          <cell r="A908" t="str">
            <v>DOM REU RE222</v>
          </cell>
          <cell r="K908" t="b">
            <v>0</v>
          </cell>
        </row>
        <row r="909">
          <cell r="A909" t="str">
            <v>DOM REU RE700</v>
          </cell>
          <cell r="K909" t="b">
            <v>0</v>
          </cell>
        </row>
        <row r="910">
          <cell r="A910" t="str">
            <v>DOM REU RE710</v>
          </cell>
          <cell r="K910" t="b">
            <v>0</v>
          </cell>
        </row>
        <row r="911">
          <cell r="A911" t="str">
            <v>DOM REU RE711</v>
          </cell>
          <cell r="K911" t="b">
            <v>0</v>
          </cell>
        </row>
        <row r="912">
          <cell r="A912" t="str">
            <v>DOM REU RE712</v>
          </cell>
          <cell r="K912" t="b">
            <v>0</v>
          </cell>
        </row>
        <row r="913">
          <cell r="A913" t="str">
            <v>DOM REU RE888</v>
          </cell>
          <cell r="K913" t="b">
            <v>0</v>
          </cell>
        </row>
        <row r="914">
          <cell r="A914" t="str">
            <v>DOM REU REFRE</v>
          </cell>
          <cell r="K914" t="b">
            <v>0</v>
          </cell>
        </row>
        <row r="915">
          <cell r="A915" t="str">
            <v>DOM REU RE810</v>
          </cell>
          <cell r="K915" t="b">
            <v>0</v>
          </cell>
        </row>
        <row r="916">
          <cell r="A916" t="str">
            <v>DOM ROM MOB</v>
          </cell>
          <cell r="K916" t="b">
            <v>1</v>
          </cell>
        </row>
        <row r="917">
          <cell r="A917" t="str">
            <v>DOM ROM ROMOR</v>
          </cell>
          <cell r="K917" t="b">
            <v>1</v>
          </cell>
        </row>
        <row r="918">
          <cell r="A918" t="str">
            <v>DOM ROM FIX</v>
          </cell>
          <cell r="K918" t="b">
            <v>1</v>
          </cell>
        </row>
        <row r="919">
          <cell r="A919" t="str">
            <v>DOM SMR MOB</v>
          </cell>
          <cell r="K919" t="b">
            <v>1</v>
          </cell>
        </row>
        <row r="920">
          <cell r="A920" t="str">
            <v>DOM SMR FIX</v>
          </cell>
          <cell r="K920" t="b">
            <v>1</v>
          </cell>
        </row>
        <row r="921">
          <cell r="A921" t="str">
            <v>DOM SGP MOBSG</v>
          </cell>
          <cell r="K921" t="b">
            <v>1</v>
          </cell>
        </row>
        <row r="922">
          <cell r="A922" t="str">
            <v>DOM SGP FIXSG</v>
          </cell>
          <cell r="K922" t="b">
            <v>1</v>
          </cell>
        </row>
        <row r="923">
          <cell r="A923" t="str">
            <v>DOM SVK SKMOR</v>
          </cell>
          <cell r="K923" t="b">
            <v>1</v>
          </cell>
        </row>
        <row r="924">
          <cell r="A924" t="str">
            <v>DOM SVK MOB</v>
          </cell>
          <cell r="K924" t="b">
            <v>1</v>
          </cell>
        </row>
        <row r="925">
          <cell r="A925" t="str">
            <v>DOM SVK FIX</v>
          </cell>
          <cell r="K925" t="b">
            <v>1</v>
          </cell>
        </row>
        <row r="926">
          <cell r="A926" t="str">
            <v>DOM SVN MOB</v>
          </cell>
          <cell r="K926" t="b">
            <v>1</v>
          </cell>
        </row>
        <row r="927">
          <cell r="A927" t="str">
            <v>DOM SVN SIMMO</v>
          </cell>
          <cell r="K927" t="b">
            <v>1</v>
          </cell>
        </row>
        <row r="928">
          <cell r="A928" t="str">
            <v>DOM SVN FIX</v>
          </cell>
          <cell r="K928" t="b">
            <v>1</v>
          </cell>
        </row>
        <row r="929">
          <cell r="A929" t="str">
            <v>DOM ZAF MOB</v>
          </cell>
          <cell r="K929" t="b">
            <v>1</v>
          </cell>
        </row>
        <row r="930">
          <cell r="A930" t="str">
            <v>DOM ZAF FIX</v>
          </cell>
          <cell r="K930" t="b">
            <v>1</v>
          </cell>
        </row>
        <row r="931">
          <cell r="A931" t="str">
            <v>DOM ESP ZESP3</v>
          </cell>
          <cell r="K931" t="b">
            <v>1</v>
          </cell>
        </row>
        <row r="932">
          <cell r="A932" t="str">
            <v>DOM ESP SPMAM</v>
          </cell>
          <cell r="K932" t="b">
            <v>1</v>
          </cell>
        </row>
        <row r="933">
          <cell r="A933" t="str">
            <v>DOM ESP ZESP4</v>
          </cell>
          <cell r="K933" t="b">
            <v>1</v>
          </cell>
        </row>
        <row r="934">
          <cell r="A934" t="str">
            <v>DOM ESP SPMTE</v>
          </cell>
          <cell r="K934" t="b">
            <v>1</v>
          </cell>
        </row>
        <row r="935">
          <cell r="A935" t="str">
            <v>DOM ESP SPMVO</v>
          </cell>
          <cell r="K935" t="b">
            <v>1</v>
          </cell>
        </row>
        <row r="936">
          <cell r="A936" t="str">
            <v>DOM ESP SPADM</v>
          </cell>
          <cell r="K936" t="b">
            <v>0</v>
          </cell>
        </row>
        <row r="937">
          <cell r="A937" t="str">
            <v>DOM ESP SPDIA</v>
          </cell>
          <cell r="K937" t="b">
            <v>0</v>
          </cell>
        </row>
        <row r="938">
          <cell r="A938" t="str">
            <v>DOM ESP SPDIR</v>
          </cell>
          <cell r="K938" t="b">
            <v>0</v>
          </cell>
        </row>
        <row r="939">
          <cell r="A939" t="str">
            <v>DOM ESP SPSOS</v>
          </cell>
          <cell r="K939" t="b">
            <v>0</v>
          </cell>
        </row>
        <row r="940">
          <cell r="A940" t="str">
            <v>DOM ESP SPEUH</v>
          </cell>
          <cell r="K940" t="b">
            <v>0</v>
          </cell>
        </row>
        <row r="941">
          <cell r="A941" t="str">
            <v>DOM ESP SPPNS</v>
          </cell>
          <cell r="K941" t="b">
            <v>0</v>
          </cell>
        </row>
        <row r="942">
          <cell r="A942" t="str">
            <v>DOM ESP SPOPE</v>
          </cell>
          <cell r="K942" t="b">
            <v>0</v>
          </cell>
        </row>
        <row r="943">
          <cell r="A943" t="str">
            <v>DOM ESP SPPRS</v>
          </cell>
          <cell r="K943" t="b">
            <v>0</v>
          </cell>
        </row>
        <row r="944">
          <cell r="A944" t="str">
            <v>DOM ESP SPP01</v>
          </cell>
          <cell r="K944" t="b">
            <v>0</v>
          </cell>
        </row>
        <row r="945">
          <cell r="A945" t="str">
            <v>DOM ESP SPP02</v>
          </cell>
          <cell r="K945" t="b">
            <v>0</v>
          </cell>
        </row>
        <row r="946">
          <cell r="A946" t="str">
            <v>DOM ESP SPP03</v>
          </cell>
          <cell r="K946" t="b">
            <v>0</v>
          </cell>
        </row>
        <row r="947">
          <cell r="A947" t="str">
            <v>DOM ESP SPP04</v>
          </cell>
          <cell r="K947" t="b">
            <v>0</v>
          </cell>
        </row>
        <row r="948">
          <cell r="A948" t="str">
            <v>DOM ESP SPP05</v>
          </cell>
          <cell r="K948" t="b">
            <v>0</v>
          </cell>
        </row>
        <row r="949">
          <cell r="A949" t="str">
            <v>DOM ESP SPP06</v>
          </cell>
          <cell r="K949" t="b">
            <v>0</v>
          </cell>
        </row>
        <row r="950">
          <cell r="A950" t="str">
            <v>DOM ESP SPP07</v>
          </cell>
          <cell r="K950" t="b">
            <v>0</v>
          </cell>
        </row>
        <row r="951">
          <cell r="A951" t="str">
            <v>DOM ESP SPP08</v>
          </cell>
          <cell r="K951" t="b">
            <v>0</v>
          </cell>
        </row>
        <row r="952">
          <cell r="A952" t="str">
            <v>DOM ESP SPP09</v>
          </cell>
          <cell r="K952" t="b">
            <v>0</v>
          </cell>
        </row>
        <row r="953">
          <cell r="A953" t="str">
            <v>DOM ESP SPP10</v>
          </cell>
          <cell r="K953" t="b">
            <v>0</v>
          </cell>
        </row>
        <row r="954">
          <cell r="A954" t="str">
            <v>DOM ESP SPP11</v>
          </cell>
          <cell r="K954" t="b">
            <v>0</v>
          </cell>
        </row>
        <row r="955">
          <cell r="A955" t="str">
            <v>DOM ESP SPP12</v>
          </cell>
          <cell r="K955" t="b">
            <v>0</v>
          </cell>
        </row>
        <row r="956">
          <cell r="A956" t="str">
            <v>DOM ESP SPP13</v>
          </cell>
          <cell r="K956" t="b">
            <v>0</v>
          </cell>
        </row>
        <row r="957">
          <cell r="A957" t="str">
            <v>DOM ESP SPFRE</v>
          </cell>
          <cell r="K957" t="b">
            <v>0</v>
          </cell>
        </row>
        <row r="958">
          <cell r="A958" t="str">
            <v>DOM ESP SPVPN</v>
          </cell>
          <cell r="K958" t="b">
            <v>0</v>
          </cell>
        </row>
        <row r="959">
          <cell r="A959" t="str">
            <v>DOM SPM MOB</v>
          </cell>
          <cell r="K959" t="b">
            <v>1</v>
          </cell>
        </row>
        <row r="960">
          <cell r="A960" t="str">
            <v>DOM SPM FIX</v>
          </cell>
          <cell r="K960" t="b">
            <v>1</v>
          </cell>
        </row>
        <row r="961">
          <cell r="A961" t="str">
            <v>DOM SWE AREA1</v>
          </cell>
          <cell r="K961" t="b">
            <v>1</v>
          </cell>
        </row>
        <row r="962">
          <cell r="A962" t="str">
            <v>DOM SWE SWMO</v>
          </cell>
          <cell r="K962" t="b">
            <v>1</v>
          </cell>
        </row>
        <row r="963">
          <cell r="A963" t="str">
            <v>DOM SWE SEMTE</v>
          </cell>
          <cell r="K963" t="b">
            <v>1</v>
          </cell>
        </row>
        <row r="964">
          <cell r="A964" t="str">
            <v>DOM SWE NRINF</v>
          </cell>
          <cell r="K964" t="b">
            <v>0</v>
          </cell>
        </row>
        <row r="965">
          <cell r="A965" t="str">
            <v>DOM SWE NRIN2</v>
          </cell>
          <cell r="K965" t="b">
            <v>0</v>
          </cell>
        </row>
        <row r="966">
          <cell r="A966" t="str">
            <v>DOM SWE NRIN3</v>
          </cell>
          <cell r="K966" t="b">
            <v>0</v>
          </cell>
        </row>
        <row r="967">
          <cell r="A967" t="str">
            <v>DOM SWE SOS</v>
          </cell>
          <cell r="K967" t="b">
            <v>0</v>
          </cell>
        </row>
        <row r="968">
          <cell r="A968" t="str">
            <v>DOM SWE SWEUS</v>
          </cell>
          <cell r="K968" t="b">
            <v>0</v>
          </cell>
        </row>
        <row r="969">
          <cell r="A969" t="str">
            <v>DOM SWE SWNM</v>
          </cell>
          <cell r="K969" t="b">
            <v>0</v>
          </cell>
        </row>
        <row r="970">
          <cell r="A970" t="str">
            <v>DOM SWE PAGER</v>
          </cell>
          <cell r="K970" t="b">
            <v>0</v>
          </cell>
        </row>
        <row r="971">
          <cell r="A971" t="str">
            <v>DOM SWE PAGR2</v>
          </cell>
          <cell r="K971" t="b">
            <v>0</v>
          </cell>
        </row>
        <row r="972">
          <cell r="A972" t="str">
            <v>DOM SWE PAGR3</v>
          </cell>
          <cell r="K972" t="b">
            <v>0</v>
          </cell>
        </row>
        <row r="973">
          <cell r="A973" t="str">
            <v>DOM SWE SWPSN</v>
          </cell>
          <cell r="K973" t="b">
            <v>0</v>
          </cell>
        </row>
        <row r="974">
          <cell r="A974" t="str">
            <v>DOM SWE SWPRM</v>
          </cell>
          <cell r="K974" t="b">
            <v>0</v>
          </cell>
        </row>
        <row r="975">
          <cell r="A975" t="str">
            <v>DOM SWE SCN</v>
          </cell>
          <cell r="K975" t="b">
            <v>0</v>
          </cell>
        </row>
        <row r="976">
          <cell r="A976" t="str">
            <v>DOM SWE SWTLM</v>
          </cell>
          <cell r="K976" t="b">
            <v>0</v>
          </cell>
        </row>
        <row r="977">
          <cell r="A977" t="str">
            <v>DOM SWE FREE</v>
          </cell>
          <cell r="K977" t="b">
            <v>0</v>
          </cell>
        </row>
        <row r="978">
          <cell r="A978" t="str">
            <v>DOM CHE ZCHEN</v>
          </cell>
          <cell r="K978" t="b">
            <v>1</v>
          </cell>
        </row>
        <row r="979">
          <cell r="A979" t="str">
            <v>DOM CHE ZCHE2</v>
          </cell>
          <cell r="K979" t="b">
            <v>1</v>
          </cell>
        </row>
        <row r="980">
          <cell r="A980" t="str">
            <v>DOM CHE ZCH32</v>
          </cell>
          <cell r="K980" t="b">
            <v>1</v>
          </cell>
        </row>
        <row r="981">
          <cell r="A981" t="str">
            <v>DOM CHE ZCHM5</v>
          </cell>
          <cell r="K981" t="b">
            <v>1</v>
          </cell>
        </row>
        <row r="982">
          <cell r="A982" t="str">
            <v>DOM CHE ZCH33</v>
          </cell>
          <cell r="K982" t="b">
            <v>1</v>
          </cell>
        </row>
        <row r="983">
          <cell r="A983" t="str">
            <v>DOM CHE ZCH24</v>
          </cell>
          <cell r="K983" t="b">
            <v>1</v>
          </cell>
        </row>
        <row r="984">
          <cell r="A984" t="str">
            <v>DOM CHE ZCH29</v>
          </cell>
          <cell r="K984" t="b">
            <v>0</v>
          </cell>
        </row>
        <row r="985">
          <cell r="A985" t="str">
            <v>DOM CHE ZCH30</v>
          </cell>
          <cell r="K985" t="b">
            <v>0</v>
          </cell>
        </row>
        <row r="986">
          <cell r="A986" t="str">
            <v>DOM CHE ZCHCA</v>
          </cell>
          <cell r="K986" t="b">
            <v>0</v>
          </cell>
        </row>
        <row r="987">
          <cell r="A987" t="str">
            <v>DOM CHE ZCHE0</v>
          </cell>
          <cell r="K987" t="b">
            <v>0</v>
          </cell>
        </row>
        <row r="988">
          <cell r="A988" t="str">
            <v>DOM CHE ZCHS7</v>
          </cell>
          <cell r="K988" t="b">
            <v>0</v>
          </cell>
        </row>
        <row r="989">
          <cell r="A989" t="str">
            <v>DOM CHE ZCHS9</v>
          </cell>
          <cell r="K989" t="b">
            <v>0</v>
          </cell>
        </row>
        <row r="990">
          <cell r="A990" t="str">
            <v>DOM CHE ZCHS8</v>
          </cell>
          <cell r="K990" t="b">
            <v>0</v>
          </cell>
        </row>
        <row r="991">
          <cell r="A991" t="str">
            <v>DOM CHE ZCHEU</v>
          </cell>
          <cell r="K991" t="b">
            <v>0</v>
          </cell>
        </row>
        <row r="992">
          <cell r="A992" t="str">
            <v>DOM CHE ZCH31</v>
          </cell>
          <cell r="K992" t="b">
            <v>0</v>
          </cell>
        </row>
        <row r="993">
          <cell r="A993" t="str">
            <v>DOM CHE ZCHPG</v>
          </cell>
          <cell r="K993" t="b">
            <v>0</v>
          </cell>
        </row>
        <row r="994">
          <cell r="A994" t="str">
            <v>DOM CHE ZCH27</v>
          </cell>
          <cell r="K994" t="b">
            <v>0</v>
          </cell>
        </row>
        <row r="995">
          <cell r="A995" t="str">
            <v>DOM CHE ZCH28</v>
          </cell>
          <cell r="K995" t="b">
            <v>0</v>
          </cell>
        </row>
        <row r="996">
          <cell r="A996" t="str">
            <v>DOM CHE ZCHSC</v>
          </cell>
          <cell r="K996" t="b">
            <v>0</v>
          </cell>
        </row>
        <row r="997">
          <cell r="A997" t="str">
            <v>DOM CHE ZCHS6</v>
          </cell>
          <cell r="K997" t="b">
            <v>0</v>
          </cell>
        </row>
        <row r="998">
          <cell r="A998" t="str">
            <v>DOM CHE ZCH25</v>
          </cell>
          <cell r="K998" t="b">
            <v>0</v>
          </cell>
        </row>
        <row r="999">
          <cell r="A999" t="str">
            <v>DOM CHE ZCH26</v>
          </cell>
          <cell r="K999" t="b">
            <v>0</v>
          </cell>
        </row>
        <row r="1000">
          <cell r="A1000" t="str">
            <v>DOM CHE ZCHTT</v>
          </cell>
          <cell r="K1000" t="b">
            <v>0</v>
          </cell>
        </row>
        <row r="1001">
          <cell r="A1001" t="str">
            <v>DOM TWN MOB</v>
          </cell>
          <cell r="K1001" t="b">
            <v>1</v>
          </cell>
        </row>
        <row r="1002">
          <cell r="A1002" t="str">
            <v>DOM TWN FIX</v>
          </cell>
          <cell r="K1002" t="b">
            <v>1</v>
          </cell>
        </row>
        <row r="1003">
          <cell r="A1003" t="str">
            <v>DOM TZA TZAMO</v>
          </cell>
          <cell r="K1003" t="b">
            <v>1</v>
          </cell>
        </row>
        <row r="1004">
          <cell r="A1004" t="str">
            <v>DOM TZA TZA</v>
          </cell>
          <cell r="K1004" t="b">
            <v>1</v>
          </cell>
        </row>
        <row r="1005">
          <cell r="A1005" t="str">
            <v>DOM USA TFREE</v>
          </cell>
          <cell r="K1005" t="b">
            <v>0</v>
          </cell>
        </row>
        <row r="1006">
          <cell r="A1006" t="str">
            <v>DOM GBR LDN1</v>
          </cell>
          <cell r="K1006" t="b">
            <v>1</v>
          </cell>
        </row>
        <row r="1007">
          <cell r="A1007" t="str">
            <v>DOM GBR UKMO2</v>
          </cell>
          <cell r="K1007" t="b">
            <v>1</v>
          </cell>
        </row>
        <row r="1008">
          <cell r="A1008" t="str">
            <v>DOM GBR UKMOB</v>
          </cell>
          <cell r="K1008" t="b">
            <v>1</v>
          </cell>
        </row>
        <row r="1009">
          <cell r="A1009" t="str">
            <v>DOM GBR ZC</v>
          </cell>
          <cell r="K1009" t="b">
            <v>1</v>
          </cell>
        </row>
        <row r="1010">
          <cell r="A1010" t="str">
            <v>DOM GBR ZF</v>
          </cell>
          <cell r="K1010" t="b">
            <v>1</v>
          </cell>
        </row>
        <row r="1011">
          <cell r="A1011" t="str">
            <v>DOM USA ALFIX</v>
          </cell>
          <cell r="K1011" t="b">
            <v>1</v>
          </cell>
        </row>
        <row r="1012">
          <cell r="A1012" t="str">
            <v>DOM USA AKFIX</v>
          </cell>
          <cell r="K1012" t="b">
            <v>1</v>
          </cell>
        </row>
        <row r="1013">
          <cell r="A1013" t="str">
            <v>DOM USA AZFIX</v>
          </cell>
          <cell r="K1013" t="b">
            <v>1</v>
          </cell>
        </row>
        <row r="1014">
          <cell r="A1014" t="str">
            <v>DOM USA ARFIX</v>
          </cell>
          <cell r="K1014" t="b">
            <v>1</v>
          </cell>
        </row>
        <row r="1015">
          <cell r="A1015" t="str">
            <v>DOM USA CAFIX</v>
          </cell>
          <cell r="K1015" t="b">
            <v>1</v>
          </cell>
        </row>
        <row r="1016">
          <cell r="A1016" t="str">
            <v>DOM USA COFIX</v>
          </cell>
          <cell r="K1016" t="b">
            <v>1</v>
          </cell>
        </row>
        <row r="1017">
          <cell r="A1017" t="str">
            <v>DOM USA CTFIX</v>
          </cell>
          <cell r="K1017" t="b">
            <v>1</v>
          </cell>
        </row>
        <row r="1018">
          <cell r="A1018" t="str">
            <v>DOM USA DEFIX</v>
          </cell>
          <cell r="K1018" t="b">
            <v>1</v>
          </cell>
        </row>
        <row r="1019">
          <cell r="A1019" t="str">
            <v>DOM USA FLFIX</v>
          </cell>
          <cell r="K1019" t="b">
            <v>1</v>
          </cell>
        </row>
        <row r="1020">
          <cell r="A1020" t="str">
            <v>DOM USA GAFIX</v>
          </cell>
          <cell r="K1020" t="b">
            <v>1</v>
          </cell>
        </row>
        <row r="1021">
          <cell r="A1021" t="str">
            <v>DOM USA HIFIX</v>
          </cell>
          <cell r="K1021" t="b">
            <v>1</v>
          </cell>
        </row>
        <row r="1022">
          <cell r="A1022" t="str">
            <v>DOM USA IDFIX</v>
          </cell>
          <cell r="K1022" t="b">
            <v>1</v>
          </cell>
        </row>
        <row r="1023">
          <cell r="A1023" t="str">
            <v>DOM USA ILFIX</v>
          </cell>
          <cell r="K1023" t="b">
            <v>1</v>
          </cell>
        </row>
        <row r="1024">
          <cell r="A1024" t="str">
            <v>DOM USA INFIX</v>
          </cell>
          <cell r="K1024" t="b">
            <v>1</v>
          </cell>
        </row>
        <row r="1025">
          <cell r="A1025" t="str">
            <v>DOM USA IAFIX</v>
          </cell>
          <cell r="K1025" t="b">
            <v>1</v>
          </cell>
        </row>
        <row r="1026">
          <cell r="A1026" t="str">
            <v>DOM USA KSFIX</v>
          </cell>
          <cell r="K1026" t="b">
            <v>1</v>
          </cell>
        </row>
        <row r="1027">
          <cell r="A1027" t="str">
            <v>DOM USA KYFIX</v>
          </cell>
          <cell r="K1027" t="b">
            <v>1</v>
          </cell>
        </row>
        <row r="1028">
          <cell r="A1028" t="str">
            <v>DOM USA LAFIX</v>
          </cell>
          <cell r="K1028" t="b">
            <v>1</v>
          </cell>
        </row>
        <row r="1029">
          <cell r="A1029" t="str">
            <v>DOM USA MEFIX</v>
          </cell>
          <cell r="K1029" t="b">
            <v>1</v>
          </cell>
        </row>
        <row r="1030">
          <cell r="A1030" t="str">
            <v>DOM USA MDFIX</v>
          </cell>
          <cell r="K1030" t="b">
            <v>1</v>
          </cell>
        </row>
        <row r="1031">
          <cell r="A1031" t="str">
            <v>DOM USA MAFIX</v>
          </cell>
          <cell r="K1031" t="b">
            <v>1</v>
          </cell>
        </row>
        <row r="1032">
          <cell r="A1032" t="str">
            <v>DOM USA MIFIX</v>
          </cell>
          <cell r="K1032" t="b">
            <v>1</v>
          </cell>
        </row>
        <row r="1033">
          <cell r="A1033" t="str">
            <v>DOM USA MNFIX</v>
          </cell>
          <cell r="K1033" t="b">
            <v>1</v>
          </cell>
        </row>
        <row r="1034">
          <cell r="A1034" t="str">
            <v>DOM USA MSFIX</v>
          </cell>
          <cell r="K1034" t="b">
            <v>1</v>
          </cell>
        </row>
        <row r="1035">
          <cell r="A1035" t="str">
            <v>DOM USA MOFIX</v>
          </cell>
          <cell r="K1035" t="b">
            <v>1</v>
          </cell>
        </row>
        <row r="1036">
          <cell r="A1036" t="str">
            <v>DOM USA MTFIX</v>
          </cell>
          <cell r="K1036" t="b">
            <v>1</v>
          </cell>
        </row>
        <row r="1037">
          <cell r="A1037" t="str">
            <v>DOM USA NEFIX</v>
          </cell>
          <cell r="K1037" t="b">
            <v>1</v>
          </cell>
        </row>
        <row r="1038">
          <cell r="A1038" t="str">
            <v>DOM USA NVFIX</v>
          </cell>
          <cell r="K1038" t="b">
            <v>1</v>
          </cell>
        </row>
        <row r="1039">
          <cell r="A1039" t="str">
            <v>DOM USA NHFIX</v>
          </cell>
          <cell r="K1039" t="b">
            <v>1</v>
          </cell>
        </row>
        <row r="1040">
          <cell r="A1040" t="str">
            <v>DOM USA NJFIX</v>
          </cell>
          <cell r="K1040" t="b">
            <v>1</v>
          </cell>
        </row>
        <row r="1041">
          <cell r="A1041" t="str">
            <v>DOM USA NMFIX</v>
          </cell>
          <cell r="K1041" t="b">
            <v>1</v>
          </cell>
        </row>
        <row r="1042">
          <cell r="A1042" t="str">
            <v>DOM USA NYFIX</v>
          </cell>
          <cell r="K1042" t="b">
            <v>1</v>
          </cell>
        </row>
        <row r="1043">
          <cell r="A1043" t="str">
            <v>DOM USA NCFIX</v>
          </cell>
          <cell r="K1043" t="b">
            <v>1</v>
          </cell>
        </row>
        <row r="1044">
          <cell r="A1044" t="str">
            <v>DOM USA NDFIX</v>
          </cell>
          <cell r="K1044" t="b">
            <v>1</v>
          </cell>
        </row>
        <row r="1045">
          <cell r="A1045" t="str">
            <v>DOM USA OHFIX</v>
          </cell>
          <cell r="K1045" t="b">
            <v>1</v>
          </cell>
        </row>
        <row r="1046">
          <cell r="A1046" t="str">
            <v>DOM USA OKFIX</v>
          </cell>
          <cell r="K1046" t="b">
            <v>1</v>
          </cell>
        </row>
        <row r="1047">
          <cell r="A1047" t="str">
            <v>DOM USA ORFIX</v>
          </cell>
          <cell r="K1047" t="b">
            <v>1</v>
          </cell>
        </row>
        <row r="1048">
          <cell r="A1048" t="str">
            <v>DOM USA PAFIX</v>
          </cell>
          <cell r="K1048" t="b">
            <v>1</v>
          </cell>
        </row>
        <row r="1049">
          <cell r="A1049" t="str">
            <v>DOM USA RIFIX</v>
          </cell>
          <cell r="K1049" t="b">
            <v>1</v>
          </cell>
        </row>
        <row r="1050">
          <cell r="A1050" t="str">
            <v>DOM USA SCFIX</v>
          </cell>
          <cell r="K1050" t="b">
            <v>1</v>
          </cell>
        </row>
        <row r="1051">
          <cell r="A1051" t="str">
            <v>DOM USA SDFIX</v>
          </cell>
          <cell r="K1051" t="b">
            <v>1</v>
          </cell>
        </row>
        <row r="1052">
          <cell r="A1052" t="str">
            <v>DOM USA TNFIX</v>
          </cell>
          <cell r="K1052" t="b">
            <v>1</v>
          </cell>
        </row>
        <row r="1053">
          <cell r="A1053" t="str">
            <v>DOM USA TXFIX</v>
          </cell>
          <cell r="K1053" t="b">
            <v>1</v>
          </cell>
        </row>
        <row r="1054">
          <cell r="A1054" t="str">
            <v>DOM USA UTFIX</v>
          </cell>
          <cell r="K1054" t="b">
            <v>1</v>
          </cell>
        </row>
        <row r="1055">
          <cell r="A1055" t="str">
            <v>DOM USA VTFIX</v>
          </cell>
          <cell r="K1055" t="b">
            <v>1</v>
          </cell>
        </row>
        <row r="1056">
          <cell r="A1056" t="str">
            <v>DOM USA VAFIX</v>
          </cell>
          <cell r="K1056" t="b">
            <v>1</v>
          </cell>
        </row>
        <row r="1057">
          <cell r="A1057" t="str">
            <v>DOM USA WAFIX</v>
          </cell>
          <cell r="K1057" t="b">
            <v>1</v>
          </cell>
        </row>
        <row r="1058">
          <cell r="A1058" t="str">
            <v>DOM USA DCFIX</v>
          </cell>
          <cell r="K1058" t="b">
            <v>1</v>
          </cell>
        </row>
        <row r="1059">
          <cell r="A1059" t="str">
            <v>DOM USA WVFIX</v>
          </cell>
          <cell r="K1059" t="b">
            <v>1</v>
          </cell>
        </row>
        <row r="1060">
          <cell r="A1060" t="str">
            <v>DOM USA WIFIX</v>
          </cell>
          <cell r="K1060" t="b">
            <v>1</v>
          </cell>
        </row>
        <row r="1061">
          <cell r="A1061" t="str">
            <v>DOM USA WYFIX</v>
          </cell>
          <cell r="K1061" t="b">
            <v>1</v>
          </cell>
        </row>
        <row r="1062">
          <cell r="A1062" t="str">
            <v>DOM VAT VAFIX</v>
          </cell>
          <cell r="K1062" t="b">
            <v>1</v>
          </cell>
        </row>
        <row r="1063">
          <cell r="A1063" t="str">
            <v>DOM VAT VAMOB</v>
          </cell>
          <cell r="K1063" t="b">
            <v>1</v>
          </cell>
        </row>
        <row r="1064">
          <cell r="A1064" t="str">
            <v>DOM VIR FIX</v>
          </cell>
          <cell r="K1064" t="b">
            <v>1</v>
          </cell>
        </row>
        <row r="1065">
          <cell r="A1065" t="str">
            <v>INT AFG</v>
          </cell>
          <cell r="K1065" t="b">
            <v>1</v>
          </cell>
        </row>
        <row r="1066">
          <cell r="A1066" t="str">
            <v>INT ALB ALBMO</v>
          </cell>
          <cell r="K1066" t="b">
            <v>1</v>
          </cell>
        </row>
        <row r="1067">
          <cell r="A1067" t="str">
            <v>INT ALB</v>
          </cell>
          <cell r="K1067" t="b">
            <v>1</v>
          </cell>
        </row>
        <row r="1068">
          <cell r="A1068" t="str">
            <v>INT DZA DZAMO</v>
          </cell>
          <cell r="K1068" t="b">
            <v>1</v>
          </cell>
        </row>
        <row r="1069">
          <cell r="A1069" t="str">
            <v>INT DZA</v>
          </cell>
          <cell r="K1069" t="b">
            <v>1</v>
          </cell>
        </row>
        <row r="1070">
          <cell r="A1070" t="str">
            <v>INT ASM</v>
          </cell>
          <cell r="K1070" t="b">
            <v>1</v>
          </cell>
        </row>
        <row r="1071">
          <cell r="A1071" t="str">
            <v>INT AND ANDMO</v>
          </cell>
          <cell r="K1071" t="b">
            <v>1</v>
          </cell>
        </row>
        <row r="1072">
          <cell r="A1072" t="str">
            <v>INT AND</v>
          </cell>
          <cell r="K1072" t="b">
            <v>1</v>
          </cell>
        </row>
        <row r="1073">
          <cell r="A1073" t="str">
            <v>INT AGO AGOMO</v>
          </cell>
          <cell r="K1073" t="b">
            <v>1</v>
          </cell>
        </row>
        <row r="1074">
          <cell r="A1074" t="str">
            <v>INT AGO</v>
          </cell>
          <cell r="K1074" t="b">
            <v>1</v>
          </cell>
        </row>
        <row r="1075">
          <cell r="A1075" t="str">
            <v>INT AIA</v>
          </cell>
          <cell r="K1075" t="b">
            <v>1</v>
          </cell>
        </row>
        <row r="1076">
          <cell r="A1076" t="str">
            <v>INT ATA</v>
          </cell>
          <cell r="K1076" t="b">
            <v>1</v>
          </cell>
        </row>
        <row r="1077">
          <cell r="A1077" t="str">
            <v>INT ATG</v>
          </cell>
          <cell r="K1077" t="b">
            <v>1</v>
          </cell>
        </row>
        <row r="1078">
          <cell r="A1078" t="str">
            <v>INT ARG ARGMO</v>
          </cell>
          <cell r="K1078" t="b">
            <v>1</v>
          </cell>
        </row>
        <row r="1079">
          <cell r="A1079" t="str">
            <v>INT ARG</v>
          </cell>
          <cell r="K1079" t="b">
            <v>1</v>
          </cell>
        </row>
        <row r="1080">
          <cell r="A1080" t="str">
            <v>INT ARM ARMMO</v>
          </cell>
          <cell r="K1080" t="b">
            <v>1</v>
          </cell>
        </row>
        <row r="1081">
          <cell r="A1081" t="str">
            <v>INT ARM</v>
          </cell>
          <cell r="K1081" t="b">
            <v>1</v>
          </cell>
        </row>
        <row r="1082">
          <cell r="A1082" t="str">
            <v>INT ABW ABWMO</v>
          </cell>
          <cell r="K1082" t="b">
            <v>1</v>
          </cell>
        </row>
        <row r="1083">
          <cell r="A1083" t="str">
            <v>INT ABW</v>
          </cell>
          <cell r="K1083" t="b">
            <v>1</v>
          </cell>
        </row>
        <row r="1084">
          <cell r="A1084" t="str">
            <v>INT AUS AUSMO</v>
          </cell>
          <cell r="K1084" t="b">
            <v>1</v>
          </cell>
        </row>
        <row r="1085">
          <cell r="A1085" t="str">
            <v>INT AUS</v>
          </cell>
          <cell r="K1085" t="b">
            <v>1</v>
          </cell>
        </row>
        <row r="1086">
          <cell r="A1086" t="str">
            <v>INT AUT AUTMO</v>
          </cell>
          <cell r="K1086" t="b">
            <v>1</v>
          </cell>
        </row>
        <row r="1087">
          <cell r="A1087" t="str">
            <v>INT AUT</v>
          </cell>
          <cell r="K1087" t="b">
            <v>1</v>
          </cell>
        </row>
        <row r="1088">
          <cell r="A1088" t="str">
            <v>INT AUT AU01I</v>
          </cell>
          <cell r="K1088" t="b">
            <v>0</v>
          </cell>
        </row>
        <row r="1089">
          <cell r="A1089" t="str">
            <v>INT AUT AU212</v>
          </cell>
          <cell r="K1089" t="b">
            <v>0</v>
          </cell>
        </row>
        <row r="1090">
          <cell r="A1090" t="str">
            <v>INT AUT AUFRE</v>
          </cell>
          <cell r="K1090" t="b">
            <v>0</v>
          </cell>
        </row>
        <row r="1091">
          <cell r="A1091" t="str">
            <v>INT AZE AZEMO</v>
          </cell>
          <cell r="K1091" t="b">
            <v>1</v>
          </cell>
        </row>
        <row r="1092">
          <cell r="A1092" t="str">
            <v>INT AZE</v>
          </cell>
          <cell r="K1092" t="b">
            <v>1</v>
          </cell>
        </row>
        <row r="1093">
          <cell r="A1093" t="str">
            <v>INT PRT AZO</v>
          </cell>
          <cell r="K1093" t="b">
            <v>1</v>
          </cell>
        </row>
        <row r="1094">
          <cell r="A1094" t="str">
            <v>INT BHS</v>
          </cell>
          <cell r="K1094" t="b">
            <v>1</v>
          </cell>
        </row>
        <row r="1095">
          <cell r="A1095" t="str">
            <v>INT BHR</v>
          </cell>
          <cell r="K1095" t="b">
            <v>1</v>
          </cell>
        </row>
        <row r="1096">
          <cell r="A1096" t="str">
            <v>INT BGH BGHMO</v>
          </cell>
          <cell r="K1096" t="b">
            <v>1</v>
          </cell>
        </row>
        <row r="1097">
          <cell r="A1097" t="str">
            <v>INT BGH</v>
          </cell>
          <cell r="K1097" t="b">
            <v>1</v>
          </cell>
        </row>
        <row r="1098">
          <cell r="A1098" t="str">
            <v>INT BRB</v>
          </cell>
          <cell r="K1098" t="b">
            <v>1</v>
          </cell>
        </row>
        <row r="1099">
          <cell r="A1099" t="str">
            <v>INT BLR BLRMO</v>
          </cell>
          <cell r="K1099" t="b">
            <v>1</v>
          </cell>
        </row>
        <row r="1100">
          <cell r="A1100" t="str">
            <v>INT BLR</v>
          </cell>
          <cell r="K1100" t="b">
            <v>1</v>
          </cell>
        </row>
        <row r="1101">
          <cell r="A1101" t="str">
            <v>INT BEL BELMO</v>
          </cell>
          <cell r="K1101" t="b">
            <v>1</v>
          </cell>
        </row>
        <row r="1102">
          <cell r="A1102" t="str">
            <v>INT BEL BELMB</v>
          </cell>
          <cell r="K1102" t="b">
            <v>1</v>
          </cell>
        </row>
        <row r="1103">
          <cell r="A1103" t="str">
            <v>INT BEL</v>
          </cell>
          <cell r="K1103" t="b">
            <v>1</v>
          </cell>
        </row>
        <row r="1104">
          <cell r="A1104" t="str">
            <v>INT BEL PRM9</v>
          </cell>
          <cell r="K1104" t="b">
            <v>0</v>
          </cell>
        </row>
        <row r="1105">
          <cell r="A1105" t="str">
            <v>INT BEL SCS</v>
          </cell>
          <cell r="K1105" t="b">
            <v>0</v>
          </cell>
        </row>
        <row r="1106">
          <cell r="A1106" t="str">
            <v>INT BEL DTFN</v>
          </cell>
          <cell r="K1106" t="b">
            <v>0</v>
          </cell>
        </row>
        <row r="1107">
          <cell r="A1107" t="str">
            <v>INT BLZ BLZMO</v>
          </cell>
          <cell r="K1107" t="b">
            <v>1</v>
          </cell>
        </row>
        <row r="1108">
          <cell r="A1108" t="str">
            <v>INT BLZ</v>
          </cell>
          <cell r="K1108" t="b">
            <v>1</v>
          </cell>
        </row>
        <row r="1109">
          <cell r="A1109" t="str">
            <v>INT BEN BENMO</v>
          </cell>
          <cell r="K1109" t="b">
            <v>1</v>
          </cell>
        </row>
        <row r="1110">
          <cell r="A1110" t="str">
            <v>INT BEN</v>
          </cell>
          <cell r="K1110" t="b">
            <v>1</v>
          </cell>
        </row>
        <row r="1111">
          <cell r="A1111" t="str">
            <v>INT BMU</v>
          </cell>
          <cell r="K1111" t="b">
            <v>1</v>
          </cell>
        </row>
        <row r="1112">
          <cell r="A1112" t="str">
            <v>INT BTN</v>
          </cell>
          <cell r="K1112" t="b">
            <v>1</v>
          </cell>
        </row>
        <row r="1113">
          <cell r="A1113" t="str">
            <v>INT BOL BOLMO</v>
          </cell>
          <cell r="K1113" t="b">
            <v>1</v>
          </cell>
        </row>
        <row r="1114">
          <cell r="A1114" t="str">
            <v>INT BOL</v>
          </cell>
          <cell r="K1114" t="b">
            <v>1</v>
          </cell>
        </row>
        <row r="1115">
          <cell r="A1115" t="str">
            <v>INT BES BESMO</v>
          </cell>
          <cell r="K1115" t="b">
            <v>1</v>
          </cell>
        </row>
        <row r="1116">
          <cell r="A1116" t="str">
            <v>INT BES</v>
          </cell>
          <cell r="K1116" t="b">
            <v>1</v>
          </cell>
        </row>
        <row r="1117">
          <cell r="A1117" t="str">
            <v>INT BIH BIHMO</v>
          </cell>
          <cell r="K1117" t="b">
            <v>1</v>
          </cell>
        </row>
        <row r="1118">
          <cell r="A1118" t="str">
            <v>INT BIH</v>
          </cell>
          <cell r="K1118" t="b">
            <v>1</v>
          </cell>
        </row>
        <row r="1119">
          <cell r="A1119" t="str">
            <v>INT BWA BWAMO</v>
          </cell>
          <cell r="K1119" t="b">
            <v>1</v>
          </cell>
        </row>
        <row r="1120">
          <cell r="A1120" t="str">
            <v>INT BWA</v>
          </cell>
          <cell r="K1120" t="b">
            <v>1</v>
          </cell>
        </row>
        <row r="1121">
          <cell r="A1121" t="str">
            <v>INT BRA BRAMO</v>
          </cell>
          <cell r="K1121" t="b">
            <v>1</v>
          </cell>
        </row>
        <row r="1122">
          <cell r="A1122" t="str">
            <v>INT BRA</v>
          </cell>
          <cell r="K1122" t="b">
            <v>1</v>
          </cell>
        </row>
        <row r="1123">
          <cell r="A1123" t="str">
            <v>INT BRN</v>
          </cell>
          <cell r="K1123" t="b">
            <v>1</v>
          </cell>
        </row>
        <row r="1124">
          <cell r="A1124" t="str">
            <v>INT BGR BGRMO</v>
          </cell>
          <cell r="K1124" t="b">
            <v>1</v>
          </cell>
        </row>
        <row r="1125">
          <cell r="A1125" t="str">
            <v>INT BGR</v>
          </cell>
          <cell r="K1125" t="b">
            <v>1</v>
          </cell>
        </row>
        <row r="1126">
          <cell r="A1126" t="str">
            <v>INT BFA BFAMO</v>
          </cell>
          <cell r="K1126" t="b">
            <v>1</v>
          </cell>
        </row>
        <row r="1127">
          <cell r="A1127" t="str">
            <v>INT BFA</v>
          </cell>
          <cell r="K1127" t="b">
            <v>1</v>
          </cell>
        </row>
        <row r="1128">
          <cell r="A1128" t="str">
            <v>INT BDI BDIMO</v>
          </cell>
          <cell r="K1128" t="b">
            <v>1</v>
          </cell>
        </row>
        <row r="1129">
          <cell r="A1129" t="str">
            <v>INT BDI</v>
          </cell>
          <cell r="K1129" t="b">
            <v>1</v>
          </cell>
        </row>
        <row r="1130">
          <cell r="A1130" t="str">
            <v>INT KHM</v>
          </cell>
          <cell r="K1130" t="b">
            <v>1</v>
          </cell>
        </row>
        <row r="1131">
          <cell r="A1131" t="str">
            <v>INT CMR CMRMO</v>
          </cell>
          <cell r="K1131" t="b">
            <v>1</v>
          </cell>
        </row>
        <row r="1132">
          <cell r="A1132" t="str">
            <v>INT CMR</v>
          </cell>
          <cell r="K1132" t="b">
            <v>1</v>
          </cell>
        </row>
        <row r="1133">
          <cell r="A1133" t="str">
            <v>INT CAN</v>
          </cell>
          <cell r="K1133" t="b">
            <v>1</v>
          </cell>
        </row>
        <row r="1134">
          <cell r="A1134" t="str">
            <v>INT ESP CNY</v>
          </cell>
          <cell r="K1134" t="b">
            <v>1</v>
          </cell>
        </row>
        <row r="1135">
          <cell r="A1135" t="str">
            <v>INT CPV</v>
          </cell>
          <cell r="K1135" t="b">
            <v>1</v>
          </cell>
        </row>
        <row r="1136">
          <cell r="A1136" t="str">
            <v>INT CYM</v>
          </cell>
          <cell r="K1136" t="b">
            <v>1</v>
          </cell>
        </row>
        <row r="1137">
          <cell r="A1137" t="str">
            <v>INT CAF</v>
          </cell>
          <cell r="K1137" t="b">
            <v>1</v>
          </cell>
        </row>
        <row r="1138">
          <cell r="A1138" t="str">
            <v>INT TCD</v>
          </cell>
          <cell r="K1138" t="b">
            <v>1</v>
          </cell>
        </row>
        <row r="1139">
          <cell r="A1139" t="str">
            <v>INT CHL CHLMO</v>
          </cell>
          <cell r="K1139" t="b">
            <v>1</v>
          </cell>
        </row>
        <row r="1140">
          <cell r="A1140" t="str">
            <v>INT CHL</v>
          </cell>
          <cell r="K1140" t="b">
            <v>1</v>
          </cell>
        </row>
        <row r="1141">
          <cell r="A1141" t="str">
            <v>INT CHN CHNMO</v>
          </cell>
          <cell r="K1141" t="b">
            <v>1</v>
          </cell>
        </row>
        <row r="1142">
          <cell r="A1142" t="str">
            <v>INT CHN</v>
          </cell>
          <cell r="K1142" t="b">
            <v>1</v>
          </cell>
        </row>
        <row r="1143">
          <cell r="A1143" t="str">
            <v>INT COL COLMO</v>
          </cell>
          <cell r="K1143" t="b">
            <v>1</v>
          </cell>
        </row>
        <row r="1144">
          <cell r="A1144" t="str">
            <v>INT COL</v>
          </cell>
          <cell r="K1144" t="b">
            <v>1</v>
          </cell>
        </row>
        <row r="1145">
          <cell r="A1145" t="str">
            <v>INT COM</v>
          </cell>
          <cell r="K1145" t="b">
            <v>1</v>
          </cell>
        </row>
        <row r="1146">
          <cell r="A1146" t="str">
            <v>INT COG</v>
          </cell>
          <cell r="K1146" t="b">
            <v>1</v>
          </cell>
        </row>
        <row r="1147">
          <cell r="A1147" t="str">
            <v>INT ZAR</v>
          </cell>
          <cell r="K1147" t="b">
            <v>1</v>
          </cell>
        </row>
        <row r="1148">
          <cell r="A1148" t="str">
            <v>INT COK COKMO</v>
          </cell>
          <cell r="K1148" t="b">
            <v>1</v>
          </cell>
        </row>
        <row r="1149">
          <cell r="A1149" t="str">
            <v>INT COK</v>
          </cell>
          <cell r="K1149" t="b">
            <v>1</v>
          </cell>
        </row>
        <row r="1150">
          <cell r="A1150" t="str">
            <v>INT CRI CRIMO</v>
          </cell>
          <cell r="K1150" t="b">
            <v>1</v>
          </cell>
        </row>
        <row r="1151">
          <cell r="A1151" t="str">
            <v>INT CRI</v>
          </cell>
          <cell r="K1151" t="b">
            <v>1</v>
          </cell>
        </row>
        <row r="1152">
          <cell r="A1152" t="str">
            <v>INT CIV CIVMO</v>
          </cell>
          <cell r="K1152" t="b">
            <v>1</v>
          </cell>
        </row>
        <row r="1153">
          <cell r="A1153" t="str">
            <v>INT CIV</v>
          </cell>
          <cell r="K1153" t="b">
            <v>1</v>
          </cell>
        </row>
        <row r="1154">
          <cell r="A1154" t="str">
            <v>INT HRV HRVMO</v>
          </cell>
          <cell r="K1154" t="b">
            <v>1</v>
          </cell>
        </row>
        <row r="1155">
          <cell r="A1155" t="str">
            <v>INT HRV</v>
          </cell>
          <cell r="K1155" t="b">
            <v>1</v>
          </cell>
        </row>
        <row r="1156">
          <cell r="A1156" t="str">
            <v>INT CUB CUBMO</v>
          </cell>
          <cell r="K1156" t="b">
            <v>1</v>
          </cell>
        </row>
        <row r="1157">
          <cell r="A1157" t="str">
            <v>INT CUB</v>
          </cell>
          <cell r="K1157" t="b">
            <v>1</v>
          </cell>
        </row>
        <row r="1158">
          <cell r="A1158" t="str">
            <v>INT CUW CUWMO</v>
          </cell>
          <cell r="K1158" t="b">
            <v>1</v>
          </cell>
        </row>
        <row r="1159">
          <cell r="A1159" t="str">
            <v>INT CUW</v>
          </cell>
          <cell r="K1159" t="b">
            <v>1</v>
          </cell>
        </row>
        <row r="1160">
          <cell r="A1160" t="str">
            <v>INT CSK CSKMO</v>
          </cell>
          <cell r="K1160" t="b">
            <v>1</v>
          </cell>
        </row>
        <row r="1161">
          <cell r="A1161" t="str">
            <v>INT CSK</v>
          </cell>
          <cell r="K1161" t="b">
            <v>1</v>
          </cell>
        </row>
        <row r="1162">
          <cell r="A1162" t="str">
            <v>INT CSK CSKWN</v>
          </cell>
          <cell r="K1162" t="b">
            <v>0</v>
          </cell>
        </row>
        <row r="1163">
          <cell r="A1163" t="str">
            <v>INT DNK DNKMO</v>
          </cell>
          <cell r="K1163" t="b">
            <v>1</v>
          </cell>
        </row>
        <row r="1164">
          <cell r="A1164" t="str">
            <v>INT DNK DNKMX</v>
          </cell>
          <cell r="K1164" t="b">
            <v>1</v>
          </cell>
        </row>
        <row r="1165">
          <cell r="A1165" t="str">
            <v>INT DNK</v>
          </cell>
          <cell r="K1165" t="b">
            <v>1</v>
          </cell>
        </row>
        <row r="1166">
          <cell r="A1166" t="str">
            <v>INT DNK DKFRE</v>
          </cell>
          <cell r="K1166" t="b">
            <v>0</v>
          </cell>
        </row>
        <row r="1167">
          <cell r="A1167" t="str">
            <v>INT DNK DKP18</v>
          </cell>
          <cell r="K1167" t="b">
            <v>0</v>
          </cell>
        </row>
        <row r="1168">
          <cell r="A1168" t="str">
            <v>INT DNK DKFLX</v>
          </cell>
          <cell r="K1168" t="b">
            <v>0</v>
          </cell>
        </row>
        <row r="1169">
          <cell r="A1169" t="str">
            <v>INT DGG</v>
          </cell>
          <cell r="K1169" t="b">
            <v>1</v>
          </cell>
        </row>
        <row r="1170">
          <cell r="A1170" t="str">
            <v>INT DJI DJIMO</v>
          </cell>
          <cell r="K1170" t="b">
            <v>1</v>
          </cell>
        </row>
        <row r="1171">
          <cell r="A1171" t="str">
            <v>INT DJI</v>
          </cell>
          <cell r="K1171" t="b">
            <v>1</v>
          </cell>
        </row>
        <row r="1172">
          <cell r="A1172" t="str">
            <v>INT DMA</v>
          </cell>
          <cell r="K1172" t="b">
            <v>1</v>
          </cell>
        </row>
        <row r="1173">
          <cell r="A1173" t="str">
            <v>INT DOM</v>
          </cell>
          <cell r="K1173" t="b">
            <v>1</v>
          </cell>
        </row>
        <row r="1174">
          <cell r="A1174" t="str">
            <v>INT TMP TMPMO</v>
          </cell>
          <cell r="K1174" t="b">
            <v>1</v>
          </cell>
        </row>
        <row r="1175">
          <cell r="A1175" t="str">
            <v>INT TMP</v>
          </cell>
          <cell r="K1175" t="b">
            <v>1</v>
          </cell>
        </row>
        <row r="1176">
          <cell r="A1176" t="str">
            <v>INT ECU ECUMO</v>
          </cell>
          <cell r="K1176" t="b">
            <v>1</v>
          </cell>
        </row>
        <row r="1177">
          <cell r="A1177" t="str">
            <v>INT ECU</v>
          </cell>
          <cell r="K1177" t="b">
            <v>1</v>
          </cell>
        </row>
        <row r="1178">
          <cell r="A1178" t="str">
            <v>INT EGY EGYMO</v>
          </cell>
          <cell r="K1178" t="b">
            <v>1</v>
          </cell>
        </row>
        <row r="1179">
          <cell r="A1179" t="str">
            <v>INT EGY</v>
          </cell>
          <cell r="K1179" t="b">
            <v>1</v>
          </cell>
        </row>
        <row r="1180">
          <cell r="A1180" t="str">
            <v>INT SLV SLVMO</v>
          </cell>
          <cell r="K1180" t="b">
            <v>1</v>
          </cell>
        </row>
        <row r="1181">
          <cell r="A1181" t="str">
            <v>INT SLV</v>
          </cell>
          <cell r="K1181" t="b">
            <v>1</v>
          </cell>
        </row>
        <row r="1182">
          <cell r="A1182" t="str">
            <v>INT GNQ GNQMO</v>
          </cell>
          <cell r="K1182" t="b">
            <v>1</v>
          </cell>
        </row>
        <row r="1183">
          <cell r="A1183" t="str">
            <v>INT GNQ</v>
          </cell>
          <cell r="K1183" t="b">
            <v>1</v>
          </cell>
        </row>
        <row r="1184">
          <cell r="A1184" t="str">
            <v>INT ERY</v>
          </cell>
          <cell r="K1184" t="b">
            <v>1</v>
          </cell>
        </row>
        <row r="1185">
          <cell r="A1185" t="str">
            <v>INT EST ESTMO</v>
          </cell>
          <cell r="K1185" t="b">
            <v>1</v>
          </cell>
        </row>
        <row r="1186">
          <cell r="A1186" t="str">
            <v>INT EST</v>
          </cell>
          <cell r="K1186" t="b">
            <v>1</v>
          </cell>
        </row>
        <row r="1187">
          <cell r="A1187" t="str">
            <v>INT ETH ETHMO</v>
          </cell>
          <cell r="K1187" t="b">
            <v>1</v>
          </cell>
        </row>
        <row r="1188">
          <cell r="A1188" t="str">
            <v>INT ETH</v>
          </cell>
          <cell r="K1188" t="b">
            <v>1</v>
          </cell>
        </row>
        <row r="1189">
          <cell r="A1189" t="str">
            <v>INT FRO</v>
          </cell>
          <cell r="K1189" t="b">
            <v>1</v>
          </cell>
        </row>
        <row r="1190">
          <cell r="A1190" t="str">
            <v>INT FLK</v>
          </cell>
          <cell r="K1190" t="b">
            <v>1</v>
          </cell>
        </row>
        <row r="1191">
          <cell r="A1191" t="str">
            <v>INT FJI FJIMO</v>
          </cell>
          <cell r="K1191" t="b">
            <v>1</v>
          </cell>
        </row>
        <row r="1192">
          <cell r="A1192" t="str">
            <v>INT FJI</v>
          </cell>
          <cell r="K1192" t="b">
            <v>1</v>
          </cell>
        </row>
        <row r="1193">
          <cell r="A1193" t="str">
            <v>INT FIN FINMO</v>
          </cell>
          <cell r="K1193" t="b">
            <v>1</v>
          </cell>
        </row>
        <row r="1194">
          <cell r="A1194" t="str">
            <v>INT FIN</v>
          </cell>
          <cell r="K1194" t="b">
            <v>1</v>
          </cell>
        </row>
        <row r="1195">
          <cell r="A1195" t="str">
            <v>INT FIN FIB29</v>
          </cell>
          <cell r="K1195" t="b">
            <v>0</v>
          </cell>
        </row>
        <row r="1196">
          <cell r="A1196" t="str">
            <v>INT FIN FINPR</v>
          </cell>
          <cell r="K1196" t="b">
            <v>1</v>
          </cell>
        </row>
        <row r="1197">
          <cell r="A1197" t="str">
            <v>INT FIN FITFR</v>
          </cell>
          <cell r="K1197" t="b">
            <v>0</v>
          </cell>
        </row>
        <row r="1198">
          <cell r="A1198" t="str">
            <v>INT FIN FITS1</v>
          </cell>
          <cell r="K1198" t="b">
            <v>0</v>
          </cell>
        </row>
        <row r="1199">
          <cell r="A1199" t="str">
            <v>INT FRA FRAMO</v>
          </cell>
          <cell r="K1199" t="b">
            <v>1</v>
          </cell>
        </row>
        <row r="1200">
          <cell r="A1200" t="str">
            <v>INT FRA FRMGL</v>
          </cell>
          <cell r="K1200" t="b">
            <v>1</v>
          </cell>
        </row>
        <row r="1201">
          <cell r="A1201" t="str">
            <v>INT FRA FRAIT</v>
          </cell>
          <cell r="K1201" t="b">
            <v>1</v>
          </cell>
        </row>
        <row r="1202">
          <cell r="A1202" t="str">
            <v>INT FRA</v>
          </cell>
          <cell r="K1202" t="b">
            <v>1</v>
          </cell>
        </row>
        <row r="1203">
          <cell r="A1203" t="str">
            <v>INT GUF GUFMO</v>
          </cell>
          <cell r="K1203" t="b">
            <v>1</v>
          </cell>
        </row>
        <row r="1204">
          <cell r="A1204" t="str">
            <v>INT GUF</v>
          </cell>
          <cell r="K1204" t="b">
            <v>1</v>
          </cell>
        </row>
        <row r="1205">
          <cell r="A1205" t="str">
            <v>INT PYF PYFMO</v>
          </cell>
          <cell r="K1205" t="b">
            <v>1</v>
          </cell>
        </row>
        <row r="1206">
          <cell r="A1206" t="str">
            <v>INT PYF</v>
          </cell>
          <cell r="K1206" t="b">
            <v>1</v>
          </cell>
        </row>
        <row r="1207">
          <cell r="A1207" t="str">
            <v>INT GAB</v>
          </cell>
          <cell r="K1207" t="b">
            <v>1</v>
          </cell>
        </row>
        <row r="1208">
          <cell r="A1208" t="str">
            <v>INT GMB GMBMO</v>
          </cell>
          <cell r="K1208" t="b">
            <v>1</v>
          </cell>
        </row>
        <row r="1209">
          <cell r="A1209" t="str">
            <v>INT GMB</v>
          </cell>
          <cell r="K1209" t="b">
            <v>1</v>
          </cell>
        </row>
        <row r="1210">
          <cell r="A1210" t="str">
            <v>INT GEO GEOMO</v>
          </cell>
          <cell r="K1210" t="b">
            <v>1</v>
          </cell>
        </row>
        <row r="1211">
          <cell r="A1211" t="str">
            <v>INT GEO</v>
          </cell>
          <cell r="K1211" t="b">
            <v>1</v>
          </cell>
        </row>
        <row r="1212">
          <cell r="A1212" t="str">
            <v>INT GER GERMO</v>
          </cell>
          <cell r="K1212" t="b">
            <v>1</v>
          </cell>
        </row>
        <row r="1213">
          <cell r="A1213" t="str">
            <v>INT GER</v>
          </cell>
          <cell r="K1213" t="b">
            <v>1</v>
          </cell>
        </row>
        <row r="1214">
          <cell r="A1214" t="str">
            <v>INT GER GEPN1</v>
          </cell>
          <cell r="K1214" t="b">
            <v>0</v>
          </cell>
        </row>
        <row r="1215">
          <cell r="A1215" t="str">
            <v>INT GER GETS4</v>
          </cell>
          <cell r="K1215" t="b">
            <v>0</v>
          </cell>
        </row>
        <row r="1216">
          <cell r="A1216" t="str">
            <v>INT GER GEV04</v>
          </cell>
          <cell r="K1216" t="b">
            <v>0</v>
          </cell>
        </row>
        <row r="1217">
          <cell r="A1217" t="str">
            <v>INT GER GETFR</v>
          </cell>
          <cell r="K1217" t="b">
            <v>0</v>
          </cell>
        </row>
        <row r="1218">
          <cell r="A1218" t="str">
            <v>INT GHA GHAMO</v>
          </cell>
          <cell r="K1218" t="b">
            <v>1</v>
          </cell>
        </row>
        <row r="1219">
          <cell r="A1219" t="str">
            <v>INT GHA</v>
          </cell>
          <cell r="K1219" t="b">
            <v>1</v>
          </cell>
        </row>
        <row r="1220">
          <cell r="A1220" t="str">
            <v>INT GIB GIBMO</v>
          </cell>
          <cell r="K1220" t="b">
            <v>1</v>
          </cell>
        </row>
        <row r="1221">
          <cell r="A1221" t="str">
            <v>INT GIB</v>
          </cell>
          <cell r="K1221" t="b">
            <v>1</v>
          </cell>
        </row>
        <row r="1222">
          <cell r="A1222" t="str">
            <v>INT EMS GNS</v>
          </cell>
          <cell r="K1222" t="b">
            <v>1</v>
          </cell>
        </row>
        <row r="1223">
          <cell r="A1223" t="str">
            <v>INT IRB</v>
          </cell>
          <cell r="K1223" t="b">
            <v>1</v>
          </cell>
        </row>
        <row r="1224">
          <cell r="A1224" t="str">
            <v>INT IRB GLOB</v>
          </cell>
          <cell r="K1224" t="b">
            <v>1</v>
          </cell>
        </row>
        <row r="1225">
          <cell r="A1225" t="str">
            <v>INT GRC GRCMO</v>
          </cell>
          <cell r="K1225" t="b">
            <v>1</v>
          </cell>
        </row>
        <row r="1226">
          <cell r="A1226" t="str">
            <v>INT GRC</v>
          </cell>
          <cell r="K1226" t="b">
            <v>1</v>
          </cell>
        </row>
        <row r="1227">
          <cell r="A1227" t="str">
            <v>INT GRL GRLMO</v>
          </cell>
          <cell r="K1227" t="b">
            <v>1</v>
          </cell>
        </row>
        <row r="1228">
          <cell r="A1228" t="str">
            <v>INT GRL</v>
          </cell>
          <cell r="K1228" t="b">
            <v>1</v>
          </cell>
        </row>
        <row r="1229">
          <cell r="A1229" t="str">
            <v>INT GRD</v>
          </cell>
          <cell r="K1229" t="b">
            <v>1</v>
          </cell>
        </row>
        <row r="1230">
          <cell r="A1230" t="str">
            <v>INT GLP GLPMO</v>
          </cell>
          <cell r="K1230" t="b">
            <v>1</v>
          </cell>
        </row>
        <row r="1231">
          <cell r="A1231" t="str">
            <v>INT GLP</v>
          </cell>
          <cell r="K1231" t="b">
            <v>1</v>
          </cell>
        </row>
        <row r="1232">
          <cell r="A1232" t="str">
            <v>INT GUM</v>
          </cell>
          <cell r="K1232" t="b">
            <v>1</v>
          </cell>
        </row>
        <row r="1233">
          <cell r="A1233" t="str">
            <v>INT CUB CUBGU</v>
          </cell>
          <cell r="K1233" t="b">
            <v>1</v>
          </cell>
        </row>
        <row r="1234">
          <cell r="A1234" t="str">
            <v>INT GTM GTMMO</v>
          </cell>
          <cell r="K1234" t="b">
            <v>1</v>
          </cell>
        </row>
        <row r="1235">
          <cell r="A1235" t="str">
            <v>INT GTM</v>
          </cell>
          <cell r="K1235" t="b">
            <v>1</v>
          </cell>
        </row>
        <row r="1236">
          <cell r="A1236" t="str">
            <v>INT GIN GINMO</v>
          </cell>
          <cell r="K1236" t="b">
            <v>1</v>
          </cell>
        </row>
        <row r="1237">
          <cell r="A1237" t="str">
            <v>INT GIN</v>
          </cell>
          <cell r="K1237" t="b">
            <v>1</v>
          </cell>
        </row>
        <row r="1238">
          <cell r="A1238" t="str">
            <v>INT GNB</v>
          </cell>
          <cell r="K1238" t="b">
            <v>1</v>
          </cell>
        </row>
        <row r="1239">
          <cell r="A1239" t="str">
            <v>INT GUY GUYMO</v>
          </cell>
          <cell r="K1239" t="b">
            <v>1</v>
          </cell>
        </row>
        <row r="1240">
          <cell r="A1240" t="str">
            <v>INT GUY</v>
          </cell>
          <cell r="K1240" t="b">
            <v>1</v>
          </cell>
        </row>
        <row r="1241">
          <cell r="A1241" t="str">
            <v>INT HTI HTIMO</v>
          </cell>
          <cell r="K1241" t="b">
            <v>1</v>
          </cell>
        </row>
        <row r="1242">
          <cell r="A1242" t="str">
            <v>INT HTI</v>
          </cell>
          <cell r="K1242" t="b">
            <v>1</v>
          </cell>
        </row>
        <row r="1243">
          <cell r="A1243" t="str">
            <v>INT HND HNDMO</v>
          </cell>
          <cell r="K1243" t="b">
            <v>1</v>
          </cell>
        </row>
        <row r="1244">
          <cell r="A1244" t="str">
            <v>INT HND</v>
          </cell>
          <cell r="K1244" t="b">
            <v>1</v>
          </cell>
        </row>
        <row r="1245">
          <cell r="A1245" t="str">
            <v>INT HKG HKGMO</v>
          </cell>
          <cell r="K1245" t="b">
            <v>1</v>
          </cell>
        </row>
        <row r="1246">
          <cell r="A1246" t="str">
            <v>INT HKG</v>
          </cell>
          <cell r="K1246" t="b">
            <v>1</v>
          </cell>
        </row>
        <row r="1247">
          <cell r="A1247" t="str">
            <v>INT HUN HUNMO</v>
          </cell>
          <cell r="K1247" t="b">
            <v>1</v>
          </cell>
        </row>
        <row r="1248">
          <cell r="A1248" t="str">
            <v>INT HUN</v>
          </cell>
          <cell r="K1248" t="b">
            <v>1</v>
          </cell>
        </row>
        <row r="1249">
          <cell r="A1249" t="str">
            <v>INT ISL ISLMO</v>
          </cell>
          <cell r="K1249" t="b">
            <v>1</v>
          </cell>
        </row>
        <row r="1250">
          <cell r="A1250" t="str">
            <v>INT ISL</v>
          </cell>
          <cell r="K1250" t="b">
            <v>1</v>
          </cell>
        </row>
        <row r="1251">
          <cell r="A1251" t="str">
            <v>INT IND INDMO</v>
          </cell>
          <cell r="K1251" t="b">
            <v>1</v>
          </cell>
        </row>
        <row r="1252">
          <cell r="A1252" t="str">
            <v>INT IND</v>
          </cell>
          <cell r="K1252" t="b">
            <v>1</v>
          </cell>
        </row>
        <row r="1253">
          <cell r="A1253" t="str">
            <v>INT IDN IDNMO</v>
          </cell>
          <cell r="K1253" t="b">
            <v>1</v>
          </cell>
        </row>
        <row r="1254">
          <cell r="A1254" t="str">
            <v>INT IDN</v>
          </cell>
          <cell r="K1254" t="b">
            <v>1</v>
          </cell>
        </row>
        <row r="1255">
          <cell r="A1255" t="str">
            <v>INT OCE</v>
          </cell>
          <cell r="K1255" t="b">
            <v>1</v>
          </cell>
        </row>
        <row r="1256">
          <cell r="A1256" t="str">
            <v>INT OCE SNACB</v>
          </cell>
          <cell r="K1256" t="b">
            <v>1</v>
          </cell>
        </row>
        <row r="1257">
          <cell r="A1257" t="str">
            <v>INT OCE SBHSD</v>
          </cell>
          <cell r="K1257" t="b">
            <v>1</v>
          </cell>
        </row>
        <row r="1258">
          <cell r="A1258" t="str">
            <v>INT OCE BGAN</v>
          </cell>
          <cell r="K1258" t="b">
            <v>1</v>
          </cell>
        </row>
        <row r="1259">
          <cell r="A1259" t="str">
            <v>INT OCE BGHSD</v>
          </cell>
          <cell r="K1259" t="b">
            <v>1</v>
          </cell>
        </row>
        <row r="1260">
          <cell r="A1260" t="str">
            <v>INT OCE SNACM</v>
          </cell>
          <cell r="K1260" t="b">
            <v>1</v>
          </cell>
        </row>
        <row r="1261">
          <cell r="A1261" t="str">
            <v>INT OCE M4HSD</v>
          </cell>
          <cell r="K1261" t="b">
            <v>1</v>
          </cell>
        </row>
        <row r="1262">
          <cell r="A1262" t="str">
            <v>INT OCE NACMM</v>
          </cell>
          <cell r="K1262" t="b">
            <v>1</v>
          </cell>
        </row>
        <row r="1263">
          <cell r="A1263" t="str">
            <v>INT EMS</v>
          </cell>
          <cell r="K1263" t="b">
            <v>1</v>
          </cell>
        </row>
        <row r="1264">
          <cell r="A1264" t="str">
            <v>INT ITF</v>
          </cell>
          <cell r="K1264" t="b">
            <v>1</v>
          </cell>
        </row>
        <row r="1265">
          <cell r="A1265" t="str">
            <v>INT IRN IRNMO</v>
          </cell>
          <cell r="K1265" t="b">
            <v>1</v>
          </cell>
        </row>
        <row r="1266">
          <cell r="A1266" t="str">
            <v>INT IRN</v>
          </cell>
          <cell r="K1266" t="b">
            <v>1</v>
          </cell>
        </row>
        <row r="1267">
          <cell r="A1267" t="str">
            <v>INT IRQ</v>
          </cell>
          <cell r="K1267" t="b">
            <v>1</v>
          </cell>
        </row>
        <row r="1268">
          <cell r="A1268" t="str">
            <v>INT IRL IRLMO</v>
          </cell>
          <cell r="K1268" t="b">
            <v>1</v>
          </cell>
        </row>
        <row r="1269">
          <cell r="A1269" t="str">
            <v>INT IRL</v>
          </cell>
          <cell r="K1269" t="b">
            <v>1</v>
          </cell>
        </row>
        <row r="1270">
          <cell r="A1270" t="str">
            <v>INT IRL IEFRE</v>
          </cell>
          <cell r="K1270" t="b">
            <v>0</v>
          </cell>
        </row>
        <row r="1271">
          <cell r="A1271" t="str">
            <v>INT IRL IEPC7</v>
          </cell>
          <cell r="K1271" t="b">
            <v>0</v>
          </cell>
        </row>
        <row r="1272">
          <cell r="A1272" t="str">
            <v>INT IRL IESCM</v>
          </cell>
          <cell r="K1272" t="b">
            <v>0</v>
          </cell>
        </row>
        <row r="1273">
          <cell r="A1273" t="str">
            <v>INT ISR ISRMO</v>
          </cell>
          <cell r="K1273" t="b">
            <v>1</v>
          </cell>
        </row>
        <row r="1274">
          <cell r="A1274" t="str">
            <v>INT ISR</v>
          </cell>
          <cell r="K1274" t="b">
            <v>1</v>
          </cell>
        </row>
        <row r="1275">
          <cell r="A1275" t="str">
            <v>INT ITA ZITA9</v>
          </cell>
          <cell r="K1275" t="b">
            <v>1</v>
          </cell>
        </row>
        <row r="1276">
          <cell r="A1276" t="str">
            <v>INT ITA</v>
          </cell>
          <cell r="K1276" t="b">
            <v>1</v>
          </cell>
        </row>
        <row r="1277">
          <cell r="A1277" t="str">
            <v>INT ITA ITPRF</v>
          </cell>
          <cell r="K1277" t="b">
            <v>0</v>
          </cell>
        </row>
        <row r="1278">
          <cell r="A1278" t="str">
            <v>INT ITA ITSB1</v>
          </cell>
          <cell r="K1278" t="b">
            <v>0</v>
          </cell>
        </row>
        <row r="1279">
          <cell r="A1279" t="str">
            <v>INT ITA ITFRE</v>
          </cell>
          <cell r="K1279" t="b">
            <v>0</v>
          </cell>
        </row>
        <row r="1280">
          <cell r="A1280" t="str">
            <v>INT JAM JAMMO</v>
          </cell>
          <cell r="K1280" t="b">
            <v>1</v>
          </cell>
        </row>
        <row r="1281">
          <cell r="A1281" t="str">
            <v>INT JAM</v>
          </cell>
          <cell r="K1281" t="b">
            <v>1</v>
          </cell>
        </row>
        <row r="1282">
          <cell r="A1282" t="str">
            <v>INT JPN JPNMO</v>
          </cell>
          <cell r="K1282" t="b">
            <v>1</v>
          </cell>
        </row>
        <row r="1283">
          <cell r="A1283" t="str">
            <v>INT JPN</v>
          </cell>
          <cell r="K1283" t="b">
            <v>1</v>
          </cell>
        </row>
        <row r="1284">
          <cell r="A1284" t="str">
            <v>INT JPN JPTFR</v>
          </cell>
          <cell r="K1284" t="b">
            <v>0</v>
          </cell>
        </row>
        <row r="1285">
          <cell r="A1285" t="str">
            <v>INT JOR JORMO</v>
          </cell>
          <cell r="K1285" t="b">
            <v>1</v>
          </cell>
        </row>
        <row r="1286">
          <cell r="A1286" t="str">
            <v>INT JOR</v>
          </cell>
          <cell r="K1286" t="b">
            <v>1</v>
          </cell>
        </row>
        <row r="1287">
          <cell r="A1287" t="str">
            <v>INT KAZ</v>
          </cell>
          <cell r="K1287" t="b">
            <v>1</v>
          </cell>
        </row>
        <row r="1288">
          <cell r="A1288" t="str">
            <v>INT KEN KENMO</v>
          </cell>
          <cell r="K1288" t="b">
            <v>1</v>
          </cell>
        </row>
        <row r="1289">
          <cell r="A1289" t="str">
            <v>INT KEN</v>
          </cell>
          <cell r="K1289" t="b">
            <v>1</v>
          </cell>
        </row>
        <row r="1290">
          <cell r="A1290" t="str">
            <v>INT KIR</v>
          </cell>
          <cell r="K1290" t="b">
            <v>1</v>
          </cell>
        </row>
        <row r="1291">
          <cell r="A1291" t="str">
            <v>INT PRK</v>
          </cell>
          <cell r="K1291" t="b">
            <v>1</v>
          </cell>
        </row>
        <row r="1292">
          <cell r="A1292" t="str">
            <v>INT KOR KORMO</v>
          </cell>
          <cell r="K1292" t="b">
            <v>1</v>
          </cell>
        </row>
        <row r="1293">
          <cell r="A1293" t="str">
            <v>INT KOR</v>
          </cell>
          <cell r="K1293" t="b">
            <v>1</v>
          </cell>
        </row>
        <row r="1294">
          <cell r="A1294" t="str">
            <v>INT KWT KWTMO</v>
          </cell>
          <cell r="K1294" t="b">
            <v>1</v>
          </cell>
        </row>
        <row r="1295">
          <cell r="A1295" t="str">
            <v>INT KWT</v>
          </cell>
          <cell r="K1295" t="b">
            <v>1</v>
          </cell>
        </row>
        <row r="1296">
          <cell r="A1296" t="str">
            <v>INT KGZ</v>
          </cell>
          <cell r="K1296" t="b">
            <v>1</v>
          </cell>
        </row>
        <row r="1297">
          <cell r="A1297" t="str">
            <v>INT LAO</v>
          </cell>
          <cell r="K1297" t="b">
            <v>1</v>
          </cell>
        </row>
        <row r="1298">
          <cell r="A1298" t="str">
            <v>INT LVA LVAMO</v>
          </cell>
          <cell r="K1298" t="b">
            <v>1</v>
          </cell>
        </row>
        <row r="1299">
          <cell r="A1299" t="str">
            <v>INT LVA</v>
          </cell>
          <cell r="K1299" t="b">
            <v>1</v>
          </cell>
        </row>
        <row r="1300">
          <cell r="A1300" t="str">
            <v>INT LBN LBNMO</v>
          </cell>
          <cell r="K1300" t="b">
            <v>1</v>
          </cell>
        </row>
        <row r="1301">
          <cell r="A1301" t="str">
            <v>INT LBN</v>
          </cell>
          <cell r="K1301" t="b">
            <v>1</v>
          </cell>
        </row>
        <row r="1302">
          <cell r="A1302" t="str">
            <v>INT LSO</v>
          </cell>
          <cell r="K1302" t="b">
            <v>1</v>
          </cell>
        </row>
        <row r="1303">
          <cell r="A1303" t="str">
            <v>INT LBR</v>
          </cell>
          <cell r="K1303" t="b">
            <v>1</v>
          </cell>
        </row>
        <row r="1304">
          <cell r="A1304" t="str">
            <v>INT LBY LBYMO</v>
          </cell>
          <cell r="K1304" t="b">
            <v>1</v>
          </cell>
        </row>
        <row r="1305">
          <cell r="A1305" t="str">
            <v>INT LBY</v>
          </cell>
          <cell r="K1305" t="b">
            <v>1</v>
          </cell>
        </row>
        <row r="1306">
          <cell r="A1306" t="str">
            <v>INT LIE LIEMO</v>
          </cell>
          <cell r="K1306" t="b">
            <v>1</v>
          </cell>
        </row>
        <row r="1307">
          <cell r="A1307" t="str">
            <v>INT LIE</v>
          </cell>
          <cell r="K1307" t="b">
            <v>1</v>
          </cell>
        </row>
        <row r="1308">
          <cell r="A1308" t="str">
            <v>INT LTU LTUMO</v>
          </cell>
          <cell r="K1308" t="b">
            <v>1</v>
          </cell>
        </row>
        <row r="1309">
          <cell r="A1309" t="str">
            <v>INT LTU LTUGS</v>
          </cell>
          <cell r="K1309" t="b">
            <v>1</v>
          </cell>
        </row>
        <row r="1310">
          <cell r="A1310" t="str">
            <v>INT LTU</v>
          </cell>
          <cell r="K1310" t="b">
            <v>1</v>
          </cell>
        </row>
        <row r="1311">
          <cell r="A1311" t="str">
            <v>INT LUX LUXMO</v>
          </cell>
          <cell r="K1311" t="b">
            <v>1</v>
          </cell>
        </row>
        <row r="1312">
          <cell r="A1312" t="str">
            <v>INT LUX</v>
          </cell>
          <cell r="K1312" t="b">
            <v>1</v>
          </cell>
        </row>
        <row r="1313">
          <cell r="A1313" t="str">
            <v>INT LUX LXP8C</v>
          </cell>
          <cell r="K1313" t="b">
            <v>0</v>
          </cell>
        </row>
        <row r="1314">
          <cell r="A1314" t="str">
            <v>INT LUX LXSC1</v>
          </cell>
          <cell r="K1314" t="b">
            <v>0</v>
          </cell>
        </row>
        <row r="1315">
          <cell r="A1315" t="str">
            <v>INT LUX LXTF</v>
          </cell>
          <cell r="K1315" t="b">
            <v>0</v>
          </cell>
        </row>
        <row r="1316">
          <cell r="A1316" t="str">
            <v>INT MAC</v>
          </cell>
          <cell r="K1316" t="b">
            <v>1</v>
          </cell>
        </row>
        <row r="1317">
          <cell r="A1317" t="str">
            <v>INT MCD MCDMO</v>
          </cell>
          <cell r="K1317" t="b">
            <v>1</v>
          </cell>
        </row>
        <row r="1318">
          <cell r="A1318" t="str">
            <v>INT MCD</v>
          </cell>
          <cell r="K1318" t="b">
            <v>1</v>
          </cell>
        </row>
        <row r="1319">
          <cell r="A1319" t="str">
            <v>INT MDG MDGMO</v>
          </cell>
          <cell r="K1319" t="b">
            <v>1</v>
          </cell>
        </row>
        <row r="1320">
          <cell r="A1320" t="str">
            <v>INT MDG</v>
          </cell>
          <cell r="K1320" t="b">
            <v>1</v>
          </cell>
        </row>
        <row r="1321">
          <cell r="A1321" t="str">
            <v>INT PRT MDR</v>
          </cell>
          <cell r="K1321" t="b">
            <v>1</v>
          </cell>
        </row>
        <row r="1322">
          <cell r="A1322" t="str">
            <v>INT MWI MWIMO</v>
          </cell>
          <cell r="K1322" t="b">
            <v>1</v>
          </cell>
        </row>
        <row r="1323">
          <cell r="A1323" t="str">
            <v>INT MWI</v>
          </cell>
          <cell r="K1323" t="b">
            <v>1</v>
          </cell>
        </row>
        <row r="1324">
          <cell r="A1324" t="str">
            <v>INT MYS MYSMO</v>
          </cell>
          <cell r="K1324" t="b">
            <v>1</v>
          </cell>
        </row>
        <row r="1325">
          <cell r="A1325" t="str">
            <v>INT MYS</v>
          </cell>
          <cell r="K1325" t="b">
            <v>1</v>
          </cell>
        </row>
        <row r="1326">
          <cell r="A1326" t="str">
            <v>INT MDV</v>
          </cell>
          <cell r="K1326" t="b">
            <v>1</v>
          </cell>
        </row>
        <row r="1327">
          <cell r="A1327" t="str">
            <v>INT MLI MLIMO</v>
          </cell>
          <cell r="K1327" t="b">
            <v>1</v>
          </cell>
        </row>
        <row r="1328">
          <cell r="A1328" t="str">
            <v>INT MLI</v>
          </cell>
          <cell r="K1328" t="b">
            <v>1</v>
          </cell>
        </row>
        <row r="1329">
          <cell r="A1329" t="str">
            <v>INT MLT MLMO</v>
          </cell>
          <cell r="K1329" t="b">
            <v>1</v>
          </cell>
        </row>
        <row r="1330">
          <cell r="A1330" t="str">
            <v>INT MLT</v>
          </cell>
          <cell r="K1330" t="b">
            <v>1</v>
          </cell>
        </row>
        <row r="1331">
          <cell r="A1331" t="str">
            <v>INT EMS MCP</v>
          </cell>
          <cell r="K1331" t="b">
            <v>1</v>
          </cell>
        </row>
        <row r="1332">
          <cell r="A1332" t="str">
            <v>INT MHL</v>
          </cell>
          <cell r="K1332" t="b">
            <v>1</v>
          </cell>
        </row>
        <row r="1333">
          <cell r="A1333" t="str">
            <v>INT MTQ MTQMO</v>
          </cell>
          <cell r="K1333" t="b">
            <v>1</v>
          </cell>
        </row>
        <row r="1334">
          <cell r="A1334" t="str">
            <v>INT MTQ</v>
          </cell>
          <cell r="K1334" t="b">
            <v>1</v>
          </cell>
        </row>
        <row r="1335">
          <cell r="A1335" t="str">
            <v>INT MRT</v>
          </cell>
          <cell r="K1335" t="b">
            <v>1</v>
          </cell>
        </row>
        <row r="1336">
          <cell r="A1336" t="str">
            <v>INT MUS MUSMO</v>
          </cell>
          <cell r="K1336" t="b">
            <v>1</v>
          </cell>
        </row>
        <row r="1337">
          <cell r="A1337" t="str">
            <v>INT MUS</v>
          </cell>
          <cell r="K1337" t="b">
            <v>1</v>
          </cell>
        </row>
        <row r="1338">
          <cell r="A1338" t="str">
            <v>INT MAY</v>
          </cell>
          <cell r="K1338" t="b">
            <v>1</v>
          </cell>
        </row>
        <row r="1339">
          <cell r="A1339" t="str">
            <v>INT MEX MEXMO</v>
          </cell>
          <cell r="K1339" t="b">
            <v>1</v>
          </cell>
        </row>
        <row r="1340">
          <cell r="A1340" t="str">
            <v>INT MEX</v>
          </cell>
          <cell r="K1340" t="b">
            <v>1</v>
          </cell>
        </row>
        <row r="1341">
          <cell r="A1341" t="str">
            <v>INT FSM</v>
          </cell>
          <cell r="K1341" t="b">
            <v>1</v>
          </cell>
        </row>
        <row r="1342">
          <cell r="A1342" t="str">
            <v>INT UMI</v>
          </cell>
          <cell r="K1342" t="b">
            <v>1</v>
          </cell>
        </row>
        <row r="1343">
          <cell r="A1343" t="str">
            <v>INT MDA MDAMO</v>
          </cell>
          <cell r="K1343" t="b">
            <v>1</v>
          </cell>
        </row>
        <row r="1344">
          <cell r="A1344" t="str">
            <v>INT MDA</v>
          </cell>
          <cell r="K1344" t="b">
            <v>1</v>
          </cell>
        </row>
        <row r="1345">
          <cell r="A1345" t="str">
            <v>INT MCO MCOMO</v>
          </cell>
          <cell r="K1345" t="b">
            <v>1</v>
          </cell>
        </row>
        <row r="1346">
          <cell r="A1346" t="str">
            <v>INT MCO</v>
          </cell>
          <cell r="K1346" t="b">
            <v>1</v>
          </cell>
        </row>
        <row r="1347">
          <cell r="A1347" t="str">
            <v>INT MNG</v>
          </cell>
          <cell r="K1347" t="b">
            <v>1</v>
          </cell>
        </row>
        <row r="1348">
          <cell r="A1348" t="str">
            <v>INT MNE</v>
          </cell>
          <cell r="K1348" t="b">
            <v>1</v>
          </cell>
        </row>
        <row r="1349">
          <cell r="A1349" t="str">
            <v>INT MSR</v>
          </cell>
          <cell r="K1349" t="b">
            <v>1</v>
          </cell>
        </row>
        <row r="1350">
          <cell r="A1350" t="str">
            <v>INT MAR MARMO</v>
          </cell>
          <cell r="K1350" t="b">
            <v>1</v>
          </cell>
        </row>
        <row r="1351">
          <cell r="A1351" t="str">
            <v>INT MAR</v>
          </cell>
          <cell r="K1351" t="b">
            <v>1</v>
          </cell>
        </row>
        <row r="1352">
          <cell r="A1352" t="str">
            <v>INT MOZ MOZMO</v>
          </cell>
          <cell r="K1352" t="b">
            <v>1</v>
          </cell>
        </row>
        <row r="1353">
          <cell r="A1353" t="str">
            <v>INT MOZ</v>
          </cell>
          <cell r="K1353" t="b">
            <v>1</v>
          </cell>
        </row>
        <row r="1354">
          <cell r="A1354" t="str">
            <v>INT BUR BURMO</v>
          </cell>
          <cell r="K1354" t="b">
            <v>1</v>
          </cell>
        </row>
        <row r="1355">
          <cell r="A1355" t="str">
            <v>INT BUR</v>
          </cell>
          <cell r="K1355" t="b">
            <v>1</v>
          </cell>
        </row>
        <row r="1356">
          <cell r="A1356" t="str">
            <v>INT NAM NAMMO</v>
          </cell>
          <cell r="K1356" t="b">
            <v>1</v>
          </cell>
        </row>
        <row r="1357">
          <cell r="A1357" t="str">
            <v>INT NAM</v>
          </cell>
          <cell r="K1357" t="b">
            <v>1</v>
          </cell>
        </row>
        <row r="1358">
          <cell r="A1358" t="str">
            <v>INT NRU</v>
          </cell>
          <cell r="K1358" t="b">
            <v>1</v>
          </cell>
        </row>
        <row r="1359">
          <cell r="A1359" t="str">
            <v>INT NPL NPLMO</v>
          </cell>
          <cell r="K1359" t="b">
            <v>1</v>
          </cell>
        </row>
        <row r="1360">
          <cell r="A1360" t="str">
            <v>INT NPL</v>
          </cell>
          <cell r="K1360" t="b">
            <v>1</v>
          </cell>
        </row>
        <row r="1361">
          <cell r="A1361" t="str">
            <v>INT NDL NLMOB</v>
          </cell>
          <cell r="K1361" t="b">
            <v>1</v>
          </cell>
        </row>
        <row r="1362">
          <cell r="A1362" t="str">
            <v>INT NDL</v>
          </cell>
          <cell r="K1362" t="b">
            <v>1</v>
          </cell>
        </row>
        <row r="1363">
          <cell r="A1363" t="str">
            <v>INT NDL NDR</v>
          </cell>
          <cell r="K1363" t="b">
            <v>0</v>
          </cell>
        </row>
        <row r="1364">
          <cell r="A1364" t="str">
            <v>INT NDL NDG</v>
          </cell>
          <cell r="K1364" t="b">
            <v>0</v>
          </cell>
        </row>
        <row r="1365">
          <cell r="A1365" t="str">
            <v>INT NDL NDFRE</v>
          </cell>
          <cell r="K1365" t="b">
            <v>0</v>
          </cell>
        </row>
        <row r="1366">
          <cell r="A1366" t="str">
            <v>INT NCL</v>
          </cell>
          <cell r="K1366" t="b">
            <v>1</v>
          </cell>
        </row>
        <row r="1367">
          <cell r="A1367" t="str">
            <v>INT NZL NZLMO</v>
          </cell>
          <cell r="K1367" t="b">
            <v>1</v>
          </cell>
        </row>
        <row r="1368">
          <cell r="A1368" t="str">
            <v>INT NZL</v>
          </cell>
          <cell r="K1368" t="b">
            <v>1</v>
          </cell>
        </row>
        <row r="1369">
          <cell r="A1369" t="str">
            <v>INT NIC NICMO</v>
          </cell>
          <cell r="K1369" t="b">
            <v>1</v>
          </cell>
        </row>
        <row r="1370">
          <cell r="A1370" t="str">
            <v>INT NIC</v>
          </cell>
          <cell r="K1370" t="b">
            <v>1</v>
          </cell>
        </row>
        <row r="1371">
          <cell r="A1371" t="str">
            <v>INT NER NERMO</v>
          </cell>
          <cell r="K1371" t="b">
            <v>1</v>
          </cell>
        </row>
        <row r="1372">
          <cell r="A1372" t="str">
            <v>INT NER</v>
          </cell>
          <cell r="K1372" t="b">
            <v>1</v>
          </cell>
        </row>
        <row r="1373">
          <cell r="A1373" t="str">
            <v>INT NGA NGAMO</v>
          </cell>
          <cell r="K1373" t="b">
            <v>1</v>
          </cell>
        </row>
        <row r="1374">
          <cell r="A1374" t="str">
            <v>INT NGA</v>
          </cell>
          <cell r="K1374" t="b">
            <v>1</v>
          </cell>
        </row>
        <row r="1375">
          <cell r="A1375" t="str">
            <v>INT NIU NIUMO</v>
          </cell>
          <cell r="K1375" t="b">
            <v>1</v>
          </cell>
        </row>
        <row r="1376">
          <cell r="A1376" t="str">
            <v>INT NIU</v>
          </cell>
          <cell r="K1376" t="b">
            <v>1</v>
          </cell>
        </row>
        <row r="1377">
          <cell r="A1377" t="str">
            <v>INT ATA NFK</v>
          </cell>
          <cell r="K1377" t="b">
            <v>1</v>
          </cell>
        </row>
        <row r="1378">
          <cell r="A1378" t="str">
            <v>INT MNP</v>
          </cell>
          <cell r="K1378" t="b">
            <v>1</v>
          </cell>
        </row>
        <row r="1379">
          <cell r="A1379" t="str">
            <v>INT NOR NORMO</v>
          </cell>
          <cell r="K1379" t="b">
            <v>1</v>
          </cell>
        </row>
        <row r="1380">
          <cell r="A1380" t="str">
            <v>INT NOR</v>
          </cell>
          <cell r="K1380" t="b">
            <v>1</v>
          </cell>
        </row>
        <row r="1381">
          <cell r="A1381" t="str">
            <v>INT NOR NOR3E</v>
          </cell>
          <cell r="K1381" t="b">
            <v>0</v>
          </cell>
        </row>
        <row r="1382">
          <cell r="A1382" t="str">
            <v>INT NOR NORT2</v>
          </cell>
          <cell r="K1382" t="b">
            <v>0</v>
          </cell>
        </row>
        <row r="1383">
          <cell r="A1383" t="str">
            <v>INT NOR NORTF</v>
          </cell>
          <cell r="K1383" t="b">
            <v>0</v>
          </cell>
        </row>
        <row r="1384">
          <cell r="A1384" t="str">
            <v>INT OMN</v>
          </cell>
          <cell r="K1384" t="b">
            <v>1</v>
          </cell>
        </row>
        <row r="1385">
          <cell r="A1385" t="str">
            <v>INT PAK PAKMO</v>
          </cell>
          <cell r="K1385" t="b">
            <v>1</v>
          </cell>
        </row>
        <row r="1386">
          <cell r="A1386" t="str">
            <v>INT PAK</v>
          </cell>
          <cell r="K1386" t="b">
            <v>1</v>
          </cell>
        </row>
        <row r="1387">
          <cell r="A1387" t="str">
            <v>INT PLW</v>
          </cell>
          <cell r="K1387" t="b">
            <v>1</v>
          </cell>
        </row>
        <row r="1388">
          <cell r="A1388" t="str">
            <v>INT PAL</v>
          </cell>
          <cell r="K1388" t="b">
            <v>1</v>
          </cell>
        </row>
        <row r="1389">
          <cell r="A1389" t="str">
            <v>INT PAN PANMO</v>
          </cell>
          <cell r="K1389" t="b">
            <v>1</v>
          </cell>
        </row>
        <row r="1390">
          <cell r="A1390" t="str">
            <v>INT PAN</v>
          </cell>
          <cell r="K1390" t="b">
            <v>1</v>
          </cell>
        </row>
        <row r="1391">
          <cell r="A1391" t="str">
            <v>INT PNG PNGMO</v>
          </cell>
          <cell r="K1391" t="b">
            <v>1</v>
          </cell>
        </row>
        <row r="1392">
          <cell r="A1392" t="str">
            <v>INT PNG</v>
          </cell>
          <cell r="K1392" t="b">
            <v>1</v>
          </cell>
        </row>
        <row r="1393">
          <cell r="A1393" t="str">
            <v>INT PRY PRYMO</v>
          </cell>
          <cell r="K1393" t="b">
            <v>1</v>
          </cell>
        </row>
        <row r="1394">
          <cell r="A1394" t="str">
            <v>INT PRY</v>
          </cell>
          <cell r="K1394" t="b">
            <v>1</v>
          </cell>
        </row>
        <row r="1395">
          <cell r="A1395" t="str">
            <v>INT PER PERMO</v>
          </cell>
          <cell r="K1395" t="b">
            <v>1</v>
          </cell>
        </row>
        <row r="1396">
          <cell r="A1396" t="str">
            <v>INT PER</v>
          </cell>
          <cell r="K1396" t="b">
            <v>1</v>
          </cell>
        </row>
        <row r="1397">
          <cell r="A1397" t="str">
            <v>INT PHL PHLMO</v>
          </cell>
          <cell r="K1397" t="b">
            <v>1</v>
          </cell>
        </row>
        <row r="1398">
          <cell r="A1398" t="str">
            <v>INT PHL</v>
          </cell>
          <cell r="K1398" t="b">
            <v>1</v>
          </cell>
        </row>
        <row r="1399">
          <cell r="A1399" t="str">
            <v>INT POL POLMO</v>
          </cell>
          <cell r="K1399" t="b">
            <v>1</v>
          </cell>
        </row>
        <row r="1400">
          <cell r="A1400" t="str">
            <v>INT POL</v>
          </cell>
          <cell r="K1400" t="b">
            <v>1</v>
          </cell>
        </row>
        <row r="1401">
          <cell r="A1401" t="str">
            <v>INT PRT PRTMO</v>
          </cell>
          <cell r="K1401" t="b">
            <v>1</v>
          </cell>
        </row>
        <row r="1402">
          <cell r="A1402" t="str">
            <v>INT PRT</v>
          </cell>
          <cell r="K1402" t="b">
            <v>1</v>
          </cell>
        </row>
        <row r="1403">
          <cell r="A1403" t="str">
            <v>INT PRT PTFIC</v>
          </cell>
          <cell r="K1403" t="b">
            <v>0</v>
          </cell>
        </row>
        <row r="1404">
          <cell r="A1404" t="str">
            <v>INT PRT PTSC2</v>
          </cell>
          <cell r="K1404" t="b">
            <v>0</v>
          </cell>
        </row>
        <row r="1405">
          <cell r="A1405" t="str">
            <v>INT PRT PTSCS</v>
          </cell>
          <cell r="K1405" t="b">
            <v>0</v>
          </cell>
        </row>
        <row r="1406">
          <cell r="A1406" t="str">
            <v>INT PRI</v>
          </cell>
          <cell r="K1406" t="b">
            <v>1</v>
          </cell>
        </row>
        <row r="1407">
          <cell r="A1407" t="str">
            <v>INT QAT</v>
          </cell>
          <cell r="K1407" t="b">
            <v>1</v>
          </cell>
        </row>
        <row r="1408">
          <cell r="A1408" t="str">
            <v>INT REU REUMO</v>
          </cell>
          <cell r="K1408" t="b">
            <v>1</v>
          </cell>
        </row>
        <row r="1409">
          <cell r="A1409" t="str">
            <v>INT REU</v>
          </cell>
          <cell r="K1409" t="b">
            <v>1</v>
          </cell>
        </row>
        <row r="1410">
          <cell r="A1410" t="str">
            <v>INT ROM ROMMO</v>
          </cell>
          <cell r="K1410" t="b">
            <v>1</v>
          </cell>
        </row>
        <row r="1411">
          <cell r="A1411" t="str">
            <v>INT ROM</v>
          </cell>
          <cell r="K1411" t="b">
            <v>1</v>
          </cell>
        </row>
        <row r="1412">
          <cell r="A1412" t="str">
            <v>INT RUS RUSMO</v>
          </cell>
          <cell r="K1412" t="b">
            <v>1</v>
          </cell>
        </row>
        <row r="1413">
          <cell r="A1413" t="str">
            <v>INT RUS</v>
          </cell>
          <cell r="K1413" t="b">
            <v>1</v>
          </cell>
        </row>
        <row r="1414">
          <cell r="A1414" t="str">
            <v>INT RUS RUSKA</v>
          </cell>
          <cell r="K1414" t="b">
            <v>1</v>
          </cell>
        </row>
        <row r="1415">
          <cell r="A1415" t="str">
            <v>INT RUS MOS</v>
          </cell>
          <cell r="K1415" t="b">
            <v>1</v>
          </cell>
        </row>
        <row r="1416">
          <cell r="A1416" t="str">
            <v>INT RUS RUSSP</v>
          </cell>
          <cell r="K1416" t="b">
            <v>1</v>
          </cell>
        </row>
        <row r="1417">
          <cell r="A1417" t="str">
            <v>INT RUS RUVAS</v>
          </cell>
          <cell r="K1417" t="b">
            <v>0</v>
          </cell>
        </row>
        <row r="1418">
          <cell r="A1418" t="str">
            <v>INT RWA</v>
          </cell>
          <cell r="K1418" t="b">
            <v>1</v>
          </cell>
        </row>
        <row r="1419">
          <cell r="A1419" t="str">
            <v>INT SXM</v>
          </cell>
          <cell r="K1419" t="b">
            <v>1</v>
          </cell>
        </row>
        <row r="1420">
          <cell r="A1420" t="str">
            <v>INT SXM SXMMO</v>
          </cell>
          <cell r="K1420" t="b">
            <v>1</v>
          </cell>
        </row>
        <row r="1421">
          <cell r="A1421" t="str">
            <v>INT WSM WSMMO</v>
          </cell>
          <cell r="K1421" t="b">
            <v>1</v>
          </cell>
        </row>
        <row r="1422">
          <cell r="A1422" t="str">
            <v>INT WSM</v>
          </cell>
          <cell r="K1422" t="b">
            <v>1</v>
          </cell>
        </row>
        <row r="1423">
          <cell r="A1423" t="str">
            <v>INT SMR</v>
          </cell>
          <cell r="K1423" t="b">
            <v>1</v>
          </cell>
        </row>
        <row r="1424">
          <cell r="A1424" t="str">
            <v>INT STP</v>
          </cell>
          <cell r="K1424" t="b">
            <v>1</v>
          </cell>
        </row>
        <row r="1425">
          <cell r="A1425" t="str">
            <v>INT SAU SAUMO</v>
          </cell>
          <cell r="K1425" t="b">
            <v>1</v>
          </cell>
        </row>
        <row r="1426">
          <cell r="A1426" t="str">
            <v>INT SAU</v>
          </cell>
          <cell r="K1426" t="b">
            <v>1</v>
          </cell>
        </row>
        <row r="1427">
          <cell r="A1427" t="str">
            <v>INT SEN SENMO</v>
          </cell>
          <cell r="K1427" t="b">
            <v>1</v>
          </cell>
        </row>
        <row r="1428">
          <cell r="A1428" t="str">
            <v>INT SEN</v>
          </cell>
          <cell r="K1428" t="b">
            <v>1</v>
          </cell>
        </row>
        <row r="1429">
          <cell r="A1429" t="str">
            <v>INT SRB</v>
          </cell>
          <cell r="K1429" t="b">
            <v>1</v>
          </cell>
        </row>
        <row r="1430">
          <cell r="A1430" t="str">
            <v>INT SYC</v>
          </cell>
          <cell r="K1430" t="b">
            <v>1</v>
          </cell>
        </row>
        <row r="1431">
          <cell r="A1431" t="str">
            <v>INT SLE SLEMO</v>
          </cell>
          <cell r="K1431" t="b">
            <v>1</v>
          </cell>
        </row>
        <row r="1432">
          <cell r="A1432" t="str">
            <v>INT SLE</v>
          </cell>
          <cell r="K1432" t="b">
            <v>1</v>
          </cell>
        </row>
        <row r="1433">
          <cell r="A1433" t="str">
            <v>INT SGP SGPMO</v>
          </cell>
          <cell r="K1433" t="b">
            <v>1</v>
          </cell>
        </row>
        <row r="1434">
          <cell r="A1434" t="str">
            <v>INT SGP</v>
          </cell>
          <cell r="K1434" t="b">
            <v>1</v>
          </cell>
        </row>
        <row r="1435">
          <cell r="A1435" t="str">
            <v>INT SVK SVKMO</v>
          </cell>
          <cell r="K1435" t="b">
            <v>1</v>
          </cell>
        </row>
        <row r="1436">
          <cell r="A1436" t="str">
            <v>INT SVK</v>
          </cell>
          <cell r="K1436" t="b">
            <v>1</v>
          </cell>
        </row>
        <row r="1437">
          <cell r="A1437" t="str">
            <v>INT SVN SVNMO</v>
          </cell>
          <cell r="K1437" t="b">
            <v>1</v>
          </cell>
        </row>
        <row r="1438">
          <cell r="A1438" t="str">
            <v>INT SVN</v>
          </cell>
          <cell r="K1438" t="b">
            <v>1</v>
          </cell>
        </row>
        <row r="1439">
          <cell r="A1439" t="str">
            <v>INT SLB</v>
          </cell>
          <cell r="K1439" t="b">
            <v>1</v>
          </cell>
        </row>
        <row r="1440">
          <cell r="A1440" t="str">
            <v>INT SOM</v>
          </cell>
          <cell r="K1440" t="b">
            <v>1</v>
          </cell>
        </row>
        <row r="1441">
          <cell r="A1441" t="str">
            <v>INT ZAF ZAFMO</v>
          </cell>
          <cell r="K1441" t="b">
            <v>1</v>
          </cell>
        </row>
        <row r="1442">
          <cell r="A1442" t="str">
            <v>INT ZAF</v>
          </cell>
          <cell r="K1442" t="b">
            <v>1</v>
          </cell>
        </row>
        <row r="1443">
          <cell r="A1443" t="str">
            <v>INT SSD SSDMO</v>
          </cell>
          <cell r="K1443" t="b">
            <v>1</v>
          </cell>
        </row>
        <row r="1444">
          <cell r="A1444" t="str">
            <v>INT SSD</v>
          </cell>
          <cell r="K1444" t="b">
            <v>1</v>
          </cell>
        </row>
        <row r="1445">
          <cell r="A1445" t="str">
            <v>INT ESP ESPMO</v>
          </cell>
          <cell r="K1445" t="b">
            <v>1</v>
          </cell>
        </row>
        <row r="1446">
          <cell r="A1446" t="str">
            <v>INT ESP</v>
          </cell>
          <cell r="K1446" t="b">
            <v>1</v>
          </cell>
        </row>
        <row r="1447">
          <cell r="A1447" t="str">
            <v>INT ESP SPP08</v>
          </cell>
          <cell r="K1447" t="b">
            <v>0</v>
          </cell>
        </row>
        <row r="1448">
          <cell r="A1448" t="str">
            <v>INT ESP SPPRS</v>
          </cell>
          <cell r="K1448" t="b">
            <v>0</v>
          </cell>
        </row>
        <row r="1449">
          <cell r="A1449" t="str">
            <v>INT ESP SPFRE</v>
          </cell>
          <cell r="K1449" t="b">
            <v>0</v>
          </cell>
        </row>
        <row r="1450">
          <cell r="A1450" t="str">
            <v>INT LKA LKAMO</v>
          </cell>
          <cell r="K1450" t="b">
            <v>1</v>
          </cell>
        </row>
        <row r="1451">
          <cell r="A1451" t="str">
            <v>INT LKA</v>
          </cell>
          <cell r="K1451" t="b">
            <v>1</v>
          </cell>
        </row>
        <row r="1452">
          <cell r="A1452" t="str">
            <v>INT SHN</v>
          </cell>
          <cell r="K1452" t="b">
            <v>1</v>
          </cell>
        </row>
        <row r="1453">
          <cell r="A1453" t="str">
            <v>INT KNA</v>
          </cell>
          <cell r="K1453" t="b">
            <v>1</v>
          </cell>
        </row>
        <row r="1454">
          <cell r="A1454" t="str">
            <v>INT LCA</v>
          </cell>
          <cell r="K1454" t="b">
            <v>1</v>
          </cell>
        </row>
        <row r="1455">
          <cell r="A1455" t="str">
            <v>INT SPM SPMMO</v>
          </cell>
          <cell r="K1455" t="b">
            <v>1</v>
          </cell>
        </row>
        <row r="1456">
          <cell r="A1456" t="str">
            <v>INT SPM</v>
          </cell>
          <cell r="K1456" t="b">
            <v>1</v>
          </cell>
        </row>
        <row r="1457">
          <cell r="A1457" t="str">
            <v>INT VCT</v>
          </cell>
          <cell r="K1457" t="b">
            <v>1</v>
          </cell>
        </row>
        <row r="1458">
          <cell r="A1458" t="str">
            <v>INT SDN</v>
          </cell>
          <cell r="K1458" t="b">
            <v>1</v>
          </cell>
        </row>
        <row r="1459">
          <cell r="A1459" t="str">
            <v>INT SUR SURMO</v>
          </cell>
          <cell r="K1459" t="b">
            <v>1</v>
          </cell>
        </row>
        <row r="1460">
          <cell r="A1460" t="str">
            <v>INT SUR</v>
          </cell>
          <cell r="K1460" t="b">
            <v>1</v>
          </cell>
        </row>
        <row r="1461">
          <cell r="A1461" t="str">
            <v>INT SWZ SWZMO</v>
          </cell>
          <cell r="K1461" t="b">
            <v>1</v>
          </cell>
        </row>
        <row r="1462">
          <cell r="A1462" t="str">
            <v>INT SWZ</v>
          </cell>
          <cell r="K1462" t="b">
            <v>1</v>
          </cell>
        </row>
        <row r="1463">
          <cell r="A1463" t="str">
            <v>INT SWE SWEMO</v>
          </cell>
          <cell r="K1463" t="b">
            <v>1</v>
          </cell>
        </row>
        <row r="1464">
          <cell r="A1464" t="str">
            <v>INT SWE SWEEU</v>
          </cell>
          <cell r="K1464" t="b">
            <v>1</v>
          </cell>
        </row>
        <row r="1465">
          <cell r="A1465" t="str">
            <v>INT SWE</v>
          </cell>
          <cell r="K1465" t="b">
            <v>1</v>
          </cell>
        </row>
        <row r="1466">
          <cell r="A1466" t="str">
            <v>INT SWE SWPRM</v>
          </cell>
          <cell r="K1466" t="b">
            <v>0</v>
          </cell>
        </row>
        <row r="1467">
          <cell r="A1467" t="str">
            <v>INT SWE SCN</v>
          </cell>
          <cell r="K1467" t="b">
            <v>0</v>
          </cell>
        </row>
        <row r="1468">
          <cell r="A1468" t="str">
            <v>INT SWE SFREE</v>
          </cell>
          <cell r="K1468" t="b">
            <v>0</v>
          </cell>
        </row>
        <row r="1469">
          <cell r="A1469" t="str">
            <v>INT CHE CHEMO</v>
          </cell>
          <cell r="K1469" t="b">
            <v>1</v>
          </cell>
        </row>
        <row r="1470">
          <cell r="A1470" t="str">
            <v>INT CHE CHESW</v>
          </cell>
          <cell r="K1470" t="b">
            <v>1</v>
          </cell>
        </row>
        <row r="1471">
          <cell r="A1471" t="str">
            <v>INT CHE ZCHCA</v>
          </cell>
          <cell r="K1471" t="b">
            <v>1</v>
          </cell>
        </row>
        <row r="1472">
          <cell r="A1472" t="str">
            <v>INT CHE ZCHSC</v>
          </cell>
          <cell r="K1472" t="b">
            <v>1</v>
          </cell>
        </row>
        <row r="1473">
          <cell r="A1473" t="str">
            <v>INT CHE</v>
          </cell>
          <cell r="K1473" t="b">
            <v>1</v>
          </cell>
        </row>
        <row r="1474">
          <cell r="A1474" t="str">
            <v>INT CHE CHEIN</v>
          </cell>
          <cell r="K1474" t="b">
            <v>1</v>
          </cell>
        </row>
        <row r="1475">
          <cell r="A1475" t="str">
            <v>INT CHE ZCH28</v>
          </cell>
          <cell r="K1475" t="b">
            <v>0</v>
          </cell>
        </row>
        <row r="1476">
          <cell r="A1476" t="str">
            <v>INT CHE ZCH25</v>
          </cell>
          <cell r="K1476" t="b">
            <v>0</v>
          </cell>
        </row>
        <row r="1477">
          <cell r="A1477" t="str">
            <v>INT CHE ZCH26</v>
          </cell>
          <cell r="K1477" t="b">
            <v>0</v>
          </cell>
        </row>
        <row r="1478">
          <cell r="A1478" t="str">
            <v>INT SYR</v>
          </cell>
          <cell r="K1478" t="b">
            <v>1</v>
          </cell>
        </row>
        <row r="1479">
          <cell r="A1479" t="str">
            <v>INT TWN TWNMO</v>
          </cell>
          <cell r="K1479" t="b">
            <v>1</v>
          </cell>
        </row>
        <row r="1480">
          <cell r="A1480" t="str">
            <v>INT TWN</v>
          </cell>
          <cell r="K1480" t="b">
            <v>1</v>
          </cell>
        </row>
        <row r="1481">
          <cell r="A1481" t="str">
            <v>INT TJK</v>
          </cell>
          <cell r="K1481" t="b">
            <v>1</v>
          </cell>
        </row>
        <row r="1482">
          <cell r="A1482" t="str">
            <v>INT TZA TZAMO</v>
          </cell>
          <cell r="K1482" t="b">
            <v>1</v>
          </cell>
        </row>
        <row r="1483">
          <cell r="A1483" t="str">
            <v>INT TZA</v>
          </cell>
          <cell r="K1483" t="b">
            <v>1</v>
          </cell>
        </row>
        <row r="1484">
          <cell r="A1484" t="str">
            <v>INT EMS TELE</v>
          </cell>
          <cell r="K1484" t="b">
            <v>1</v>
          </cell>
        </row>
        <row r="1485">
          <cell r="A1485" t="str">
            <v>INT THA THAMO</v>
          </cell>
          <cell r="K1485" t="b">
            <v>1</v>
          </cell>
        </row>
        <row r="1486">
          <cell r="A1486" t="str">
            <v>INT THA</v>
          </cell>
          <cell r="K1486" t="b">
            <v>1</v>
          </cell>
        </row>
        <row r="1487">
          <cell r="A1487" t="str">
            <v>INT EMS THUR</v>
          </cell>
          <cell r="K1487" t="b">
            <v>1</v>
          </cell>
        </row>
        <row r="1488">
          <cell r="A1488" t="str">
            <v>INT TGO</v>
          </cell>
          <cell r="K1488" t="b">
            <v>1</v>
          </cell>
        </row>
        <row r="1489">
          <cell r="A1489" t="str">
            <v>INT TKL</v>
          </cell>
          <cell r="K1489" t="b">
            <v>1</v>
          </cell>
        </row>
        <row r="1490">
          <cell r="A1490" t="str">
            <v>INT TON TONMO</v>
          </cell>
          <cell r="K1490" t="b">
            <v>1</v>
          </cell>
        </row>
        <row r="1491">
          <cell r="A1491" t="str">
            <v>INT TON</v>
          </cell>
          <cell r="K1491" t="b">
            <v>1</v>
          </cell>
        </row>
        <row r="1492">
          <cell r="A1492" t="str">
            <v>INT TTO MOB</v>
          </cell>
          <cell r="K1492" t="b">
            <v>1</v>
          </cell>
        </row>
        <row r="1493">
          <cell r="A1493" t="str">
            <v>INT TTO</v>
          </cell>
          <cell r="K1493" t="b">
            <v>1</v>
          </cell>
        </row>
        <row r="1494">
          <cell r="A1494" t="str">
            <v>INT TUN TUNMO</v>
          </cell>
          <cell r="K1494" t="b">
            <v>1</v>
          </cell>
        </row>
        <row r="1495">
          <cell r="A1495" t="str">
            <v>INT TUN</v>
          </cell>
          <cell r="K1495" t="b">
            <v>1</v>
          </cell>
        </row>
        <row r="1496">
          <cell r="A1496" t="str">
            <v>INT TKM</v>
          </cell>
          <cell r="K1496" t="b">
            <v>1</v>
          </cell>
        </row>
        <row r="1497">
          <cell r="A1497" t="str">
            <v>INT TCA</v>
          </cell>
          <cell r="K1497" t="b">
            <v>1</v>
          </cell>
        </row>
        <row r="1498">
          <cell r="A1498" t="str">
            <v>INT TUV TUVMO</v>
          </cell>
          <cell r="K1498" t="b">
            <v>1</v>
          </cell>
        </row>
        <row r="1499">
          <cell r="A1499" t="str">
            <v>INT TUV</v>
          </cell>
          <cell r="K1499" t="b">
            <v>1</v>
          </cell>
        </row>
        <row r="1500">
          <cell r="A1500" t="str">
            <v>INT UGA UGAMO</v>
          </cell>
          <cell r="K1500" t="b">
            <v>1</v>
          </cell>
        </row>
        <row r="1501">
          <cell r="A1501" t="str">
            <v>INT UGA</v>
          </cell>
          <cell r="K1501" t="b">
            <v>1</v>
          </cell>
        </row>
        <row r="1502">
          <cell r="A1502" t="str">
            <v>INT UKR UKRMO</v>
          </cell>
          <cell r="K1502" t="b">
            <v>1</v>
          </cell>
        </row>
        <row r="1503">
          <cell r="A1503" t="str">
            <v>INT UKR</v>
          </cell>
          <cell r="K1503" t="b">
            <v>1</v>
          </cell>
        </row>
        <row r="1504">
          <cell r="A1504" t="str">
            <v>INT ARE AREMO</v>
          </cell>
          <cell r="K1504" t="b">
            <v>1</v>
          </cell>
        </row>
        <row r="1505">
          <cell r="A1505" t="str">
            <v>INT ARE</v>
          </cell>
          <cell r="K1505" t="b">
            <v>1</v>
          </cell>
        </row>
        <row r="1506">
          <cell r="A1506" t="str">
            <v>INT GBR GBRMO</v>
          </cell>
          <cell r="K1506" t="b">
            <v>1</v>
          </cell>
        </row>
        <row r="1507">
          <cell r="A1507" t="str">
            <v>INT GBR</v>
          </cell>
          <cell r="K1507" t="b">
            <v>1</v>
          </cell>
        </row>
        <row r="1508">
          <cell r="A1508" t="str">
            <v>INT URY URYMO</v>
          </cell>
          <cell r="K1508" t="b">
            <v>1</v>
          </cell>
        </row>
        <row r="1509">
          <cell r="A1509" t="str">
            <v>INT URY</v>
          </cell>
          <cell r="K1509" t="b">
            <v>1</v>
          </cell>
        </row>
        <row r="1510">
          <cell r="A1510" t="str">
            <v>INT USA</v>
          </cell>
          <cell r="K1510" t="b">
            <v>1</v>
          </cell>
        </row>
        <row r="1511">
          <cell r="A1511" t="str">
            <v>INT USA USAFR</v>
          </cell>
          <cell r="K1511" t="b">
            <v>1</v>
          </cell>
        </row>
        <row r="1512">
          <cell r="A1512" t="str">
            <v>INT UZB UZBMO</v>
          </cell>
          <cell r="K1512" t="b">
            <v>1</v>
          </cell>
        </row>
        <row r="1513">
          <cell r="A1513" t="str">
            <v>INT UZB</v>
          </cell>
          <cell r="K1513" t="b">
            <v>1</v>
          </cell>
        </row>
        <row r="1514">
          <cell r="A1514" t="str">
            <v>INT VUT VUTMO</v>
          </cell>
          <cell r="K1514" t="b">
            <v>1</v>
          </cell>
        </row>
        <row r="1515">
          <cell r="A1515" t="str">
            <v>INT VUT</v>
          </cell>
          <cell r="K1515" t="b">
            <v>1</v>
          </cell>
        </row>
        <row r="1516">
          <cell r="A1516" t="str">
            <v>INT VAT</v>
          </cell>
          <cell r="K1516" t="b">
            <v>1</v>
          </cell>
        </row>
        <row r="1517">
          <cell r="A1517" t="str">
            <v>INT VEN VENMO</v>
          </cell>
          <cell r="K1517" t="b">
            <v>1</v>
          </cell>
        </row>
        <row r="1518">
          <cell r="A1518" t="str">
            <v>INT VEN</v>
          </cell>
          <cell r="K1518" t="b">
            <v>1</v>
          </cell>
        </row>
        <row r="1519">
          <cell r="A1519" t="str">
            <v>INT VNM VNMMO</v>
          </cell>
          <cell r="K1519" t="b">
            <v>1</v>
          </cell>
        </row>
        <row r="1520">
          <cell r="A1520" t="str">
            <v>INT VNM</v>
          </cell>
          <cell r="K1520" t="b">
            <v>1</v>
          </cell>
        </row>
        <row r="1521">
          <cell r="A1521" t="str">
            <v>INT VGB</v>
          </cell>
          <cell r="K1521" t="b">
            <v>1</v>
          </cell>
        </row>
        <row r="1522">
          <cell r="A1522" t="str">
            <v>INT VIR</v>
          </cell>
          <cell r="K1522" t="b">
            <v>1</v>
          </cell>
        </row>
        <row r="1523">
          <cell r="A1523" t="str">
            <v>INT WLF</v>
          </cell>
          <cell r="K1523" t="b">
            <v>1</v>
          </cell>
        </row>
        <row r="1524">
          <cell r="A1524" t="str">
            <v>INT YEM</v>
          </cell>
          <cell r="K1524" t="b">
            <v>1</v>
          </cell>
        </row>
        <row r="1525">
          <cell r="A1525" t="str">
            <v>INT ZMB ZMBMO</v>
          </cell>
          <cell r="K1525" t="b">
            <v>1</v>
          </cell>
        </row>
        <row r="1526">
          <cell r="A1526" t="str">
            <v>INT ZMB</v>
          </cell>
          <cell r="K1526" t="b">
            <v>1</v>
          </cell>
        </row>
        <row r="1527">
          <cell r="A1527" t="str">
            <v>INT ZWE ZWEMO</v>
          </cell>
          <cell r="K1527" t="b">
            <v>1</v>
          </cell>
        </row>
        <row r="1528">
          <cell r="A1528" t="str">
            <v>INT ZWE</v>
          </cell>
          <cell r="K1528" t="b">
            <v>1</v>
          </cell>
        </row>
        <row r="1529">
          <cell r="A1529" t="str">
            <v>ON ON</v>
          </cell>
        </row>
        <row r="1530">
          <cell r="A1530" t="str">
            <v>ON ON VOIP</v>
          </cell>
        </row>
      </sheetData>
      <sheetData sheetId="28" refreshError="1">
        <row r="4">
          <cell r="B4">
            <v>2</v>
          </cell>
        </row>
        <row r="8">
          <cell r="B8" t="str">
            <v>SUR CIT</v>
          </cell>
          <cell r="C8" t="str">
            <v>Orange Cities</v>
          </cell>
          <cell r="D8" t="str">
            <v>V16A</v>
          </cell>
          <cell r="E8" t="str">
            <v>All</v>
          </cell>
          <cell r="F8" t="b">
            <v>1</v>
          </cell>
          <cell r="H8" t="str">
            <v>site</v>
          </cell>
          <cell r="K8" t="b">
            <v>1</v>
          </cell>
          <cell r="L8" t="str">
            <v>OTP_MRP</v>
          </cell>
          <cell r="R8">
            <v>500</v>
          </cell>
        </row>
        <row r="9">
          <cell r="B9" t="str">
            <v>SUR MJE</v>
          </cell>
          <cell r="C9" t="str">
            <v>Orange Major Europe</v>
          </cell>
          <cell r="D9" t="str">
            <v>V16A</v>
          </cell>
          <cell r="E9" t="str">
            <v>All</v>
          </cell>
          <cell r="F9" t="b">
            <v>1</v>
          </cell>
          <cell r="H9" t="str">
            <v>site</v>
          </cell>
          <cell r="K9" t="b">
            <v>1</v>
          </cell>
          <cell r="L9" t="str">
            <v>OTP_MRP</v>
          </cell>
          <cell r="R9">
            <v>1100</v>
          </cell>
        </row>
        <row r="10">
          <cell r="B10" t="str">
            <v>SUR ROW</v>
          </cell>
          <cell r="C10" t="str">
            <v>Orange Rest of World</v>
          </cell>
          <cell r="D10" t="str">
            <v>V16A</v>
          </cell>
          <cell r="E10" t="str">
            <v>All</v>
          </cell>
          <cell r="F10" t="b">
            <v>1</v>
          </cell>
          <cell r="H10" t="str">
            <v>site</v>
          </cell>
          <cell r="K10" t="b">
            <v>1</v>
          </cell>
          <cell r="L10" t="str">
            <v>OTP_MRP</v>
          </cell>
          <cell r="R10">
            <v>1500</v>
          </cell>
        </row>
        <row r="11">
          <cell r="B11" t="str">
            <v>IMP SAMAJ</v>
          </cell>
          <cell r="C11" t="str">
            <v>Switched Access major europe</v>
          </cell>
          <cell r="D11" t="str">
            <v>V15E</v>
          </cell>
          <cell r="E11" t="str">
            <v>All</v>
          </cell>
          <cell r="F11" t="b">
            <v>1</v>
          </cell>
          <cell r="H11" t="str">
            <v>site</v>
          </cell>
          <cell r="K11" t="b">
            <v>1</v>
          </cell>
          <cell r="L11" t="str">
            <v>OTP_MRP</v>
          </cell>
        </row>
        <row r="12">
          <cell r="B12" t="str">
            <v>IMP SAROW</v>
          </cell>
          <cell r="C12" t="str">
            <v>Switched Access rest of world</v>
          </cell>
          <cell r="D12" t="str">
            <v>V15E</v>
          </cell>
          <cell r="E12" t="str">
            <v>All</v>
          </cell>
          <cell r="F12" t="b">
            <v>1</v>
          </cell>
          <cell r="H12" t="str">
            <v>site</v>
          </cell>
          <cell r="K12" t="b">
            <v>1</v>
          </cell>
          <cell r="L12" t="str">
            <v>OTP_MRP</v>
          </cell>
        </row>
        <row r="13">
          <cell r="B13" t="str">
            <v>IMP DA</v>
          </cell>
          <cell r="C13" t="str">
            <v>Dedicated Access</v>
          </cell>
          <cell r="D13" t="str">
            <v>V16A</v>
          </cell>
          <cell r="E13" t="str">
            <v>All</v>
          </cell>
          <cell r="F13" t="b">
            <v>1</v>
          </cell>
          <cell r="H13" t="str">
            <v>site</v>
          </cell>
          <cell r="K13" t="b">
            <v>1</v>
          </cell>
          <cell r="L13" t="str">
            <v>OTP_MRP</v>
          </cell>
          <cell r="R13">
            <v>300</v>
          </cell>
        </row>
        <row r="14">
          <cell r="B14" t="str">
            <v>IMP IPC</v>
          </cell>
          <cell r="C14" t="str">
            <v>IP Access</v>
          </cell>
          <cell r="D14" t="str">
            <v>V16A</v>
          </cell>
          <cell r="E14" t="str">
            <v>All</v>
          </cell>
          <cell r="F14" t="b">
            <v>1</v>
          </cell>
          <cell r="H14" t="str">
            <v>site</v>
          </cell>
          <cell r="K14" t="b">
            <v>1</v>
          </cell>
          <cell r="L14" t="str">
            <v>OTP_MRP</v>
          </cell>
          <cell r="R14">
            <v>300</v>
          </cell>
        </row>
        <row r="15">
          <cell r="B15" t="str">
            <v>IMP IPH</v>
          </cell>
          <cell r="C15" t="str">
            <v>IP Access Connect hub</v>
          </cell>
          <cell r="D15" t="str">
            <v>V16A</v>
          </cell>
          <cell r="E15" t="str">
            <v>All</v>
          </cell>
          <cell r="F15" t="b">
            <v>1</v>
          </cell>
          <cell r="H15" t="str">
            <v>site</v>
          </cell>
          <cell r="K15" t="b">
            <v>1</v>
          </cell>
          <cell r="L15" t="str">
            <v>OTP_MRP</v>
          </cell>
          <cell r="R15">
            <v>2000</v>
          </cell>
        </row>
        <row r="16">
          <cell r="B16" t="str">
            <v>IMP IPS</v>
          </cell>
          <cell r="C16" t="str">
            <v>IP Access Small</v>
          </cell>
          <cell r="D16" t="str">
            <v>V16A</v>
          </cell>
          <cell r="E16" t="str">
            <v>All</v>
          </cell>
          <cell r="F16" t="b">
            <v>1</v>
          </cell>
          <cell r="H16" t="str">
            <v>site</v>
          </cell>
          <cell r="K16" t="b">
            <v>1</v>
          </cell>
          <cell r="L16" t="str">
            <v>OTP_MRP</v>
          </cell>
          <cell r="R16">
            <v>300</v>
          </cell>
        </row>
        <row r="17">
          <cell r="B17" t="str">
            <v>IMP IPT</v>
          </cell>
          <cell r="C17" t="str">
            <v>IP Access Satellite</v>
          </cell>
          <cell r="D17" t="str">
            <v>V16A</v>
          </cell>
          <cell r="E17" t="str">
            <v>All</v>
          </cell>
          <cell r="F17" t="b">
            <v>1</v>
          </cell>
          <cell r="H17" t="str">
            <v>site</v>
          </cell>
          <cell r="K17" t="b">
            <v>1</v>
          </cell>
          <cell r="L17" t="str">
            <v>OTP_MRP</v>
          </cell>
          <cell r="R17">
            <v>2000</v>
          </cell>
        </row>
        <row r="18">
          <cell r="B18" t="str">
            <v>DIDZ1</v>
          </cell>
          <cell r="C18" t="str">
            <v>DID Zone 1</v>
          </cell>
          <cell r="D18" t="str">
            <v>V16A</v>
          </cell>
          <cell r="E18" t="str">
            <v>Business Talk</v>
          </cell>
          <cell r="F18" t="b">
            <v>1</v>
          </cell>
          <cell r="H18" t="str">
            <v>number</v>
          </cell>
          <cell r="K18" t="b">
            <v>1</v>
          </cell>
          <cell r="L18" t="str">
            <v>OTP_MRP</v>
          </cell>
          <cell r="R18">
            <v>0</v>
          </cell>
          <cell r="S18">
            <v>0.8</v>
          </cell>
        </row>
        <row r="19">
          <cell r="B19" t="str">
            <v>DIDZ2</v>
          </cell>
          <cell r="C19" t="str">
            <v>DID Zone 2</v>
          </cell>
          <cell r="D19" t="str">
            <v>V16A</v>
          </cell>
          <cell r="E19" t="str">
            <v>Business Talk</v>
          </cell>
          <cell r="F19" t="b">
            <v>1</v>
          </cell>
          <cell r="H19" t="str">
            <v>number</v>
          </cell>
          <cell r="K19" t="b">
            <v>1</v>
          </cell>
          <cell r="L19" t="str">
            <v>OTP_MRP</v>
          </cell>
          <cell r="R19">
            <v>0</v>
          </cell>
          <cell r="S19">
            <v>1.3</v>
          </cell>
        </row>
        <row r="20">
          <cell r="B20" t="str">
            <v>DIDZ3</v>
          </cell>
          <cell r="C20" t="str">
            <v>DID Zone 3</v>
          </cell>
          <cell r="D20" t="str">
            <v>V16A</v>
          </cell>
          <cell r="E20" t="str">
            <v>Business Talk</v>
          </cell>
          <cell r="F20" t="b">
            <v>1</v>
          </cell>
          <cell r="H20" t="str">
            <v>number</v>
          </cell>
          <cell r="K20" t="b">
            <v>1</v>
          </cell>
          <cell r="L20" t="str">
            <v>OTP_MRP</v>
          </cell>
          <cell r="R20">
            <v>0.5</v>
          </cell>
          <cell r="S20">
            <v>2.25</v>
          </cell>
        </row>
        <row r="21">
          <cell r="B21" t="str">
            <v>DIDZ3B</v>
          </cell>
          <cell r="C21" t="str">
            <v>DID Zone 3B</v>
          </cell>
          <cell r="D21" t="str">
            <v>V16A</v>
          </cell>
          <cell r="E21" t="str">
            <v>Business Talk</v>
          </cell>
          <cell r="F21" t="b">
            <v>1</v>
          </cell>
          <cell r="H21" t="str">
            <v>number</v>
          </cell>
          <cell r="K21" t="b">
            <v>1</v>
          </cell>
          <cell r="L21" t="str">
            <v>OTP_MRP</v>
          </cell>
          <cell r="R21">
            <v>7.5</v>
          </cell>
          <cell r="S21">
            <v>2.25</v>
          </cell>
        </row>
        <row r="22">
          <cell r="B22" t="str">
            <v>DIDZ4</v>
          </cell>
          <cell r="C22" t="str">
            <v>DID Zone 4</v>
          </cell>
          <cell r="D22" t="str">
            <v>V16A</v>
          </cell>
          <cell r="E22" t="str">
            <v>Business Talk</v>
          </cell>
          <cell r="F22" t="b">
            <v>1</v>
          </cell>
          <cell r="H22" t="str">
            <v>number</v>
          </cell>
          <cell r="K22" t="b">
            <v>1</v>
          </cell>
          <cell r="L22" t="str">
            <v>OTP_MRP</v>
          </cell>
          <cell r="R22">
            <v>0.5</v>
          </cell>
          <cell r="S22">
            <v>3</v>
          </cell>
        </row>
        <row r="23">
          <cell r="B23" t="str">
            <v>DIDZ5</v>
          </cell>
          <cell r="C23" t="str">
            <v>DID Zone 5</v>
          </cell>
          <cell r="D23" t="str">
            <v>V16A</v>
          </cell>
          <cell r="E23" t="str">
            <v>Business Talk</v>
          </cell>
          <cell r="F23" t="b">
            <v>1</v>
          </cell>
          <cell r="H23" t="str">
            <v>number</v>
          </cell>
          <cell r="K23" t="b">
            <v>1</v>
          </cell>
          <cell r="L23" t="str">
            <v>OTP_MRP</v>
          </cell>
          <cell r="R23">
            <v>0.5</v>
          </cell>
          <cell r="S23">
            <v>3.75</v>
          </cell>
        </row>
        <row r="24">
          <cell r="B24" t="str">
            <v>DIDZ6</v>
          </cell>
          <cell r="C24" t="str">
            <v>DID Zone 6</v>
          </cell>
          <cell r="D24" t="str">
            <v>V16A</v>
          </cell>
          <cell r="E24" t="str">
            <v>Business Talk</v>
          </cell>
          <cell r="F24" t="b">
            <v>1</v>
          </cell>
          <cell r="H24" t="str">
            <v>number</v>
          </cell>
          <cell r="K24" t="b">
            <v>1</v>
          </cell>
          <cell r="L24" t="str">
            <v>OTP_MRP</v>
          </cell>
          <cell r="R24">
            <v>0.5</v>
          </cell>
          <cell r="S24">
            <v>5.5</v>
          </cell>
        </row>
        <row r="25">
          <cell r="B25" t="str">
            <v>DIDZ7</v>
          </cell>
          <cell r="C25" t="str">
            <v>DID Zone 7</v>
          </cell>
          <cell r="D25" t="str">
            <v>V16A</v>
          </cell>
          <cell r="E25" t="str">
            <v>Business Talk</v>
          </cell>
          <cell r="F25" t="b">
            <v>1</v>
          </cell>
          <cell r="H25" t="str">
            <v>number</v>
          </cell>
          <cell r="K25" t="b">
            <v>1</v>
          </cell>
          <cell r="L25" t="str">
            <v>OTP_MRP</v>
          </cell>
          <cell r="R25">
            <v>0.5</v>
          </cell>
          <cell r="S25">
            <v>6.95</v>
          </cell>
        </row>
        <row r="26">
          <cell r="B26" t="str">
            <v>DIDZ8</v>
          </cell>
          <cell r="C26" t="str">
            <v>DID Zone 8</v>
          </cell>
          <cell r="D26" t="str">
            <v>V16A</v>
          </cell>
          <cell r="E26" t="str">
            <v>Business Talk</v>
          </cell>
          <cell r="F26" t="b">
            <v>1</v>
          </cell>
          <cell r="H26" t="str">
            <v>number</v>
          </cell>
          <cell r="K26" t="b">
            <v>1</v>
          </cell>
          <cell r="L26" t="str">
            <v>OTP_MRP</v>
          </cell>
          <cell r="R26">
            <v>0.5</v>
          </cell>
          <cell r="S26">
            <v>13</v>
          </cell>
        </row>
      </sheetData>
      <sheetData sheetId="29" refreshError="1"/>
      <sheetData sheetId="30" refreshError="1">
        <row r="5">
          <cell r="B5" t="str">
            <v>AFG</v>
          </cell>
          <cell r="C5" t="b">
            <v>0</v>
          </cell>
          <cell r="D5" t="b">
            <v>0</v>
          </cell>
          <cell r="E5" t="str">
            <v>Afghanistan</v>
          </cell>
          <cell r="H5" t="str">
            <v>Not Available</v>
          </cell>
          <cell r="I5" t="str">
            <v>Not Available</v>
          </cell>
          <cell r="J5" t="str">
            <v>Not Available</v>
          </cell>
          <cell r="K5" t="str">
            <v>Not Available</v>
          </cell>
          <cell r="L5" t="str">
            <v>Not Available</v>
          </cell>
          <cell r="M5" t="str">
            <v>Not Available</v>
          </cell>
          <cell r="N5" t="str">
            <v>Available</v>
          </cell>
          <cell r="O5" t="str">
            <v>Available</v>
          </cell>
          <cell r="P5" t="str">
            <v>Not Available</v>
          </cell>
          <cell r="Q5" t="str">
            <v>Available</v>
          </cell>
          <cell r="R5" t="str">
            <v>Not Available</v>
          </cell>
          <cell r="S5" t="str">
            <v>Not Available</v>
          </cell>
          <cell r="T5" t="str">
            <v>Not Available</v>
          </cell>
          <cell r="U5" t="str">
            <v>Not Available</v>
          </cell>
        </row>
        <row r="6">
          <cell r="B6" t="str">
            <v>ALA</v>
          </cell>
          <cell r="C6" t="b">
            <v>0</v>
          </cell>
          <cell r="D6" t="b">
            <v>1</v>
          </cell>
          <cell r="E6" t="str">
            <v>Aland Islands</v>
          </cell>
          <cell r="H6" t="str">
            <v>Not Available</v>
          </cell>
          <cell r="I6" t="str">
            <v>Not Available</v>
          </cell>
          <cell r="J6" t="str">
            <v>Not Available</v>
          </cell>
          <cell r="K6" t="str">
            <v>Not Available</v>
          </cell>
          <cell r="L6" t="str">
            <v>Not Available</v>
          </cell>
          <cell r="M6" t="str">
            <v>Not Available</v>
          </cell>
          <cell r="N6" t="str">
            <v>Not Available</v>
          </cell>
          <cell r="O6" t="str">
            <v>Available</v>
          </cell>
          <cell r="P6" t="str">
            <v>Not Available</v>
          </cell>
          <cell r="Q6" t="str">
            <v>Not Available</v>
          </cell>
          <cell r="R6" t="str">
            <v>Not Available</v>
          </cell>
          <cell r="S6" t="str">
            <v>Not Available</v>
          </cell>
          <cell r="T6" t="str">
            <v>Not Available</v>
          </cell>
          <cell r="U6" t="str">
            <v>Not Available</v>
          </cell>
        </row>
        <row r="7">
          <cell r="B7" t="str">
            <v>ALB</v>
          </cell>
          <cell r="C7" t="b">
            <v>0</v>
          </cell>
          <cell r="D7" t="b">
            <v>1</v>
          </cell>
          <cell r="E7" t="str">
            <v>Albania</v>
          </cell>
          <cell r="H7" t="str">
            <v>Not Available</v>
          </cell>
          <cell r="I7" t="str">
            <v>Not Available</v>
          </cell>
          <cell r="J7" t="str">
            <v>See Reference Portal http://grp.equant.com/BusTalkGRP/</v>
          </cell>
          <cell r="K7" t="str">
            <v>See Reference Portal http://grp.equant.com/BusTalkGRP/</v>
          </cell>
          <cell r="L7" t="str">
            <v>Not Available</v>
          </cell>
          <cell r="M7" t="str">
            <v>Not Available</v>
          </cell>
          <cell r="N7" t="str">
            <v>Not Available</v>
          </cell>
          <cell r="O7" t="str">
            <v>Available</v>
          </cell>
          <cell r="P7" t="str">
            <v>Not Available</v>
          </cell>
          <cell r="Q7" t="str">
            <v>Not Available</v>
          </cell>
          <cell r="R7" t="str">
            <v>Not Available</v>
          </cell>
          <cell r="S7" t="str">
            <v>Not Available</v>
          </cell>
          <cell r="T7" t="str">
            <v>Not Available</v>
          </cell>
          <cell r="U7" t="str">
            <v>Not Available</v>
          </cell>
        </row>
        <row r="8">
          <cell r="B8" t="str">
            <v>DZA</v>
          </cell>
          <cell r="C8" t="b">
            <v>0</v>
          </cell>
          <cell r="D8" t="b">
            <v>0</v>
          </cell>
          <cell r="E8" t="str">
            <v>Algeria</v>
          </cell>
          <cell r="H8" t="str">
            <v>Not Available</v>
          </cell>
          <cell r="I8" t="str">
            <v>Not Available</v>
          </cell>
          <cell r="J8" t="str">
            <v>On Net Only</v>
          </cell>
          <cell r="K8" t="str">
            <v>On Net Only</v>
          </cell>
          <cell r="L8" t="str">
            <v>Not Available</v>
          </cell>
          <cell r="M8" t="str">
            <v>Not Available</v>
          </cell>
          <cell r="N8" t="str">
            <v>Not Available</v>
          </cell>
          <cell r="O8" t="str">
            <v>Available</v>
          </cell>
          <cell r="P8" t="str">
            <v>Not Available</v>
          </cell>
          <cell r="Q8" t="str">
            <v>Not Available</v>
          </cell>
          <cell r="R8" t="str">
            <v>Not Available</v>
          </cell>
          <cell r="S8" t="str">
            <v>Not Available</v>
          </cell>
          <cell r="T8" t="str">
            <v>Not Available</v>
          </cell>
          <cell r="U8" t="str">
            <v>Not Available</v>
          </cell>
        </row>
        <row r="9">
          <cell r="B9" t="str">
            <v>ASM</v>
          </cell>
          <cell r="C9" t="b">
            <v>0</v>
          </cell>
          <cell r="D9" t="b">
            <v>0</v>
          </cell>
          <cell r="E9" t="str">
            <v>American Samoa</v>
          </cell>
          <cell r="H9" t="str">
            <v>Not Available</v>
          </cell>
          <cell r="I9" t="str">
            <v>Not Available</v>
          </cell>
          <cell r="J9" t="str">
            <v>Not Available</v>
          </cell>
          <cell r="K9" t="str">
            <v>Not Available</v>
          </cell>
          <cell r="L9" t="str">
            <v>Not Available</v>
          </cell>
          <cell r="M9" t="str">
            <v>Not Available</v>
          </cell>
          <cell r="N9" t="str">
            <v>Not Available</v>
          </cell>
          <cell r="O9" t="str">
            <v>Available</v>
          </cell>
          <cell r="P9" t="str">
            <v>Not Available</v>
          </cell>
          <cell r="Q9" t="str">
            <v>Not Available</v>
          </cell>
          <cell r="R9" t="str">
            <v>Not Available</v>
          </cell>
          <cell r="S9" t="str">
            <v>Not Available</v>
          </cell>
          <cell r="T9" t="str">
            <v>Not Available</v>
          </cell>
          <cell r="U9" t="str">
            <v>Not Available</v>
          </cell>
        </row>
        <row r="10">
          <cell r="B10" t="str">
            <v>AND</v>
          </cell>
          <cell r="C10" t="b">
            <v>0</v>
          </cell>
          <cell r="D10" t="b">
            <v>1</v>
          </cell>
          <cell r="E10" t="str">
            <v>Andorra</v>
          </cell>
          <cell r="H10" t="str">
            <v>Not Available</v>
          </cell>
          <cell r="I10" t="str">
            <v>Not Available</v>
          </cell>
          <cell r="J10" t="str">
            <v>See Reference Portal http://grp.equant.com/BusTalkGRP/</v>
          </cell>
          <cell r="K10" t="str">
            <v>See Reference Portal http://grp.equant.com/BusTalkGRP/</v>
          </cell>
          <cell r="L10" t="str">
            <v>Not Available</v>
          </cell>
          <cell r="M10" t="str">
            <v>Not Available</v>
          </cell>
          <cell r="N10" t="str">
            <v>Available</v>
          </cell>
          <cell r="O10" t="str">
            <v>Available</v>
          </cell>
          <cell r="P10" t="str">
            <v>Available</v>
          </cell>
          <cell r="Q10" t="str">
            <v>Available</v>
          </cell>
          <cell r="R10" t="str">
            <v>Not Available</v>
          </cell>
          <cell r="S10" t="str">
            <v>Not Available</v>
          </cell>
          <cell r="T10" t="str">
            <v>Not Available</v>
          </cell>
          <cell r="U10" t="str">
            <v>Not Available</v>
          </cell>
        </row>
        <row r="11">
          <cell r="B11" t="str">
            <v>AGO</v>
          </cell>
          <cell r="C11" t="b">
            <v>0</v>
          </cell>
          <cell r="D11" t="b">
            <v>0</v>
          </cell>
          <cell r="E11" t="str">
            <v>Angola</v>
          </cell>
          <cell r="H11" t="str">
            <v>Not Available</v>
          </cell>
          <cell r="I11" t="str">
            <v>Not Available</v>
          </cell>
          <cell r="J11" t="str">
            <v>On Net Only</v>
          </cell>
          <cell r="K11" t="str">
            <v>On Net Only</v>
          </cell>
          <cell r="L11" t="str">
            <v>Not Available</v>
          </cell>
          <cell r="M11" t="str">
            <v>Not Available</v>
          </cell>
          <cell r="N11" t="str">
            <v>Not Available</v>
          </cell>
          <cell r="O11" t="str">
            <v>Available</v>
          </cell>
          <cell r="P11" t="str">
            <v>Not Available</v>
          </cell>
          <cell r="Q11" t="str">
            <v>Not Available</v>
          </cell>
          <cell r="R11" t="str">
            <v>Not Available</v>
          </cell>
          <cell r="S11" t="str">
            <v>Not Available</v>
          </cell>
          <cell r="T11" t="str">
            <v>Not Available</v>
          </cell>
          <cell r="U11" t="str">
            <v>Not Available</v>
          </cell>
        </row>
        <row r="12">
          <cell r="B12" t="str">
            <v>AIA</v>
          </cell>
          <cell r="C12" t="b">
            <v>0</v>
          </cell>
          <cell r="D12" t="b">
            <v>0</v>
          </cell>
          <cell r="E12" t="str">
            <v>Anguilla</v>
          </cell>
          <cell r="H12" t="str">
            <v>Not Available</v>
          </cell>
          <cell r="I12" t="str">
            <v>Not Available</v>
          </cell>
          <cell r="J12" t="str">
            <v>Not Available</v>
          </cell>
          <cell r="K12" t="str">
            <v>Not Available</v>
          </cell>
          <cell r="L12" t="str">
            <v>Not Available</v>
          </cell>
          <cell r="M12" t="str">
            <v>Not Available</v>
          </cell>
          <cell r="N12" t="str">
            <v>Not Available</v>
          </cell>
          <cell r="O12" t="str">
            <v>Available</v>
          </cell>
          <cell r="P12" t="str">
            <v>Not Available</v>
          </cell>
          <cell r="Q12" t="str">
            <v>Available</v>
          </cell>
          <cell r="R12" t="str">
            <v>Not Available</v>
          </cell>
          <cell r="S12" t="str">
            <v>Not Available</v>
          </cell>
          <cell r="T12" t="str">
            <v>Not Available</v>
          </cell>
          <cell r="U12" t="str">
            <v>Not Available</v>
          </cell>
        </row>
        <row r="13">
          <cell r="B13" t="str">
            <v>ATA</v>
          </cell>
          <cell r="C13" t="b">
            <v>0</v>
          </cell>
          <cell r="D13" t="b">
            <v>0</v>
          </cell>
          <cell r="E13" t="str">
            <v>Antartica</v>
          </cell>
          <cell r="H13" t="str">
            <v>Not Available</v>
          </cell>
          <cell r="I13" t="str">
            <v>Not Available</v>
          </cell>
          <cell r="J13" t="str">
            <v>Not Available</v>
          </cell>
          <cell r="K13" t="str">
            <v>Not Available</v>
          </cell>
          <cell r="L13" t="str">
            <v>Not Available</v>
          </cell>
          <cell r="M13" t="str">
            <v>Not Available</v>
          </cell>
          <cell r="N13" t="str">
            <v>Not Available</v>
          </cell>
          <cell r="O13" t="str">
            <v>Available</v>
          </cell>
          <cell r="P13" t="str">
            <v>Not Available</v>
          </cell>
          <cell r="Q13" t="str">
            <v>Not Available</v>
          </cell>
          <cell r="R13" t="str">
            <v>Not Available</v>
          </cell>
          <cell r="S13" t="str">
            <v>Not Available</v>
          </cell>
          <cell r="T13" t="str">
            <v>Not Available</v>
          </cell>
          <cell r="U13" t="str">
            <v>Not Available</v>
          </cell>
        </row>
        <row r="14">
          <cell r="B14" t="str">
            <v>ATG</v>
          </cell>
          <cell r="C14" t="b">
            <v>0</v>
          </cell>
          <cell r="D14" t="b">
            <v>0</v>
          </cell>
          <cell r="E14" t="str">
            <v>Antigua and Barbuda</v>
          </cell>
          <cell r="H14" t="str">
            <v>Not Available</v>
          </cell>
          <cell r="I14" t="str">
            <v>Not Available</v>
          </cell>
          <cell r="J14" t="str">
            <v>Not Available</v>
          </cell>
          <cell r="K14" t="str">
            <v>Not Available</v>
          </cell>
          <cell r="L14" t="str">
            <v>Not Available</v>
          </cell>
          <cell r="M14" t="str">
            <v>Not Available</v>
          </cell>
          <cell r="N14" t="str">
            <v>Not Available</v>
          </cell>
          <cell r="O14" t="str">
            <v>Available</v>
          </cell>
          <cell r="P14" t="str">
            <v>Not Available</v>
          </cell>
          <cell r="Q14" t="str">
            <v>Available</v>
          </cell>
          <cell r="R14" t="str">
            <v>Not Available</v>
          </cell>
          <cell r="S14" t="str">
            <v>Not Available</v>
          </cell>
          <cell r="T14" t="str">
            <v>Not Available</v>
          </cell>
          <cell r="U14" t="str">
            <v>Not Available</v>
          </cell>
        </row>
        <row r="15">
          <cell r="B15" t="str">
            <v>ARG</v>
          </cell>
          <cell r="C15" t="b">
            <v>0</v>
          </cell>
          <cell r="D15" t="b">
            <v>0</v>
          </cell>
          <cell r="E15" t="str">
            <v>Argentina</v>
          </cell>
          <cell r="H15" t="str">
            <v>Not Available</v>
          </cell>
          <cell r="I15" t="str">
            <v>Not Available</v>
          </cell>
          <cell r="J15" t="str">
            <v>On Net Only</v>
          </cell>
          <cell r="K15" t="str">
            <v>On Net Only</v>
          </cell>
          <cell r="L15" t="str">
            <v>On Net Only</v>
          </cell>
          <cell r="M15" t="str">
            <v>Not Available</v>
          </cell>
          <cell r="N15" t="str">
            <v>Not Available</v>
          </cell>
          <cell r="O15" t="str">
            <v>Available</v>
          </cell>
          <cell r="P15" t="str">
            <v>Not Available</v>
          </cell>
          <cell r="Q15" t="str">
            <v>Available</v>
          </cell>
          <cell r="R15" t="str">
            <v>Not Available</v>
          </cell>
          <cell r="S15" t="str">
            <v>Not Available</v>
          </cell>
          <cell r="T15" t="str">
            <v>Not Available</v>
          </cell>
          <cell r="U15" t="str">
            <v>Not Available</v>
          </cell>
        </row>
        <row r="16">
          <cell r="B16" t="str">
            <v>ARM</v>
          </cell>
          <cell r="C16" t="b">
            <v>0</v>
          </cell>
          <cell r="D16" t="b">
            <v>1</v>
          </cell>
          <cell r="E16" t="str">
            <v>Armenia</v>
          </cell>
          <cell r="H16" t="str">
            <v>Not Available</v>
          </cell>
          <cell r="I16" t="str">
            <v>Not Available</v>
          </cell>
          <cell r="J16" t="str">
            <v>On Net Only</v>
          </cell>
          <cell r="K16" t="str">
            <v>On Net Only</v>
          </cell>
          <cell r="L16" t="str">
            <v>Not Available</v>
          </cell>
          <cell r="M16" t="str">
            <v>Not Available</v>
          </cell>
          <cell r="N16" t="str">
            <v>Available</v>
          </cell>
          <cell r="O16" t="str">
            <v>Available</v>
          </cell>
          <cell r="P16" t="str">
            <v>Available</v>
          </cell>
          <cell r="Q16" t="str">
            <v>Available</v>
          </cell>
          <cell r="R16" t="str">
            <v>Not Available</v>
          </cell>
          <cell r="S16" t="str">
            <v>Not Available</v>
          </cell>
          <cell r="T16" t="str">
            <v>Not Available</v>
          </cell>
          <cell r="U16" t="str">
            <v>Not Available</v>
          </cell>
        </row>
        <row r="17">
          <cell r="B17" t="str">
            <v>ABW</v>
          </cell>
          <cell r="C17" t="b">
            <v>0</v>
          </cell>
          <cell r="D17" t="b">
            <v>0</v>
          </cell>
          <cell r="E17" t="str">
            <v>Aruba</v>
          </cell>
          <cell r="H17" t="str">
            <v>Not Available</v>
          </cell>
          <cell r="I17" t="str">
            <v>Not Available</v>
          </cell>
          <cell r="J17" t="str">
            <v>See Reference Portal http://grp.equant.com/BusTalkGRP/</v>
          </cell>
          <cell r="K17" t="str">
            <v>See Reference Portal http://grp.equant.com/BusTalkGRP/</v>
          </cell>
          <cell r="L17" t="str">
            <v>Not Available</v>
          </cell>
          <cell r="M17" t="str">
            <v>Not Available</v>
          </cell>
          <cell r="N17" t="str">
            <v>Not Available</v>
          </cell>
          <cell r="O17" t="str">
            <v>Available</v>
          </cell>
          <cell r="P17" t="str">
            <v>Not Available</v>
          </cell>
          <cell r="Q17" t="str">
            <v>Not Available</v>
          </cell>
          <cell r="R17" t="str">
            <v>Not Available</v>
          </cell>
          <cell r="S17" t="str">
            <v>Not Available</v>
          </cell>
          <cell r="T17" t="str">
            <v>Not Available</v>
          </cell>
          <cell r="U17" t="str">
            <v>Not Available</v>
          </cell>
        </row>
        <row r="18">
          <cell r="B18" t="str">
            <v>AUS</v>
          </cell>
          <cell r="C18" t="b">
            <v>0</v>
          </cell>
          <cell r="D18" t="b">
            <v>0</v>
          </cell>
          <cell r="E18" t="str">
            <v>Australia</v>
          </cell>
          <cell r="H18" t="str">
            <v>Not Available</v>
          </cell>
          <cell r="I18" t="str">
            <v>Available</v>
          </cell>
          <cell r="J18" t="str">
            <v>Available</v>
          </cell>
          <cell r="K18" t="str">
            <v>Available</v>
          </cell>
          <cell r="L18" t="str">
            <v>Available</v>
          </cell>
          <cell r="M18" t="str">
            <v>Not Available</v>
          </cell>
          <cell r="N18" t="str">
            <v>Not Available</v>
          </cell>
          <cell r="O18" t="str">
            <v>Available</v>
          </cell>
          <cell r="P18" t="str">
            <v>Not Available</v>
          </cell>
          <cell r="Q18" t="str">
            <v>Not Available</v>
          </cell>
          <cell r="R18" t="str">
            <v>Not Available</v>
          </cell>
          <cell r="S18" t="str">
            <v>DIDZ2</v>
          </cell>
          <cell r="T18" t="str">
            <v>DIDZ2</v>
          </cell>
          <cell r="U18" t="str">
            <v>Not Available</v>
          </cell>
        </row>
        <row r="19">
          <cell r="B19" t="str">
            <v>AUT</v>
          </cell>
          <cell r="C19" t="b">
            <v>1</v>
          </cell>
          <cell r="D19" t="b">
            <v>1</v>
          </cell>
          <cell r="E19" t="str">
            <v>Austria</v>
          </cell>
          <cell r="H19" t="str">
            <v>Not Available</v>
          </cell>
          <cell r="I19" t="str">
            <v>Available</v>
          </cell>
          <cell r="J19" t="str">
            <v>Available</v>
          </cell>
          <cell r="K19" t="str">
            <v>Available</v>
          </cell>
          <cell r="L19" t="str">
            <v>Available</v>
          </cell>
          <cell r="M19" t="str">
            <v>Not Available</v>
          </cell>
          <cell r="N19" t="str">
            <v>Not Available</v>
          </cell>
          <cell r="O19" t="str">
            <v>Available</v>
          </cell>
          <cell r="P19" t="str">
            <v>Not Available</v>
          </cell>
          <cell r="Q19" t="str">
            <v>Not Available</v>
          </cell>
          <cell r="R19" t="str">
            <v>Not Available</v>
          </cell>
          <cell r="S19" t="str">
            <v>DIDZ1</v>
          </cell>
          <cell r="T19" t="str">
            <v>DIDZ1</v>
          </cell>
          <cell r="U19" t="str">
            <v>Not Available</v>
          </cell>
        </row>
        <row r="20">
          <cell r="B20" t="str">
            <v>AZE</v>
          </cell>
          <cell r="C20" t="b">
            <v>0</v>
          </cell>
          <cell r="D20" t="b">
            <v>1</v>
          </cell>
          <cell r="E20" t="str">
            <v>Azerbaijan</v>
          </cell>
          <cell r="H20" t="str">
            <v>Not Available</v>
          </cell>
          <cell r="I20" t="str">
            <v>Not Available</v>
          </cell>
          <cell r="J20" t="str">
            <v>Not Available</v>
          </cell>
          <cell r="K20" t="str">
            <v>Not Available</v>
          </cell>
          <cell r="L20" t="str">
            <v>Not Available</v>
          </cell>
          <cell r="M20" t="str">
            <v>Not Available</v>
          </cell>
          <cell r="N20" t="str">
            <v>Not Available</v>
          </cell>
          <cell r="O20" t="str">
            <v>Available</v>
          </cell>
          <cell r="P20" t="str">
            <v>Not Available</v>
          </cell>
          <cell r="Q20" t="str">
            <v>Available</v>
          </cell>
          <cell r="R20" t="str">
            <v>Not Available</v>
          </cell>
          <cell r="S20" t="str">
            <v>Not Available</v>
          </cell>
          <cell r="T20" t="str">
            <v>Not Available</v>
          </cell>
          <cell r="U20" t="str">
            <v>Not Available</v>
          </cell>
        </row>
        <row r="21">
          <cell r="B21" t="str">
            <v>BHS</v>
          </cell>
          <cell r="C21" t="b">
            <v>0</v>
          </cell>
          <cell r="D21" t="b">
            <v>0</v>
          </cell>
          <cell r="E21" t="str">
            <v>Bahamas</v>
          </cell>
          <cell r="H21" t="str">
            <v>Not Available</v>
          </cell>
          <cell r="I21" t="str">
            <v>Not Available</v>
          </cell>
          <cell r="J21" t="str">
            <v>Not Available</v>
          </cell>
          <cell r="K21" t="str">
            <v>Not Available</v>
          </cell>
          <cell r="L21" t="str">
            <v>Not Available</v>
          </cell>
          <cell r="M21" t="str">
            <v>Not Available</v>
          </cell>
          <cell r="N21" t="str">
            <v>Not Available</v>
          </cell>
          <cell r="O21" t="str">
            <v>Available</v>
          </cell>
          <cell r="P21" t="str">
            <v>Not Available</v>
          </cell>
          <cell r="Q21" t="str">
            <v>Not Available</v>
          </cell>
          <cell r="R21" t="str">
            <v>Not Available</v>
          </cell>
          <cell r="S21" t="str">
            <v>Not Available</v>
          </cell>
          <cell r="T21" t="str">
            <v>Not Available</v>
          </cell>
          <cell r="U21" t="str">
            <v>Not Available</v>
          </cell>
        </row>
        <row r="22">
          <cell r="B22" t="str">
            <v>BHR</v>
          </cell>
          <cell r="C22" t="b">
            <v>0</v>
          </cell>
          <cell r="D22" t="b">
            <v>0</v>
          </cell>
          <cell r="E22" t="str">
            <v>Bahrain</v>
          </cell>
          <cell r="H22" t="str">
            <v>Not Available</v>
          </cell>
          <cell r="I22" t="str">
            <v>Not Available</v>
          </cell>
          <cell r="J22" t="str">
            <v>See Reference Portal http://grp.equant.com/BusTalkGRP/</v>
          </cell>
          <cell r="K22" t="str">
            <v>See Reference Portal http://grp.equant.com/BusTalkGRP/</v>
          </cell>
          <cell r="L22" t="str">
            <v>See Reference Portal http://grp.equant.com/BusTalkGRP/</v>
          </cell>
          <cell r="M22" t="str">
            <v>Not Available</v>
          </cell>
          <cell r="N22" t="str">
            <v>Not Available</v>
          </cell>
          <cell r="O22" t="str">
            <v>Available</v>
          </cell>
          <cell r="P22" t="str">
            <v>Not Available</v>
          </cell>
          <cell r="Q22" t="str">
            <v>Available</v>
          </cell>
          <cell r="R22" t="str">
            <v>Not Available</v>
          </cell>
          <cell r="S22" t="str">
            <v>DIDZ8</v>
          </cell>
          <cell r="T22" t="str">
            <v>Not Available</v>
          </cell>
          <cell r="U22" t="str">
            <v>Not Available</v>
          </cell>
        </row>
        <row r="23">
          <cell r="B23" t="str">
            <v>BGH</v>
          </cell>
          <cell r="C23" t="b">
            <v>0</v>
          </cell>
          <cell r="D23" t="b">
            <v>0</v>
          </cell>
          <cell r="E23" t="str">
            <v>Bangladesh</v>
          </cell>
          <cell r="H23" t="str">
            <v>Not Available</v>
          </cell>
          <cell r="I23" t="str">
            <v>Not Available</v>
          </cell>
          <cell r="J23" t="str">
            <v>On Net Only</v>
          </cell>
          <cell r="K23" t="str">
            <v>On Net Only</v>
          </cell>
          <cell r="L23" t="str">
            <v>On Net Only</v>
          </cell>
          <cell r="M23" t="str">
            <v>Not Available</v>
          </cell>
          <cell r="N23" t="str">
            <v>Not Available</v>
          </cell>
          <cell r="O23" t="str">
            <v>Available</v>
          </cell>
          <cell r="P23" t="str">
            <v>Not Available</v>
          </cell>
          <cell r="Q23" t="str">
            <v>Contact Product</v>
          </cell>
          <cell r="R23" t="str">
            <v>Not Available</v>
          </cell>
          <cell r="S23" t="str">
            <v>Not Available</v>
          </cell>
          <cell r="T23" t="str">
            <v>Not Available</v>
          </cell>
          <cell r="U23" t="str">
            <v>Not Available</v>
          </cell>
        </row>
        <row r="24">
          <cell r="B24" t="str">
            <v>BRB</v>
          </cell>
          <cell r="C24" t="b">
            <v>0</v>
          </cell>
          <cell r="D24" t="b">
            <v>0</v>
          </cell>
          <cell r="E24" t="str">
            <v>Barbados</v>
          </cell>
          <cell r="H24" t="str">
            <v>Not Available</v>
          </cell>
          <cell r="I24" t="str">
            <v>Not Available</v>
          </cell>
          <cell r="J24" t="str">
            <v>On Net Only</v>
          </cell>
          <cell r="K24" t="str">
            <v>On Net Only</v>
          </cell>
          <cell r="L24" t="str">
            <v>Not Available</v>
          </cell>
          <cell r="M24" t="str">
            <v>Not Available</v>
          </cell>
          <cell r="N24" t="str">
            <v>Not Available</v>
          </cell>
          <cell r="O24" t="str">
            <v>Available</v>
          </cell>
          <cell r="P24" t="str">
            <v>Not Available</v>
          </cell>
          <cell r="Q24" t="str">
            <v>Available</v>
          </cell>
          <cell r="R24" t="str">
            <v>Not Available</v>
          </cell>
          <cell r="S24" t="str">
            <v>Not Available</v>
          </cell>
          <cell r="T24" t="str">
            <v>Not Available</v>
          </cell>
          <cell r="U24" t="str">
            <v>Not Available</v>
          </cell>
        </row>
        <row r="25">
          <cell r="B25" t="str">
            <v>BLR</v>
          </cell>
          <cell r="C25" t="b">
            <v>0</v>
          </cell>
          <cell r="D25" t="b">
            <v>1</v>
          </cell>
          <cell r="E25" t="str">
            <v>Belarus</v>
          </cell>
          <cell r="H25" t="str">
            <v>Not Available</v>
          </cell>
          <cell r="I25" t="str">
            <v>Not Available</v>
          </cell>
          <cell r="J25" t="str">
            <v>Not Available</v>
          </cell>
          <cell r="K25" t="str">
            <v>Not Available</v>
          </cell>
          <cell r="L25" t="str">
            <v>Not Available</v>
          </cell>
          <cell r="M25" t="str">
            <v>Not Available</v>
          </cell>
          <cell r="N25" t="str">
            <v>Not Available</v>
          </cell>
          <cell r="O25" t="str">
            <v>Available</v>
          </cell>
          <cell r="P25" t="str">
            <v>Not Available</v>
          </cell>
          <cell r="Q25" t="str">
            <v>Not Available</v>
          </cell>
          <cell r="R25" t="str">
            <v>Not Available</v>
          </cell>
          <cell r="S25" t="str">
            <v>Not Available</v>
          </cell>
          <cell r="T25" t="str">
            <v>Not Available</v>
          </cell>
          <cell r="U25" t="str">
            <v>Not Available</v>
          </cell>
        </row>
        <row r="26">
          <cell r="B26" t="str">
            <v>BEL</v>
          </cell>
          <cell r="C26" t="b">
            <v>1</v>
          </cell>
          <cell r="D26" t="b">
            <v>1</v>
          </cell>
          <cell r="E26" t="str">
            <v>Belgium</v>
          </cell>
          <cell r="H26" t="str">
            <v>Not Available</v>
          </cell>
          <cell r="I26" t="str">
            <v>Available</v>
          </cell>
          <cell r="J26" t="str">
            <v>Available</v>
          </cell>
          <cell r="K26" t="str">
            <v>Available</v>
          </cell>
          <cell r="L26" t="str">
            <v>Available</v>
          </cell>
          <cell r="M26" t="str">
            <v>Not Available</v>
          </cell>
          <cell r="N26" t="str">
            <v>Not Available</v>
          </cell>
          <cell r="O26" t="str">
            <v>Available</v>
          </cell>
          <cell r="P26" t="str">
            <v>Not Available</v>
          </cell>
          <cell r="Q26" t="str">
            <v>Available</v>
          </cell>
          <cell r="R26" t="str">
            <v>Not Available</v>
          </cell>
          <cell r="S26" t="str">
            <v>DIDZ1</v>
          </cell>
          <cell r="T26" t="str">
            <v>DIDZ1</v>
          </cell>
          <cell r="U26" t="str">
            <v>Not Available</v>
          </cell>
        </row>
        <row r="27">
          <cell r="B27" t="str">
            <v>BLZ</v>
          </cell>
          <cell r="C27" t="b">
            <v>0</v>
          </cell>
          <cell r="D27" t="b">
            <v>0</v>
          </cell>
          <cell r="E27" t="str">
            <v>Belize</v>
          </cell>
          <cell r="H27" t="str">
            <v>Not Available</v>
          </cell>
          <cell r="I27" t="str">
            <v>Not Available</v>
          </cell>
          <cell r="J27" t="str">
            <v>Not Available</v>
          </cell>
          <cell r="K27" t="str">
            <v>Not Available</v>
          </cell>
          <cell r="L27" t="str">
            <v>Not Available</v>
          </cell>
          <cell r="M27" t="str">
            <v>Not Available</v>
          </cell>
          <cell r="N27" t="str">
            <v>Not Available</v>
          </cell>
          <cell r="O27" t="str">
            <v>Not Available</v>
          </cell>
          <cell r="P27" t="str">
            <v>Not Available</v>
          </cell>
          <cell r="Q27" t="str">
            <v>Not Available</v>
          </cell>
          <cell r="R27" t="str">
            <v>Not Available</v>
          </cell>
          <cell r="S27" t="str">
            <v>Not Available</v>
          </cell>
          <cell r="T27" t="str">
            <v>Not Available</v>
          </cell>
          <cell r="U27" t="str">
            <v>Not Available</v>
          </cell>
        </row>
        <row r="28">
          <cell r="B28" t="str">
            <v>BEN</v>
          </cell>
          <cell r="C28" t="b">
            <v>0</v>
          </cell>
          <cell r="D28" t="b">
            <v>0</v>
          </cell>
          <cell r="E28" t="str">
            <v>Benin</v>
          </cell>
          <cell r="H28" t="str">
            <v>Not Available</v>
          </cell>
          <cell r="I28" t="str">
            <v>Not Available</v>
          </cell>
          <cell r="J28" t="str">
            <v>On Net Only</v>
          </cell>
          <cell r="K28" t="str">
            <v>On Net Only</v>
          </cell>
          <cell r="L28" t="str">
            <v>Not Available</v>
          </cell>
          <cell r="M28" t="str">
            <v>Not Available</v>
          </cell>
          <cell r="N28" t="str">
            <v>Not Available</v>
          </cell>
          <cell r="O28" t="str">
            <v>Not Available</v>
          </cell>
          <cell r="P28" t="str">
            <v>Not Available</v>
          </cell>
          <cell r="Q28" t="str">
            <v>Not Available</v>
          </cell>
          <cell r="R28" t="str">
            <v>Not Available</v>
          </cell>
          <cell r="S28" t="str">
            <v>Not Available</v>
          </cell>
          <cell r="T28" t="str">
            <v>Not Available</v>
          </cell>
          <cell r="U28" t="str">
            <v>Not Available</v>
          </cell>
        </row>
        <row r="29">
          <cell r="B29" t="str">
            <v>BMU</v>
          </cell>
          <cell r="C29" t="b">
            <v>0</v>
          </cell>
          <cell r="D29" t="b">
            <v>0</v>
          </cell>
          <cell r="E29" t="str">
            <v>Bermuda</v>
          </cell>
          <cell r="H29" t="str">
            <v>Not Available</v>
          </cell>
          <cell r="I29" t="str">
            <v>Not Available</v>
          </cell>
          <cell r="J29" t="str">
            <v>On Net Only</v>
          </cell>
          <cell r="K29" t="str">
            <v>On Net Only</v>
          </cell>
          <cell r="L29" t="str">
            <v>Not Available</v>
          </cell>
          <cell r="M29" t="str">
            <v>Not Available</v>
          </cell>
          <cell r="N29" t="str">
            <v>Not Available</v>
          </cell>
          <cell r="O29" t="str">
            <v>Available</v>
          </cell>
          <cell r="P29" t="str">
            <v>Not Available</v>
          </cell>
          <cell r="Q29" t="str">
            <v>Not Available</v>
          </cell>
          <cell r="R29" t="str">
            <v>Not Available</v>
          </cell>
          <cell r="S29" t="str">
            <v>Not Available</v>
          </cell>
          <cell r="T29" t="str">
            <v>Not Available</v>
          </cell>
          <cell r="U29" t="str">
            <v>Not Available</v>
          </cell>
        </row>
        <row r="30">
          <cell r="B30" t="str">
            <v>BTN</v>
          </cell>
          <cell r="C30" t="b">
            <v>0</v>
          </cell>
          <cell r="D30" t="b">
            <v>0</v>
          </cell>
          <cell r="E30" t="str">
            <v>Bhutan</v>
          </cell>
          <cell r="H30" t="str">
            <v>Not Available</v>
          </cell>
          <cell r="I30" t="str">
            <v>Not Available</v>
          </cell>
          <cell r="J30" t="str">
            <v>Not Available</v>
          </cell>
          <cell r="K30" t="str">
            <v>Not Available</v>
          </cell>
          <cell r="L30" t="str">
            <v>Not Available</v>
          </cell>
          <cell r="M30" t="str">
            <v>Not Available</v>
          </cell>
          <cell r="N30" t="str">
            <v>Not Available</v>
          </cell>
          <cell r="O30" t="str">
            <v>Not Available</v>
          </cell>
          <cell r="P30" t="str">
            <v>Not Available</v>
          </cell>
          <cell r="Q30" t="str">
            <v>Not Available</v>
          </cell>
          <cell r="R30" t="str">
            <v>Not Available</v>
          </cell>
          <cell r="S30" t="str">
            <v>Not Available</v>
          </cell>
          <cell r="T30" t="str">
            <v>Not Available</v>
          </cell>
          <cell r="U30" t="str">
            <v>Not Available</v>
          </cell>
        </row>
        <row r="31">
          <cell r="B31" t="str">
            <v>BOL</v>
          </cell>
          <cell r="C31" t="b">
            <v>0</v>
          </cell>
          <cell r="D31" t="b">
            <v>0</v>
          </cell>
          <cell r="E31" t="str">
            <v>Bolivia</v>
          </cell>
          <cell r="H31" t="str">
            <v>Not Available</v>
          </cell>
          <cell r="I31" t="str">
            <v>Not Available</v>
          </cell>
          <cell r="J31" t="str">
            <v>On Net Only</v>
          </cell>
          <cell r="K31" t="str">
            <v>On Net Only</v>
          </cell>
          <cell r="L31" t="str">
            <v>Not Available</v>
          </cell>
          <cell r="M31" t="str">
            <v>Not Available</v>
          </cell>
          <cell r="N31" t="str">
            <v>Not Available</v>
          </cell>
          <cell r="O31" t="str">
            <v>Available</v>
          </cell>
          <cell r="P31" t="str">
            <v>Not Available</v>
          </cell>
          <cell r="Q31" t="str">
            <v>Not Available</v>
          </cell>
          <cell r="R31" t="str">
            <v>Not Available</v>
          </cell>
          <cell r="S31" t="str">
            <v>Not Available</v>
          </cell>
          <cell r="T31" t="str">
            <v>Not Available</v>
          </cell>
          <cell r="U31" t="str">
            <v>Not Available</v>
          </cell>
        </row>
        <row r="32">
          <cell r="B32" t="str">
            <v>BES</v>
          </cell>
          <cell r="C32" t="b">
            <v>0</v>
          </cell>
          <cell r="D32" t="b">
            <v>0</v>
          </cell>
          <cell r="E32" t="str">
            <v>Bonaire, Sint Eustatius and Saba</v>
          </cell>
          <cell r="H32" t="str">
            <v>Not Available</v>
          </cell>
          <cell r="I32" t="str">
            <v>Not Available</v>
          </cell>
          <cell r="J32" t="str">
            <v>Not Available</v>
          </cell>
          <cell r="K32" t="str">
            <v>Not Available</v>
          </cell>
          <cell r="L32" t="str">
            <v>Not Available</v>
          </cell>
          <cell r="M32" t="str">
            <v>Not Available</v>
          </cell>
          <cell r="N32" t="str">
            <v>Not Available</v>
          </cell>
          <cell r="O32" t="str">
            <v>Available</v>
          </cell>
          <cell r="P32" t="str">
            <v>Not Available</v>
          </cell>
          <cell r="Q32" t="str">
            <v>Not Available</v>
          </cell>
          <cell r="R32" t="str">
            <v>Not Available</v>
          </cell>
          <cell r="S32" t="str">
            <v>Not Available</v>
          </cell>
          <cell r="T32" t="str">
            <v>Not Available</v>
          </cell>
          <cell r="U32" t="str">
            <v>Not Available</v>
          </cell>
        </row>
        <row r="33">
          <cell r="B33" t="str">
            <v>BIH</v>
          </cell>
          <cell r="C33" t="b">
            <v>0</v>
          </cell>
          <cell r="D33" t="b">
            <v>1</v>
          </cell>
          <cell r="E33" t="str">
            <v>Bosnia and Herzegovina</v>
          </cell>
          <cell r="H33" t="str">
            <v>Not Available</v>
          </cell>
          <cell r="I33" t="str">
            <v>Not Available</v>
          </cell>
          <cell r="J33" t="str">
            <v>On Net Only</v>
          </cell>
          <cell r="K33" t="str">
            <v>On Net Only</v>
          </cell>
          <cell r="L33" t="str">
            <v>Not Available</v>
          </cell>
          <cell r="M33" t="str">
            <v>Not Available</v>
          </cell>
          <cell r="N33" t="str">
            <v>Not Available</v>
          </cell>
          <cell r="O33" t="str">
            <v>Available</v>
          </cell>
          <cell r="P33" t="str">
            <v>Not Available</v>
          </cell>
          <cell r="Q33" t="str">
            <v>Available</v>
          </cell>
          <cell r="R33" t="str">
            <v>Not Available</v>
          </cell>
          <cell r="S33" t="str">
            <v>Not Available</v>
          </cell>
          <cell r="T33" t="str">
            <v>Not Available</v>
          </cell>
          <cell r="U33" t="str">
            <v>Not Available</v>
          </cell>
        </row>
        <row r="34">
          <cell r="B34" t="str">
            <v>BWA</v>
          </cell>
          <cell r="C34" t="b">
            <v>0</v>
          </cell>
          <cell r="D34" t="b">
            <v>0</v>
          </cell>
          <cell r="E34" t="str">
            <v>Botswana</v>
          </cell>
          <cell r="H34" t="str">
            <v>Not Available</v>
          </cell>
          <cell r="I34" t="str">
            <v>Not Available</v>
          </cell>
          <cell r="J34" t="str">
            <v>On Net Only</v>
          </cell>
          <cell r="K34" t="str">
            <v>On Net Only</v>
          </cell>
          <cell r="L34" t="str">
            <v>Not Available</v>
          </cell>
          <cell r="M34" t="str">
            <v>Not Available</v>
          </cell>
          <cell r="N34" t="str">
            <v>Not Available</v>
          </cell>
          <cell r="O34" t="str">
            <v>Available</v>
          </cell>
          <cell r="P34" t="str">
            <v>Not Available</v>
          </cell>
          <cell r="Q34" t="str">
            <v>Not Available</v>
          </cell>
          <cell r="R34" t="str">
            <v>Not Available</v>
          </cell>
          <cell r="S34" t="str">
            <v>Not Available</v>
          </cell>
          <cell r="T34" t="str">
            <v>Not Available</v>
          </cell>
          <cell r="U34" t="str">
            <v>Not Available</v>
          </cell>
        </row>
        <row r="35">
          <cell r="B35" t="str">
            <v>BVT</v>
          </cell>
          <cell r="C35" t="b">
            <v>0</v>
          </cell>
          <cell r="D35" t="b">
            <v>0</v>
          </cell>
          <cell r="E35" t="str">
            <v>Bouvet Island</v>
          </cell>
          <cell r="H35" t="str">
            <v>Not Available</v>
          </cell>
          <cell r="I35" t="str">
            <v>Not Available</v>
          </cell>
          <cell r="J35" t="str">
            <v>See Reference Portal http://grp.equant.com/BusTalkGRP/</v>
          </cell>
          <cell r="K35" t="str">
            <v>See Reference Portal http://grp.equant.com/BusTalkGRP/</v>
          </cell>
          <cell r="L35" t="str">
            <v>Not Available</v>
          </cell>
          <cell r="M35" t="str">
            <v>Not Available</v>
          </cell>
          <cell r="N35" t="str">
            <v>Not Available</v>
          </cell>
          <cell r="O35" t="str">
            <v>Available</v>
          </cell>
          <cell r="P35" t="str">
            <v>Not Available</v>
          </cell>
          <cell r="Q35" t="str">
            <v>Not Available</v>
          </cell>
          <cell r="R35" t="str">
            <v>Not Available</v>
          </cell>
          <cell r="S35" t="str">
            <v>Not Available</v>
          </cell>
          <cell r="T35" t="str">
            <v>Not Available</v>
          </cell>
          <cell r="U35" t="str">
            <v>Not Available</v>
          </cell>
        </row>
        <row r="36">
          <cell r="B36" t="str">
            <v>BRA</v>
          </cell>
          <cell r="C36" t="b">
            <v>0</v>
          </cell>
          <cell r="D36" t="b">
            <v>0</v>
          </cell>
          <cell r="E36" t="str">
            <v>Brazil</v>
          </cell>
          <cell r="H36" t="str">
            <v>Not Available</v>
          </cell>
          <cell r="I36" t="str">
            <v>Available</v>
          </cell>
          <cell r="J36" t="str">
            <v>See Reference Portal http://grp.equant.com/BusTalkGRP/</v>
          </cell>
          <cell r="K36" t="str">
            <v>See Reference Portal http://grp.equant.com/BusTalkGRP/</v>
          </cell>
          <cell r="L36" t="str">
            <v>See Reference Portal http://grp.equant.com/BusTalkGRP/</v>
          </cell>
          <cell r="M36" t="str">
            <v>Not Available</v>
          </cell>
          <cell r="N36" t="str">
            <v>Not Available</v>
          </cell>
          <cell r="O36" t="str">
            <v>Available</v>
          </cell>
          <cell r="P36" t="str">
            <v>Not Available</v>
          </cell>
          <cell r="Q36" t="str">
            <v>Available</v>
          </cell>
          <cell r="R36" t="str">
            <v>Not Available</v>
          </cell>
          <cell r="S36" t="str">
            <v>DIDZ7</v>
          </cell>
          <cell r="T36" t="str">
            <v>DIDZ7</v>
          </cell>
          <cell r="U36" t="str">
            <v>Not Available</v>
          </cell>
        </row>
        <row r="37">
          <cell r="B37" t="str">
            <v>IOT</v>
          </cell>
          <cell r="C37" t="b">
            <v>0</v>
          </cell>
          <cell r="D37" t="b">
            <v>0</v>
          </cell>
          <cell r="E37" t="str">
            <v>British Indian Ocean Territory</v>
          </cell>
          <cell r="H37" t="str">
            <v>Not Available</v>
          </cell>
          <cell r="I37" t="str">
            <v>Not Available</v>
          </cell>
          <cell r="J37" t="str">
            <v>Not Available</v>
          </cell>
          <cell r="K37" t="str">
            <v>Not Available</v>
          </cell>
          <cell r="L37" t="str">
            <v>Not Available</v>
          </cell>
          <cell r="M37" t="str">
            <v>Not Available</v>
          </cell>
          <cell r="N37" t="str">
            <v>Not Available</v>
          </cell>
          <cell r="O37" t="str">
            <v>Available</v>
          </cell>
          <cell r="P37" t="str">
            <v>Not Available</v>
          </cell>
          <cell r="Q37" t="str">
            <v>Available</v>
          </cell>
          <cell r="R37" t="str">
            <v>Not Available</v>
          </cell>
          <cell r="S37" t="str">
            <v>Not Available</v>
          </cell>
          <cell r="T37" t="str">
            <v>Not Available</v>
          </cell>
          <cell r="U37" t="str">
            <v>Not Available</v>
          </cell>
        </row>
        <row r="38">
          <cell r="B38" t="str">
            <v>VGB</v>
          </cell>
          <cell r="C38" t="b">
            <v>0</v>
          </cell>
          <cell r="D38" t="b">
            <v>0</v>
          </cell>
          <cell r="E38" t="str">
            <v>British Virgin Island</v>
          </cell>
          <cell r="H38" t="str">
            <v>Not Available</v>
          </cell>
          <cell r="I38" t="str">
            <v>Not Available</v>
          </cell>
          <cell r="J38" t="str">
            <v>Not Available</v>
          </cell>
          <cell r="K38" t="str">
            <v>Not Available</v>
          </cell>
          <cell r="L38" t="str">
            <v>Not Available</v>
          </cell>
          <cell r="M38" t="str">
            <v>Not Available</v>
          </cell>
          <cell r="N38" t="str">
            <v>Not Available</v>
          </cell>
          <cell r="O38" t="str">
            <v>Available</v>
          </cell>
          <cell r="P38" t="str">
            <v>Not Available</v>
          </cell>
          <cell r="Q38" t="str">
            <v>Not Available</v>
          </cell>
          <cell r="R38" t="str">
            <v>Not Available</v>
          </cell>
          <cell r="S38" t="str">
            <v>Not Available</v>
          </cell>
          <cell r="T38" t="str">
            <v>Not Available</v>
          </cell>
          <cell r="U38" t="str">
            <v>Not Available</v>
          </cell>
        </row>
        <row r="39">
          <cell r="B39" t="str">
            <v>BRN</v>
          </cell>
          <cell r="C39" t="b">
            <v>0</v>
          </cell>
          <cell r="D39" t="b">
            <v>0</v>
          </cell>
          <cell r="E39" t="str">
            <v>Brunei</v>
          </cell>
          <cell r="H39" t="str">
            <v>Not Available</v>
          </cell>
          <cell r="I39" t="str">
            <v>Not Available</v>
          </cell>
          <cell r="J39" t="str">
            <v>Not Available</v>
          </cell>
          <cell r="K39" t="str">
            <v>Not Available</v>
          </cell>
          <cell r="L39" t="str">
            <v>Not Available</v>
          </cell>
          <cell r="M39" t="str">
            <v>Not Available</v>
          </cell>
          <cell r="N39" t="str">
            <v>Available</v>
          </cell>
          <cell r="O39" t="str">
            <v>Available</v>
          </cell>
          <cell r="P39" t="str">
            <v>Contact Product</v>
          </cell>
          <cell r="Q39" t="str">
            <v>Available</v>
          </cell>
          <cell r="R39" t="str">
            <v>Not Available</v>
          </cell>
          <cell r="S39" t="str">
            <v>Not Available</v>
          </cell>
          <cell r="T39" t="str">
            <v>Not Available</v>
          </cell>
          <cell r="U39" t="str">
            <v>Not Available</v>
          </cell>
        </row>
        <row r="40">
          <cell r="B40" t="str">
            <v>BGR</v>
          </cell>
          <cell r="C40" t="b">
            <v>1</v>
          </cell>
          <cell r="D40" t="b">
            <v>1</v>
          </cell>
          <cell r="E40" t="str">
            <v>Bulgaria</v>
          </cell>
          <cell r="H40" t="str">
            <v>Not Available</v>
          </cell>
          <cell r="I40" t="str">
            <v>Available</v>
          </cell>
          <cell r="J40" t="str">
            <v>See Reference Portal http://grp.equant.com/BusTalkGRP/</v>
          </cell>
          <cell r="K40" t="str">
            <v>See Reference Portal http://grp.equant.com/BusTalkGRP/</v>
          </cell>
          <cell r="L40" t="str">
            <v>See Reference Portal http://grp.equant.com/BusTalkGRP/</v>
          </cell>
          <cell r="M40" t="str">
            <v>Not Available</v>
          </cell>
          <cell r="N40" t="str">
            <v>Not Available</v>
          </cell>
          <cell r="O40" t="str">
            <v>Available</v>
          </cell>
          <cell r="P40" t="str">
            <v>Not Available</v>
          </cell>
          <cell r="Q40" t="str">
            <v>Not Available</v>
          </cell>
          <cell r="R40" t="str">
            <v>Not Available</v>
          </cell>
          <cell r="S40" t="str">
            <v>DIDZ4</v>
          </cell>
          <cell r="T40" t="str">
            <v>DIDZ4</v>
          </cell>
          <cell r="U40" t="str">
            <v>Not Available</v>
          </cell>
        </row>
        <row r="41">
          <cell r="B41" t="str">
            <v>BFA</v>
          </cell>
          <cell r="C41" t="b">
            <v>0</v>
          </cell>
          <cell r="D41" t="b">
            <v>0</v>
          </cell>
          <cell r="E41" t="str">
            <v>Burkina Faso</v>
          </cell>
          <cell r="H41" t="str">
            <v>Not Available</v>
          </cell>
          <cell r="I41" t="str">
            <v>Not Available</v>
          </cell>
          <cell r="J41" t="str">
            <v>On Net Only</v>
          </cell>
          <cell r="K41" t="str">
            <v>On Net Only</v>
          </cell>
          <cell r="L41" t="str">
            <v>Not Available</v>
          </cell>
          <cell r="M41" t="str">
            <v>Not Available</v>
          </cell>
          <cell r="N41" t="str">
            <v>Not Available</v>
          </cell>
          <cell r="O41" t="str">
            <v>Available</v>
          </cell>
          <cell r="P41" t="str">
            <v>Not Available</v>
          </cell>
          <cell r="Q41" t="str">
            <v>Not Available</v>
          </cell>
          <cell r="R41" t="str">
            <v>Not Available</v>
          </cell>
          <cell r="S41" t="str">
            <v>Not Available</v>
          </cell>
          <cell r="T41" t="str">
            <v>Not Available</v>
          </cell>
          <cell r="U41" t="str">
            <v>Not Available</v>
          </cell>
        </row>
        <row r="42">
          <cell r="B42" t="str">
            <v>BDI</v>
          </cell>
          <cell r="C42" t="b">
            <v>0</v>
          </cell>
          <cell r="D42" t="b">
            <v>0</v>
          </cell>
          <cell r="E42" t="str">
            <v>Burundi</v>
          </cell>
          <cell r="H42" t="str">
            <v>Not Available</v>
          </cell>
          <cell r="I42" t="str">
            <v>Not Available</v>
          </cell>
          <cell r="J42" t="str">
            <v>On Net Only</v>
          </cell>
          <cell r="K42" t="str">
            <v>On Net Only</v>
          </cell>
          <cell r="L42" t="str">
            <v>Not Available</v>
          </cell>
          <cell r="M42" t="str">
            <v>Not Available</v>
          </cell>
          <cell r="N42" t="str">
            <v>Not Available</v>
          </cell>
          <cell r="O42" t="str">
            <v>Available</v>
          </cell>
          <cell r="P42" t="str">
            <v>Not Available</v>
          </cell>
          <cell r="Q42" t="str">
            <v>Not Available</v>
          </cell>
          <cell r="R42" t="str">
            <v>Not Available</v>
          </cell>
          <cell r="S42" t="str">
            <v>Not Available</v>
          </cell>
          <cell r="T42" t="str">
            <v>Not Available</v>
          </cell>
          <cell r="U42" t="str">
            <v>Not Available</v>
          </cell>
        </row>
        <row r="43">
          <cell r="B43" t="str">
            <v>KHM</v>
          </cell>
          <cell r="C43" t="b">
            <v>0</v>
          </cell>
          <cell r="D43" t="b">
            <v>0</v>
          </cell>
          <cell r="E43" t="str">
            <v>Cambodia</v>
          </cell>
          <cell r="H43" t="str">
            <v>Not Available</v>
          </cell>
          <cell r="I43" t="str">
            <v>Not Available</v>
          </cell>
          <cell r="J43" t="str">
            <v>Not Available</v>
          </cell>
          <cell r="K43" t="str">
            <v>Not Available</v>
          </cell>
          <cell r="L43" t="str">
            <v>Not Available</v>
          </cell>
          <cell r="M43" t="str">
            <v>Not Available</v>
          </cell>
          <cell r="N43" t="str">
            <v>Not Available</v>
          </cell>
          <cell r="O43" t="str">
            <v>Available</v>
          </cell>
          <cell r="P43" t="str">
            <v>Not Available</v>
          </cell>
          <cell r="Q43" t="str">
            <v>Available</v>
          </cell>
          <cell r="R43" t="str">
            <v>Not Available</v>
          </cell>
          <cell r="S43" t="str">
            <v>Not Available</v>
          </cell>
          <cell r="T43" t="str">
            <v>Not Available</v>
          </cell>
          <cell r="U43" t="str">
            <v>Not Available</v>
          </cell>
        </row>
        <row r="44">
          <cell r="B44" t="str">
            <v>CMR</v>
          </cell>
          <cell r="C44" t="b">
            <v>0</v>
          </cell>
          <cell r="D44" t="b">
            <v>0</v>
          </cell>
          <cell r="E44" t="str">
            <v>Cameroon</v>
          </cell>
          <cell r="H44" t="str">
            <v>Not Available</v>
          </cell>
          <cell r="I44" t="str">
            <v>Not Available</v>
          </cell>
          <cell r="J44" t="str">
            <v>On Net Only</v>
          </cell>
          <cell r="K44" t="str">
            <v>On Net Only</v>
          </cell>
          <cell r="L44" t="str">
            <v>Not Available</v>
          </cell>
          <cell r="M44" t="str">
            <v>Not Available</v>
          </cell>
          <cell r="N44" t="str">
            <v>Not Available</v>
          </cell>
          <cell r="O44" t="str">
            <v>Available</v>
          </cell>
          <cell r="P44" t="str">
            <v>Not Available</v>
          </cell>
          <cell r="Q44" t="str">
            <v>Not Available</v>
          </cell>
          <cell r="R44" t="str">
            <v>Not Available</v>
          </cell>
          <cell r="S44" t="str">
            <v>Not Available</v>
          </cell>
          <cell r="T44" t="str">
            <v>Not Available</v>
          </cell>
          <cell r="U44" t="str">
            <v>Not Available</v>
          </cell>
        </row>
        <row r="45">
          <cell r="B45" t="str">
            <v>CAN</v>
          </cell>
          <cell r="C45" t="b">
            <v>0</v>
          </cell>
          <cell r="D45" t="b">
            <v>0</v>
          </cell>
          <cell r="E45" t="str">
            <v>Canada</v>
          </cell>
          <cell r="H45" t="str">
            <v>Not Available</v>
          </cell>
          <cell r="I45" t="str">
            <v>See Reference Portal http://grp.equant.com/BusTalkGRP/</v>
          </cell>
          <cell r="J45" t="str">
            <v>See Reference Portal http://grp.equant.com/BusTalkGRP/</v>
          </cell>
          <cell r="K45" t="str">
            <v>See Reference Portal http://grp.equant.com/BusTalkGRP/</v>
          </cell>
          <cell r="L45" t="str">
            <v>See Reference Portal http://grp.equant.com/BusTalkGRP/</v>
          </cell>
          <cell r="M45" t="str">
            <v>Not Available</v>
          </cell>
          <cell r="N45" t="str">
            <v>Not Available</v>
          </cell>
          <cell r="O45" t="str">
            <v>Available</v>
          </cell>
          <cell r="P45" t="str">
            <v>Not Available</v>
          </cell>
          <cell r="Q45" t="str">
            <v>Not Available</v>
          </cell>
          <cell r="R45" t="str">
            <v>Not Available</v>
          </cell>
          <cell r="S45" t="str">
            <v>DIDZ3</v>
          </cell>
          <cell r="T45" t="str">
            <v>DIDZ3</v>
          </cell>
          <cell r="U45" t="str">
            <v>Not Available</v>
          </cell>
        </row>
        <row r="46">
          <cell r="B46" t="str">
            <v>CPV</v>
          </cell>
          <cell r="C46" t="b">
            <v>0</v>
          </cell>
          <cell r="D46" t="b">
            <v>0</v>
          </cell>
          <cell r="E46" t="str">
            <v>Cape Verde</v>
          </cell>
          <cell r="H46" t="str">
            <v>Not Available</v>
          </cell>
          <cell r="I46" t="str">
            <v>Not Available</v>
          </cell>
          <cell r="J46" t="str">
            <v>On Net Only</v>
          </cell>
          <cell r="K46" t="str">
            <v>On Net Only</v>
          </cell>
          <cell r="L46" t="str">
            <v>Not Available</v>
          </cell>
          <cell r="M46" t="str">
            <v>Not Available</v>
          </cell>
          <cell r="N46" t="str">
            <v>Not Available</v>
          </cell>
          <cell r="O46" t="str">
            <v>Not Available</v>
          </cell>
          <cell r="P46" t="str">
            <v>Not Available</v>
          </cell>
          <cell r="Q46" t="str">
            <v>Not Available</v>
          </cell>
          <cell r="R46" t="str">
            <v>Not Available</v>
          </cell>
          <cell r="S46" t="str">
            <v>Not Available</v>
          </cell>
          <cell r="T46" t="str">
            <v>Not Available</v>
          </cell>
          <cell r="U46" t="str">
            <v>Not Available</v>
          </cell>
        </row>
        <row r="47">
          <cell r="B47" t="str">
            <v>CYM</v>
          </cell>
          <cell r="C47" t="b">
            <v>0</v>
          </cell>
          <cell r="D47" t="b">
            <v>0</v>
          </cell>
          <cell r="E47" t="str">
            <v>Cayman Islands</v>
          </cell>
          <cell r="H47" t="str">
            <v>Not Available</v>
          </cell>
          <cell r="I47" t="str">
            <v>Not Available</v>
          </cell>
          <cell r="J47" t="str">
            <v>On Net Only</v>
          </cell>
          <cell r="K47" t="str">
            <v>On Net Only</v>
          </cell>
          <cell r="L47" t="str">
            <v>Not Available</v>
          </cell>
          <cell r="M47" t="str">
            <v>Not Available</v>
          </cell>
          <cell r="N47" t="str">
            <v>Not Available</v>
          </cell>
          <cell r="O47" t="str">
            <v>Available</v>
          </cell>
          <cell r="P47" t="str">
            <v>Not Available</v>
          </cell>
          <cell r="Q47" t="str">
            <v>Not Available</v>
          </cell>
          <cell r="R47" t="str">
            <v>Not Available</v>
          </cell>
          <cell r="S47" t="str">
            <v>Not Available</v>
          </cell>
          <cell r="T47" t="str">
            <v>Not Available</v>
          </cell>
          <cell r="U47" t="str">
            <v>Not Available</v>
          </cell>
        </row>
        <row r="48">
          <cell r="B48" t="str">
            <v>CAF</v>
          </cell>
          <cell r="C48" t="b">
            <v>0</v>
          </cell>
          <cell r="D48" t="b">
            <v>0</v>
          </cell>
          <cell r="E48" t="str">
            <v>Central African Republic</v>
          </cell>
          <cell r="H48" t="str">
            <v>Not Available</v>
          </cell>
          <cell r="I48" t="str">
            <v>Not Available</v>
          </cell>
          <cell r="J48" t="str">
            <v>Not Available</v>
          </cell>
          <cell r="K48" t="str">
            <v>Not Available</v>
          </cell>
          <cell r="L48" t="str">
            <v>Not Available</v>
          </cell>
          <cell r="M48" t="str">
            <v>Not Available</v>
          </cell>
          <cell r="N48" t="str">
            <v>Not Available</v>
          </cell>
          <cell r="O48" t="str">
            <v>Available</v>
          </cell>
          <cell r="P48" t="str">
            <v>Not Available</v>
          </cell>
          <cell r="Q48" t="str">
            <v>Not Available</v>
          </cell>
          <cell r="R48" t="str">
            <v>Not Available</v>
          </cell>
          <cell r="S48" t="str">
            <v>Not Available</v>
          </cell>
          <cell r="T48" t="str">
            <v>Not Available</v>
          </cell>
          <cell r="U48" t="str">
            <v>Not Available</v>
          </cell>
        </row>
        <row r="49">
          <cell r="B49" t="str">
            <v>TCD</v>
          </cell>
          <cell r="C49" t="b">
            <v>0</v>
          </cell>
          <cell r="D49" t="b">
            <v>0</v>
          </cell>
          <cell r="E49" t="str">
            <v>Chad</v>
          </cell>
          <cell r="H49" t="str">
            <v>Not Available</v>
          </cell>
          <cell r="I49" t="str">
            <v>Not Available</v>
          </cell>
          <cell r="J49" t="str">
            <v>Not Available</v>
          </cell>
          <cell r="K49" t="str">
            <v>Not Available</v>
          </cell>
          <cell r="L49" t="str">
            <v>Not Available</v>
          </cell>
          <cell r="M49" t="str">
            <v>Not Available</v>
          </cell>
          <cell r="N49" t="str">
            <v>Not Available</v>
          </cell>
          <cell r="O49" t="str">
            <v>Available</v>
          </cell>
          <cell r="P49" t="str">
            <v>Not Available</v>
          </cell>
          <cell r="Q49" t="str">
            <v>Available</v>
          </cell>
          <cell r="R49" t="str">
            <v>Not Available</v>
          </cell>
          <cell r="S49" t="str">
            <v>Not Available</v>
          </cell>
          <cell r="T49" t="str">
            <v>Not Available</v>
          </cell>
          <cell r="U49" t="str">
            <v>Not Available</v>
          </cell>
        </row>
        <row r="50">
          <cell r="B50" t="str">
            <v>CHL</v>
          </cell>
          <cell r="C50" t="b">
            <v>0</v>
          </cell>
          <cell r="D50" t="b">
            <v>0</v>
          </cell>
          <cell r="E50" t="str">
            <v>Chile</v>
          </cell>
          <cell r="H50" t="str">
            <v>Not Available</v>
          </cell>
          <cell r="I50" t="str">
            <v>Available</v>
          </cell>
          <cell r="J50" t="str">
            <v>See Reference Portal http://grp.equant.com/BusTalkGRP/</v>
          </cell>
          <cell r="K50" t="str">
            <v>See Reference Portal http://grp.equant.com/BusTalkGRP/</v>
          </cell>
          <cell r="L50" t="str">
            <v>See Reference Portal http://grp.equant.com/BusTalkGRP/</v>
          </cell>
          <cell r="M50" t="str">
            <v>Not Available</v>
          </cell>
          <cell r="N50" t="str">
            <v>Not Available</v>
          </cell>
          <cell r="O50" t="str">
            <v>Available</v>
          </cell>
          <cell r="P50" t="str">
            <v>Not Available</v>
          </cell>
          <cell r="Q50" t="str">
            <v>Not Available</v>
          </cell>
          <cell r="R50" t="str">
            <v>Not Available</v>
          </cell>
          <cell r="S50" t="str">
            <v>DIDZ7</v>
          </cell>
          <cell r="T50" t="str">
            <v>DIDZ7</v>
          </cell>
          <cell r="U50" t="str">
            <v>Not Available</v>
          </cell>
        </row>
        <row r="51">
          <cell r="B51" t="str">
            <v>CHN</v>
          </cell>
          <cell r="C51" t="b">
            <v>0</v>
          </cell>
          <cell r="D51" t="b">
            <v>0</v>
          </cell>
          <cell r="E51" t="str">
            <v>China</v>
          </cell>
          <cell r="H51" t="str">
            <v>Not Available</v>
          </cell>
          <cell r="I51" t="str">
            <v>Not Available</v>
          </cell>
          <cell r="J51" t="str">
            <v>See Reference Portal http://grp.equant.com/BusTalkGRP/</v>
          </cell>
          <cell r="K51" t="str">
            <v>See Reference Portal http://grp.equant.com/BusTalkGRP/</v>
          </cell>
          <cell r="L51" t="str">
            <v>See Reference Portal http://grp.equant.com/BusTalkGRP/</v>
          </cell>
          <cell r="M51" t="str">
            <v>Not Available</v>
          </cell>
          <cell r="N51" t="str">
            <v>Not Available</v>
          </cell>
          <cell r="O51" t="str">
            <v>Not Available</v>
          </cell>
          <cell r="P51" t="str">
            <v>Not Available</v>
          </cell>
          <cell r="Q51" t="str">
            <v>Available</v>
          </cell>
          <cell r="R51" t="str">
            <v>Not Available</v>
          </cell>
          <cell r="S51" t="str">
            <v>Not Available</v>
          </cell>
          <cell r="T51" t="str">
            <v>Not Available</v>
          </cell>
          <cell r="U51" t="str">
            <v>Not Available</v>
          </cell>
        </row>
        <row r="52">
          <cell r="B52" t="str">
            <v>CXR</v>
          </cell>
          <cell r="C52" t="b">
            <v>0</v>
          </cell>
          <cell r="D52" t="b">
            <v>0</v>
          </cell>
          <cell r="E52" t="str">
            <v>Christmas Island</v>
          </cell>
          <cell r="H52" t="str">
            <v>Not Available</v>
          </cell>
          <cell r="I52" t="str">
            <v>Not Available</v>
          </cell>
          <cell r="J52" t="str">
            <v>See Reference Portal http://grp.equant.com/BusTalkGRP/</v>
          </cell>
          <cell r="K52" t="str">
            <v>See Reference Portal http://grp.equant.com/BusTalkGRP/</v>
          </cell>
          <cell r="L52" t="str">
            <v>Not Available</v>
          </cell>
          <cell r="M52" t="str">
            <v>Not Available</v>
          </cell>
          <cell r="N52" t="str">
            <v>Available</v>
          </cell>
          <cell r="O52" t="str">
            <v>Available</v>
          </cell>
          <cell r="P52" t="str">
            <v>Available</v>
          </cell>
          <cell r="Q52" t="str">
            <v>Available</v>
          </cell>
          <cell r="R52" t="str">
            <v>Not Available</v>
          </cell>
          <cell r="S52" t="str">
            <v>Not Available</v>
          </cell>
          <cell r="T52" t="str">
            <v>Not Available</v>
          </cell>
          <cell r="U52" t="str">
            <v>Not Available</v>
          </cell>
        </row>
        <row r="53">
          <cell r="B53" t="str">
            <v>CCK</v>
          </cell>
          <cell r="C53" t="b">
            <v>0</v>
          </cell>
          <cell r="D53" t="b">
            <v>0</v>
          </cell>
          <cell r="E53" t="str">
            <v>Cocos (Keeling) Islands</v>
          </cell>
          <cell r="H53" t="str">
            <v>Not Available</v>
          </cell>
          <cell r="I53" t="str">
            <v>Not Available</v>
          </cell>
          <cell r="J53" t="str">
            <v>See Reference Portal http://grp.equant.com/BusTalkGRP/</v>
          </cell>
          <cell r="K53" t="str">
            <v>See Reference Portal http://grp.equant.com/BusTalkGRP/</v>
          </cell>
          <cell r="L53" t="str">
            <v>Not Available</v>
          </cell>
          <cell r="M53" t="str">
            <v>Not Available</v>
          </cell>
          <cell r="N53" t="str">
            <v>Not Available</v>
          </cell>
          <cell r="O53" t="str">
            <v>Available</v>
          </cell>
          <cell r="P53" t="str">
            <v>Not Available</v>
          </cell>
          <cell r="Q53" t="str">
            <v>Contact Product</v>
          </cell>
          <cell r="R53" t="str">
            <v>Not Available</v>
          </cell>
          <cell r="S53" t="str">
            <v>Not Available</v>
          </cell>
          <cell r="T53" t="str">
            <v>Not Available</v>
          </cell>
          <cell r="U53" t="str">
            <v>Not Available</v>
          </cell>
        </row>
        <row r="54">
          <cell r="B54" t="str">
            <v>COL</v>
          </cell>
          <cell r="C54" t="b">
            <v>0</v>
          </cell>
          <cell r="D54" t="b">
            <v>0</v>
          </cell>
          <cell r="E54" t="str">
            <v>Colombia</v>
          </cell>
          <cell r="H54" t="str">
            <v>Not Available</v>
          </cell>
          <cell r="I54" t="str">
            <v>Not Available</v>
          </cell>
          <cell r="J54" t="str">
            <v>On Net Only</v>
          </cell>
          <cell r="K54" t="str">
            <v>On Net Only</v>
          </cell>
          <cell r="L54" t="str">
            <v>On Net Only</v>
          </cell>
          <cell r="M54" t="str">
            <v>Not Available</v>
          </cell>
          <cell r="N54" t="str">
            <v>Not Available</v>
          </cell>
          <cell r="O54" t="str">
            <v>Not Available</v>
          </cell>
          <cell r="P54" t="str">
            <v>Not Available</v>
          </cell>
          <cell r="Q54" t="str">
            <v>Not Available</v>
          </cell>
          <cell r="R54" t="str">
            <v>Not Available</v>
          </cell>
          <cell r="S54" t="str">
            <v>Not Available</v>
          </cell>
          <cell r="T54" t="str">
            <v>Not Available</v>
          </cell>
          <cell r="U54" t="str">
            <v>Not Available</v>
          </cell>
        </row>
        <row r="55">
          <cell r="B55" t="str">
            <v>COM</v>
          </cell>
          <cell r="C55" t="b">
            <v>0</v>
          </cell>
          <cell r="D55" t="b">
            <v>0</v>
          </cell>
          <cell r="E55" t="str">
            <v>Comoros</v>
          </cell>
          <cell r="H55" t="str">
            <v>Not Available</v>
          </cell>
          <cell r="I55" t="str">
            <v>Not Available</v>
          </cell>
          <cell r="J55" t="str">
            <v>Not Available</v>
          </cell>
          <cell r="K55" t="str">
            <v>Not Available</v>
          </cell>
          <cell r="L55" t="str">
            <v>Not Available</v>
          </cell>
          <cell r="M55" t="str">
            <v>Not Available</v>
          </cell>
          <cell r="N55" t="str">
            <v>Not Available</v>
          </cell>
          <cell r="O55" t="str">
            <v>Available</v>
          </cell>
          <cell r="P55" t="str">
            <v>Not Available</v>
          </cell>
          <cell r="Q55" t="str">
            <v>Not Available</v>
          </cell>
          <cell r="R55" t="str">
            <v>Not Available</v>
          </cell>
          <cell r="S55" t="str">
            <v>Not Available</v>
          </cell>
          <cell r="T55" t="str">
            <v>Not Available</v>
          </cell>
          <cell r="U55" t="str">
            <v>Not Available</v>
          </cell>
        </row>
        <row r="56">
          <cell r="B56" t="str">
            <v>COG</v>
          </cell>
          <cell r="C56" t="b">
            <v>0</v>
          </cell>
          <cell r="D56" t="b">
            <v>0</v>
          </cell>
          <cell r="E56" t="str">
            <v>Congo (Republic of)</v>
          </cell>
          <cell r="H56" t="str">
            <v>Not Available</v>
          </cell>
          <cell r="I56" t="str">
            <v>Not Available</v>
          </cell>
          <cell r="J56" t="str">
            <v>On Net Only</v>
          </cell>
          <cell r="K56" t="str">
            <v>On Net Only</v>
          </cell>
          <cell r="L56" t="str">
            <v>Not Available</v>
          </cell>
          <cell r="M56" t="str">
            <v>Not Available</v>
          </cell>
          <cell r="N56" t="str">
            <v>Not Available</v>
          </cell>
          <cell r="O56" t="str">
            <v>Available</v>
          </cell>
          <cell r="P56" t="str">
            <v>Not Available</v>
          </cell>
          <cell r="Q56" t="str">
            <v>Not Available</v>
          </cell>
          <cell r="R56" t="str">
            <v>Not Available</v>
          </cell>
          <cell r="S56" t="str">
            <v>Not Available</v>
          </cell>
          <cell r="T56" t="str">
            <v>Not Available</v>
          </cell>
          <cell r="U56" t="str">
            <v>Not Available</v>
          </cell>
        </row>
        <row r="57">
          <cell r="B57" t="str">
            <v>COK</v>
          </cell>
          <cell r="C57" t="b">
            <v>0</v>
          </cell>
          <cell r="D57" t="b">
            <v>0</v>
          </cell>
          <cell r="E57" t="str">
            <v>Cook Islands</v>
          </cell>
          <cell r="H57" t="str">
            <v>Not Available</v>
          </cell>
          <cell r="I57" t="str">
            <v>Not Available</v>
          </cell>
          <cell r="J57" t="str">
            <v>Not Available</v>
          </cell>
          <cell r="K57" t="str">
            <v>Not Available</v>
          </cell>
          <cell r="L57" t="str">
            <v>Not Available</v>
          </cell>
          <cell r="M57" t="str">
            <v>Not Available</v>
          </cell>
          <cell r="N57" t="str">
            <v>Not Available</v>
          </cell>
          <cell r="O57" t="str">
            <v>Available</v>
          </cell>
          <cell r="P57" t="str">
            <v>Not Available</v>
          </cell>
          <cell r="Q57" t="str">
            <v>Available</v>
          </cell>
          <cell r="R57" t="str">
            <v>Not Available</v>
          </cell>
          <cell r="S57" t="str">
            <v>Not Available</v>
          </cell>
          <cell r="T57" t="str">
            <v>Not Available</v>
          </cell>
          <cell r="U57" t="str">
            <v>Not Available</v>
          </cell>
        </row>
        <row r="58">
          <cell r="B58" t="str">
            <v>CRI</v>
          </cell>
          <cell r="C58" t="b">
            <v>0</v>
          </cell>
          <cell r="D58" t="b">
            <v>0</v>
          </cell>
          <cell r="E58" t="str">
            <v>Costa Rica</v>
          </cell>
          <cell r="H58" t="str">
            <v>Not Available</v>
          </cell>
          <cell r="I58" t="str">
            <v>On Net Only</v>
          </cell>
          <cell r="J58" t="str">
            <v>On Net Only</v>
          </cell>
          <cell r="K58" t="str">
            <v>On Net Only</v>
          </cell>
          <cell r="L58" t="str">
            <v>Not Available</v>
          </cell>
          <cell r="M58" t="str">
            <v>Not Available</v>
          </cell>
          <cell r="N58" t="str">
            <v>Not Available</v>
          </cell>
          <cell r="O58" t="str">
            <v>Available</v>
          </cell>
          <cell r="P58" t="str">
            <v>Not Available</v>
          </cell>
          <cell r="Q58" t="str">
            <v>Not Available</v>
          </cell>
          <cell r="R58" t="str">
            <v>Not Available</v>
          </cell>
          <cell r="S58" t="str">
            <v>Not Available</v>
          </cell>
          <cell r="T58" t="str">
            <v>Not Available</v>
          </cell>
          <cell r="U58" t="str">
            <v>Not Available</v>
          </cell>
        </row>
        <row r="59">
          <cell r="B59" t="str">
            <v>CIV</v>
          </cell>
          <cell r="C59" t="b">
            <v>0</v>
          </cell>
          <cell r="D59" t="b">
            <v>0</v>
          </cell>
          <cell r="E59" t="str">
            <v>Cote D'Ivoire</v>
          </cell>
          <cell r="H59" t="str">
            <v>Not Available</v>
          </cell>
          <cell r="I59" t="str">
            <v>Not Available</v>
          </cell>
          <cell r="J59" t="str">
            <v>Not Available</v>
          </cell>
          <cell r="K59" t="str">
            <v>Not Available</v>
          </cell>
          <cell r="L59" t="str">
            <v>Not Available</v>
          </cell>
          <cell r="M59" t="str">
            <v>Not Available</v>
          </cell>
          <cell r="N59" t="str">
            <v>Not Available</v>
          </cell>
          <cell r="O59" t="str">
            <v>Available</v>
          </cell>
          <cell r="P59" t="str">
            <v>Not Available</v>
          </cell>
          <cell r="Q59" t="str">
            <v>Available</v>
          </cell>
          <cell r="R59" t="str">
            <v>Not Available</v>
          </cell>
          <cell r="S59" t="str">
            <v>Not Available</v>
          </cell>
          <cell r="T59" t="str">
            <v>Not Available</v>
          </cell>
          <cell r="U59" t="str">
            <v>Not Available</v>
          </cell>
        </row>
        <row r="60">
          <cell r="B60" t="str">
            <v>HRV</v>
          </cell>
          <cell r="C60" t="b">
            <v>0</v>
          </cell>
          <cell r="D60" t="b">
            <v>1</v>
          </cell>
          <cell r="E60" t="str">
            <v>Croatia</v>
          </cell>
          <cell r="H60" t="str">
            <v>Not Available</v>
          </cell>
          <cell r="I60" t="str">
            <v>Not Available</v>
          </cell>
          <cell r="J60" t="str">
            <v>See Reference Portal http://grp.equant.com/BusTalkGRP/</v>
          </cell>
          <cell r="K60" t="str">
            <v>See Reference Portal http://grp.equant.com/BusTalkGRP/</v>
          </cell>
          <cell r="L60" t="str">
            <v>See Reference Portal http://grp.equant.com/BusTalkGRP/</v>
          </cell>
          <cell r="M60" t="str">
            <v>Not Available</v>
          </cell>
          <cell r="N60" t="str">
            <v>Not Available</v>
          </cell>
          <cell r="O60" t="str">
            <v>Available</v>
          </cell>
          <cell r="P60" t="str">
            <v>Not Available</v>
          </cell>
          <cell r="Q60" t="str">
            <v>Not Available</v>
          </cell>
          <cell r="R60" t="str">
            <v>Not Available</v>
          </cell>
          <cell r="S60" t="str">
            <v>DIDZ4</v>
          </cell>
          <cell r="T60" t="str">
            <v>Not Available</v>
          </cell>
          <cell r="U60" t="str">
            <v>Not Available</v>
          </cell>
        </row>
        <row r="61">
          <cell r="B61" t="str">
            <v>CUB</v>
          </cell>
          <cell r="C61" t="b">
            <v>0</v>
          </cell>
          <cell r="D61" t="b">
            <v>0</v>
          </cell>
          <cell r="E61" t="str">
            <v>Cuba</v>
          </cell>
          <cell r="H61" t="str">
            <v>Not Available</v>
          </cell>
          <cell r="I61" t="str">
            <v>Not Available</v>
          </cell>
          <cell r="J61" t="str">
            <v>Not Available</v>
          </cell>
          <cell r="K61" t="str">
            <v>Not Available</v>
          </cell>
          <cell r="L61" t="str">
            <v>Not Available</v>
          </cell>
          <cell r="M61" t="str">
            <v>Not Available</v>
          </cell>
          <cell r="N61" t="str">
            <v>Not Available</v>
          </cell>
          <cell r="O61" t="str">
            <v>Available</v>
          </cell>
          <cell r="P61" t="str">
            <v>Not Available</v>
          </cell>
          <cell r="Q61" t="str">
            <v>Not Available</v>
          </cell>
          <cell r="R61" t="str">
            <v>Not Available</v>
          </cell>
          <cell r="S61" t="str">
            <v>Not Available</v>
          </cell>
          <cell r="T61" t="str">
            <v>Not Available</v>
          </cell>
          <cell r="U61" t="str">
            <v>Not Available</v>
          </cell>
        </row>
        <row r="62">
          <cell r="B62" t="str">
            <v>CUW</v>
          </cell>
          <cell r="C62" t="b">
            <v>0</v>
          </cell>
          <cell r="D62" t="b">
            <v>0</v>
          </cell>
          <cell r="E62" t="str">
            <v>Curacao</v>
          </cell>
          <cell r="H62" t="str">
            <v>Not Available</v>
          </cell>
          <cell r="I62" t="str">
            <v>Not Available</v>
          </cell>
          <cell r="J62" t="str">
            <v>Not Available</v>
          </cell>
          <cell r="K62" t="str">
            <v>Not Available</v>
          </cell>
          <cell r="L62" t="str">
            <v>Not Available</v>
          </cell>
          <cell r="M62" t="str">
            <v>Not Available</v>
          </cell>
          <cell r="N62" t="str">
            <v>Not Available</v>
          </cell>
          <cell r="O62" t="str">
            <v>Available</v>
          </cell>
          <cell r="P62" t="str">
            <v>Not Available</v>
          </cell>
          <cell r="Q62" t="str">
            <v>Available</v>
          </cell>
          <cell r="R62" t="str">
            <v>Not Available</v>
          </cell>
          <cell r="S62" t="str">
            <v>Not Available</v>
          </cell>
          <cell r="T62" t="str">
            <v>Not Available</v>
          </cell>
          <cell r="U62" t="str">
            <v>Not Available</v>
          </cell>
        </row>
        <row r="63">
          <cell r="B63" t="str">
            <v>CYP</v>
          </cell>
          <cell r="C63" t="b">
            <v>1</v>
          </cell>
          <cell r="D63" t="b">
            <v>0</v>
          </cell>
          <cell r="E63" t="str">
            <v>Cyprus</v>
          </cell>
          <cell r="H63" t="str">
            <v>Not Available</v>
          </cell>
          <cell r="I63" t="str">
            <v>See Reference Portal http://grp.equant.com/BusTalkGRP/</v>
          </cell>
          <cell r="J63" t="str">
            <v>On Net Only</v>
          </cell>
          <cell r="K63" t="str">
            <v>On Net Only</v>
          </cell>
          <cell r="L63" t="str">
            <v>Not Available</v>
          </cell>
          <cell r="M63" t="str">
            <v>Not Available</v>
          </cell>
          <cell r="N63" t="str">
            <v>Not Available</v>
          </cell>
          <cell r="O63" t="str">
            <v>Not Available</v>
          </cell>
          <cell r="P63" t="str">
            <v>Not Available</v>
          </cell>
          <cell r="Q63" t="str">
            <v>Not Available</v>
          </cell>
          <cell r="R63" t="str">
            <v>Not Available</v>
          </cell>
          <cell r="S63" t="str">
            <v>Not Available</v>
          </cell>
          <cell r="T63" t="str">
            <v>Not Available</v>
          </cell>
          <cell r="U63" t="str">
            <v>Not Available</v>
          </cell>
        </row>
        <row r="64">
          <cell r="B64" t="str">
            <v>CSK</v>
          </cell>
          <cell r="C64" t="b">
            <v>1</v>
          </cell>
          <cell r="D64" t="b">
            <v>1</v>
          </cell>
          <cell r="E64" t="str">
            <v>Czech Republic</v>
          </cell>
          <cell r="H64" t="str">
            <v>Not Available</v>
          </cell>
          <cell r="I64" t="str">
            <v>Available</v>
          </cell>
          <cell r="J64" t="str">
            <v>See Reference Portal http://grp.equant.com/BusTalkGRP/</v>
          </cell>
          <cell r="K64" t="str">
            <v>See Reference Portal http://grp.equant.com/BusTalkGRP/</v>
          </cell>
          <cell r="L64" t="str">
            <v>See Reference Portal http://grp.equant.com/BusTalkGRP/</v>
          </cell>
          <cell r="M64" t="str">
            <v>Not Available</v>
          </cell>
          <cell r="N64" t="str">
            <v>Not Available</v>
          </cell>
          <cell r="O64" t="str">
            <v>Not Available</v>
          </cell>
          <cell r="P64" t="str">
            <v>Not Available</v>
          </cell>
          <cell r="Q64" t="str">
            <v>Not Available</v>
          </cell>
          <cell r="R64" t="str">
            <v>Not Available</v>
          </cell>
          <cell r="S64" t="str">
            <v>DIDZ4</v>
          </cell>
          <cell r="T64" t="str">
            <v>DIDZ4</v>
          </cell>
          <cell r="U64" t="str">
            <v>Not Available</v>
          </cell>
        </row>
        <row r="65">
          <cell r="B65" t="str">
            <v>ZAR</v>
          </cell>
          <cell r="C65" t="b">
            <v>0</v>
          </cell>
          <cell r="D65" t="b">
            <v>0</v>
          </cell>
          <cell r="E65" t="str">
            <v>Democratic Republic of the Congo</v>
          </cell>
          <cell r="H65" t="str">
            <v>Not Available</v>
          </cell>
          <cell r="I65" t="str">
            <v>Not Available</v>
          </cell>
          <cell r="J65" t="str">
            <v>Not Available</v>
          </cell>
          <cell r="K65" t="str">
            <v>Not Available</v>
          </cell>
          <cell r="L65" t="str">
            <v>Not Available</v>
          </cell>
          <cell r="M65" t="str">
            <v>Not Available</v>
          </cell>
          <cell r="N65" t="str">
            <v>Not Available</v>
          </cell>
          <cell r="O65" t="str">
            <v>Available</v>
          </cell>
          <cell r="P65" t="str">
            <v>Not Available</v>
          </cell>
          <cell r="Q65" t="str">
            <v>Not Available</v>
          </cell>
          <cell r="R65" t="str">
            <v>Not Available</v>
          </cell>
          <cell r="S65" t="str">
            <v>Not Available</v>
          </cell>
          <cell r="T65" t="str">
            <v>Not Available</v>
          </cell>
          <cell r="U65" t="str">
            <v>Not Available</v>
          </cell>
        </row>
        <row r="66">
          <cell r="B66" t="str">
            <v>DNK</v>
          </cell>
          <cell r="C66" t="b">
            <v>1</v>
          </cell>
          <cell r="D66" t="b">
            <v>1</v>
          </cell>
          <cell r="E66" t="str">
            <v>Denmark</v>
          </cell>
          <cell r="H66" t="str">
            <v>Not Available</v>
          </cell>
          <cell r="I66" t="str">
            <v>Available</v>
          </cell>
          <cell r="J66" t="str">
            <v>Available</v>
          </cell>
          <cell r="K66" t="str">
            <v>Available</v>
          </cell>
          <cell r="L66" t="str">
            <v>Available</v>
          </cell>
          <cell r="M66" t="str">
            <v>Not Available</v>
          </cell>
          <cell r="N66" t="str">
            <v>Not Available</v>
          </cell>
          <cell r="O66" t="str">
            <v>Not Available</v>
          </cell>
          <cell r="P66" t="str">
            <v>Not Available</v>
          </cell>
          <cell r="Q66" t="str">
            <v>Not Available</v>
          </cell>
          <cell r="R66" t="str">
            <v>Not Available</v>
          </cell>
          <cell r="S66" t="str">
            <v>DIDZ1</v>
          </cell>
          <cell r="T66" t="str">
            <v>DIDZ1</v>
          </cell>
          <cell r="U66" t="str">
            <v>Not Available</v>
          </cell>
        </row>
        <row r="67">
          <cell r="B67" t="str">
            <v>DJI</v>
          </cell>
          <cell r="C67" t="b">
            <v>0</v>
          </cell>
          <cell r="D67" t="b">
            <v>0</v>
          </cell>
          <cell r="E67" t="str">
            <v>Djibouti</v>
          </cell>
          <cell r="H67" t="str">
            <v>Not Available</v>
          </cell>
          <cell r="I67" t="str">
            <v>Not Available</v>
          </cell>
          <cell r="J67" t="str">
            <v>On Net Only</v>
          </cell>
          <cell r="K67" t="str">
            <v>On Net Only</v>
          </cell>
          <cell r="L67" t="str">
            <v>Not Available</v>
          </cell>
          <cell r="M67" t="str">
            <v>Not Available</v>
          </cell>
          <cell r="N67" t="str">
            <v>Not Available</v>
          </cell>
          <cell r="O67" t="str">
            <v>Available</v>
          </cell>
          <cell r="P67" t="str">
            <v>Not Available</v>
          </cell>
          <cell r="Q67" t="str">
            <v>Not Available</v>
          </cell>
          <cell r="R67" t="str">
            <v>Not Available</v>
          </cell>
          <cell r="S67" t="str">
            <v>Not Available</v>
          </cell>
          <cell r="T67" t="str">
            <v>Not Available</v>
          </cell>
          <cell r="U67" t="str">
            <v>Not Available</v>
          </cell>
        </row>
        <row r="68">
          <cell r="B68" t="str">
            <v>DMA</v>
          </cell>
          <cell r="C68" t="b">
            <v>0</v>
          </cell>
          <cell r="D68" t="b">
            <v>0</v>
          </cell>
          <cell r="E68" t="str">
            <v>Dominica</v>
          </cell>
          <cell r="H68" t="str">
            <v>Not Available</v>
          </cell>
          <cell r="I68" t="str">
            <v>Not Available</v>
          </cell>
          <cell r="J68" t="str">
            <v>Not Available</v>
          </cell>
          <cell r="K68" t="str">
            <v>Not Available</v>
          </cell>
          <cell r="L68" t="str">
            <v>Not Available</v>
          </cell>
          <cell r="M68" t="str">
            <v>Not Available</v>
          </cell>
          <cell r="N68" t="str">
            <v>Not Available</v>
          </cell>
          <cell r="O68" t="str">
            <v>Not Available</v>
          </cell>
          <cell r="P68" t="str">
            <v>Not Available</v>
          </cell>
          <cell r="Q68" t="str">
            <v>Not Available</v>
          </cell>
          <cell r="R68" t="str">
            <v>Not Available</v>
          </cell>
          <cell r="S68" t="str">
            <v>Not Available</v>
          </cell>
          <cell r="T68" t="str">
            <v>Not Available</v>
          </cell>
          <cell r="U68" t="str">
            <v>Not Available</v>
          </cell>
        </row>
        <row r="69">
          <cell r="B69" t="str">
            <v>DOM</v>
          </cell>
          <cell r="C69" t="b">
            <v>0</v>
          </cell>
          <cell r="D69" t="b">
            <v>0</v>
          </cell>
          <cell r="E69" t="str">
            <v>Dominican Republic</v>
          </cell>
          <cell r="H69" t="str">
            <v>Not Available</v>
          </cell>
          <cell r="I69" t="str">
            <v>Not Available</v>
          </cell>
          <cell r="J69" t="str">
            <v>Not Available</v>
          </cell>
          <cell r="K69" t="str">
            <v>Not Available</v>
          </cell>
          <cell r="L69" t="str">
            <v>Not Available</v>
          </cell>
          <cell r="M69" t="str">
            <v>Not Available</v>
          </cell>
          <cell r="N69" t="str">
            <v>Not Available</v>
          </cell>
          <cell r="O69" t="str">
            <v>Available</v>
          </cell>
          <cell r="P69" t="str">
            <v>Not Available</v>
          </cell>
          <cell r="Q69" t="str">
            <v>Contact Product</v>
          </cell>
          <cell r="R69" t="str">
            <v>Not Available</v>
          </cell>
          <cell r="S69" t="str">
            <v>Not Available</v>
          </cell>
          <cell r="T69" t="str">
            <v>Not Available</v>
          </cell>
          <cell r="U69" t="str">
            <v>Not Available</v>
          </cell>
        </row>
        <row r="70">
          <cell r="B70" t="str">
            <v>ECU</v>
          </cell>
          <cell r="C70" t="b">
            <v>0</v>
          </cell>
          <cell r="D70" t="b">
            <v>0</v>
          </cell>
          <cell r="E70" t="str">
            <v>Ecuador</v>
          </cell>
          <cell r="H70" t="str">
            <v>Not Available</v>
          </cell>
          <cell r="I70" t="str">
            <v>Not Available</v>
          </cell>
          <cell r="J70" t="str">
            <v>No Domestic Off Net</v>
          </cell>
          <cell r="K70" t="str">
            <v>No Domestic Off Net</v>
          </cell>
          <cell r="L70" t="str">
            <v>Not Available</v>
          </cell>
          <cell r="M70" t="str">
            <v>Not Available</v>
          </cell>
          <cell r="N70" t="str">
            <v>Not Available</v>
          </cell>
          <cell r="O70" t="str">
            <v>Available</v>
          </cell>
          <cell r="P70" t="str">
            <v>Not Available</v>
          </cell>
          <cell r="Q70" t="str">
            <v>Not Available</v>
          </cell>
          <cell r="R70" t="str">
            <v>Not Available</v>
          </cell>
          <cell r="S70" t="str">
            <v>Not Available</v>
          </cell>
          <cell r="T70" t="str">
            <v>Not Available</v>
          </cell>
          <cell r="U70" t="str">
            <v>Not Available</v>
          </cell>
        </row>
        <row r="71">
          <cell r="B71" t="str">
            <v>EGY</v>
          </cell>
          <cell r="C71" t="b">
            <v>0</v>
          </cell>
          <cell r="D71" t="b">
            <v>0</v>
          </cell>
          <cell r="E71" t="str">
            <v>Egypt</v>
          </cell>
          <cell r="H71" t="str">
            <v>Not Available</v>
          </cell>
          <cell r="I71" t="str">
            <v>Not Available</v>
          </cell>
          <cell r="J71" t="str">
            <v>Not Available</v>
          </cell>
          <cell r="K71" t="str">
            <v>Not Available</v>
          </cell>
          <cell r="L71" t="str">
            <v>Not Available</v>
          </cell>
          <cell r="M71" t="str">
            <v>Not Available</v>
          </cell>
          <cell r="N71" t="str">
            <v>Not Available</v>
          </cell>
          <cell r="O71" t="str">
            <v>Not Available</v>
          </cell>
          <cell r="P71" t="str">
            <v>Not Available</v>
          </cell>
          <cell r="Q71" t="str">
            <v>Not Available</v>
          </cell>
          <cell r="R71" t="str">
            <v>Not Available</v>
          </cell>
          <cell r="S71" t="str">
            <v>Not Available</v>
          </cell>
          <cell r="T71" t="str">
            <v>Not Available</v>
          </cell>
          <cell r="U71" t="str">
            <v>Not Available</v>
          </cell>
        </row>
        <row r="72">
          <cell r="B72" t="str">
            <v>SLV</v>
          </cell>
          <cell r="C72" t="b">
            <v>0</v>
          </cell>
          <cell r="D72" t="b">
            <v>0</v>
          </cell>
          <cell r="E72" t="str">
            <v>El Salvador</v>
          </cell>
          <cell r="H72" t="str">
            <v>Not Available</v>
          </cell>
          <cell r="I72" t="str">
            <v>Not Available</v>
          </cell>
          <cell r="J72" t="str">
            <v>On Net Only</v>
          </cell>
          <cell r="K72" t="str">
            <v>On Net Only</v>
          </cell>
          <cell r="L72" t="str">
            <v>Not Available</v>
          </cell>
          <cell r="M72" t="str">
            <v>Not Available</v>
          </cell>
          <cell r="N72" t="str">
            <v>Not Available</v>
          </cell>
          <cell r="O72" t="str">
            <v>Available</v>
          </cell>
          <cell r="P72" t="str">
            <v>Not Available</v>
          </cell>
          <cell r="Q72" t="str">
            <v>Not Available</v>
          </cell>
          <cell r="R72" t="str">
            <v>Not Available</v>
          </cell>
          <cell r="S72" t="str">
            <v>Not Available</v>
          </cell>
          <cell r="T72" t="str">
            <v>Not Available</v>
          </cell>
          <cell r="U72" t="str">
            <v>Not Available</v>
          </cell>
        </row>
        <row r="73">
          <cell r="B73" t="str">
            <v>GNQ</v>
          </cell>
          <cell r="C73" t="b">
            <v>0</v>
          </cell>
          <cell r="D73" t="b">
            <v>0</v>
          </cell>
          <cell r="E73" t="str">
            <v>Equatorial Guinea</v>
          </cell>
          <cell r="H73" t="str">
            <v>Not Available</v>
          </cell>
          <cell r="I73" t="str">
            <v>Not Available</v>
          </cell>
          <cell r="J73" t="str">
            <v>Not Available</v>
          </cell>
          <cell r="K73" t="str">
            <v>Not Available</v>
          </cell>
          <cell r="L73" t="str">
            <v>Not Available</v>
          </cell>
          <cell r="M73" t="str">
            <v>Not Available</v>
          </cell>
          <cell r="N73" t="str">
            <v>Not Available</v>
          </cell>
          <cell r="O73" t="str">
            <v>Available</v>
          </cell>
          <cell r="P73" t="str">
            <v>Not Available</v>
          </cell>
          <cell r="Q73" t="str">
            <v>Available</v>
          </cell>
          <cell r="R73" t="str">
            <v>Not Available</v>
          </cell>
          <cell r="S73" t="str">
            <v>Not Available</v>
          </cell>
          <cell r="T73" t="str">
            <v>Not Available</v>
          </cell>
          <cell r="U73" t="str">
            <v>Not Available</v>
          </cell>
        </row>
        <row r="74">
          <cell r="B74" t="str">
            <v>ERY</v>
          </cell>
          <cell r="C74" t="b">
            <v>0</v>
          </cell>
          <cell r="D74" t="b">
            <v>0</v>
          </cell>
          <cell r="E74" t="str">
            <v>Eritrea</v>
          </cell>
          <cell r="H74" t="str">
            <v>Not Available</v>
          </cell>
          <cell r="I74" t="str">
            <v>Not Available</v>
          </cell>
          <cell r="J74" t="str">
            <v>Not Available</v>
          </cell>
          <cell r="K74" t="str">
            <v>Not Available</v>
          </cell>
          <cell r="L74" t="str">
            <v>Not Available</v>
          </cell>
          <cell r="M74" t="str">
            <v>Not Available</v>
          </cell>
          <cell r="N74" t="str">
            <v>Available</v>
          </cell>
          <cell r="O74" t="str">
            <v>Available</v>
          </cell>
          <cell r="P74" t="str">
            <v>Contact Product</v>
          </cell>
          <cell r="Q74" t="str">
            <v>Available</v>
          </cell>
          <cell r="R74" t="str">
            <v>Not Available</v>
          </cell>
          <cell r="S74" t="str">
            <v>Not Available</v>
          </cell>
          <cell r="T74" t="str">
            <v>Not Available</v>
          </cell>
          <cell r="U74" t="str">
            <v>Not Available</v>
          </cell>
        </row>
        <row r="75">
          <cell r="B75" t="str">
            <v>EST</v>
          </cell>
          <cell r="C75" t="b">
            <v>1</v>
          </cell>
          <cell r="D75" t="b">
            <v>1</v>
          </cell>
          <cell r="E75" t="str">
            <v>Estonia</v>
          </cell>
          <cell r="H75" t="str">
            <v>Not Available</v>
          </cell>
          <cell r="I75" t="str">
            <v>Not Available</v>
          </cell>
          <cell r="J75" t="str">
            <v>See Reference Portal http://grp.equant.com/BusTalkGRP/</v>
          </cell>
          <cell r="K75" t="str">
            <v>See Reference Portal http://grp.equant.com/BusTalkGRP/</v>
          </cell>
          <cell r="L75" t="str">
            <v>See Reference Portal http://grp.equant.com/BusTalkGRP/</v>
          </cell>
          <cell r="M75" t="str">
            <v>Not Available</v>
          </cell>
          <cell r="N75" t="str">
            <v>Not Available</v>
          </cell>
          <cell r="O75" t="str">
            <v>Available</v>
          </cell>
          <cell r="P75" t="str">
            <v>Not Available</v>
          </cell>
          <cell r="Q75" t="str">
            <v>Not Available</v>
          </cell>
          <cell r="R75" t="str">
            <v>Not Available</v>
          </cell>
          <cell r="S75" t="str">
            <v>DIDZ4</v>
          </cell>
          <cell r="T75" t="str">
            <v>Not Available</v>
          </cell>
          <cell r="U75" t="str">
            <v>Not Available</v>
          </cell>
        </row>
        <row r="76">
          <cell r="B76" t="str">
            <v>ETH</v>
          </cell>
          <cell r="C76" t="b">
            <v>0</v>
          </cell>
          <cell r="D76" t="b">
            <v>0</v>
          </cell>
          <cell r="E76" t="str">
            <v>Ethiopia</v>
          </cell>
          <cell r="H76" t="str">
            <v>Not Available</v>
          </cell>
          <cell r="I76" t="str">
            <v>Not Available</v>
          </cell>
          <cell r="J76" t="str">
            <v>Not Available</v>
          </cell>
          <cell r="K76" t="str">
            <v>Not Available</v>
          </cell>
          <cell r="L76" t="str">
            <v>Not Available</v>
          </cell>
          <cell r="M76" t="str">
            <v>Not Available</v>
          </cell>
          <cell r="N76" t="str">
            <v>Not Available</v>
          </cell>
          <cell r="O76" t="str">
            <v>Available</v>
          </cell>
          <cell r="P76" t="str">
            <v>Not Available</v>
          </cell>
          <cell r="Q76" t="str">
            <v>Available</v>
          </cell>
          <cell r="R76" t="str">
            <v>Not Available</v>
          </cell>
          <cell r="S76" t="str">
            <v>Not Available</v>
          </cell>
          <cell r="T76" t="str">
            <v>Not Available</v>
          </cell>
          <cell r="U76" t="str">
            <v>Not Available</v>
          </cell>
        </row>
        <row r="77">
          <cell r="B77" t="str">
            <v>FLK</v>
          </cell>
          <cell r="C77" t="b">
            <v>0</v>
          </cell>
          <cell r="D77" t="b">
            <v>0</v>
          </cell>
          <cell r="E77" t="str">
            <v>Falkland Islands</v>
          </cell>
          <cell r="H77" t="str">
            <v>Not Available</v>
          </cell>
          <cell r="I77" t="str">
            <v>Not Available</v>
          </cell>
          <cell r="J77" t="str">
            <v>Not Available</v>
          </cell>
          <cell r="K77" t="str">
            <v>Not Available</v>
          </cell>
          <cell r="L77" t="str">
            <v>Not Available</v>
          </cell>
          <cell r="M77" t="str">
            <v>Not Available</v>
          </cell>
          <cell r="N77" t="str">
            <v>Not Available</v>
          </cell>
          <cell r="O77" t="str">
            <v>Available</v>
          </cell>
          <cell r="P77" t="str">
            <v>Not Available</v>
          </cell>
          <cell r="Q77" t="str">
            <v>Available</v>
          </cell>
          <cell r="R77" t="str">
            <v>Not Available</v>
          </cell>
          <cell r="S77" t="str">
            <v>Not Available</v>
          </cell>
          <cell r="T77" t="str">
            <v>Not Available</v>
          </cell>
          <cell r="U77" t="str">
            <v>Not Available</v>
          </cell>
        </row>
        <row r="78">
          <cell r="B78" t="str">
            <v>FRO</v>
          </cell>
          <cell r="C78" t="b">
            <v>0</v>
          </cell>
          <cell r="D78" t="b">
            <v>1</v>
          </cell>
          <cell r="E78" t="str">
            <v>Faroe Islands</v>
          </cell>
          <cell r="H78" t="str">
            <v>Not Available</v>
          </cell>
          <cell r="I78" t="str">
            <v>Not Available</v>
          </cell>
          <cell r="J78" t="str">
            <v>Not Available</v>
          </cell>
          <cell r="K78" t="str">
            <v>Not Available</v>
          </cell>
          <cell r="L78" t="str">
            <v>Not Available</v>
          </cell>
          <cell r="M78" t="str">
            <v>Not Available</v>
          </cell>
          <cell r="N78" t="str">
            <v>Not Available</v>
          </cell>
          <cell r="O78" t="str">
            <v>Available</v>
          </cell>
          <cell r="P78" t="str">
            <v>Not Available</v>
          </cell>
          <cell r="Q78" t="str">
            <v>Not Available</v>
          </cell>
          <cell r="R78" t="str">
            <v>Not Available</v>
          </cell>
          <cell r="S78" t="str">
            <v>Not Available</v>
          </cell>
          <cell r="T78" t="str">
            <v>Not Available</v>
          </cell>
          <cell r="U78" t="str">
            <v>Not Available</v>
          </cell>
        </row>
        <row r="79">
          <cell r="B79" t="str">
            <v>FJI</v>
          </cell>
          <cell r="C79" t="b">
            <v>0</v>
          </cell>
          <cell r="D79" t="b">
            <v>0</v>
          </cell>
          <cell r="E79" t="str">
            <v>Fiji</v>
          </cell>
          <cell r="H79" t="str">
            <v>Not Available</v>
          </cell>
          <cell r="I79" t="str">
            <v>Not Available</v>
          </cell>
          <cell r="J79" t="str">
            <v>Not Available</v>
          </cell>
          <cell r="K79" t="str">
            <v>Not Available</v>
          </cell>
          <cell r="L79" t="str">
            <v>Not Available</v>
          </cell>
          <cell r="M79" t="str">
            <v>Not Available</v>
          </cell>
          <cell r="N79" t="str">
            <v>Not Available</v>
          </cell>
          <cell r="O79" t="str">
            <v>Available</v>
          </cell>
          <cell r="P79" t="str">
            <v>Not Available</v>
          </cell>
          <cell r="Q79" t="str">
            <v>Not Available</v>
          </cell>
          <cell r="R79" t="str">
            <v>Not Available</v>
          </cell>
          <cell r="S79" t="str">
            <v>Not Available</v>
          </cell>
          <cell r="T79" t="str">
            <v>Not Available</v>
          </cell>
          <cell r="U79" t="str">
            <v>Not Available</v>
          </cell>
        </row>
        <row r="80">
          <cell r="B80" t="str">
            <v>FIN</v>
          </cell>
          <cell r="C80" t="b">
            <v>1</v>
          </cell>
          <cell r="D80" t="b">
            <v>1</v>
          </cell>
          <cell r="E80" t="str">
            <v>Finland</v>
          </cell>
          <cell r="H80" t="str">
            <v>Not Available</v>
          </cell>
          <cell r="I80" t="str">
            <v>Available</v>
          </cell>
          <cell r="J80" t="str">
            <v>Available</v>
          </cell>
          <cell r="K80" t="str">
            <v>Available</v>
          </cell>
          <cell r="L80" t="str">
            <v>Available</v>
          </cell>
          <cell r="M80" t="str">
            <v>Not Available</v>
          </cell>
          <cell r="N80" t="str">
            <v>Not Available</v>
          </cell>
          <cell r="O80" t="str">
            <v>Available</v>
          </cell>
          <cell r="P80" t="str">
            <v>Not Available</v>
          </cell>
          <cell r="Q80" t="str">
            <v>Not Available</v>
          </cell>
          <cell r="R80" t="str">
            <v>Not Available</v>
          </cell>
          <cell r="S80" t="str">
            <v>DIDZ1</v>
          </cell>
          <cell r="T80" t="str">
            <v>DIDZ1</v>
          </cell>
          <cell r="U80" t="str">
            <v>Not Available</v>
          </cell>
        </row>
        <row r="81">
          <cell r="B81" t="str">
            <v>FRA</v>
          </cell>
          <cell r="C81" t="b">
            <v>1</v>
          </cell>
          <cell r="D81" t="b">
            <v>1</v>
          </cell>
          <cell r="E81" t="str">
            <v>France</v>
          </cell>
          <cell r="H81" t="str">
            <v>Not Available</v>
          </cell>
          <cell r="I81" t="str">
            <v>Not Available</v>
          </cell>
          <cell r="J81" t="str">
            <v>Available</v>
          </cell>
          <cell r="K81" t="str">
            <v>Available</v>
          </cell>
          <cell r="L81" t="str">
            <v>Available</v>
          </cell>
          <cell r="M81" t="str">
            <v>Not Available</v>
          </cell>
          <cell r="N81" t="str">
            <v>Not Available</v>
          </cell>
          <cell r="O81" t="str">
            <v>Available</v>
          </cell>
          <cell r="P81" t="str">
            <v>Not Available</v>
          </cell>
          <cell r="Q81" t="str">
            <v>Available</v>
          </cell>
          <cell r="R81" t="str">
            <v>Not Available</v>
          </cell>
          <cell r="S81" t="str">
            <v>DIDZ1</v>
          </cell>
          <cell r="T81" t="str">
            <v>Not Available</v>
          </cell>
          <cell r="U81" t="str">
            <v>Not Available</v>
          </cell>
        </row>
        <row r="82">
          <cell r="B82" t="str">
            <v>GUF</v>
          </cell>
          <cell r="C82" t="b">
            <v>0</v>
          </cell>
          <cell r="D82" t="b">
            <v>0</v>
          </cell>
          <cell r="E82" t="str">
            <v>French Guyana</v>
          </cell>
          <cell r="H82" t="str">
            <v>Not Available</v>
          </cell>
          <cell r="I82" t="str">
            <v>Not Available</v>
          </cell>
          <cell r="J82" t="str">
            <v>Available</v>
          </cell>
          <cell r="K82" t="str">
            <v>Available</v>
          </cell>
          <cell r="L82" t="str">
            <v>Available</v>
          </cell>
          <cell r="M82" t="str">
            <v>Not Available</v>
          </cell>
          <cell r="N82" t="str">
            <v>Not Available</v>
          </cell>
          <cell r="O82" t="str">
            <v>Available</v>
          </cell>
          <cell r="P82" t="str">
            <v>Not Available</v>
          </cell>
          <cell r="Q82" t="str">
            <v>Not Available</v>
          </cell>
          <cell r="R82" t="str">
            <v>Not Available</v>
          </cell>
          <cell r="S82" t="str">
            <v>DIDZ8</v>
          </cell>
          <cell r="T82" t="str">
            <v>Not Available</v>
          </cell>
          <cell r="U82" t="str">
            <v>Not Available</v>
          </cell>
        </row>
        <row r="83">
          <cell r="B83" t="str">
            <v>PYF</v>
          </cell>
          <cell r="C83" t="b">
            <v>0</v>
          </cell>
          <cell r="D83" t="b">
            <v>0</v>
          </cell>
          <cell r="E83" t="str">
            <v>French Polynesia</v>
          </cell>
          <cell r="H83" t="str">
            <v>Not Available</v>
          </cell>
          <cell r="I83" t="str">
            <v>Not Available</v>
          </cell>
          <cell r="J83" t="str">
            <v>Not Available</v>
          </cell>
          <cell r="K83" t="str">
            <v>Not Available</v>
          </cell>
          <cell r="L83" t="str">
            <v>Not Available</v>
          </cell>
          <cell r="M83" t="str">
            <v>Not Available</v>
          </cell>
          <cell r="N83" t="str">
            <v>Not Available</v>
          </cell>
          <cell r="O83" t="str">
            <v>Available</v>
          </cell>
          <cell r="P83" t="str">
            <v>Not Available</v>
          </cell>
          <cell r="Q83" t="str">
            <v>Available</v>
          </cell>
          <cell r="R83" t="str">
            <v>Not Available</v>
          </cell>
          <cell r="S83" t="str">
            <v>Not Available</v>
          </cell>
          <cell r="T83" t="str">
            <v>Not Available</v>
          </cell>
          <cell r="U83" t="str">
            <v>Not Available</v>
          </cell>
        </row>
        <row r="84">
          <cell r="B84" t="str">
            <v>ATF</v>
          </cell>
          <cell r="C84" t="b">
            <v>0</v>
          </cell>
          <cell r="D84" t="b">
            <v>0</v>
          </cell>
          <cell r="E84" t="str">
            <v>French Southern Territories</v>
          </cell>
          <cell r="H84" t="str">
            <v>Not Available</v>
          </cell>
          <cell r="I84" t="str">
            <v>Not Available</v>
          </cell>
          <cell r="J84" t="str">
            <v>Not Available</v>
          </cell>
          <cell r="K84" t="str">
            <v>Not Available</v>
          </cell>
          <cell r="L84" t="str">
            <v>Not Available</v>
          </cell>
          <cell r="M84" t="str">
            <v>Not Available</v>
          </cell>
          <cell r="N84" t="str">
            <v>Not Available</v>
          </cell>
          <cell r="O84" t="str">
            <v>Available</v>
          </cell>
          <cell r="P84" t="str">
            <v>Not Available</v>
          </cell>
          <cell r="Q84" t="str">
            <v>Available</v>
          </cell>
          <cell r="R84" t="str">
            <v>Not Available</v>
          </cell>
          <cell r="S84" t="str">
            <v>Not Available</v>
          </cell>
          <cell r="T84" t="str">
            <v>Not Available</v>
          </cell>
          <cell r="U84" t="str">
            <v>Not Available</v>
          </cell>
        </row>
        <row r="85">
          <cell r="B85" t="str">
            <v>GAB</v>
          </cell>
          <cell r="C85" t="b">
            <v>0</v>
          </cell>
          <cell r="D85" t="b">
            <v>0</v>
          </cell>
          <cell r="E85" t="str">
            <v>Gabon</v>
          </cell>
          <cell r="H85" t="str">
            <v>Not Available</v>
          </cell>
          <cell r="I85" t="str">
            <v>Not Available</v>
          </cell>
          <cell r="J85" t="str">
            <v>Not Available</v>
          </cell>
          <cell r="K85" t="str">
            <v>Not Available</v>
          </cell>
          <cell r="L85" t="str">
            <v>Not Available</v>
          </cell>
          <cell r="M85" t="str">
            <v>Not Available</v>
          </cell>
          <cell r="N85" t="str">
            <v>Available</v>
          </cell>
          <cell r="O85" t="str">
            <v>Available</v>
          </cell>
          <cell r="P85" t="str">
            <v>Not Available</v>
          </cell>
          <cell r="Q85" t="str">
            <v>Available</v>
          </cell>
          <cell r="R85" t="str">
            <v>Not Available</v>
          </cell>
          <cell r="S85" t="str">
            <v>Not Available</v>
          </cell>
          <cell r="T85" t="str">
            <v>Not Available</v>
          </cell>
          <cell r="U85" t="str">
            <v>Not Available</v>
          </cell>
        </row>
        <row r="86">
          <cell r="B86" t="str">
            <v>GMB</v>
          </cell>
          <cell r="C86" t="b">
            <v>0</v>
          </cell>
          <cell r="D86" t="b">
            <v>0</v>
          </cell>
          <cell r="E86" t="str">
            <v>Gambia</v>
          </cell>
          <cell r="H86" t="str">
            <v>Not Available</v>
          </cell>
          <cell r="I86" t="str">
            <v>Not Available</v>
          </cell>
          <cell r="J86" t="str">
            <v>On Net Only</v>
          </cell>
          <cell r="K86" t="str">
            <v>On Net Only</v>
          </cell>
          <cell r="L86" t="str">
            <v>Not Available</v>
          </cell>
          <cell r="M86" t="str">
            <v>Not Available</v>
          </cell>
          <cell r="N86" t="str">
            <v>Not Available</v>
          </cell>
          <cell r="O86" t="str">
            <v>Available</v>
          </cell>
          <cell r="P86" t="str">
            <v>Not Available</v>
          </cell>
          <cell r="Q86" t="str">
            <v>Not Available</v>
          </cell>
          <cell r="R86" t="str">
            <v>Not Available</v>
          </cell>
          <cell r="S86" t="str">
            <v>Not Available</v>
          </cell>
          <cell r="T86" t="str">
            <v>Not Available</v>
          </cell>
          <cell r="U86" t="str">
            <v>Not Available</v>
          </cell>
        </row>
        <row r="87">
          <cell r="B87" t="str">
            <v>GEO</v>
          </cell>
          <cell r="C87" t="b">
            <v>0</v>
          </cell>
          <cell r="D87" t="b">
            <v>1</v>
          </cell>
          <cell r="E87" t="str">
            <v>Georgia</v>
          </cell>
          <cell r="H87" t="str">
            <v>Not Available</v>
          </cell>
          <cell r="I87" t="str">
            <v>Not Available</v>
          </cell>
          <cell r="J87" t="str">
            <v>See Reference Portal http://grp.equant.com/BusTalkGRP/</v>
          </cell>
          <cell r="K87" t="str">
            <v>See Reference Portal http://grp.equant.com/BusTalkGRP/</v>
          </cell>
          <cell r="L87" t="str">
            <v>Not Available</v>
          </cell>
          <cell r="M87" t="str">
            <v>Not Available</v>
          </cell>
          <cell r="N87" t="str">
            <v>Not Available</v>
          </cell>
          <cell r="O87" t="str">
            <v>Available</v>
          </cell>
          <cell r="P87" t="str">
            <v>Not Available</v>
          </cell>
          <cell r="Q87" t="str">
            <v>Not Available</v>
          </cell>
          <cell r="R87" t="str">
            <v>Not Available</v>
          </cell>
          <cell r="S87" t="str">
            <v>DIDZ8</v>
          </cell>
          <cell r="T87" t="str">
            <v>Not Available</v>
          </cell>
          <cell r="U87" t="str">
            <v>Not Available</v>
          </cell>
        </row>
        <row r="88">
          <cell r="B88" t="str">
            <v>GER</v>
          </cell>
          <cell r="C88" t="b">
            <v>1</v>
          </cell>
          <cell r="D88" t="b">
            <v>1</v>
          </cell>
          <cell r="E88" t="str">
            <v>Germany</v>
          </cell>
          <cell r="H88" t="str">
            <v>Not Available</v>
          </cell>
          <cell r="I88" t="str">
            <v>Available</v>
          </cell>
          <cell r="J88" t="str">
            <v>Available</v>
          </cell>
          <cell r="K88" t="str">
            <v>Available</v>
          </cell>
          <cell r="L88" t="str">
            <v>Available</v>
          </cell>
          <cell r="M88" t="str">
            <v>Not Available</v>
          </cell>
          <cell r="N88" t="str">
            <v>Not Available</v>
          </cell>
          <cell r="O88" t="str">
            <v>Available</v>
          </cell>
          <cell r="P88" t="str">
            <v>Not Available</v>
          </cell>
          <cell r="Q88" t="str">
            <v>Not Available</v>
          </cell>
          <cell r="R88" t="str">
            <v>Not Available</v>
          </cell>
          <cell r="S88" t="str">
            <v>DIDZ1</v>
          </cell>
          <cell r="T88" t="str">
            <v>DIDZ1</v>
          </cell>
          <cell r="U88" t="str">
            <v>Not Available</v>
          </cell>
        </row>
        <row r="89">
          <cell r="B89" t="str">
            <v>GHA</v>
          </cell>
          <cell r="C89" t="b">
            <v>0</v>
          </cell>
          <cell r="D89" t="b">
            <v>0</v>
          </cell>
          <cell r="E89" t="str">
            <v>Ghana</v>
          </cell>
          <cell r="H89" t="str">
            <v>Not Available</v>
          </cell>
          <cell r="I89" t="str">
            <v>Not Available</v>
          </cell>
          <cell r="J89" t="str">
            <v>See Reference Portal http://grp.equant.com/BusTalkGRP/</v>
          </cell>
          <cell r="K89" t="str">
            <v>See Reference Portal http://grp.equant.com/BusTalkGRP/</v>
          </cell>
          <cell r="L89" t="str">
            <v>Not Available</v>
          </cell>
          <cell r="M89" t="str">
            <v>Not Available</v>
          </cell>
          <cell r="N89" t="str">
            <v>Not Available</v>
          </cell>
          <cell r="O89" t="str">
            <v>Available</v>
          </cell>
          <cell r="P89" t="str">
            <v>Not Available</v>
          </cell>
          <cell r="Q89" t="str">
            <v>Available</v>
          </cell>
          <cell r="R89" t="str">
            <v>Not Available</v>
          </cell>
          <cell r="S89" t="str">
            <v>Not Available</v>
          </cell>
          <cell r="T89" t="str">
            <v>Not Available</v>
          </cell>
          <cell r="U89" t="str">
            <v>Not Available</v>
          </cell>
        </row>
        <row r="90">
          <cell r="B90" t="str">
            <v>GIB</v>
          </cell>
          <cell r="C90" t="b">
            <v>0</v>
          </cell>
          <cell r="D90" t="b">
            <v>1</v>
          </cell>
          <cell r="E90" t="str">
            <v>Gibraltar</v>
          </cell>
          <cell r="H90" t="str">
            <v>Not Available</v>
          </cell>
          <cell r="I90" t="str">
            <v>Not Available</v>
          </cell>
          <cell r="J90" t="str">
            <v>See Reference Portal http://grp.equant.com/BusTalkGRP/</v>
          </cell>
          <cell r="K90" t="str">
            <v>See Reference Portal http://grp.equant.com/BusTalkGRP/</v>
          </cell>
          <cell r="L90" t="str">
            <v>Not Available</v>
          </cell>
          <cell r="M90" t="str">
            <v>Not Available</v>
          </cell>
          <cell r="N90" t="str">
            <v>Not Available</v>
          </cell>
          <cell r="O90" t="str">
            <v>Available</v>
          </cell>
          <cell r="P90" t="str">
            <v>Not Available</v>
          </cell>
          <cell r="Q90" t="str">
            <v>Not Available</v>
          </cell>
          <cell r="R90" t="str">
            <v>Not Available</v>
          </cell>
          <cell r="S90" t="str">
            <v>Not Available</v>
          </cell>
          <cell r="T90" t="str">
            <v>Not Available</v>
          </cell>
          <cell r="U90" t="str">
            <v>Not Available</v>
          </cell>
        </row>
        <row r="91">
          <cell r="B91" t="str">
            <v>GRC</v>
          </cell>
          <cell r="C91" t="b">
            <v>1</v>
          </cell>
          <cell r="D91" t="b">
            <v>1</v>
          </cell>
          <cell r="E91" t="str">
            <v>Greece</v>
          </cell>
          <cell r="H91" t="str">
            <v>Not Available</v>
          </cell>
          <cell r="I91" t="str">
            <v>Available</v>
          </cell>
          <cell r="J91" t="str">
            <v>See Reference Portal http://grp.equant.com/BusTalkGRP/</v>
          </cell>
          <cell r="K91" t="str">
            <v>See Reference Portal http://grp.equant.com/BusTalkGRP/</v>
          </cell>
          <cell r="L91" t="str">
            <v>See Reference Portal http://grp.equant.com/BusTalkGRP/</v>
          </cell>
          <cell r="M91" t="str">
            <v>Not Available</v>
          </cell>
          <cell r="N91" t="str">
            <v>Not Available</v>
          </cell>
          <cell r="O91" t="str">
            <v>Available</v>
          </cell>
          <cell r="P91" t="str">
            <v>Not Available</v>
          </cell>
          <cell r="Q91" t="str">
            <v>Not Available</v>
          </cell>
          <cell r="R91" t="str">
            <v>Not Available</v>
          </cell>
          <cell r="S91" t="str">
            <v>DIDZ4</v>
          </cell>
          <cell r="T91" t="str">
            <v>DIDZ4</v>
          </cell>
          <cell r="U91" t="str">
            <v>Not Available</v>
          </cell>
        </row>
        <row r="92">
          <cell r="B92" t="str">
            <v>GRL</v>
          </cell>
          <cell r="C92" t="b">
            <v>0</v>
          </cell>
          <cell r="D92" t="b">
            <v>1</v>
          </cell>
          <cell r="E92" t="str">
            <v>Greenland</v>
          </cell>
          <cell r="H92" t="str">
            <v>Not Available</v>
          </cell>
          <cell r="I92" t="str">
            <v>Not Available</v>
          </cell>
          <cell r="J92" t="str">
            <v>See Reference Portal http://grp.equant.com/BusTalkGRP/</v>
          </cell>
          <cell r="K92" t="str">
            <v>See Reference Portal http://grp.equant.com/BusTalkGRP/</v>
          </cell>
          <cell r="L92" t="str">
            <v>Not Available</v>
          </cell>
          <cell r="M92" t="str">
            <v>Not Available</v>
          </cell>
          <cell r="N92" t="str">
            <v>Not Available</v>
          </cell>
          <cell r="O92" t="str">
            <v>Not Available</v>
          </cell>
          <cell r="P92" t="str">
            <v>Not Available</v>
          </cell>
          <cell r="Q92" t="str">
            <v>Available</v>
          </cell>
          <cell r="R92" t="str">
            <v>Not Available</v>
          </cell>
          <cell r="S92" t="str">
            <v>Not Available</v>
          </cell>
          <cell r="T92" t="str">
            <v>Not Available</v>
          </cell>
          <cell r="U92" t="str">
            <v>Not Available</v>
          </cell>
        </row>
        <row r="93">
          <cell r="B93" t="str">
            <v>GRD</v>
          </cell>
          <cell r="C93" t="b">
            <v>0</v>
          </cell>
          <cell r="D93" t="b">
            <v>0</v>
          </cell>
          <cell r="E93" t="str">
            <v>Grenada</v>
          </cell>
          <cell r="H93" t="str">
            <v>Not Available</v>
          </cell>
          <cell r="I93" t="str">
            <v>Not Available</v>
          </cell>
          <cell r="J93" t="str">
            <v>Not Available</v>
          </cell>
          <cell r="K93" t="str">
            <v>Not Available</v>
          </cell>
          <cell r="L93" t="str">
            <v>Not Available</v>
          </cell>
          <cell r="M93" t="str">
            <v>Not Available</v>
          </cell>
          <cell r="N93" t="str">
            <v>Not Available</v>
          </cell>
          <cell r="O93" t="str">
            <v>Available</v>
          </cell>
          <cell r="P93" t="str">
            <v>Not Available</v>
          </cell>
          <cell r="Q93" t="str">
            <v>Not Available</v>
          </cell>
          <cell r="R93" t="str">
            <v>Not Available</v>
          </cell>
          <cell r="S93" t="str">
            <v>Not Available</v>
          </cell>
          <cell r="T93" t="str">
            <v>Not Available</v>
          </cell>
          <cell r="U93" t="str">
            <v>Not Available</v>
          </cell>
        </row>
        <row r="94">
          <cell r="B94" t="str">
            <v>GLP</v>
          </cell>
          <cell r="C94" t="b">
            <v>0</v>
          </cell>
          <cell r="D94" t="b">
            <v>0</v>
          </cell>
          <cell r="E94" t="str">
            <v>Guadeloupe</v>
          </cell>
          <cell r="H94" t="str">
            <v>Not Available</v>
          </cell>
          <cell r="I94" t="str">
            <v>Not Available</v>
          </cell>
          <cell r="J94" t="str">
            <v>Available</v>
          </cell>
          <cell r="K94" t="str">
            <v>Available</v>
          </cell>
          <cell r="L94" t="str">
            <v>Available</v>
          </cell>
          <cell r="M94" t="str">
            <v>Not Available</v>
          </cell>
          <cell r="N94" t="str">
            <v>Not Available</v>
          </cell>
          <cell r="O94" t="str">
            <v>Not Available</v>
          </cell>
          <cell r="P94" t="str">
            <v>Not Available</v>
          </cell>
          <cell r="Q94" t="str">
            <v>Not Available</v>
          </cell>
          <cell r="R94" t="str">
            <v>Not Available</v>
          </cell>
          <cell r="S94" t="str">
            <v>DIDZ8</v>
          </cell>
          <cell r="T94" t="str">
            <v>Not Available</v>
          </cell>
          <cell r="U94" t="str">
            <v>Not Available</v>
          </cell>
        </row>
        <row r="95">
          <cell r="B95" t="str">
            <v>GUM</v>
          </cell>
          <cell r="C95" t="b">
            <v>0</v>
          </cell>
          <cell r="D95" t="b">
            <v>0</v>
          </cell>
          <cell r="E95" t="str">
            <v>Guam</v>
          </cell>
          <cell r="H95" t="str">
            <v>Not Available</v>
          </cell>
          <cell r="I95" t="str">
            <v>Not Available</v>
          </cell>
          <cell r="J95" t="str">
            <v>See Reference Portal http://grp.equant.com/BusTalkGRP/</v>
          </cell>
          <cell r="K95" t="str">
            <v>See Reference Portal http://grp.equant.com/BusTalkGRP/</v>
          </cell>
          <cell r="L95" t="str">
            <v>Not Available</v>
          </cell>
          <cell r="M95" t="str">
            <v>Not Available</v>
          </cell>
          <cell r="N95" t="str">
            <v>Not Available</v>
          </cell>
          <cell r="O95" t="str">
            <v>Available</v>
          </cell>
          <cell r="P95" t="str">
            <v>Not Available</v>
          </cell>
          <cell r="Q95" t="str">
            <v>Not Available</v>
          </cell>
          <cell r="R95" t="str">
            <v>Not Available</v>
          </cell>
          <cell r="S95" t="str">
            <v>Not Available</v>
          </cell>
          <cell r="T95" t="str">
            <v>Not Available</v>
          </cell>
          <cell r="U95" t="str">
            <v>Not Available</v>
          </cell>
        </row>
        <row r="96">
          <cell r="B96" t="str">
            <v>GTM</v>
          </cell>
          <cell r="C96" t="b">
            <v>0</v>
          </cell>
          <cell r="D96" t="b">
            <v>0</v>
          </cell>
          <cell r="E96" t="str">
            <v>Guatemala</v>
          </cell>
          <cell r="H96" t="str">
            <v>Not Available</v>
          </cell>
          <cell r="I96" t="str">
            <v>Not Available</v>
          </cell>
          <cell r="J96" t="str">
            <v>On Net Only</v>
          </cell>
          <cell r="K96" t="str">
            <v>On Net Only</v>
          </cell>
          <cell r="L96" t="str">
            <v>Not Available</v>
          </cell>
          <cell r="M96" t="str">
            <v>Not Available</v>
          </cell>
          <cell r="N96" t="str">
            <v>Not Available</v>
          </cell>
          <cell r="O96" t="str">
            <v>Available</v>
          </cell>
          <cell r="P96" t="str">
            <v>Not Available</v>
          </cell>
          <cell r="Q96" t="str">
            <v>Not Available</v>
          </cell>
          <cell r="R96" t="str">
            <v>Not Available</v>
          </cell>
          <cell r="S96" t="str">
            <v>Not Available</v>
          </cell>
          <cell r="T96" t="str">
            <v>Not Available</v>
          </cell>
          <cell r="U96" t="str">
            <v>Not Available</v>
          </cell>
        </row>
        <row r="97">
          <cell r="B97" t="str">
            <v>GGY</v>
          </cell>
          <cell r="C97" t="b">
            <v>0</v>
          </cell>
          <cell r="D97" t="b">
            <v>1</v>
          </cell>
          <cell r="E97" t="str">
            <v>Guernsey</v>
          </cell>
          <cell r="H97" t="str">
            <v>Not Available</v>
          </cell>
          <cell r="I97" t="str">
            <v>Not Available</v>
          </cell>
          <cell r="J97" t="str">
            <v>Not Available</v>
          </cell>
          <cell r="K97" t="str">
            <v>Not Available</v>
          </cell>
          <cell r="L97" t="str">
            <v>Not Available</v>
          </cell>
          <cell r="M97" t="str">
            <v>Not Available</v>
          </cell>
          <cell r="N97" t="str">
            <v>Not Available</v>
          </cell>
          <cell r="O97" t="str">
            <v>Available</v>
          </cell>
          <cell r="P97" t="str">
            <v>Available</v>
          </cell>
          <cell r="Q97" t="str">
            <v>Contact Product</v>
          </cell>
          <cell r="R97" t="str">
            <v>Not Available</v>
          </cell>
          <cell r="S97" t="str">
            <v>Not Available</v>
          </cell>
          <cell r="T97" t="str">
            <v>Not Available</v>
          </cell>
          <cell r="U97" t="str">
            <v>Not Available</v>
          </cell>
        </row>
        <row r="98">
          <cell r="B98" t="str">
            <v>GIN</v>
          </cell>
          <cell r="C98" t="b">
            <v>0</v>
          </cell>
          <cell r="D98" t="b">
            <v>0</v>
          </cell>
          <cell r="E98" t="str">
            <v>Guinea</v>
          </cell>
          <cell r="H98" t="str">
            <v>Not Available</v>
          </cell>
          <cell r="I98" t="str">
            <v>Not Available</v>
          </cell>
          <cell r="J98" t="str">
            <v>On Net Only</v>
          </cell>
          <cell r="K98" t="str">
            <v>On Net Only</v>
          </cell>
          <cell r="L98" t="str">
            <v>Not Available</v>
          </cell>
          <cell r="M98" t="str">
            <v>Not Available</v>
          </cell>
          <cell r="N98" t="str">
            <v>Not Available</v>
          </cell>
          <cell r="O98" t="str">
            <v>Available</v>
          </cell>
          <cell r="P98" t="str">
            <v>Not Available</v>
          </cell>
          <cell r="Q98" t="str">
            <v>Available</v>
          </cell>
          <cell r="R98" t="str">
            <v>Not Available</v>
          </cell>
          <cell r="S98" t="str">
            <v>Not Available</v>
          </cell>
          <cell r="T98" t="str">
            <v>Not Available</v>
          </cell>
          <cell r="U98" t="str">
            <v>Not Available</v>
          </cell>
        </row>
        <row r="99">
          <cell r="B99" t="str">
            <v>GNB</v>
          </cell>
          <cell r="C99" t="b">
            <v>0</v>
          </cell>
          <cell r="D99" t="b">
            <v>0</v>
          </cell>
          <cell r="E99" t="str">
            <v>Guinea-Bissau</v>
          </cell>
          <cell r="H99" t="str">
            <v>Not Available</v>
          </cell>
          <cell r="I99" t="str">
            <v>Not Available</v>
          </cell>
          <cell r="J99" t="str">
            <v>On Net Only</v>
          </cell>
          <cell r="K99" t="str">
            <v>On Net Only</v>
          </cell>
          <cell r="L99" t="str">
            <v>Not Available</v>
          </cell>
          <cell r="M99" t="str">
            <v>Not Available</v>
          </cell>
          <cell r="N99" t="str">
            <v>Not Available</v>
          </cell>
          <cell r="O99" t="str">
            <v>Available</v>
          </cell>
          <cell r="P99" t="str">
            <v>Not Available</v>
          </cell>
          <cell r="Q99" t="str">
            <v>Available</v>
          </cell>
          <cell r="R99" t="str">
            <v>Not Available</v>
          </cell>
          <cell r="S99" t="str">
            <v>Not Available</v>
          </cell>
          <cell r="T99" t="str">
            <v>Not Available</v>
          </cell>
          <cell r="U99" t="str">
            <v>Not Available</v>
          </cell>
        </row>
        <row r="100">
          <cell r="B100" t="str">
            <v>GUY</v>
          </cell>
          <cell r="C100" t="b">
            <v>0</v>
          </cell>
          <cell r="D100" t="b">
            <v>0</v>
          </cell>
          <cell r="E100" t="str">
            <v>Guyana</v>
          </cell>
          <cell r="H100" t="str">
            <v>Not Available</v>
          </cell>
          <cell r="I100" t="str">
            <v>Not Available</v>
          </cell>
          <cell r="J100" t="str">
            <v>Not Available</v>
          </cell>
          <cell r="K100" t="str">
            <v>Not Available</v>
          </cell>
          <cell r="L100" t="str">
            <v>Not Available</v>
          </cell>
          <cell r="M100" t="str">
            <v>Not Available</v>
          </cell>
          <cell r="N100" t="str">
            <v>Not Available</v>
          </cell>
          <cell r="O100" t="str">
            <v>Available</v>
          </cell>
          <cell r="P100" t="str">
            <v>Not Available</v>
          </cell>
          <cell r="Q100" t="str">
            <v>Available</v>
          </cell>
          <cell r="R100" t="str">
            <v>Not Available</v>
          </cell>
          <cell r="S100" t="str">
            <v>Not Available</v>
          </cell>
          <cell r="T100" t="str">
            <v>Not Available</v>
          </cell>
          <cell r="U100" t="str">
            <v>Not Available</v>
          </cell>
        </row>
        <row r="101">
          <cell r="B101" t="str">
            <v>HTI</v>
          </cell>
          <cell r="C101" t="b">
            <v>0</v>
          </cell>
          <cell r="D101" t="b">
            <v>0</v>
          </cell>
          <cell r="E101" t="str">
            <v>Haiti</v>
          </cell>
          <cell r="H101" t="str">
            <v>Not Available</v>
          </cell>
          <cell r="I101" t="str">
            <v>Not Available</v>
          </cell>
          <cell r="J101" t="str">
            <v>On Net Only</v>
          </cell>
          <cell r="K101" t="str">
            <v>On Net Only</v>
          </cell>
          <cell r="L101" t="str">
            <v>Not Available</v>
          </cell>
          <cell r="M101" t="str">
            <v>Not Available</v>
          </cell>
          <cell r="N101" t="str">
            <v>Not Available</v>
          </cell>
          <cell r="O101" t="str">
            <v>Available</v>
          </cell>
          <cell r="P101" t="str">
            <v>Not Available</v>
          </cell>
          <cell r="Q101" t="str">
            <v>Available</v>
          </cell>
          <cell r="R101" t="str">
            <v>Not Available</v>
          </cell>
          <cell r="S101" t="str">
            <v>Not Available</v>
          </cell>
          <cell r="T101" t="str">
            <v>Not Available</v>
          </cell>
          <cell r="U101" t="str">
            <v>Not Available</v>
          </cell>
        </row>
        <row r="102">
          <cell r="B102" t="str">
            <v>HMD</v>
          </cell>
          <cell r="C102" t="b">
            <v>0</v>
          </cell>
          <cell r="D102" t="b">
            <v>0</v>
          </cell>
          <cell r="E102" t="str">
            <v>Heard Island and McDonald Islands</v>
          </cell>
          <cell r="H102" t="str">
            <v>Not Available</v>
          </cell>
          <cell r="I102" t="str">
            <v>Not Available</v>
          </cell>
          <cell r="J102" t="str">
            <v>See Reference Portal http://grp.equant.com/BusTalkGRP/</v>
          </cell>
          <cell r="K102" t="str">
            <v>See Reference Portal http://grp.equant.com/BusTalkGRP/</v>
          </cell>
          <cell r="L102" t="str">
            <v>Not Available</v>
          </cell>
          <cell r="M102" t="str">
            <v>Not Available</v>
          </cell>
          <cell r="N102" t="str">
            <v>Not Available</v>
          </cell>
          <cell r="O102" t="str">
            <v>Not Available</v>
          </cell>
          <cell r="P102" t="str">
            <v>Not Available</v>
          </cell>
          <cell r="Q102" t="str">
            <v>Available</v>
          </cell>
          <cell r="R102" t="str">
            <v>Not Available</v>
          </cell>
          <cell r="S102" t="str">
            <v>Not Available</v>
          </cell>
          <cell r="T102" t="str">
            <v>Not Available</v>
          </cell>
          <cell r="U102" t="str">
            <v>Not Available</v>
          </cell>
        </row>
        <row r="103">
          <cell r="B103" t="str">
            <v>VAT</v>
          </cell>
          <cell r="C103" t="b">
            <v>0</v>
          </cell>
          <cell r="D103" t="b">
            <v>1</v>
          </cell>
          <cell r="E103" t="str">
            <v>Holy See (Vatican City State)</v>
          </cell>
          <cell r="H103" t="str">
            <v>Not Available</v>
          </cell>
          <cell r="I103" t="str">
            <v>Not Available</v>
          </cell>
          <cell r="J103" t="str">
            <v>Available</v>
          </cell>
          <cell r="K103" t="str">
            <v>Available</v>
          </cell>
          <cell r="L103" t="str">
            <v>Not Available</v>
          </cell>
          <cell r="M103" t="str">
            <v>Not Available</v>
          </cell>
          <cell r="N103" t="str">
            <v>Not Available</v>
          </cell>
          <cell r="O103" t="str">
            <v>Available</v>
          </cell>
          <cell r="P103" t="str">
            <v>Not Available</v>
          </cell>
          <cell r="Q103" t="str">
            <v>Not Available</v>
          </cell>
          <cell r="R103" t="str">
            <v>Not Available</v>
          </cell>
          <cell r="S103" t="str">
            <v>Not Available</v>
          </cell>
          <cell r="T103" t="str">
            <v>Not Available</v>
          </cell>
          <cell r="U103" t="str">
            <v>Not Available</v>
          </cell>
        </row>
        <row r="104">
          <cell r="B104" t="str">
            <v>HND</v>
          </cell>
          <cell r="C104" t="b">
            <v>0</v>
          </cell>
          <cell r="D104" t="b">
            <v>0</v>
          </cell>
          <cell r="E104" t="str">
            <v>Honduras</v>
          </cell>
          <cell r="H104" t="str">
            <v>Not Available</v>
          </cell>
          <cell r="I104" t="str">
            <v>Not Available</v>
          </cell>
          <cell r="J104" t="str">
            <v>On Net Only</v>
          </cell>
          <cell r="K104" t="str">
            <v>On Net Only</v>
          </cell>
          <cell r="L104" t="str">
            <v>Not Available</v>
          </cell>
          <cell r="M104" t="str">
            <v>Not Available</v>
          </cell>
          <cell r="N104" t="str">
            <v>Not Available</v>
          </cell>
          <cell r="O104" t="str">
            <v>Not Available</v>
          </cell>
          <cell r="P104" t="str">
            <v>Not Available</v>
          </cell>
          <cell r="Q104" t="str">
            <v>Not Available</v>
          </cell>
          <cell r="R104" t="str">
            <v>Not Available</v>
          </cell>
          <cell r="S104" t="str">
            <v>Not Available</v>
          </cell>
          <cell r="T104" t="str">
            <v>Not Available</v>
          </cell>
          <cell r="U104" t="str">
            <v>Not Available</v>
          </cell>
        </row>
        <row r="105">
          <cell r="B105" t="str">
            <v>HKG</v>
          </cell>
          <cell r="C105" t="b">
            <v>0</v>
          </cell>
          <cell r="D105" t="b">
            <v>0</v>
          </cell>
          <cell r="E105" t="str">
            <v>Hong Kong</v>
          </cell>
          <cell r="H105" t="str">
            <v>Not Available</v>
          </cell>
          <cell r="I105" t="str">
            <v>Available</v>
          </cell>
          <cell r="J105" t="str">
            <v>Available</v>
          </cell>
          <cell r="K105" t="str">
            <v>Available</v>
          </cell>
          <cell r="L105" t="str">
            <v>Available</v>
          </cell>
          <cell r="M105" t="str">
            <v>Not Available</v>
          </cell>
          <cell r="N105" t="str">
            <v>Not Available</v>
          </cell>
          <cell r="O105" t="str">
            <v>Available</v>
          </cell>
          <cell r="P105" t="str">
            <v>Not Available</v>
          </cell>
          <cell r="Q105" t="str">
            <v>Available</v>
          </cell>
          <cell r="R105" t="str">
            <v>Not Available</v>
          </cell>
          <cell r="S105" t="str">
            <v>DIDZ3</v>
          </cell>
          <cell r="T105" t="str">
            <v>DIDZ3</v>
          </cell>
          <cell r="U105" t="str">
            <v>Not Available</v>
          </cell>
        </row>
        <row r="106">
          <cell r="B106" t="str">
            <v>HUN</v>
          </cell>
          <cell r="C106" t="b">
            <v>1</v>
          </cell>
          <cell r="D106" t="b">
            <v>1</v>
          </cell>
          <cell r="E106" t="str">
            <v>Hungary</v>
          </cell>
          <cell r="H106" t="str">
            <v>Not Available</v>
          </cell>
          <cell r="I106" t="str">
            <v>Available</v>
          </cell>
          <cell r="J106" t="str">
            <v>See Reference Portal http://grp.equant.com/BusTalkGRP/</v>
          </cell>
          <cell r="K106" t="str">
            <v>See Reference Portal http://grp.equant.com/BusTalkGRP/</v>
          </cell>
          <cell r="L106" t="str">
            <v>See Reference Portal http://grp.equant.com/BusTalkGRP/</v>
          </cell>
          <cell r="M106" t="str">
            <v>Not Available</v>
          </cell>
          <cell r="N106" t="str">
            <v>Not Available</v>
          </cell>
          <cell r="O106" t="str">
            <v>Available</v>
          </cell>
          <cell r="P106" t="str">
            <v>Not Available</v>
          </cell>
          <cell r="Q106" t="str">
            <v>Not Available</v>
          </cell>
          <cell r="R106" t="str">
            <v>Not Available</v>
          </cell>
          <cell r="S106" t="str">
            <v>DIDZ4</v>
          </cell>
          <cell r="T106" t="str">
            <v>DIDZ4</v>
          </cell>
          <cell r="U106" t="str">
            <v>Not Available</v>
          </cell>
        </row>
        <row r="107">
          <cell r="B107" t="str">
            <v>ISL</v>
          </cell>
          <cell r="C107" t="b">
            <v>0</v>
          </cell>
          <cell r="D107" t="b">
            <v>1</v>
          </cell>
          <cell r="E107" t="str">
            <v>Iceland</v>
          </cell>
          <cell r="H107" t="str">
            <v>Not Available</v>
          </cell>
          <cell r="I107" t="str">
            <v>Not Available</v>
          </cell>
          <cell r="J107" t="str">
            <v>See Reference Portal http://grp.equant.com/BusTalkGRP/</v>
          </cell>
          <cell r="K107" t="str">
            <v>See Reference Portal http://grp.equant.com/BusTalkGRP/</v>
          </cell>
          <cell r="L107" t="str">
            <v>Not Available</v>
          </cell>
          <cell r="M107" t="str">
            <v>Not Available</v>
          </cell>
          <cell r="N107" t="str">
            <v>Available</v>
          </cell>
          <cell r="O107" t="str">
            <v>Available</v>
          </cell>
          <cell r="P107" t="str">
            <v>Available</v>
          </cell>
          <cell r="Q107" t="str">
            <v>Available</v>
          </cell>
          <cell r="R107" t="str">
            <v>Not Available</v>
          </cell>
          <cell r="S107" t="str">
            <v>Not Available</v>
          </cell>
          <cell r="T107" t="str">
            <v>Not Available</v>
          </cell>
          <cell r="U107" t="str">
            <v>Not Available</v>
          </cell>
        </row>
        <row r="108">
          <cell r="B108" t="str">
            <v>IND</v>
          </cell>
          <cell r="C108" t="b">
            <v>0</v>
          </cell>
          <cell r="D108" t="b">
            <v>0</v>
          </cell>
          <cell r="E108" t="str">
            <v>India</v>
          </cell>
          <cell r="H108" t="str">
            <v>Not Available</v>
          </cell>
          <cell r="I108" t="str">
            <v>No Domestic Off Net</v>
          </cell>
          <cell r="J108" t="str">
            <v>No Domestic Off Net</v>
          </cell>
          <cell r="K108" t="str">
            <v>No Domestic Off Net</v>
          </cell>
          <cell r="L108" t="str">
            <v>Not Available</v>
          </cell>
          <cell r="M108" t="str">
            <v>Not Available</v>
          </cell>
          <cell r="N108" t="str">
            <v>Not Available</v>
          </cell>
          <cell r="O108" t="str">
            <v>Available</v>
          </cell>
          <cell r="P108" t="str">
            <v>Not Available</v>
          </cell>
          <cell r="Q108" t="str">
            <v>Not Available</v>
          </cell>
          <cell r="R108" t="str">
            <v>Not Available</v>
          </cell>
          <cell r="S108" t="str">
            <v>Not Available</v>
          </cell>
          <cell r="T108" t="str">
            <v>Not Available</v>
          </cell>
          <cell r="U108" t="str">
            <v>Not Available</v>
          </cell>
        </row>
        <row r="109">
          <cell r="B109" t="str">
            <v>IDN</v>
          </cell>
          <cell r="C109" t="b">
            <v>0</v>
          </cell>
          <cell r="D109" t="b">
            <v>0</v>
          </cell>
          <cell r="E109" t="str">
            <v>Indonesia</v>
          </cell>
          <cell r="H109" t="str">
            <v>Not Available</v>
          </cell>
          <cell r="I109" t="str">
            <v>Not Available</v>
          </cell>
          <cell r="J109" t="str">
            <v>On Net Only</v>
          </cell>
          <cell r="K109" t="str">
            <v>On Net Only</v>
          </cell>
          <cell r="L109" t="str">
            <v>Not Available</v>
          </cell>
          <cell r="M109" t="str">
            <v>Not Available</v>
          </cell>
          <cell r="N109" t="str">
            <v>Not Available</v>
          </cell>
          <cell r="O109" t="str">
            <v>Available</v>
          </cell>
          <cell r="P109" t="str">
            <v>Not Available</v>
          </cell>
          <cell r="Q109" t="str">
            <v>Not Available</v>
          </cell>
          <cell r="R109" t="str">
            <v>Not Available</v>
          </cell>
          <cell r="S109" t="str">
            <v>Not Available</v>
          </cell>
          <cell r="T109" t="str">
            <v>Not Available</v>
          </cell>
          <cell r="U109" t="str">
            <v>Not Available</v>
          </cell>
        </row>
        <row r="110">
          <cell r="B110" t="str">
            <v>IRN</v>
          </cell>
          <cell r="C110" t="b">
            <v>0</v>
          </cell>
          <cell r="D110" t="b">
            <v>0</v>
          </cell>
          <cell r="E110" t="str">
            <v>Iran</v>
          </cell>
          <cell r="H110" t="str">
            <v>Not Available</v>
          </cell>
          <cell r="I110" t="str">
            <v>Not Available</v>
          </cell>
          <cell r="J110" t="str">
            <v>Not Available</v>
          </cell>
          <cell r="K110" t="str">
            <v>Not Available</v>
          </cell>
          <cell r="L110" t="str">
            <v>Not Available</v>
          </cell>
          <cell r="M110" t="str">
            <v>Not Available</v>
          </cell>
          <cell r="N110" t="str">
            <v>Not Available</v>
          </cell>
          <cell r="O110" t="str">
            <v>Not Available</v>
          </cell>
          <cell r="P110" t="str">
            <v>Not Available</v>
          </cell>
          <cell r="Q110" t="str">
            <v>Not Available</v>
          </cell>
          <cell r="R110" t="str">
            <v>Not Available</v>
          </cell>
          <cell r="S110" t="str">
            <v>Not Available</v>
          </cell>
          <cell r="T110" t="str">
            <v>Not Available</v>
          </cell>
          <cell r="U110" t="str">
            <v>Not Available</v>
          </cell>
        </row>
        <row r="111">
          <cell r="B111" t="str">
            <v>IRQ</v>
          </cell>
          <cell r="C111" t="b">
            <v>0</v>
          </cell>
          <cell r="D111" t="b">
            <v>0</v>
          </cell>
          <cell r="E111" t="str">
            <v>Iraq</v>
          </cell>
          <cell r="H111" t="str">
            <v>Not Available</v>
          </cell>
          <cell r="I111" t="str">
            <v>Not Available</v>
          </cell>
          <cell r="J111" t="str">
            <v>Not Available</v>
          </cell>
          <cell r="K111" t="str">
            <v>Not Available</v>
          </cell>
          <cell r="L111" t="str">
            <v>Not Available</v>
          </cell>
          <cell r="M111" t="str">
            <v>Not Available</v>
          </cell>
          <cell r="N111" t="str">
            <v>Not Available</v>
          </cell>
          <cell r="O111" t="str">
            <v>Available</v>
          </cell>
          <cell r="P111" t="str">
            <v>Not Available</v>
          </cell>
          <cell r="Q111" t="str">
            <v>Not Available</v>
          </cell>
          <cell r="R111" t="str">
            <v>Not Available</v>
          </cell>
          <cell r="S111" t="str">
            <v>Not Available</v>
          </cell>
          <cell r="T111" t="str">
            <v>Not Available</v>
          </cell>
          <cell r="U111" t="str">
            <v>Not Available</v>
          </cell>
        </row>
        <row r="112">
          <cell r="B112" t="str">
            <v>IRL</v>
          </cell>
          <cell r="C112" t="b">
            <v>1</v>
          </cell>
          <cell r="D112" t="b">
            <v>1</v>
          </cell>
          <cell r="E112" t="str">
            <v>Ireland</v>
          </cell>
          <cell r="H112" t="str">
            <v>Not Available</v>
          </cell>
          <cell r="I112" t="str">
            <v>Available</v>
          </cell>
          <cell r="J112" t="str">
            <v>Available</v>
          </cell>
          <cell r="K112" t="str">
            <v>Available</v>
          </cell>
          <cell r="L112" t="str">
            <v>Available</v>
          </cell>
          <cell r="M112" t="str">
            <v>Not Available</v>
          </cell>
          <cell r="N112" t="str">
            <v>Not Available</v>
          </cell>
          <cell r="O112" t="str">
            <v>Not Available</v>
          </cell>
          <cell r="P112" t="str">
            <v>Not Available</v>
          </cell>
          <cell r="Q112" t="str">
            <v>Not Available</v>
          </cell>
          <cell r="R112" t="str">
            <v>Not Available</v>
          </cell>
          <cell r="S112" t="str">
            <v>DIDZ1</v>
          </cell>
          <cell r="T112" t="str">
            <v>DIDZ1</v>
          </cell>
          <cell r="U112" t="str">
            <v>Not Available</v>
          </cell>
        </row>
        <row r="113">
          <cell r="B113" t="str">
            <v>IMN</v>
          </cell>
          <cell r="C113" t="b">
            <v>0</v>
          </cell>
          <cell r="D113" t="b">
            <v>1</v>
          </cell>
          <cell r="E113" t="str">
            <v>Isle of Man</v>
          </cell>
          <cell r="H113" t="str">
            <v>Not Available</v>
          </cell>
          <cell r="I113" t="str">
            <v>Not Available</v>
          </cell>
          <cell r="J113" t="str">
            <v>Not Available</v>
          </cell>
          <cell r="K113" t="str">
            <v>Not Available</v>
          </cell>
          <cell r="L113" t="str">
            <v>Not Available</v>
          </cell>
          <cell r="M113" t="str">
            <v>Not Available</v>
          </cell>
          <cell r="N113" t="str">
            <v>Not Available</v>
          </cell>
          <cell r="O113" t="str">
            <v>Available</v>
          </cell>
          <cell r="P113" t="str">
            <v>Not Available</v>
          </cell>
          <cell r="Q113" t="str">
            <v>Available</v>
          </cell>
          <cell r="R113" t="str">
            <v>Not Available</v>
          </cell>
          <cell r="S113" t="str">
            <v>Not Available</v>
          </cell>
          <cell r="T113" t="str">
            <v>Not Available</v>
          </cell>
          <cell r="U113" t="str">
            <v>Not Available</v>
          </cell>
        </row>
        <row r="114">
          <cell r="B114" t="str">
            <v>ISR</v>
          </cell>
          <cell r="C114" t="b">
            <v>0</v>
          </cell>
          <cell r="D114" t="b">
            <v>0</v>
          </cell>
          <cell r="E114" t="str">
            <v>Israel</v>
          </cell>
          <cell r="H114" t="str">
            <v>Not Available</v>
          </cell>
          <cell r="I114" t="str">
            <v>Not Available</v>
          </cell>
          <cell r="J114" t="str">
            <v>On Net Only</v>
          </cell>
          <cell r="K114" t="str">
            <v>On Net Only</v>
          </cell>
          <cell r="L114" t="str">
            <v>On Net Only</v>
          </cell>
          <cell r="M114" t="str">
            <v>Not Available</v>
          </cell>
          <cell r="N114" t="str">
            <v>Not Available</v>
          </cell>
          <cell r="O114" t="str">
            <v>Available</v>
          </cell>
          <cell r="P114" t="str">
            <v>Not Available</v>
          </cell>
          <cell r="Q114" t="str">
            <v>Not Available</v>
          </cell>
          <cell r="R114" t="str">
            <v>Not Available</v>
          </cell>
          <cell r="S114" t="str">
            <v>Not Available</v>
          </cell>
          <cell r="T114" t="str">
            <v>Not Available</v>
          </cell>
          <cell r="U114" t="str">
            <v>Not Available</v>
          </cell>
        </row>
        <row r="115">
          <cell r="B115" t="str">
            <v>ITA</v>
          </cell>
          <cell r="C115" t="b">
            <v>1</v>
          </cell>
          <cell r="D115" t="b">
            <v>1</v>
          </cell>
          <cell r="E115" t="str">
            <v>Italy</v>
          </cell>
          <cell r="H115" t="str">
            <v>Not Available</v>
          </cell>
          <cell r="I115" t="str">
            <v>Available</v>
          </cell>
          <cell r="J115" t="str">
            <v>Available</v>
          </cell>
          <cell r="K115" t="str">
            <v>Available</v>
          </cell>
          <cell r="L115" t="str">
            <v>Available</v>
          </cell>
          <cell r="M115" t="str">
            <v>Not Available</v>
          </cell>
          <cell r="N115" t="str">
            <v>Not Available</v>
          </cell>
          <cell r="O115" t="str">
            <v>Available</v>
          </cell>
          <cell r="P115" t="str">
            <v>Not Available</v>
          </cell>
          <cell r="Q115" t="str">
            <v>Available</v>
          </cell>
          <cell r="R115" t="str">
            <v>Not Available</v>
          </cell>
          <cell r="S115" t="str">
            <v>DIDZ1</v>
          </cell>
          <cell r="T115" t="str">
            <v>DIDZ1</v>
          </cell>
          <cell r="U115" t="str">
            <v>Not Available</v>
          </cell>
        </row>
        <row r="116">
          <cell r="B116" t="str">
            <v>JAM</v>
          </cell>
          <cell r="C116" t="b">
            <v>0</v>
          </cell>
          <cell r="D116" t="b">
            <v>0</v>
          </cell>
          <cell r="E116" t="str">
            <v>Jamaica</v>
          </cell>
          <cell r="H116" t="str">
            <v>Not Available</v>
          </cell>
          <cell r="I116" t="str">
            <v>Not Available</v>
          </cell>
          <cell r="J116" t="str">
            <v>See Reference Portal http://grp.equant.com/BusTalkGRP/</v>
          </cell>
          <cell r="K116" t="str">
            <v>See Reference Portal http://grp.equant.com/BusTalkGRP/</v>
          </cell>
          <cell r="L116" t="str">
            <v>Not Available</v>
          </cell>
          <cell r="M116" t="str">
            <v>Not Available</v>
          </cell>
          <cell r="N116" t="str">
            <v>Available</v>
          </cell>
          <cell r="O116" t="str">
            <v>Available</v>
          </cell>
          <cell r="P116" t="str">
            <v>Available</v>
          </cell>
          <cell r="Q116" t="str">
            <v>Available</v>
          </cell>
          <cell r="R116" t="str">
            <v>Not Available</v>
          </cell>
          <cell r="S116" t="str">
            <v>Not Available</v>
          </cell>
          <cell r="T116" t="str">
            <v>Not Available</v>
          </cell>
          <cell r="U116" t="str">
            <v>Not Available</v>
          </cell>
        </row>
        <row r="117">
          <cell r="B117" t="str">
            <v>JPN</v>
          </cell>
          <cell r="C117" t="b">
            <v>0</v>
          </cell>
          <cell r="D117" t="b">
            <v>0</v>
          </cell>
          <cell r="E117" t="str">
            <v>Japan</v>
          </cell>
          <cell r="H117" t="str">
            <v>Not Available</v>
          </cell>
          <cell r="I117" t="str">
            <v>Not Available</v>
          </cell>
          <cell r="J117" t="str">
            <v>See Reference Portal http://grp.equant.com/BusTalkGRP/</v>
          </cell>
          <cell r="K117" t="str">
            <v>See Reference Portal http://grp.equant.com/BusTalkGRP/</v>
          </cell>
          <cell r="L117" t="str">
            <v>See Reference Portal http://grp.equant.com/BusTalkGRP/</v>
          </cell>
          <cell r="M117" t="str">
            <v>Not Available</v>
          </cell>
          <cell r="N117" t="str">
            <v>Not Available</v>
          </cell>
          <cell r="O117" t="str">
            <v>Not Available</v>
          </cell>
          <cell r="P117" t="str">
            <v>Not Available</v>
          </cell>
          <cell r="Q117" t="str">
            <v>Not Available</v>
          </cell>
          <cell r="R117" t="str">
            <v>Not Available</v>
          </cell>
          <cell r="S117" t="str">
            <v>DIDZ6</v>
          </cell>
          <cell r="T117" t="str">
            <v>Not Available</v>
          </cell>
          <cell r="U117" t="str">
            <v>Not Available</v>
          </cell>
        </row>
        <row r="118">
          <cell r="B118" t="str">
            <v>JEY</v>
          </cell>
          <cell r="C118" t="b">
            <v>0</v>
          </cell>
          <cell r="D118" t="b">
            <v>1</v>
          </cell>
          <cell r="E118" t="str">
            <v>Jersey</v>
          </cell>
          <cell r="H118" t="str">
            <v>Not Available</v>
          </cell>
          <cell r="I118" t="str">
            <v>Not Available</v>
          </cell>
          <cell r="J118" t="str">
            <v>Not Available</v>
          </cell>
          <cell r="K118" t="str">
            <v>Not Available</v>
          </cell>
          <cell r="L118" t="str">
            <v>Not Available</v>
          </cell>
          <cell r="M118" t="str">
            <v>Not Available</v>
          </cell>
          <cell r="N118" t="str">
            <v>Not Available</v>
          </cell>
          <cell r="O118" t="str">
            <v>Available</v>
          </cell>
          <cell r="P118" t="str">
            <v>Not Available</v>
          </cell>
          <cell r="Q118" t="str">
            <v>Not Available</v>
          </cell>
          <cell r="R118" t="str">
            <v>Not Available</v>
          </cell>
          <cell r="S118" t="str">
            <v>Not Available</v>
          </cell>
          <cell r="T118" t="str">
            <v>Not Available</v>
          </cell>
          <cell r="U118" t="str">
            <v>Not Available</v>
          </cell>
        </row>
        <row r="119">
          <cell r="B119" t="str">
            <v>JOR</v>
          </cell>
          <cell r="C119" t="b">
            <v>0</v>
          </cell>
          <cell r="D119" t="b">
            <v>0</v>
          </cell>
          <cell r="E119" t="str">
            <v>Jordan</v>
          </cell>
          <cell r="H119" t="str">
            <v>Not Available</v>
          </cell>
          <cell r="I119" t="str">
            <v>Not Available</v>
          </cell>
          <cell r="J119" t="str">
            <v>See Reference Portal http://grp.equant.com/BusTalkGRP/</v>
          </cell>
          <cell r="K119" t="str">
            <v>See Reference Portal http://grp.equant.com/BusTalkGRP/</v>
          </cell>
          <cell r="L119" t="str">
            <v>See Reference Portal http://grp.equant.com/BusTalkGRP/</v>
          </cell>
          <cell r="M119" t="str">
            <v>Not Available</v>
          </cell>
          <cell r="N119" t="str">
            <v>Not Available</v>
          </cell>
          <cell r="O119" t="str">
            <v>Not Available</v>
          </cell>
          <cell r="P119" t="str">
            <v>Not Available</v>
          </cell>
          <cell r="Q119" t="str">
            <v>Not Available</v>
          </cell>
          <cell r="R119" t="str">
            <v>Not Available</v>
          </cell>
          <cell r="S119" t="str">
            <v>Not Available</v>
          </cell>
          <cell r="T119" t="str">
            <v>Not Available</v>
          </cell>
          <cell r="U119" t="str">
            <v>Not Available</v>
          </cell>
        </row>
        <row r="120">
          <cell r="B120" t="str">
            <v>KAZ</v>
          </cell>
          <cell r="C120" t="b">
            <v>0</v>
          </cell>
          <cell r="D120" t="b">
            <v>1</v>
          </cell>
          <cell r="E120" t="str">
            <v>Kazakhstan</v>
          </cell>
          <cell r="H120" t="str">
            <v>Not Available</v>
          </cell>
          <cell r="I120" t="str">
            <v>Not Available</v>
          </cell>
          <cell r="J120" t="str">
            <v>On Net Only</v>
          </cell>
          <cell r="K120" t="str">
            <v>On Net Only</v>
          </cell>
          <cell r="L120" t="str">
            <v>Not Available</v>
          </cell>
          <cell r="M120" t="str">
            <v>Not Available</v>
          </cell>
          <cell r="N120" t="str">
            <v>Not Available</v>
          </cell>
          <cell r="O120" t="str">
            <v>Available</v>
          </cell>
          <cell r="P120" t="str">
            <v>Not Available</v>
          </cell>
          <cell r="Q120" t="str">
            <v>Available</v>
          </cell>
          <cell r="R120" t="str">
            <v>Not Available</v>
          </cell>
          <cell r="S120" t="str">
            <v>Not Available</v>
          </cell>
          <cell r="T120" t="str">
            <v>Not Available</v>
          </cell>
          <cell r="U120" t="str">
            <v>Not Available</v>
          </cell>
        </row>
        <row r="121">
          <cell r="B121" t="str">
            <v>KEN</v>
          </cell>
          <cell r="C121" t="b">
            <v>0</v>
          </cell>
          <cell r="D121" t="b">
            <v>0</v>
          </cell>
          <cell r="E121" t="str">
            <v>Kenya</v>
          </cell>
          <cell r="H121" t="str">
            <v>Not Available</v>
          </cell>
          <cell r="I121" t="str">
            <v>Not Available</v>
          </cell>
          <cell r="J121" t="str">
            <v>See Reference Portal http://grp.equant.com/BusTalkGRP/</v>
          </cell>
          <cell r="K121" t="str">
            <v>See Reference Portal http://grp.equant.com/BusTalkGRP/</v>
          </cell>
          <cell r="L121" t="str">
            <v>Not Available</v>
          </cell>
          <cell r="M121" t="str">
            <v>Not Available</v>
          </cell>
          <cell r="N121" t="str">
            <v>Not Available</v>
          </cell>
          <cell r="O121" t="str">
            <v>Available</v>
          </cell>
          <cell r="P121" t="str">
            <v>Not Available</v>
          </cell>
          <cell r="Q121" t="str">
            <v>Not Available</v>
          </cell>
          <cell r="R121" t="str">
            <v>Not Available</v>
          </cell>
          <cell r="S121" t="str">
            <v>Not Available</v>
          </cell>
          <cell r="T121" t="str">
            <v>Not Available</v>
          </cell>
          <cell r="U121" t="str">
            <v>Not Available</v>
          </cell>
        </row>
        <row r="122">
          <cell r="B122" t="str">
            <v>KIR</v>
          </cell>
          <cell r="C122" t="b">
            <v>0</v>
          </cell>
          <cell r="D122" t="b">
            <v>0</v>
          </cell>
          <cell r="E122" t="str">
            <v>Kiribati</v>
          </cell>
          <cell r="H122" t="str">
            <v>Not Available</v>
          </cell>
          <cell r="I122" t="str">
            <v>Not Available</v>
          </cell>
          <cell r="J122" t="str">
            <v>Not Available</v>
          </cell>
          <cell r="K122" t="str">
            <v>Not Available</v>
          </cell>
          <cell r="L122" t="str">
            <v>Not Available</v>
          </cell>
          <cell r="M122" t="str">
            <v>Not Available</v>
          </cell>
          <cell r="N122" t="str">
            <v>Not Available</v>
          </cell>
          <cell r="O122" t="str">
            <v>Available</v>
          </cell>
          <cell r="P122" t="str">
            <v>Not Available</v>
          </cell>
          <cell r="Q122" t="str">
            <v>Available</v>
          </cell>
          <cell r="R122" t="str">
            <v>Not Available</v>
          </cell>
          <cell r="S122" t="str">
            <v>Not Available</v>
          </cell>
          <cell r="T122" t="str">
            <v>Not Available</v>
          </cell>
          <cell r="U122" t="str">
            <v>Not Available</v>
          </cell>
        </row>
        <row r="123">
          <cell r="B123" t="str">
            <v>KWT</v>
          </cell>
          <cell r="C123" t="b">
            <v>0</v>
          </cell>
          <cell r="D123" t="b">
            <v>0</v>
          </cell>
          <cell r="E123" t="str">
            <v>Kuwait</v>
          </cell>
          <cell r="H123" t="str">
            <v>Not Available</v>
          </cell>
          <cell r="I123" t="str">
            <v>Not Available</v>
          </cell>
          <cell r="J123" t="str">
            <v>Not Available</v>
          </cell>
          <cell r="K123" t="str">
            <v>Not Available</v>
          </cell>
          <cell r="L123" t="str">
            <v>Not Available</v>
          </cell>
          <cell r="M123" t="str">
            <v>Not Available</v>
          </cell>
          <cell r="N123" t="str">
            <v>Available</v>
          </cell>
          <cell r="O123" t="str">
            <v>Available</v>
          </cell>
          <cell r="P123" t="str">
            <v>Not Available</v>
          </cell>
          <cell r="Q123" t="str">
            <v>Available</v>
          </cell>
          <cell r="R123" t="str">
            <v>Not Available</v>
          </cell>
          <cell r="S123" t="str">
            <v>Not Available</v>
          </cell>
          <cell r="T123" t="str">
            <v>Not Available</v>
          </cell>
          <cell r="U123" t="str">
            <v>Not Available</v>
          </cell>
        </row>
        <row r="124">
          <cell r="B124" t="str">
            <v>KGZ</v>
          </cell>
          <cell r="C124" t="b">
            <v>0</v>
          </cell>
          <cell r="D124" t="b">
            <v>1</v>
          </cell>
          <cell r="E124" t="str">
            <v>Kyrgyzstan</v>
          </cell>
          <cell r="H124" t="str">
            <v>Not Available</v>
          </cell>
          <cell r="I124" t="str">
            <v>Not Available</v>
          </cell>
          <cell r="J124" t="str">
            <v>On Net Only</v>
          </cell>
          <cell r="K124" t="str">
            <v>On Net Only</v>
          </cell>
          <cell r="L124" t="str">
            <v>Not Available</v>
          </cell>
          <cell r="M124" t="str">
            <v>Not Available</v>
          </cell>
          <cell r="N124" t="str">
            <v>Not Available</v>
          </cell>
          <cell r="O124" t="str">
            <v>Available</v>
          </cell>
          <cell r="P124" t="str">
            <v>Not Available</v>
          </cell>
          <cell r="Q124" t="str">
            <v>Available</v>
          </cell>
          <cell r="R124" t="str">
            <v>Not Available</v>
          </cell>
          <cell r="S124" t="str">
            <v>Not Available</v>
          </cell>
          <cell r="T124" t="str">
            <v>Not Available</v>
          </cell>
          <cell r="U124" t="str">
            <v>Not Available</v>
          </cell>
        </row>
        <row r="125">
          <cell r="B125" t="str">
            <v>LAO</v>
          </cell>
          <cell r="C125" t="b">
            <v>0</v>
          </cell>
          <cell r="D125" t="b">
            <v>0</v>
          </cell>
          <cell r="E125" t="str">
            <v>Laos</v>
          </cell>
          <cell r="H125" t="str">
            <v>Not Available</v>
          </cell>
          <cell r="I125" t="str">
            <v>Not Available</v>
          </cell>
          <cell r="J125" t="str">
            <v>Not Available</v>
          </cell>
          <cell r="K125" t="str">
            <v>Not Available</v>
          </cell>
          <cell r="L125" t="str">
            <v>Not Available</v>
          </cell>
          <cell r="M125" t="str">
            <v>Not Available</v>
          </cell>
          <cell r="N125" t="str">
            <v>Not Available</v>
          </cell>
          <cell r="O125" t="str">
            <v>Available</v>
          </cell>
          <cell r="P125" t="str">
            <v>Not Available</v>
          </cell>
          <cell r="Q125" t="str">
            <v>Available</v>
          </cell>
          <cell r="R125" t="str">
            <v>Not Available</v>
          </cell>
          <cell r="S125" t="str">
            <v>Not Available</v>
          </cell>
          <cell r="T125" t="str">
            <v>Not Available</v>
          </cell>
          <cell r="U125" t="str">
            <v>Not Available</v>
          </cell>
        </row>
        <row r="126">
          <cell r="B126" t="str">
            <v>LVA</v>
          </cell>
          <cell r="C126" t="b">
            <v>1</v>
          </cell>
          <cell r="D126" t="b">
            <v>1</v>
          </cell>
          <cell r="E126" t="str">
            <v>Latvia</v>
          </cell>
          <cell r="H126" t="str">
            <v>Not Available</v>
          </cell>
          <cell r="I126" t="str">
            <v>Not Available</v>
          </cell>
          <cell r="J126" t="str">
            <v>See Reference Portal http://grp.equant.com/BusTalkGRP/</v>
          </cell>
          <cell r="K126" t="str">
            <v>See Reference Portal http://grp.equant.com/BusTalkGRP/</v>
          </cell>
          <cell r="L126" t="str">
            <v>Not Available</v>
          </cell>
          <cell r="M126" t="str">
            <v>Not Available</v>
          </cell>
          <cell r="N126" t="str">
            <v>Not Available</v>
          </cell>
          <cell r="O126" t="str">
            <v>Available</v>
          </cell>
          <cell r="P126" t="str">
            <v>Not Available</v>
          </cell>
          <cell r="Q126" t="str">
            <v>Contact Product</v>
          </cell>
          <cell r="R126" t="str">
            <v>Not Available</v>
          </cell>
          <cell r="S126" t="str">
            <v>DIDZ4</v>
          </cell>
          <cell r="T126" t="str">
            <v>Not Available</v>
          </cell>
          <cell r="U126" t="str">
            <v>Not Available</v>
          </cell>
        </row>
        <row r="127">
          <cell r="B127" t="str">
            <v>LBN</v>
          </cell>
          <cell r="C127" t="b">
            <v>0</v>
          </cell>
          <cell r="D127" t="b">
            <v>0</v>
          </cell>
          <cell r="E127" t="str">
            <v>Lebanon</v>
          </cell>
          <cell r="H127" t="str">
            <v>Not Available</v>
          </cell>
          <cell r="I127" t="str">
            <v>Not Available</v>
          </cell>
          <cell r="J127" t="str">
            <v>Not Available</v>
          </cell>
          <cell r="K127" t="str">
            <v>Not Available</v>
          </cell>
          <cell r="L127" t="str">
            <v>Not Available</v>
          </cell>
          <cell r="M127" t="str">
            <v>Not Available</v>
          </cell>
          <cell r="N127" t="str">
            <v>Not Available</v>
          </cell>
          <cell r="O127" t="str">
            <v>Available</v>
          </cell>
          <cell r="P127" t="str">
            <v>Not Available</v>
          </cell>
          <cell r="Q127" t="str">
            <v>Available</v>
          </cell>
          <cell r="R127" t="str">
            <v>Not Available</v>
          </cell>
          <cell r="S127" t="str">
            <v>Not Available</v>
          </cell>
          <cell r="T127" t="str">
            <v>Not Available</v>
          </cell>
          <cell r="U127" t="str">
            <v>Not Available</v>
          </cell>
        </row>
        <row r="128">
          <cell r="B128" t="str">
            <v>LSO</v>
          </cell>
          <cell r="C128" t="b">
            <v>0</v>
          </cell>
          <cell r="D128" t="b">
            <v>0</v>
          </cell>
          <cell r="E128" t="str">
            <v>Lesotho</v>
          </cell>
          <cell r="H128" t="str">
            <v>Not Available</v>
          </cell>
          <cell r="I128" t="str">
            <v>Not Available</v>
          </cell>
          <cell r="J128" t="str">
            <v>Not Available</v>
          </cell>
          <cell r="K128" t="str">
            <v>Not Available</v>
          </cell>
          <cell r="L128" t="str">
            <v>Not Available</v>
          </cell>
          <cell r="M128" t="str">
            <v>Not Available</v>
          </cell>
          <cell r="N128" t="str">
            <v>Not Available</v>
          </cell>
          <cell r="O128" t="str">
            <v>Not Available</v>
          </cell>
          <cell r="P128" t="str">
            <v>Not Available</v>
          </cell>
          <cell r="Q128" t="str">
            <v>Not Available</v>
          </cell>
          <cell r="R128" t="str">
            <v>Not Available</v>
          </cell>
          <cell r="S128" t="str">
            <v>Not Available</v>
          </cell>
          <cell r="T128" t="str">
            <v>Not Available</v>
          </cell>
          <cell r="U128" t="str">
            <v>Not Available</v>
          </cell>
        </row>
        <row r="129">
          <cell r="B129" t="str">
            <v>LBR</v>
          </cell>
          <cell r="C129" t="b">
            <v>0</v>
          </cell>
          <cell r="D129" t="b">
            <v>0</v>
          </cell>
          <cell r="E129" t="str">
            <v>Liberia</v>
          </cell>
          <cell r="H129" t="str">
            <v>Not Available</v>
          </cell>
          <cell r="I129" t="str">
            <v>Not Available</v>
          </cell>
          <cell r="J129" t="str">
            <v>On Net Only</v>
          </cell>
          <cell r="K129" t="str">
            <v>On Net Only</v>
          </cell>
          <cell r="L129" t="str">
            <v>Not Available</v>
          </cell>
          <cell r="M129" t="str">
            <v>Not Available</v>
          </cell>
          <cell r="N129" t="str">
            <v>Not Available</v>
          </cell>
          <cell r="O129" t="str">
            <v>Available</v>
          </cell>
          <cell r="P129" t="str">
            <v>Not Available</v>
          </cell>
          <cell r="Q129" t="str">
            <v>Contact Product</v>
          </cell>
          <cell r="R129" t="str">
            <v>Not Available</v>
          </cell>
          <cell r="S129" t="str">
            <v>Not Available</v>
          </cell>
          <cell r="T129" t="str">
            <v>Not Available</v>
          </cell>
          <cell r="U129" t="str">
            <v>Not Available</v>
          </cell>
        </row>
        <row r="130">
          <cell r="B130" t="str">
            <v>LBY</v>
          </cell>
          <cell r="C130" t="b">
            <v>0</v>
          </cell>
          <cell r="D130" t="b">
            <v>0</v>
          </cell>
          <cell r="E130" t="str">
            <v>Libya</v>
          </cell>
          <cell r="H130" t="str">
            <v>Not Available</v>
          </cell>
          <cell r="I130" t="str">
            <v>Not Available</v>
          </cell>
          <cell r="J130" t="str">
            <v>On Net Only</v>
          </cell>
          <cell r="K130" t="str">
            <v>On Net Only</v>
          </cell>
          <cell r="L130" t="str">
            <v>Not Available</v>
          </cell>
          <cell r="M130" t="str">
            <v>Not Available</v>
          </cell>
          <cell r="N130" t="str">
            <v>Not Available</v>
          </cell>
          <cell r="O130" t="str">
            <v>Not Available</v>
          </cell>
          <cell r="P130" t="str">
            <v>Not Available</v>
          </cell>
          <cell r="Q130" t="str">
            <v>Not Available</v>
          </cell>
          <cell r="R130" t="str">
            <v>Not Available</v>
          </cell>
          <cell r="S130" t="str">
            <v>Not Available</v>
          </cell>
          <cell r="T130" t="str">
            <v>Not Available</v>
          </cell>
          <cell r="U130" t="str">
            <v>Not Available</v>
          </cell>
        </row>
        <row r="131">
          <cell r="B131" t="str">
            <v>LIE</v>
          </cell>
          <cell r="C131" t="b">
            <v>1</v>
          </cell>
          <cell r="D131" t="b">
            <v>1</v>
          </cell>
          <cell r="E131" t="str">
            <v>Liechtenstein</v>
          </cell>
          <cell r="H131" t="str">
            <v>Not Available</v>
          </cell>
          <cell r="I131" t="str">
            <v>Not Available</v>
          </cell>
          <cell r="J131" t="str">
            <v>Available</v>
          </cell>
          <cell r="K131" t="str">
            <v>Available</v>
          </cell>
          <cell r="L131" t="str">
            <v>Not Available</v>
          </cell>
          <cell r="M131" t="str">
            <v>Not Available</v>
          </cell>
          <cell r="N131" t="str">
            <v>Not Available</v>
          </cell>
          <cell r="O131" t="str">
            <v>Available</v>
          </cell>
          <cell r="P131" t="str">
            <v>Not Available</v>
          </cell>
          <cell r="Q131" t="str">
            <v>Not Available</v>
          </cell>
          <cell r="R131" t="str">
            <v>Not Available</v>
          </cell>
          <cell r="S131" t="str">
            <v>Not Available</v>
          </cell>
          <cell r="T131" t="str">
            <v>Not Available</v>
          </cell>
          <cell r="U131" t="str">
            <v>Not Available</v>
          </cell>
        </row>
        <row r="132">
          <cell r="B132" t="str">
            <v>LTU</v>
          </cell>
          <cell r="C132" t="b">
            <v>1</v>
          </cell>
          <cell r="D132" t="b">
            <v>1</v>
          </cell>
          <cell r="E132" t="str">
            <v>Lithuania</v>
          </cell>
          <cell r="H132" t="str">
            <v>Not Available</v>
          </cell>
          <cell r="I132" t="str">
            <v>Not Available</v>
          </cell>
          <cell r="J132" t="str">
            <v>See Reference Portal http://grp.equant.com/BusTalkGRP/</v>
          </cell>
          <cell r="K132" t="str">
            <v>See Reference Portal http://grp.equant.com/BusTalkGRP/</v>
          </cell>
          <cell r="L132" t="str">
            <v>See Reference Portal http://grp.equant.com/BusTalkGRP/</v>
          </cell>
          <cell r="M132" t="str">
            <v>Not Available</v>
          </cell>
          <cell r="N132" t="str">
            <v>Not Available</v>
          </cell>
          <cell r="O132" t="str">
            <v>Available</v>
          </cell>
          <cell r="P132" t="str">
            <v>Not Available</v>
          </cell>
          <cell r="Q132" t="str">
            <v>Not Available</v>
          </cell>
          <cell r="R132" t="str">
            <v>Not Available</v>
          </cell>
          <cell r="S132" t="str">
            <v>DIDZ4</v>
          </cell>
          <cell r="T132" t="str">
            <v>Not Available</v>
          </cell>
          <cell r="U132" t="str">
            <v>Not Available</v>
          </cell>
        </row>
        <row r="133">
          <cell r="B133" t="str">
            <v>LUX</v>
          </cell>
          <cell r="C133" t="b">
            <v>1</v>
          </cell>
          <cell r="D133" t="b">
            <v>1</v>
          </cell>
          <cell r="E133" t="str">
            <v>Luxembourg</v>
          </cell>
          <cell r="H133" t="str">
            <v>Not Available</v>
          </cell>
          <cell r="I133" t="str">
            <v>Available</v>
          </cell>
          <cell r="J133" t="str">
            <v>Available</v>
          </cell>
          <cell r="K133" t="str">
            <v>Available</v>
          </cell>
          <cell r="L133" t="str">
            <v>Available</v>
          </cell>
          <cell r="M133" t="str">
            <v>Not Available</v>
          </cell>
          <cell r="N133" t="str">
            <v>Available</v>
          </cell>
          <cell r="O133" t="str">
            <v>Available</v>
          </cell>
          <cell r="P133" t="str">
            <v>Contact Product</v>
          </cell>
          <cell r="Q133" t="str">
            <v>Available</v>
          </cell>
          <cell r="R133" t="str">
            <v>Not Available</v>
          </cell>
          <cell r="S133" t="str">
            <v>DIDZ1</v>
          </cell>
          <cell r="T133" t="str">
            <v>DIDZ1</v>
          </cell>
          <cell r="U133" t="str">
            <v>Not Available</v>
          </cell>
        </row>
        <row r="134">
          <cell r="B134" t="str">
            <v>MAC</v>
          </cell>
          <cell r="C134" t="b">
            <v>0</v>
          </cell>
          <cell r="D134" t="b">
            <v>0</v>
          </cell>
          <cell r="E134" t="str">
            <v>Macau</v>
          </cell>
          <cell r="H134" t="str">
            <v>Not Available</v>
          </cell>
          <cell r="I134" t="str">
            <v>Not Available</v>
          </cell>
          <cell r="J134" t="str">
            <v>Not Available</v>
          </cell>
          <cell r="K134" t="str">
            <v>Not Available</v>
          </cell>
          <cell r="L134" t="str">
            <v>Not Available</v>
          </cell>
          <cell r="M134" t="str">
            <v>Not Available</v>
          </cell>
          <cell r="N134" t="str">
            <v>Not Available</v>
          </cell>
          <cell r="O134" t="str">
            <v>Available</v>
          </cell>
          <cell r="P134" t="str">
            <v>Not Available</v>
          </cell>
          <cell r="Q134" t="str">
            <v>Not Available</v>
          </cell>
          <cell r="R134" t="str">
            <v>Not Available</v>
          </cell>
          <cell r="S134" t="str">
            <v>Not Available</v>
          </cell>
          <cell r="T134" t="str">
            <v>Not Available</v>
          </cell>
          <cell r="U134" t="str">
            <v>Not Available</v>
          </cell>
        </row>
        <row r="135">
          <cell r="B135" t="str">
            <v>MCD</v>
          </cell>
          <cell r="C135" t="b">
            <v>0</v>
          </cell>
          <cell r="D135" t="b">
            <v>1</v>
          </cell>
          <cell r="E135" t="str">
            <v>Macedonia</v>
          </cell>
          <cell r="H135" t="str">
            <v>Not Available</v>
          </cell>
          <cell r="I135" t="str">
            <v>Not Available</v>
          </cell>
          <cell r="J135" t="str">
            <v>On Net Only</v>
          </cell>
          <cell r="K135" t="str">
            <v>On Net Only</v>
          </cell>
          <cell r="L135" t="str">
            <v>Not Available</v>
          </cell>
          <cell r="M135" t="str">
            <v>Not Available</v>
          </cell>
          <cell r="N135" t="str">
            <v>Not Available</v>
          </cell>
          <cell r="O135" t="str">
            <v>Available</v>
          </cell>
          <cell r="P135" t="str">
            <v>Not Available</v>
          </cell>
          <cell r="Q135" t="str">
            <v>Available</v>
          </cell>
          <cell r="R135" t="str">
            <v>Not Available</v>
          </cell>
          <cell r="S135" t="str">
            <v>Not Available</v>
          </cell>
          <cell r="T135" t="str">
            <v>Not Available</v>
          </cell>
          <cell r="U135" t="str">
            <v>Not Available</v>
          </cell>
        </row>
        <row r="136">
          <cell r="B136" t="str">
            <v>MDG</v>
          </cell>
          <cell r="C136" t="b">
            <v>0</v>
          </cell>
          <cell r="D136" t="b">
            <v>0</v>
          </cell>
          <cell r="E136" t="str">
            <v>Madagascar</v>
          </cell>
          <cell r="H136" t="str">
            <v>Not Available</v>
          </cell>
          <cell r="I136" t="str">
            <v>Not Available</v>
          </cell>
          <cell r="J136" t="str">
            <v>On Net Only</v>
          </cell>
          <cell r="K136" t="str">
            <v>On Net Only</v>
          </cell>
          <cell r="L136" t="str">
            <v>Not Available</v>
          </cell>
          <cell r="M136" t="str">
            <v>Not Available</v>
          </cell>
          <cell r="N136" t="str">
            <v>Not Available</v>
          </cell>
          <cell r="O136" t="str">
            <v>Available</v>
          </cell>
          <cell r="P136" t="str">
            <v>Not Available</v>
          </cell>
          <cell r="Q136" t="str">
            <v>Available</v>
          </cell>
          <cell r="R136" t="str">
            <v>Not Available</v>
          </cell>
          <cell r="S136" t="str">
            <v>Not Available</v>
          </cell>
          <cell r="T136" t="str">
            <v>Not Available</v>
          </cell>
          <cell r="U136" t="str">
            <v>Not Available</v>
          </cell>
        </row>
        <row r="137">
          <cell r="B137" t="str">
            <v>MWI</v>
          </cell>
          <cell r="C137" t="b">
            <v>0</v>
          </cell>
          <cell r="D137" t="b">
            <v>0</v>
          </cell>
          <cell r="E137" t="str">
            <v>Malawi</v>
          </cell>
          <cell r="H137" t="str">
            <v>Not Available</v>
          </cell>
          <cell r="I137" t="str">
            <v>Not Available</v>
          </cell>
          <cell r="J137" t="str">
            <v>On Net Only</v>
          </cell>
          <cell r="K137" t="str">
            <v>On Net Only</v>
          </cell>
          <cell r="L137" t="str">
            <v>Not Available</v>
          </cell>
          <cell r="M137" t="str">
            <v>Not Available</v>
          </cell>
          <cell r="N137" t="str">
            <v>Not Available</v>
          </cell>
          <cell r="O137" t="str">
            <v>Available</v>
          </cell>
          <cell r="P137" t="str">
            <v>Not Available</v>
          </cell>
          <cell r="Q137" t="str">
            <v>Not Available</v>
          </cell>
          <cell r="R137" t="str">
            <v>Not Available</v>
          </cell>
          <cell r="S137" t="str">
            <v>Not Available</v>
          </cell>
          <cell r="T137" t="str">
            <v>Not Available</v>
          </cell>
          <cell r="U137" t="str">
            <v>Not Available</v>
          </cell>
        </row>
        <row r="138">
          <cell r="B138" t="str">
            <v>MYS</v>
          </cell>
          <cell r="C138" t="b">
            <v>0</v>
          </cell>
          <cell r="D138" t="b">
            <v>0</v>
          </cell>
          <cell r="E138" t="str">
            <v>Malaysia</v>
          </cell>
          <cell r="H138" t="str">
            <v>Not Available</v>
          </cell>
          <cell r="I138" t="str">
            <v>Available</v>
          </cell>
          <cell r="J138" t="str">
            <v>See Reference Portal http://grp.equant.com/BusTalkGRP/</v>
          </cell>
          <cell r="K138" t="str">
            <v>See Reference Portal http://grp.equant.com/BusTalkGRP/</v>
          </cell>
          <cell r="L138" t="str">
            <v>See Reference Portal http://grp.equant.com/BusTalkGRP/</v>
          </cell>
          <cell r="M138" t="str">
            <v>Not Available</v>
          </cell>
          <cell r="N138" t="str">
            <v>Available</v>
          </cell>
          <cell r="O138" t="str">
            <v>Available</v>
          </cell>
          <cell r="P138" t="str">
            <v>Available</v>
          </cell>
          <cell r="Q138" t="str">
            <v>Available</v>
          </cell>
          <cell r="R138" t="str">
            <v>Not Available</v>
          </cell>
          <cell r="S138" t="str">
            <v>DIDZ7</v>
          </cell>
          <cell r="T138" t="str">
            <v>DIDZ7</v>
          </cell>
          <cell r="U138" t="str">
            <v>Not Available</v>
          </cell>
        </row>
        <row r="139">
          <cell r="B139" t="str">
            <v>MDV</v>
          </cell>
          <cell r="C139" t="b">
            <v>0</v>
          </cell>
          <cell r="D139" t="b">
            <v>0</v>
          </cell>
          <cell r="E139" t="str">
            <v>Maldives</v>
          </cell>
          <cell r="H139" t="str">
            <v>Not Available</v>
          </cell>
          <cell r="I139" t="str">
            <v>Not Available</v>
          </cell>
          <cell r="J139" t="str">
            <v>Not Available</v>
          </cell>
          <cell r="K139" t="str">
            <v>Not Available</v>
          </cell>
          <cell r="L139" t="str">
            <v>Not Available</v>
          </cell>
          <cell r="M139" t="str">
            <v>Not Available</v>
          </cell>
          <cell r="N139" t="str">
            <v>Available</v>
          </cell>
          <cell r="O139" t="str">
            <v>Available</v>
          </cell>
          <cell r="P139" t="str">
            <v>Contact Product</v>
          </cell>
          <cell r="Q139" t="str">
            <v>Available</v>
          </cell>
          <cell r="R139" t="str">
            <v>Not Available</v>
          </cell>
          <cell r="S139" t="str">
            <v>Not Available</v>
          </cell>
          <cell r="T139" t="str">
            <v>Not Available</v>
          </cell>
          <cell r="U139" t="str">
            <v>Not Available</v>
          </cell>
        </row>
        <row r="140">
          <cell r="B140" t="str">
            <v>MLI</v>
          </cell>
          <cell r="C140" t="b">
            <v>0</v>
          </cell>
          <cell r="D140" t="b">
            <v>0</v>
          </cell>
          <cell r="E140" t="str">
            <v>Mali</v>
          </cell>
          <cell r="H140" t="str">
            <v>Not Available</v>
          </cell>
          <cell r="I140" t="str">
            <v>Not Available</v>
          </cell>
          <cell r="J140" t="str">
            <v>On Net Only</v>
          </cell>
          <cell r="K140" t="str">
            <v>On Net Only</v>
          </cell>
          <cell r="L140" t="str">
            <v>Not Available</v>
          </cell>
          <cell r="M140" t="str">
            <v>Not Available</v>
          </cell>
          <cell r="N140" t="str">
            <v>Available</v>
          </cell>
          <cell r="O140" t="str">
            <v>Available</v>
          </cell>
          <cell r="P140" t="str">
            <v>Available</v>
          </cell>
          <cell r="Q140" t="str">
            <v>Available</v>
          </cell>
          <cell r="R140" t="str">
            <v>Not Available</v>
          </cell>
          <cell r="S140" t="str">
            <v>Not Available</v>
          </cell>
          <cell r="T140" t="str">
            <v>Not Available</v>
          </cell>
          <cell r="U140" t="str">
            <v>Not Available</v>
          </cell>
        </row>
        <row r="141">
          <cell r="B141" t="str">
            <v>MLT</v>
          </cell>
          <cell r="C141" t="b">
            <v>1</v>
          </cell>
          <cell r="D141" t="b">
            <v>1</v>
          </cell>
          <cell r="E141" t="str">
            <v>Malta</v>
          </cell>
          <cell r="H141" t="str">
            <v>Not Available</v>
          </cell>
          <cell r="I141" t="str">
            <v>Not Available</v>
          </cell>
          <cell r="J141" t="str">
            <v>See Reference Portal http://grp.equant.com/BusTalkGRP/</v>
          </cell>
          <cell r="K141" t="str">
            <v>See Reference Portal http://grp.equant.com/BusTalkGRP/</v>
          </cell>
          <cell r="L141" t="str">
            <v>Not Available</v>
          </cell>
          <cell r="M141" t="str">
            <v>Not Available</v>
          </cell>
          <cell r="N141" t="str">
            <v>Not Available</v>
          </cell>
          <cell r="O141" t="str">
            <v>Not Available</v>
          </cell>
          <cell r="P141" t="str">
            <v>Not Available</v>
          </cell>
          <cell r="Q141" t="str">
            <v>Not Available</v>
          </cell>
          <cell r="R141" t="str">
            <v>Not Available</v>
          </cell>
          <cell r="S141" t="str">
            <v>DIDZ6</v>
          </cell>
          <cell r="T141" t="str">
            <v>Not Available</v>
          </cell>
          <cell r="U141" t="str">
            <v>Not Available</v>
          </cell>
        </row>
        <row r="142">
          <cell r="B142" t="str">
            <v>MHL</v>
          </cell>
          <cell r="C142" t="b">
            <v>0</v>
          </cell>
          <cell r="D142" t="b">
            <v>0</v>
          </cell>
          <cell r="E142" t="str">
            <v>Marshall Islands</v>
          </cell>
          <cell r="H142" t="str">
            <v>Not Available</v>
          </cell>
          <cell r="I142" t="str">
            <v>Not Available</v>
          </cell>
          <cell r="J142" t="str">
            <v>Not Available</v>
          </cell>
          <cell r="K142" t="str">
            <v>Not Available</v>
          </cell>
          <cell r="L142" t="str">
            <v>Not Available</v>
          </cell>
          <cell r="M142" t="str">
            <v>Not Available</v>
          </cell>
          <cell r="N142" t="str">
            <v>Not Available</v>
          </cell>
          <cell r="O142" t="str">
            <v>Not Available</v>
          </cell>
          <cell r="P142" t="str">
            <v>Not Available</v>
          </cell>
          <cell r="Q142" t="str">
            <v>Not Available</v>
          </cell>
          <cell r="R142" t="str">
            <v>Not Available</v>
          </cell>
          <cell r="S142" t="str">
            <v>Not Available</v>
          </cell>
          <cell r="T142" t="str">
            <v>Not Available</v>
          </cell>
          <cell r="U142" t="str">
            <v>Not Available</v>
          </cell>
        </row>
        <row r="143">
          <cell r="B143" t="str">
            <v>MTQ</v>
          </cell>
          <cell r="C143" t="b">
            <v>0</v>
          </cell>
          <cell r="D143" t="b">
            <v>0</v>
          </cell>
          <cell r="E143" t="str">
            <v>Martinique</v>
          </cell>
          <cell r="H143" t="str">
            <v>Not Available</v>
          </cell>
          <cell r="I143" t="str">
            <v>Not Available</v>
          </cell>
          <cell r="J143" t="str">
            <v>Available</v>
          </cell>
          <cell r="K143" t="str">
            <v>Available</v>
          </cell>
          <cell r="L143" t="str">
            <v>Available</v>
          </cell>
          <cell r="M143" t="str">
            <v>Not Available</v>
          </cell>
          <cell r="N143" t="str">
            <v>Not Available</v>
          </cell>
          <cell r="O143" t="str">
            <v>Available</v>
          </cell>
          <cell r="P143" t="str">
            <v>Not Available</v>
          </cell>
          <cell r="Q143" t="str">
            <v>Not Available</v>
          </cell>
          <cell r="R143" t="str">
            <v>Not Available</v>
          </cell>
          <cell r="S143" t="str">
            <v>DIDZ8</v>
          </cell>
          <cell r="T143" t="str">
            <v>Not Available</v>
          </cell>
          <cell r="U143" t="str">
            <v>Not Available</v>
          </cell>
        </row>
        <row r="144">
          <cell r="B144" t="str">
            <v>MRT</v>
          </cell>
          <cell r="C144" t="b">
            <v>0</v>
          </cell>
          <cell r="D144" t="b">
            <v>0</v>
          </cell>
          <cell r="E144" t="str">
            <v>Mauritania</v>
          </cell>
          <cell r="H144" t="str">
            <v>Not Available</v>
          </cell>
          <cell r="I144" t="str">
            <v>Not Available</v>
          </cell>
          <cell r="J144" t="str">
            <v>Not Available</v>
          </cell>
          <cell r="K144" t="str">
            <v>Not Available</v>
          </cell>
          <cell r="L144" t="str">
            <v>Not Available</v>
          </cell>
          <cell r="M144" t="str">
            <v>Not Available</v>
          </cell>
          <cell r="N144" t="str">
            <v>Not Available</v>
          </cell>
          <cell r="O144" t="str">
            <v>Available</v>
          </cell>
          <cell r="P144" t="str">
            <v>Not Available</v>
          </cell>
          <cell r="Q144" t="str">
            <v>Not Available</v>
          </cell>
          <cell r="R144" t="str">
            <v>Not Available</v>
          </cell>
          <cell r="S144" t="str">
            <v>Not Available</v>
          </cell>
          <cell r="T144" t="str">
            <v>Not Available</v>
          </cell>
          <cell r="U144" t="str">
            <v>Not Available</v>
          </cell>
        </row>
        <row r="145">
          <cell r="B145" t="str">
            <v>MUS</v>
          </cell>
          <cell r="C145" t="b">
            <v>0</v>
          </cell>
          <cell r="D145" t="b">
            <v>0</v>
          </cell>
          <cell r="E145" t="str">
            <v>Mauritius</v>
          </cell>
          <cell r="H145" t="str">
            <v>Not Available</v>
          </cell>
          <cell r="I145" t="str">
            <v>Not Available</v>
          </cell>
          <cell r="J145" t="str">
            <v>On Net Only</v>
          </cell>
          <cell r="K145" t="str">
            <v>On Net Only</v>
          </cell>
          <cell r="L145" t="str">
            <v>Not Available</v>
          </cell>
          <cell r="M145" t="str">
            <v>Not Available</v>
          </cell>
          <cell r="N145" t="str">
            <v>Not Available</v>
          </cell>
          <cell r="O145" t="str">
            <v>Available</v>
          </cell>
          <cell r="P145" t="str">
            <v>Not Available</v>
          </cell>
          <cell r="Q145" t="str">
            <v>Available</v>
          </cell>
          <cell r="R145" t="str">
            <v>Not Available</v>
          </cell>
          <cell r="S145" t="str">
            <v>Not Available</v>
          </cell>
          <cell r="T145" t="str">
            <v>Not Available</v>
          </cell>
          <cell r="U145" t="str">
            <v>Not Available</v>
          </cell>
        </row>
        <row r="146">
          <cell r="B146" t="str">
            <v>MAY</v>
          </cell>
          <cell r="C146" t="b">
            <v>0</v>
          </cell>
          <cell r="D146" t="b">
            <v>0</v>
          </cell>
          <cell r="E146" t="str">
            <v>Mayotte</v>
          </cell>
          <cell r="H146" t="str">
            <v>Not Available</v>
          </cell>
          <cell r="I146" t="str">
            <v>Not Available</v>
          </cell>
          <cell r="J146" t="str">
            <v>Available</v>
          </cell>
          <cell r="K146" t="str">
            <v>Available</v>
          </cell>
          <cell r="L146" t="str">
            <v>Not Available</v>
          </cell>
          <cell r="M146" t="str">
            <v>Not Available</v>
          </cell>
          <cell r="N146" t="str">
            <v>Not Available</v>
          </cell>
          <cell r="O146" t="str">
            <v>Available</v>
          </cell>
          <cell r="P146" t="str">
            <v>Not Available</v>
          </cell>
          <cell r="Q146" t="str">
            <v>Not Available</v>
          </cell>
          <cell r="R146" t="str">
            <v>Not Available</v>
          </cell>
          <cell r="S146" t="str">
            <v>DIDZ8</v>
          </cell>
          <cell r="T146" t="str">
            <v>Not Available</v>
          </cell>
          <cell r="U146" t="str">
            <v>Not Available</v>
          </cell>
        </row>
        <row r="147">
          <cell r="B147" t="str">
            <v>MEX</v>
          </cell>
          <cell r="C147" t="b">
            <v>0</v>
          </cell>
          <cell r="D147" t="b">
            <v>0</v>
          </cell>
          <cell r="E147" t="str">
            <v>Mexico</v>
          </cell>
          <cell r="H147" t="str">
            <v>Not Available</v>
          </cell>
          <cell r="I147" t="str">
            <v>Not Available</v>
          </cell>
          <cell r="J147" t="str">
            <v>On Net Only</v>
          </cell>
          <cell r="K147" t="str">
            <v>On Net Only</v>
          </cell>
          <cell r="L147" t="str">
            <v>On Net Only</v>
          </cell>
          <cell r="M147" t="str">
            <v>Not Available</v>
          </cell>
          <cell r="N147" t="str">
            <v>Not Available</v>
          </cell>
          <cell r="O147" t="str">
            <v>Available</v>
          </cell>
          <cell r="P147" t="str">
            <v>Not Available</v>
          </cell>
          <cell r="Q147" t="str">
            <v>Not Available</v>
          </cell>
          <cell r="R147" t="str">
            <v>Not Available</v>
          </cell>
          <cell r="S147" t="str">
            <v>Not Available</v>
          </cell>
          <cell r="T147" t="str">
            <v>Not Available</v>
          </cell>
          <cell r="U147" t="str">
            <v>Not Available</v>
          </cell>
        </row>
        <row r="148">
          <cell r="B148" t="str">
            <v>FSM</v>
          </cell>
          <cell r="C148" t="b">
            <v>0</v>
          </cell>
          <cell r="D148" t="b">
            <v>0</v>
          </cell>
          <cell r="E148" t="str">
            <v>Micronesia</v>
          </cell>
          <cell r="H148" t="str">
            <v>Not Available</v>
          </cell>
          <cell r="I148" t="str">
            <v>Not Available</v>
          </cell>
          <cell r="J148" t="str">
            <v>Not Available</v>
          </cell>
          <cell r="K148" t="str">
            <v>Not Available</v>
          </cell>
          <cell r="L148" t="str">
            <v>Not Available</v>
          </cell>
          <cell r="M148" t="str">
            <v>Not Available</v>
          </cell>
          <cell r="N148" t="str">
            <v>Not Available</v>
          </cell>
          <cell r="O148" t="str">
            <v>Available</v>
          </cell>
          <cell r="P148" t="str">
            <v>Not Available</v>
          </cell>
          <cell r="Q148" t="str">
            <v>Available</v>
          </cell>
          <cell r="R148" t="str">
            <v>Not Available</v>
          </cell>
          <cell r="S148" t="str">
            <v>Not Available</v>
          </cell>
          <cell r="T148" t="str">
            <v>Not Available</v>
          </cell>
          <cell r="U148" t="str">
            <v>Not Available</v>
          </cell>
        </row>
        <row r="149">
          <cell r="B149" t="str">
            <v>MDA</v>
          </cell>
          <cell r="C149" t="b">
            <v>0</v>
          </cell>
          <cell r="D149" t="b">
            <v>1</v>
          </cell>
          <cell r="E149" t="str">
            <v>Moldova</v>
          </cell>
          <cell r="H149" t="str">
            <v>Not Available</v>
          </cell>
          <cell r="I149" t="str">
            <v>Not Available</v>
          </cell>
          <cell r="J149" t="str">
            <v>See Reference Portal http://grp.equant.com/BusTalkGRP/</v>
          </cell>
          <cell r="K149" t="str">
            <v>See Reference Portal http://grp.equant.com/BusTalkGRP/</v>
          </cell>
          <cell r="L149" t="str">
            <v>Not Available</v>
          </cell>
          <cell r="M149" t="str">
            <v>Not Available</v>
          </cell>
          <cell r="N149" t="str">
            <v>Not Available</v>
          </cell>
          <cell r="O149" t="str">
            <v>Available</v>
          </cell>
          <cell r="P149" t="str">
            <v>Not Available</v>
          </cell>
          <cell r="Q149" t="str">
            <v>Not Available</v>
          </cell>
          <cell r="R149" t="str">
            <v>Not Available</v>
          </cell>
          <cell r="S149" t="str">
            <v>Not Available</v>
          </cell>
          <cell r="T149" t="str">
            <v>Not Available</v>
          </cell>
          <cell r="U149" t="str">
            <v>Not Available</v>
          </cell>
        </row>
        <row r="150">
          <cell r="B150" t="str">
            <v>MCO</v>
          </cell>
          <cell r="C150" t="b">
            <v>0</v>
          </cell>
          <cell r="D150" t="b">
            <v>1</v>
          </cell>
          <cell r="E150" t="str">
            <v>Monaco</v>
          </cell>
          <cell r="H150" t="str">
            <v>Not Available</v>
          </cell>
          <cell r="I150" t="str">
            <v>Not Available</v>
          </cell>
          <cell r="J150" t="str">
            <v>On Net Only</v>
          </cell>
          <cell r="K150" t="str">
            <v>On Net Only</v>
          </cell>
          <cell r="L150" t="str">
            <v>Not Available</v>
          </cell>
          <cell r="M150" t="str">
            <v>Not Available</v>
          </cell>
          <cell r="N150" t="str">
            <v>Available</v>
          </cell>
          <cell r="O150" t="str">
            <v>Available</v>
          </cell>
          <cell r="P150" t="str">
            <v>Contact Product</v>
          </cell>
          <cell r="Q150" t="str">
            <v>Available</v>
          </cell>
          <cell r="R150" t="str">
            <v>Not Available</v>
          </cell>
          <cell r="S150" t="str">
            <v>Not Available</v>
          </cell>
          <cell r="T150" t="str">
            <v>Not Available</v>
          </cell>
          <cell r="U150" t="str">
            <v>Not Available</v>
          </cell>
        </row>
        <row r="151">
          <cell r="B151" t="str">
            <v>MNG</v>
          </cell>
          <cell r="C151" t="b">
            <v>0</v>
          </cell>
          <cell r="D151" t="b">
            <v>0</v>
          </cell>
          <cell r="E151" t="str">
            <v>Mongolia</v>
          </cell>
          <cell r="H151" t="str">
            <v>Not Available</v>
          </cell>
          <cell r="I151" t="str">
            <v>Not Available</v>
          </cell>
          <cell r="J151" t="str">
            <v>Not Available</v>
          </cell>
          <cell r="K151" t="str">
            <v>Not Available</v>
          </cell>
          <cell r="L151" t="str">
            <v>Not Available</v>
          </cell>
          <cell r="M151" t="str">
            <v>Not Available</v>
          </cell>
          <cell r="N151" t="str">
            <v>Not Available</v>
          </cell>
          <cell r="O151" t="str">
            <v>Not Available</v>
          </cell>
          <cell r="P151" t="str">
            <v>Not Available</v>
          </cell>
          <cell r="Q151" t="str">
            <v>Not Available</v>
          </cell>
          <cell r="R151" t="str">
            <v>Not Available</v>
          </cell>
          <cell r="S151" t="str">
            <v>Not Available</v>
          </cell>
          <cell r="T151" t="str">
            <v>Not Available</v>
          </cell>
          <cell r="U151" t="str">
            <v>Not Available</v>
          </cell>
        </row>
        <row r="152">
          <cell r="B152" t="str">
            <v>MNE</v>
          </cell>
          <cell r="C152" t="b">
            <v>0</v>
          </cell>
          <cell r="D152" t="b">
            <v>1</v>
          </cell>
          <cell r="E152" t="str">
            <v>Montenegro</v>
          </cell>
          <cell r="H152" t="str">
            <v>Not Available</v>
          </cell>
          <cell r="I152" t="str">
            <v>Not Available</v>
          </cell>
          <cell r="J152" t="str">
            <v>Not Available</v>
          </cell>
          <cell r="K152" t="str">
            <v>Not Available</v>
          </cell>
          <cell r="L152" t="str">
            <v>Not Available</v>
          </cell>
          <cell r="M152" t="str">
            <v>Not Available</v>
          </cell>
          <cell r="N152" t="str">
            <v>Available</v>
          </cell>
          <cell r="O152" t="str">
            <v>Available</v>
          </cell>
          <cell r="P152" t="str">
            <v>Not Available</v>
          </cell>
          <cell r="Q152" t="str">
            <v>Available</v>
          </cell>
          <cell r="R152" t="str">
            <v>Not Available</v>
          </cell>
          <cell r="S152" t="str">
            <v>Not Available</v>
          </cell>
          <cell r="T152" t="str">
            <v>Not Available</v>
          </cell>
          <cell r="U152" t="str">
            <v>Not Available</v>
          </cell>
        </row>
        <row r="153">
          <cell r="B153" t="str">
            <v>MSR</v>
          </cell>
          <cell r="C153" t="b">
            <v>0</v>
          </cell>
          <cell r="D153" t="b">
            <v>0</v>
          </cell>
          <cell r="E153" t="str">
            <v>Montserrat</v>
          </cell>
          <cell r="H153" t="str">
            <v>Not Available</v>
          </cell>
          <cell r="I153" t="str">
            <v>Not Available</v>
          </cell>
          <cell r="J153" t="str">
            <v>Not Available</v>
          </cell>
          <cell r="K153" t="str">
            <v>Not Available</v>
          </cell>
          <cell r="L153" t="str">
            <v>Not Available</v>
          </cell>
          <cell r="M153" t="str">
            <v>Not Available</v>
          </cell>
          <cell r="N153" t="str">
            <v>Not Available</v>
          </cell>
          <cell r="O153" t="str">
            <v>Available</v>
          </cell>
          <cell r="P153" t="str">
            <v>Not Available</v>
          </cell>
          <cell r="Q153" t="str">
            <v>Available</v>
          </cell>
          <cell r="R153" t="str">
            <v>Not Available</v>
          </cell>
          <cell r="S153" t="str">
            <v>Not Available</v>
          </cell>
          <cell r="T153" t="str">
            <v>Not Available</v>
          </cell>
          <cell r="U153" t="str">
            <v>Not Available</v>
          </cell>
        </row>
        <row r="154">
          <cell r="B154" t="str">
            <v>MAR</v>
          </cell>
          <cell r="C154" t="b">
            <v>0</v>
          </cell>
          <cell r="D154" t="b">
            <v>0</v>
          </cell>
          <cell r="E154" t="str">
            <v>Morocco</v>
          </cell>
          <cell r="H154" t="str">
            <v>Not Available</v>
          </cell>
          <cell r="I154" t="str">
            <v>Not Available</v>
          </cell>
          <cell r="J154" t="str">
            <v>On Net Only</v>
          </cell>
          <cell r="K154" t="str">
            <v>On Net Only</v>
          </cell>
          <cell r="L154" t="str">
            <v>Not Available</v>
          </cell>
          <cell r="M154" t="str">
            <v>Not Available</v>
          </cell>
          <cell r="N154" t="str">
            <v>Available</v>
          </cell>
          <cell r="O154" t="str">
            <v>Available</v>
          </cell>
          <cell r="P154" t="str">
            <v>Contact Product</v>
          </cell>
          <cell r="Q154" t="str">
            <v>Available</v>
          </cell>
          <cell r="R154" t="str">
            <v>Not Available</v>
          </cell>
          <cell r="S154" t="str">
            <v>Not Available</v>
          </cell>
          <cell r="T154" t="str">
            <v>Not Available</v>
          </cell>
          <cell r="U154" t="str">
            <v>Not Available</v>
          </cell>
        </row>
        <row r="155">
          <cell r="B155" t="str">
            <v>MOZ</v>
          </cell>
          <cell r="C155" t="b">
            <v>0</v>
          </cell>
          <cell r="D155" t="b">
            <v>0</v>
          </cell>
          <cell r="E155" t="str">
            <v>Mozambique</v>
          </cell>
          <cell r="H155" t="str">
            <v>Not Available</v>
          </cell>
          <cell r="I155" t="str">
            <v>Not Available</v>
          </cell>
          <cell r="J155" t="str">
            <v>On Net Only</v>
          </cell>
          <cell r="K155" t="str">
            <v>On Net Only</v>
          </cell>
          <cell r="L155" t="str">
            <v>Not Available</v>
          </cell>
          <cell r="M155" t="str">
            <v>Not Available</v>
          </cell>
          <cell r="N155" t="str">
            <v>Not Available</v>
          </cell>
          <cell r="O155" t="str">
            <v>Available</v>
          </cell>
          <cell r="P155" t="str">
            <v>Not Available</v>
          </cell>
          <cell r="Q155" t="str">
            <v>Available</v>
          </cell>
          <cell r="R155" t="str">
            <v>Not Available</v>
          </cell>
          <cell r="S155" t="str">
            <v>Not Available</v>
          </cell>
          <cell r="T155" t="str">
            <v>Not Available</v>
          </cell>
          <cell r="U155" t="str">
            <v>Not Available</v>
          </cell>
        </row>
        <row r="156">
          <cell r="B156" t="str">
            <v>BUR</v>
          </cell>
          <cell r="C156" t="b">
            <v>0</v>
          </cell>
          <cell r="D156" t="b">
            <v>0</v>
          </cell>
          <cell r="E156" t="str">
            <v>Myanmar</v>
          </cell>
          <cell r="H156" t="str">
            <v>Not Available</v>
          </cell>
          <cell r="I156" t="str">
            <v>Not Available</v>
          </cell>
          <cell r="J156" t="str">
            <v>Not Available</v>
          </cell>
          <cell r="K156" t="str">
            <v>Not Available</v>
          </cell>
          <cell r="L156" t="str">
            <v>Not Available</v>
          </cell>
          <cell r="M156" t="str">
            <v>Not Available</v>
          </cell>
          <cell r="N156" t="str">
            <v>Not Available</v>
          </cell>
          <cell r="O156" t="str">
            <v>Available</v>
          </cell>
          <cell r="P156" t="str">
            <v>Not Available</v>
          </cell>
          <cell r="Q156" t="str">
            <v>Available</v>
          </cell>
          <cell r="R156" t="str">
            <v>Not Available</v>
          </cell>
          <cell r="S156" t="str">
            <v>Not Available</v>
          </cell>
          <cell r="T156" t="str">
            <v>Not Available</v>
          </cell>
          <cell r="U156" t="str">
            <v>Not Available</v>
          </cell>
        </row>
        <row r="157">
          <cell r="B157" t="str">
            <v>NAM</v>
          </cell>
          <cell r="C157" t="b">
            <v>0</v>
          </cell>
          <cell r="D157" t="b">
            <v>0</v>
          </cell>
          <cell r="E157" t="str">
            <v>Namibia</v>
          </cell>
          <cell r="H157" t="str">
            <v>Not Available</v>
          </cell>
          <cell r="I157" t="str">
            <v>Not Available</v>
          </cell>
          <cell r="J157" t="str">
            <v>On Net Only</v>
          </cell>
          <cell r="K157" t="str">
            <v>On Net Only</v>
          </cell>
          <cell r="L157" t="str">
            <v>Not Available</v>
          </cell>
          <cell r="M157" t="str">
            <v>Not Available</v>
          </cell>
          <cell r="N157" t="str">
            <v>Not Available</v>
          </cell>
          <cell r="O157" t="str">
            <v>Available</v>
          </cell>
          <cell r="P157" t="str">
            <v>Not Available</v>
          </cell>
          <cell r="Q157" t="str">
            <v>Not Available</v>
          </cell>
          <cell r="R157" t="str">
            <v>Not Available</v>
          </cell>
          <cell r="S157" t="str">
            <v>Not Available</v>
          </cell>
          <cell r="T157" t="str">
            <v>Not Available</v>
          </cell>
          <cell r="U157" t="str">
            <v>Not Available</v>
          </cell>
        </row>
        <row r="158">
          <cell r="B158" t="str">
            <v>NRU</v>
          </cell>
          <cell r="C158" t="b">
            <v>0</v>
          </cell>
          <cell r="D158" t="b">
            <v>0</v>
          </cell>
          <cell r="E158" t="str">
            <v>Nauru</v>
          </cell>
          <cell r="H158" t="str">
            <v>Not Available</v>
          </cell>
          <cell r="I158" t="str">
            <v>Not Available</v>
          </cell>
          <cell r="J158" t="str">
            <v>Not Available</v>
          </cell>
          <cell r="K158" t="str">
            <v>Not Available</v>
          </cell>
          <cell r="L158" t="str">
            <v>Not Available</v>
          </cell>
          <cell r="M158" t="str">
            <v>Not Available</v>
          </cell>
          <cell r="N158" t="str">
            <v>Not Available</v>
          </cell>
          <cell r="O158" t="str">
            <v>Available</v>
          </cell>
          <cell r="P158" t="str">
            <v>Not Available</v>
          </cell>
          <cell r="Q158" t="str">
            <v>Not Available</v>
          </cell>
          <cell r="R158" t="str">
            <v>Not Available</v>
          </cell>
          <cell r="S158" t="str">
            <v>Not Available</v>
          </cell>
          <cell r="T158" t="str">
            <v>Not Available</v>
          </cell>
          <cell r="U158" t="str">
            <v>Not Available</v>
          </cell>
        </row>
        <row r="159">
          <cell r="B159" t="str">
            <v>NPL</v>
          </cell>
          <cell r="C159" t="b">
            <v>0</v>
          </cell>
          <cell r="D159" t="b">
            <v>0</v>
          </cell>
          <cell r="E159" t="str">
            <v>Nepal</v>
          </cell>
          <cell r="H159" t="str">
            <v>Not Available</v>
          </cell>
          <cell r="I159" t="str">
            <v>Not Available</v>
          </cell>
          <cell r="J159" t="str">
            <v>Not Available</v>
          </cell>
          <cell r="K159" t="str">
            <v>Not Available</v>
          </cell>
          <cell r="L159" t="str">
            <v>Not Available</v>
          </cell>
          <cell r="M159" t="str">
            <v>Not Available</v>
          </cell>
          <cell r="N159" t="str">
            <v>Not Available</v>
          </cell>
          <cell r="O159" t="str">
            <v>Available</v>
          </cell>
          <cell r="P159" t="str">
            <v>Not Available</v>
          </cell>
          <cell r="Q159" t="str">
            <v>Available</v>
          </cell>
          <cell r="R159" t="str">
            <v>Not Available</v>
          </cell>
          <cell r="S159" t="str">
            <v>Not Available</v>
          </cell>
          <cell r="T159" t="str">
            <v>Not Available</v>
          </cell>
          <cell r="U159" t="str">
            <v>Not Available</v>
          </cell>
        </row>
        <row r="160">
          <cell r="B160" t="str">
            <v>NDL</v>
          </cell>
          <cell r="C160" t="b">
            <v>1</v>
          </cell>
          <cell r="D160" t="b">
            <v>1</v>
          </cell>
          <cell r="E160" t="str">
            <v>Netherlands</v>
          </cell>
          <cell r="H160" t="str">
            <v>Not Available</v>
          </cell>
          <cell r="I160" t="str">
            <v>Available</v>
          </cell>
          <cell r="J160" t="str">
            <v>Available</v>
          </cell>
          <cell r="K160" t="str">
            <v>Available</v>
          </cell>
          <cell r="L160" t="str">
            <v>Available</v>
          </cell>
          <cell r="M160" t="str">
            <v>Not Available</v>
          </cell>
          <cell r="N160" t="str">
            <v>Not Available</v>
          </cell>
          <cell r="O160" t="str">
            <v>Available</v>
          </cell>
          <cell r="P160" t="str">
            <v>Not Available</v>
          </cell>
          <cell r="Q160" t="str">
            <v>Not Available</v>
          </cell>
          <cell r="R160" t="str">
            <v>Not Available</v>
          </cell>
          <cell r="S160" t="str">
            <v>DIDZ1</v>
          </cell>
          <cell r="T160" t="str">
            <v>DIDZ1</v>
          </cell>
          <cell r="U160" t="str">
            <v>Not Available</v>
          </cell>
        </row>
        <row r="161">
          <cell r="B161" t="str">
            <v>NCL</v>
          </cell>
          <cell r="C161" t="b">
            <v>0</v>
          </cell>
          <cell r="D161" t="b">
            <v>0</v>
          </cell>
          <cell r="E161" t="str">
            <v>New Caledonia</v>
          </cell>
          <cell r="H161" t="str">
            <v>Not Available</v>
          </cell>
          <cell r="I161" t="str">
            <v>Not Available</v>
          </cell>
          <cell r="J161" t="str">
            <v>Not Available</v>
          </cell>
          <cell r="K161" t="str">
            <v>Not Available</v>
          </cell>
          <cell r="L161" t="str">
            <v>Not Available</v>
          </cell>
          <cell r="M161" t="str">
            <v>Not Available</v>
          </cell>
          <cell r="N161" t="str">
            <v>Not Available</v>
          </cell>
          <cell r="O161" t="str">
            <v>Available</v>
          </cell>
          <cell r="P161" t="str">
            <v>Not Available</v>
          </cell>
          <cell r="Q161" t="str">
            <v>Not Available</v>
          </cell>
          <cell r="R161" t="str">
            <v>Not Available</v>
          </cell>
          <cell r="S161" t="str">
            <v>Not Available</v>
          </cell>
          <cell r="T161" t="str">
            <v>Not Available</v>
          </cell>
          <cell r="U161" t="str">
            <v>Not Available</v>
          </cell>
        </row>
        <row r="162">
          <cell r="B162" t="str">
            <v>NZL</v>
          </cell>
          <cell r="C162" t="b">
            <v>0</v>
          </cell>
          <cell r="D162" t="b">
            <v>0</v>
          </cell>
          <cell r="E162" t="str">
            <v>New Zealand</v>
          </cell>
          <cell r="H162" t="str">
            <v>Not Available</v>
          </cell>
          <cell r="I162" t="str">
            <v>Not Available</v>
          </cell>
          <cell r="J162" t="str">
            <v>Available</v>
          </cell>
          <cell r="K162" t="str">
            <v>Available</v>
          </cell>
          <cell r="L162" t="str">
            <v>Available</v>
          </cell>
          <cell r="M162" t="str">
            <v>Not Available</v>
          </cell>
          <cell r="N162" t="str">
            <v>Not Available</v>
          </cell>
          <cell r="O162" t="str">
            <v>Available</v>
          </cell>
          <cell r="P162" t="str">
            <v>Not Available</v>
          </cell>
          <cell r="Q162" t="str">
            <v>Not Available</v>
          </cell>
          <cell r="R162" t="str">
            <v>Not Available</v>
          </cell>
          <cell r="S162" t="str">
            <v>DIDZ2</v>
          </cell>
          <cell r="T162" t="str">
            <v>Not Available</v>
          </cell>
          <cell r="U162" t="str">
            <v>Not Available</v>
          </cell>
        </row>
        <row r="163">
          <cell r="B163" t="str">
            <v>NIC</v>
          </cell>
          <cell r="C163" t="b">
            <v>0</v>
          </cell>
          <cell r="D163" t="b">
            <v>0</v>
          </cell>
          <cell r="E163" t="str">
            <v>Nicaragua</v>
          </cell>
          <cell r="H163" t="str">
            <v>Not Available</v>
          </cell>
          <cell r="I163" t="str">
            <v>Not Available</v>
          </cell>
          <cell r="J163" t="str">
            <v>On Net Only</v>
          </cell>
          <cell r="K163" t="str">
            <v>On Net Only</v>
          </cell>
          <cell r="L163" t="str">
            <v>Not Available</v>
          </cell>
          <cell r="M163" t="str">
            <v>Not Available</v>
          </cell>
          <cell r="N163" t="str">
            <v>Not Available</v>
          </cell>
          <cell r="O163" t="str">
            <v>Available</v>
          </cell>
          <cell r="P163" t="str">
            <v>Not Available</v>
          </cell>
          <cell r="Q163" t="str">
            <v>Not Available</v>
          </cell>
          <cell r="R163" t="str">
            <v>Not Available</v>
          </cell>
          <cell r="S163" t="str">
            <v>Not Available</v>
          </cell>
          <cell r="T163" t="str">
            <v>Not Available</v>
          </cell>
          <cell r="U163" t="str">
            <v>Not Available</v>
          </cell>
        </row>
        <row r="164">
          <cell r="B164" t="str">
            <v>NER</v>
          </cell>
          <cell r="C164" t="b">
            <v>0</v>
          </cell>
          <cell r="D164" t="b">
            <v>0</v>
          </cell>
          <cell r="E164" t="str">
            <v>Niger</v>
          </cell>
          <cell r="H164" t="str">
            <v>Not Available</v>
          </cell>
          <cell r="I164" t="str">
            <v>Not Available</v>
          </cell>
          <cell r="J164" t="str">
            <v>On Net Only</v>
          </cell>
          <cell r="K164" t="str">
            <v>On Net Only</v>
          </cell>
          <cell r="L164" t="str">
            <v>Not Available</v>
          </cell>
          <cell r="M164" t="str">
            <v>Not Available</v>
          </cell>
          <cell r="N164" t="str">
            <v>Not Available</v>
          </cell>
          <cell r="O164" t="str">
            <v>Available</v>
          </cell>
          <cell r="P164" t="str">
            <v>Not Available</v>
          </cell>
          <cell r="Q164" t="str">
            <v>Available</v>
          </cell>
          <cell r="R164" t="str">
            <v>Not Available</v>
          </cell>
          <cell r="S164" t="str">
            <v>Not Available</v>
          </cell>
          <cell r="T164" t="str">
            <v>Not Available</v>
          </cell>
          <cell r="U164" t="str">
            <v>Not Available</v>
          </cell>
        </row>
        <row r="165">
          <cell r="B165" t="str">
            <v>NGA</v>
          </cell>
          <cell r="C165" t="b">
            <v>0</v>
          </cell>
          <cell r="D165" t="b">
            <v>0</v>
          </cell>
          <cell r="E165" t="str">
            <v>Nigeria</v>
          </cell>
          <cell r="H165" t="str">
            <v>Not Available</v>
          </cell>
          <cell r="I165" t="str">
            <v>Not Available</v>
          </cell>
          <cell r="J165" t="str">
            <v>No Domestic Off Net</v>
          </cell>
          <cell r="K165" t="str">
            <v>No Domestic Off Net</v>
          </cell>
          <cell r="L165" t="str">
            <v>Not Available</v>
          </cell>
          <cell r="M165" t="str">
            <v>Not Available</v>
          </cell>
          <cell r="N165" t="str">
            <v>Not Available</v>
          </cell>
          <cell r="O165" t="str">
            <v>Available</v>
          </cell>
          <cell r="P165" t="str">
            <v>Not Available</v>
          </cell>
          <cell r="Q165" t="str">
            <v>Not Available</v>
          </cell>
          <cell r="R165" t="str">
            <v>Not Available</v>
          </cell>
          <cell r="S165" t="str">
            <v>Not Available</v>
          </cell>
          <cell r="T165" t="str">
            <v>Not Available</v>
          </cell>
          <cell r="U165" t="str">
            <v>Not Available</v>
          </cell>
        </row>
        <row r="166">
          <cell r="B166" t="str">
            <v>NIU</v>
          </cell>
          <cell r="C166" t="b">
            <v>0</v>
          </cell>
          <cell r="D166" t="b">
            <v>0</v>
          </cell>
          <cell r="E166" t="str">
            <v>Niue</v>
          </cell>
          <cell r="H166" t="str">
            <v>Not Available</v>
          </cell>
          <cell r="I166" t="str">
            <v>Not Available</v>
          </cell>
          <cell r="J166" t="str">
            <v>Not Available</v>
          </cell>
          <cell r="K166" t="str">
            <v>Not Available</v>
          </cell>
          <cell r="L166" t="str">
            <v>Not Available</v>
          </cell>
          <cell r="M166" t="str">
            <v>Not Available</v>
          </cell>
          <cell r="N166" t="str">
            <v>Not Available</v>
          </cell>
          <cell r="O166" t="str">
            <v>Not Available</v>
          </cell>
          <cell r="P166" t="str">
            <v>Not Available</v>
          </cell>
          <cell r="Q166" t="str">
            <v>Not Available</v>
          </cell>
          <cell r="R166" t="str">
            <v>Not Available</v>
          </cell>
          <cell r="S166" t="str">
            <v>Not Available</v>
          </cell>
          <cell r="T166" t="str">
            <v>Not Available</v>
          </cell>
          <cell r="U166" t="str">
            <v>Not Available</v>
          </cell>
        </row>
        <row r="167">
          <cell r="B167" t="str">
            <v>NFK</v>
          </cell>
          <cell r="C167" t="b">
            <v>0</v>
          </cell>
          <cell r="D167" t="b">
            <v>0</v>
          </cell>
          <cell r="E167" t="str">
            <v>Norfolk Island</v>
          </cell>
          <cell r="H167" t="str">
            <v>Not Available</v>
          </cell>
          <cell r="I167" t="str">
            <v>Not Available</v>
          </cell>
          <cell r="J167" t="str">
            <v>Not Available</v>
          </cell>
          <cell r="K167" t="str">
            <v>Not Available</v>
          </cell>
          <cell r="L167" t="str">
            <v>Not Available</v>
          </cell>
          <cell r="M167" t="str">
            <v>Not Available</v>
          </cell>
          <cell r="N167" t="str">
            <v>Not Available</v>
          </cell>
          <cell r="O167" t="str">
            <v>Available</v>
          </cell>
          <cell r="P167" t="str">
            <v>Not Available</v>
          </cell>
          <cell r="Q167" t="str">
            <v>Available</v>
          </cell>
          <cell r="R167" t="str">
            <v>Not Available</v>
          </cell>
          <cell r="S167" t="str">
            <v>Not Available</v>
          </cell>
          <cell r="T167" t="str">
            <v>Not Available</v>
          </cell>
          <cell r="U167" t="str">
            <v>Not Available</v>
          </cell>
        </row>
        <row r="168">
          <cell r="B168" t="str">
            <v>PRK</v>
          </cell>
          <cell r="C168" t="b">
            <v>0</v>
          </cell>
          <cell r="D168" t="b">
            <v>0</v>
          </cell>
          <cell r="E168" t="str">
            <v>North Korea</v>
          </cell>
          <cell r="H168" t="str">
            <v>Not Available</v>
          </cell>
          <cell r="I168" t="str">
            <v>Not Available</v>
          </cell>
          <cell r="J168" t="str">
            <v>Not Available</v>
          </cell>
          <cell r="K168" t="str">
            <v>Not Available</v>
          </cell>
          <cell r="L168" t="str">
            <v>Not Available</v>
          </cell>
          <cell r="M168" t="str">
            <v>Not Available</v>
          </cell>
          <cell r="N168" t="str">
            <v>Not Available</v>
          </cell>
          <cell r="O168" t="str">
            <v>Available</v>
          </cell>
          <cell r="P168" t="str">
            <v>Not Available</v>
          </cell>
          <cell r="Q168" t="str">
            <v>Not Available</v>
          </cell>
          <cell r="R168" t="str">
            <v>Not Available</v>
          </cell>
          <cell r="S168" t="str">
            <v>Not Available</v>
          </cell>
          <cell r="T168" t="str">
            <v>Not Available</v>
          </cell>
          <cell r="U168" t="str">
            <v>Not Available</v>
          </cell>
        </row>
        <row r="169">
          <cell r="B169" t="str">
            <v>MNP</v>
          </cell>
          <cell r="C169" t="b">
            <v>0</v>
          </cell>
          <cell r="D169" t="b">
            <v>0</v>
          </cell>
          <cell r="E169" t="str">
            <v>Northern Mariana Islands</v>
          </cell>
          <cell r="H169" t="str">
            <v>Not Available</v>
          </cell>
          <cell r="I169" t="str">
            <v>Not Available</v>
          </cell>
          <cell r="J169" t="str">
            <v>See Reference Portal http://grp.equant.com/BusTalkGRP/</v>
          </cell>
          <cell r="K169" t="str">
            <v>See Reference Portal http://grp.equant.com/BusTalkGRP/</v>
          </cell>
          <cell r="L169" t="str">
            <v>Not Available</v>
          </cell>
          <cell r="M169" t="str">
            <v>Not Available</v>
          </cell>
          <cell r="N169" t="str">
            <v>Not Available</v>
          </cell>
          <cell r="O169" t="str">
            <v>Available</v>
          </cell>
          <cell r="P169" t="str">
            <v>Not Available</v>
          </cell>
          <cell r="Q169" t="str">
            <v>Not Available</v>
          </cell>
          <cell r="R169" t="str">
            <v>Not Available</v>
          </cell>
          <cell r="S169" t="str">
            <v>Not Available</v>
          </cell>
          <cell r="T169" t="str">
            <v>Not Available</v>
          </cell>
          <cell r="U169" t="str">
            <v>Not Available</v>
          </cell>
        </row>
        <row r="170">
          <cell r="B170" t="str">
            <v>NOR</v>
          </cell>
          <cell r="C170" t="b">
            <v>0</v>
          </cell>
          <cell r="D170" t="b">
            <v>1</v>
          </cell>
          <cell r="E170" t="str">
            <v>Norway</v>
          </cell>
          <cell r="H170" t="str">
            <v>Not Available</v>
          </cell>
          <cell r="I170" t="str">
            <v>Available</v>
          </cell>
          <cell r="J170" t="str">
            <v>Available</v>
          </cell>
          <cell r="K170" t="str">
            <v>Available</v>
          </cell>
          <cell r="L170" t="str">
            <v>Available</v>
          </cell>
          <cell r="M170" t="str">
            <v>Not Available</v>
          </cell>
          <cell r="N170" t="str">
            <v>Available</v>
          </cell>
          <cell r="O170" t="str">
            <v>Available</v>
          </cell>
          <cell r="P170" t="str">
            <v>Available</v>
          </cell>
          <cell r="Q170" t="str">
            <v>Available</v>
          </cell>
          <cell r="R170" t="str">
            <v>Not Available</v>
          </cell>
          <cell r="S170" t="str">
            <v>DIDZ1</v>
          </cell>
          <cell r="T170" t="str">
            <v>DIDZ1</v>
          </cell>
          <cell r="U170" t="str">
            <v>Not Available</v>
          </cell>
        </row>
        <row r="171">
          <cell r="B171" t="str">
            <v>OMN</v>
          </cell>
          <cell r="C171" t="b">
            <v>0</v>
          </cell>
          <cell r="D171" t="b">
            <v>0</v>
          </cell>
          <cell r="E171" t="str">
            <v>Oman</v>
          </cell>
          <cell r="H171" t="str">
            <v>Not Available</v>
          </cell>
          <cell r="I171" t="str">
            <v>Not Available</v>
          </cell>
          <cell r="J171" t="str">
            <v>On Net Only</v>
          </cell>
          <cell r="K171" t="str">
            <v>On Net Only</v>
          </cell>
          <cell r="L171" t="str">
            <v>Not Available</v>
          </cell>
          <cell r="M171" t="str">
            <v>Not Available</v>
          </cell>
          <cell r="N171" t="str">
            <v>Available</v>
          </cell>
          <cell r="O171" t="str">
            <v>Available</v>
          </cell>
          <cell r="P171" t="str">
            <v>Contact Product</v>
          </cell>
          <cell r="Q171" t="str">
            <v>Available</v>
          </cell>
          <cell r="R171" t="str">
            <v>Not Available</v>
          </cell>
          <cell r="S171" t="str">
            <v>Not Available</v>
          </cell>
          <cell r="T171" t="str">
            <v>Not Available</v>
          </cell>
          <cell r="U171" t="str">
            <v>Not Available</v>
          </cell>
        </row>
        <row r="172">
          <cell r="B172" t="str">
            <v>PAK</v>
          </cell>
          <cell r="C172" t="b">
            <v>0</v>
          </cell>
          <cell r="D172" t="b">
            <v>0</v>
          </cell>
          <cell r="E172" t="str">
            <v>Pakistan</v>
          </cell>
          <cell r="H172" t="str">
            <v>Not Available</v>
          </cell>
          <cell r="I172" t="str">
            <v>Not Available</v>
          </cell>
          <cell r="J172" t="str">
            <v>See Reference Portal http://grp.equant.com/BusTalkGRP/</v>
          </cell>
          <cell r="K172" t="str">
            <v>See Reference Portal http://grp.equant.com/BusTalkGRP/</v>
          </cell>
          <cell r="L172" t="str">
            <v>Not Available</v>
          </cell>
          <cell r="M172" t="str">
            <v>Not Available</v>
          </cell>
          <cell r="N172" t="str">
            <v>Not Available</v>
          </cell>
          <cell r="O172" t="str">
            <v>Available</v>
          </cell>
          <cell r="P172" t="str">
            <v>Not Available</v>
          </cell>
          <cell r="Q172" t="str">
            <v>Not Available</v>
          </cell>
          <cell r="R172" t="str">
            <v>Not Available</v>
          </cell>
          <cell r="S172" t="str">
            <v>Not Available</v>
          </cell>
          <cell r="T172" t="str">
            <v>Not Available</v>
          </cell>
          <cell r="U172" t="str">
            <v>Not Available</v>
          </cell>
        </row>
        <row r="173">
          <cell r="B173" t="str">
            <v>PLW</v>
          </cell>
          <cell r="C173" t="b">
            <v>0</v>
          </cell>
          <cell r="D173" t="b">
            <v>0</v>
          </cell>
          <cell r="E173" t="str">
            <v>Palau</v>
          </cell>
          <cell r="H173" t="str">
            <v>Not Available</v>
          </cell>
          <cell r="I173" t="str">
            <v>Not Available</v>
          </cell>
          <cell r="J173" t="str">
            <v>Not Available</v>
          </cell>
          <cell r="K173" t="str">
            <v>Not Available</v>
          </cell>
          <cell r="L173" t="str">
            <v>Not Available</v>
          </cell>
          <cell r="M173" t="str">
            <v>Not Available</v>
          </cell>
          <cell r="N173" t="str">
            <v>Not Available</v>
          </cell>
          <cell r="O173" t="str">
            <v>Available</v>
          </cell>
          <cell r="P173" t="str">
            <v>Not Available</v>
          </cell>
          <cell r="Q173" t="str">
            <v>Not Available</v>
          </cell>
          <cell r="R173" t="str">
            <v>Not Available</v>
          </cell>
          <cell r="S173" t="str">
            <v>Not Available</v>
          </cell>
          <cell r="T173" t="str">
            <v>Not Available</v>
          </cell>
          <cell r="U173" t="str">
            <v>Not Available</v>
          </cell>
        </row>
        <row r="174">
          <cell r="B174" t="str">
            <v>PAL</v>
          </cell>
          <cell r="C174" t="b">
            <v>0</v>
          </cell>
          <cell r="D174" t="b">
            <v>0</v>
          </cell>
          <cell r="E174" t="str">
            <v>Palestinian Territory, Occupied</v>
          </cell>
          <cell r="H174" t="str">
            <v>Not Available</v>
          </cell>
          <cell r="I174" t="str">
            <v>Not Available</v>
          </cell>
          <cell r="J174" t="str">
            <v>Not Available</v>
          </cell>
          <cell r="K174" t="str">
            <v>Not Available</v>
          </cell>
          <cell r="L174" t="str">
            <v>Not Available</v>
          </cell>
          <cell r="M174" t="str">
            <v>Not Available</v>
          </cell>
          <cell r="N174" t="str">
            <v>Not Available</v>
          </cell>
          <cell r="O174" t="str">
            <v>Available</v>
          </cell>
          <cell r="P174" t="str">
            <v>Not Available</v>
          </cell>
          <cell r="Q174" t="str">
            <v>Not Available</v>
          </cell>
          <cell r="R174" t="str">
            <v>Not Available</v>
          </cell>
          <cell r="S174" t="str">
            <v>Not Available</v>
          </cell>
          <cell r="T174" t="str">
            <v>Not Available</v>
          </cell>
          <cell r="U174" t="str">
            <v>Not Available</v>
          </cell>
        </row>
        <row r="175">
          <cell r="B175" t="str">
            <v>PAN</v>
          </cell>
          <cell r="C175" t="b">
            <v>0</v>
          </cell>
          <cell r="D175" t="b">
            <v>0</v>
          </cell>
          <cell r="E175" t="str">
            <v>Panama</v>
          </cell>
          <cell r="H175" t="str">
            <v>Not Available</v>
          </cell>
          <cell r="I175" t="str">
            <v>Not Available</v>
          </cell>
          <cell r="J175" t="str">
            <v>On Net Only</v>
          </cell>
          <cell r="K175" t="str">
            <v>On Net Only</v>
          </cell>
          <cell r="L175" t="str">
            <v>Not Available</v>
          </cell>
          <cell r="M175" t="str">
            <v>Not Available</v>
          </cell>
          <cell r="N175" t="str">
            <v>Not Available</v>
          </cell>
          <cell r="O175" t="str">
            <v>Available</v>
          </cell>
          <cell r="P175" t="str">
            <v>Not Available</v>
          </cell>
          <cell r="Q175" t="str">
            <v>Not Available</v>
          </cell>
          <cell r="R175" t="str">
            <v>Not Available</v>
          </cell>
          <cell r="S175" t="str">
            <v>Not Available</v>
          </cell>
          <cell r="T175" t="str">
            <v>Not Available</v>
          </cell>
          <cell r="U175" t="str">
            <v>Not Available</v>
          </cell>
        </row>
        <row r="176">
          <cell r="B176" t="str">
            <v>PNG</v>
          </cell>
          <cell r="C176" t="b">
            <v>0</v>
          </cell>
          <cell r="D176" t="b">
            <v>0</v>
          </cell>
          <cell r="E176" t="str">
            <v>Papua New Guinea</v>
          </cell>
          <cell r="H176" t="str">
            <v>Not Available</v>
          </cell>
          <cell r="I176" t="str">
            <v>Not Available</v>
          </cell>
          <cell r="J176" t="str">
            <v>Not Available</v>
          </cell>
          <cell r="K176" t="str">
            <v>Not Available</v>
          </cell>
          <cell r="L176" t="str">
            <v>Not Available</v>
          </cell>
          <cell r="M176" t="str">
            <v>Not Available</v>
          </cell>
          <cell r="N176" t="str">
            <v>Not Available</v>
          </cell>
          <cell r="O176" t="str">
            <v>Available</v>
          </cell>
          <cell r="P176" t="str">
            <v>Not Available</v>
          </cell>
          <cell r="Q176" t="str">
            <v>Not Available</v>
          </cell>
          <cell r="R176" t="str">
            <v>Not Available</v>
          </cell>
          <cell r="S176" t="str">
            <v>Not Available</v>
          </cell>
          <cell r="T176" t="str">
            <v>Not Available</v>
          </cell>
          <cell r="U176" t="str">
            <v>Not Available</v>
          </cell>
        </row>
        <row r="177">
          <cell r="B177" t="str">
            <v>PRY</v>
          </cell>
          <cell r="C177" t="b">
            <v>0</v>
          </cell>
          <cell r="D177" t="b">
            <v>0</v>
          </cell>
          <cell r="E177" t="str">
            <v>Paraguay</v>
          </cell>
          <cell r="H177" t="str">
            <v>Not Available</v>
          </cell>
          <cell r="I177" t="str">
            <v>Not Available</v>
          </cell>
          <cell r="J177" t="str">
            <v>On Net Only</v>
          </cell>
          <cell r="K177" t="str">
            <v>On Net Only</v>
          </cell>
          <cell r="L177" t="str">
            <v>Not Available</v>
          </cell>
          <cell r="M177" t="str">
            <v>Not Available</v>
          </cell>
          <cell r="N177" t="str">
            <v>Not Available</v>
          </cell>
          <cell r="O177" t="str">
            <v>Not Available</v>
          </cell>
          <cell r="P177" t="str">
            <v>Not Available</v>
          </cell>
          <cell r="Q177" t="str">
            <v>Not Available</v>
          </cell>
          <cell r="R177" t="str">
            <v>Not Available</v>
          </cell>
          <cell r="S177" t="str">
            <v>Not Available</v>
          </cell>
          <cell r="T177" t="str">
            <v>Not Available</v>
          </cell>
          <cell r="U177" t="str">
            <v>Not Available</v>
          </cell>
        </row>
        <row r="178">
          <cell r="B178" t="str">
            <v>PER</v>
          </cell>
          <cell r="C178" t="b">
            <v>0</v>
          </cell>
          <cell r="D178" t="b">
            <v>0</v>
          </cell>
          <cell r="E178" t="str">
            <v>Peru</v>
          </cell>
          <cell r="H178" t="str">
            <v>Not Available</v>
          </cell>
          <cell r="I178" t="str">
            <v>Not Available</v>
          </cell>
          <cell r="J178" t="str">
            <v>On Net Only</v>
          </cell>
          <cell r="K178" t="str">
            <v>On Net Only</v>
          </cell>
          <cell r="L178" t="str">
            <v>Not Available</v>
          </cell>
          <cell r="M178" t="str">
            <v>Not Available</v>
          </cell>
          <cell r="N178" t="str">
            <v>Not Available</v>
          </cell>
          <cell r="O178" t="str">
            <v>Available</v>
          </cell>
          <cell r="P178" t="str">
            <v>Not Available</v>
          </cell>
          <cell r="Q178" t="str">
            <v>Not Available</v>
          </cell>
          <cell r="R178" t="str">
            <v>Not Available</v>
          </cell>
          <cell r="S178" t="str">
            <v>Not Available</v>
          </cell>
          <cell r="T178" t="str">
            <v>Not Available</v>
          </cell>
          <cell r="U178" t="str">
            <v>Not Available</v>
          </cell>
        </row>
        <row r="179">
          <cell r="B179" t="str">
            <v>PHL</v>
          </cell>
          <cell r="C179" t="b">
            <v>0</v>
          </cell>
          <cell r="D179" t="b">
            <v>0</v>
          </cell>
          <cell r="E179" t="str">
            <v>Philippines</v>
          </cell>
          <cell r="H179" t="str">
            <v>Not Available</v>
          </cell>
          <cell r="I179" t="str">
            <v>Not Available</v>
          </cell>
          <cell r="J179" t="str">
            <v>No Domestic Off Net</v>
          </cell>
          <cell r="K179" t="str">
            <v>No Domestic Off Net</v>
          </cell>
          <cell r="L179" t="str">
            <v>No Domestic Off Net</v>
          </cell>
          <cell r="M179" t="str">
            <v>Not Available</v>
          </cell>
          <cell r="N179" t="str">
            <v>Not Available</v>
          </cell>
          <cell r="O179" t="str">
            <v>Available</v>
          </cell>
          <cell r="P179" t="str">
            <v>Not Available</v>
          </cell>
          <cell r="Q179" t="str">
            <v>Not Available</v>
          </cell>
          <cell r="R179" t="str">
            <v>Not Available</v>
          </cell>
          <cell r="S179" t="str">
            <v>Not Available</v>
          </cell>
          <cell r="T179" t="str">
            <v>Not Available</v>
          </cell>
          <cell r="U179" t="str">
            <v>Not Available</v>
          </cell>
        </row>
        <row r="180">
          <cell r="B180" t="str">
            <v>PCN</v>
          </cell>
          <cell r="C180" t="b">
            <v>0</v>
          </cell>
          <cell r="D180" t="b">
            <v>0</v>
          </cell>
          <cell r="E180" t="str">
            <v>Pitcairn</v>
          </cell>
          <cell r="H180" t="str">
            <v>Not Available</v>
          </cell>
          <cell r="I180" t="str">
            <v>Not Available</v>
          </cell>
          <cell r="J180" t="str">
            <v>Not Available</v>
          </cell>
          <cell r="K180" t="str">
            <v>Not Available</v>
          </cell>
          <cell r="L180" t="str">
            <v>Not Available</v>
          </cell>
          <cell r="M180" t="str">
            <v>Not Available</v>
          </cell>
          <cell r="N180" t="str">
            <v>Not Available</v>
          </cell>
          <cell r="O180" t="str">
            <v>Available</v>
          </cell>
          <cell r="P180" t="str">
            <v>Not Available</v>
          </cell>
          <cell r="Q180" t="str">
            <v>Available</v>
          </cell>
          <cell r="R180" t="str">
            <v>Not Available</v>
          </cell>
          <cell r="S180" t="str">
            <v>Not Available</v>
          </cell>
          <cell r="T180" t="str">
            <v>Not Available</v>
          </cell>
          <cell r="U180" t="str">
            <v>Not Available</v>
          </cell>
        </row>
        <row r="181">
          <cell r="B181" t="str">
            <v>POL</v>
          </cell>
          <cell r="C181" t="b">
            <v>1</v>
          </cell>
          <cell r="D181" t="b">
            <v>1</v>
          </cell>
          <cell r="E181" t="str">
            <v>Poland</v>
          </cell>
          <cell r="H181" t="str">
            <v>Not Available</v>
          </cell>
          <cell r="I181" t="str">
            <v>Available</v>
          </cell>
          <cell r="J181" t="str">
            <v>Available</v>
          </cell>
          <cell r="K181" t="str">
            <v>Available</v>
          </cell>
          <cell r="L181" t="str">
            <v>Available</v>
          </cell>
          <cell r="M181" t="str">
            <v>Not Available</v>
          </cell>
          <cell r="N181" t="str">
            <v>Not Available</v>
          </cell>
          <cell r="O181" t="str">
            <v>Available</v>
          </cell>
          <cell r="P181" t="str">
            <v>Not Available</v>
          </cell>
          <cell r="Q181" t="str">
            <v>Not Available</v>
          </cell>
          <cell r="R181" t="str">
            <v>Not Available</v>
          </cell>
          <cell r="S181" t="str">
            <v>DIDZ3</v>
          </cell>
          <cell r="T181" t="str">
            <v>DIDZ3</v>
          </cell>
          <cell r="U181" t="str">
            <v>Not Available</v>
          </cell>
        </row>
        <row r="182">
          <cell r="B182" t="str">
            <v>PRT</v>
          </cell>
          <cell r="C182" t="b">
            <v>1</v>
          </cell>
          <cell r="D182" t="b">
            <v>1</v>
          </cell>
          <cell r="E182" t="str">
            <v>Portugal</v>
          </cell>
          <cell r="H182" t="str">
            <v>Not Available</v>
          </cell>
          <cell r="I182" t="str">
            <v>Available</v>
          </cell>
          <cell r="J182" t="str">
            <v>Available</v>
          </cell>
          <cell r="K182" t="str">
            <v>Available</v>
          </cell>
          <cell r="L182" t="str">
            <v>Available</v>
          </cell>
          <cell r="M182" t="str">
            <v>Not Available</v>
          </cell>
          <cell r="N182" t="str">
            <v>Not Available</v>
          </cell>
          <cell r="O182" t="str">
            <v>Not Available</v>
          </cell>
          <cell r="P182" t="str">
            <v>Not Available</v>
          </cell>
          <cell r="Q182" t="str">
            <v>Not Available</v>
          </cell>
          <cell r="R182" t="str">
            <v>Not Available</v>
          </cell>
          <cell r="S182" t="str">
            <v>DIDZ1</v>
          </cell>
          <cell r="T182" t="str">
            <v>DIDZ1</v>
          </cell>
          <cell r="U182" t="str">
            <v>Not Available</v>
          </cell>
        </row>
        <row r="183">
          <cell r="B183" t="str">
            <v>PRI</v>
          </cell>
          <cell r="C183" t="b">
            <v>0</v>
          </cell>
          <cell r="D183" t="b">
            <v>0</v>
          </cell>
          <cell r="E183" t="str">
            <v>Puerto Rico</v>
          </cell>
          <cell r="H183" t="str">
            <v>Not Available</v>
          </cell>
          <cell r="I183" t="str">
            <v>Not Available</v>
          </cell>
          <cell r="J183" t="str">
            <v>See Reference Portal http://grp.equant.com/BusTalkGRP/</v>
          </cell>
          <cell r="K183" t="str">
            <v>See Reference Portal http://grp.equant.com/BusTalkGRP/</v>
          </cell>
          <cell r="L183" t="str">
            <v>See Reference Portal http://grp.equant.com/BusTalkGRP/</v>
          </cell>
          <cell r="M183" t="str">
            <v>Not Available</v>
          </cell>
          <cell r="N183" t="str">
            <v>Not Available</v>
          </cell>
          <cell r="O183" t="str">
            <v>Available</v>
          </cell>
          <cell r="P183" t="str">
            <v>Not Available</v>
          </cell>
          <cell r="Q183" t="str">
            <v>Available</v>
          </cell>
          <cell r="R183" t="str">
            <v>Not Available</v>
          </cell>
          <cell r="S183" t="str">
            <v>DIDZ7</v>
          </cell>
          <cell r="T183" t="str">
            <v>Not Available</v>
          </cell>
          <cell r="U183" t="str">
            <v>Not Available</v>
          </cell>
        </row>
        <row r="184">
          <cell r="B184" t="str">
            <v>QAT</v>
          </cell>
          <cell r="C184" t="b">
            <v>0</v>
          </cell>
          <cell r="D184" t="b">
            <v>0</v>
          </cell>
          <cell r="E184" t="str">
            <v>Qatar</v>
          </cell>
          <cell r="H184" t="str">
            <v>Not Available</v>
          </cell>
          <cell r="I184" t="str">
            <v>Not Available</v>
          </cell>
          <cell r="J184" t="str">
            <v>On Net Only</v>
          </cell>
          <cell r="K184" t="str">
            <v>On Net Only</v>
          </cell>
          <cell r="L184" t="str">
            <v>Not Available</v>
          </cell>
          <cell r="M184" t="str">
            <v>Not Available</v>
          </cell>
          <cell r="N184" t="str">
            <v>Not Available</v>
          </cell>
          <cell r="O184" t="str">
            <v>Available</v>
          </cell>
          <cell r="P184" t="str">
            <v>Not Available</v>
          </cell>
          <cell r="Q184" t="str">
            <v>Not Available</v>
          </cell>
          <cell r="R184" t="str">
            <v>Not Available</v>
          </cell>
          <cell r="S184" t="str">
            <v>Not Available</v>
          </cell>
          <cell r="T184" t="str">
            <v>Not Available</v>
          </cell>
          <cell r="U184" t="str">
            <v>Not Available</v>
          </cell>
        </row>
        <row r="185">
          <cell r="B185" t="str">
            <v>REU</v>
          </cell>
          <cell r="C185" t="b">
            <v>0</v>
          </cell>
          <cell r="D185" t="b">
            <v>0</v>
          </cell>
          <cell r="E185" t="str">
            <v>Reunion</v>
          </cell>
          <cell r="H185" t="str">
            <v>Not Available</v>
          </cell>
          <cell r="I185" t="str">
            <v>Not Available</v>
          </cell>
          <cell r="J185" t="str">
            <v>Available</v>
          </cell>
          <cell r="K185" t="str">
            <v>Available</v>
          </cell>
          <cell r="L185" t="str">
            <v>Available</v>
          </cell>
          <cell r="M185" t="str">
            <v>Not Available</v>
          </cell>
          <cell r="N185" t="str">
            <v>Not Available</v>
          </cell>
          <cell r="O185" t="str">
            <v>Available</v>
          </cell>
          <cell r="P185" t="str">
            <v>Not Available</v>
          </cell>
          <cell r="Q185" t="str">
            <v>Not Available</v>
          </cell>
          <cell r="R185" t="str">
            <v>Not Available</v>
          </cell>
          <cell r="S185" t="str">
            <v>DIDZ8</v>
          </cell>
          <cell r="T185" t="str">
            <v>Not Available</v>
          </cell>
          <cell r="U185" t="str">
            <v>Not Available</v>
          </cell>
        </row>
        <row r="186">
          <cell r="B186" t="str">
            <v>ROM</v>
          </cell>
          <cell r="C186" t="b">
            <v>1</v>
          </cell>
          <cell r="D186" t="b">
            <v>1</v>
          </cell>
          <cell r="E186" t="str">
            <v>Romania</v>
          </cell>
          <cell r="H186" t="str">
            <v>Not Available</v>
          </cell>
          <cell r="I186" t="str">
            <v>Available</v>
          </cell>
          <cell r="J186" t="str">
            <v>See Reference Portal http://grp.equant.com/BusTalkGRP/</v>
          </cell>
          <cell r="K186" t="str">
            <v>See Reference Portal http://grp.equant.com/BusTalkGRP/</v>
          </cell>
          <cell r="L186" t="str">
            <v>See Reference Portal http://grp.equant.com/BusTalkGRP/</v>
          </cell>
          <cell r="M186" t="str">
            <v>Not Available</v>
          </cell>
          <cell r="N186" t="str">
            <v>Not Available</v>
          </cell>
          <cell r="O186" t="str">
            <v>Available</v>
          </cell>
          <cell r="P186" t="str">
            <v>Not Available</v>
          </cell>
          <cell r="Q186" t="str">
            <v>Not Available</v>
          </cell>
          <cell r="R186" t="str">
            <v>Not Available</v>
          </cell>
          <cell r="S186" t="str">
            <v>DIDZ4</v>
          </cell>
          <cell r="T186" t="str">
            <v>DIDZ4</v>
          </cell>
          <cell r="U186" t="str">
            <v>Not Available</v>
          </cell>
        </row>
        <row r="187">
          <cell r="B187" t="str">
            <v>RUS</v>
          </cell>
          <cell r="C187" t="b">
            <v>0</v>
          </cell>
          <cell r="D187" t="b">
            <v>1</v>
          </cell>
          <cell r="E187" t="str">
            <v>Russia</v>
          </cell>
          <cell r="H187" t="str">
            <v>Not Available</v>
          </cell>
          <cell r="I187" t="str">
            <v>See Reference Portal http://grp.equant.com/BusTalkGRP/</v>
          </cell>
          <cell r="J187" t="str">
            <v>See Reference Portal http://grp.equant.com/BusTalkGRP/</v>
          </cell>
          <cell r="K187" t="str">
            <v>See Reference Portal http://grp.equant.com/BusTalkGRP/</v>
          </cell>
          <cell r="L187" t="str">
            <v>Not Available</v>
          </cell>
          <cell r="M187" t="str">
            <v>Not Available</v>
          </cell>
          <cell r="N187" t="str">
            <v>Available</v>
          </cell>
          <cell r="O187" t="str">
            <v>Available</v>
          </cell>
          <cell r="P187" t="str">
            <v>Available</v>
          </cell>
          <cell r="Q187" t="str">
            <v>Available</v>
          </cell>
          <cell r="R187" t="str">
            <v>Not Available</v>
          </cell>
          <cell r="S187" t="str">
            <v>Not Available</v>
          </cell>
          <cell r="T187" t="str">
            <v>Not Available</v>
          </cell>
          <cell r="U187" t="str">
            <v>Not Available</v>
          </cell>
        </row>
        <row r="188">
          <cell r="B188" t="str">
            <v>RWA</v>
          </cell>
          <cell r="C188" t="b">
            <v>0</v>
          </cell>
          <cell r="D188" t="b">
            <v>0</v>
          </cell>
          <cell r="E188" t="str">
            <v>Rwanda</v>
          </cell>
          <cell r="H188" t="str">
            <v>Not Available</v>
          </cell>
          <cell r="I188" t="str">
            <v>Not Available</v>
          </cell>
          <cell r="J188" t="str">
            <v>On Net Only</v>
          </cell>
          <cell r="K188" t="str">
            <v>On Net Only</v>
          </cell>
          <cell r="L188" t="str">
            <v>Not Available</v>
          </cell>
          <cell r="M188" t="str">
            <v>Not Available</v>
          </cell>
          <cell r="N188" t="str">
            <v>Not Available</v>
          </cell>
          <cell r="O188" t="str">
            <v>Available</v>
          </cell>
          <cell r="P188" t="str">
            <v>Not Available</v>
          </cell>
          <cell r="Q188" t="str">
            <v>Available</v>
          </cell>
          <cell r="R188" t="str">
            <v>Not Available</v>
          </cell>
          <cell r="S188" t="str">
            <v>Not Available</v>
          </cell>
          <cell r="T188" t="str">
            <v>Not Available</v>
          </cell>
          <cell r="U188" t="str">
            <v>Not Available</v>
          </cell>
        </row>
        <row r="189">
          <cell r="B189" t="str">
            <v>BLM</v>
          </cell>
          <cell r="C189" t="b">
            <v>0</v>
          </cell>
          <cell r="D189" t="b">
            <v>0</v>
          </cell>
          <cell r="E189" t="str">
            <v>Saint Barthelemy</v>
          </cell>
          <cell r="H189" t="str">
            <v>Not Available</v>
          </cell>
          <cell r="I189" t="str">
            <v>Not Available</v>
          </cell>
          <cell r="J189" t="str">
            <v>See Reference Portal http://grp.equant.com/BusTalkGRP/</v>
          </cell>
          <cell r="K189" t="str">
            <v>See Reference Portal http://grp.equant.com/BusTalkGRP/</v>
          </cell>
          <cell r="L189" t="str">
            <v>Not Available</v>
          </cell>
          <cell r="M189" t="str">
            <v>Not Available</v>
          </cell>
          <cell r="N189" t="str">
            <v>Not Available</v>
          </cell>
          <cell r="O189" t="str">
            <v>Available</v>
          </cell>
          <cell r="P189" t="str">
            <v>Not Available</v>
          </cell>
          <cell r="Q189" t="str">
            <v>Available</v>
          </cell>
          <cell r="R189" t="str">
            <v>Not Available</v>
          </cell>
          <cell r="S189" t="str">
            <v>Not Available</v>
          </cell>
          <cell r="T189" t="str">
            <v>Not Available</v>
          </cell>
          <cell r="U189" t="str">
            <v>Not Available</v>
          </cell>
        </row>
        <row r="190">
          <cell r="B190" t="str">
            <v>SHN</v>
          </cell>
          <cell r="C190" t="b">
            <v>0</v>
          </cell>
          <cell r="D190" t="b">
            <v>0</v>
          </cell>
          <cell r="E190" t="str">
            <v>Saint Helena</v>
          </cell>
          <cell r="H190" t="str">
            <v>Not Available</v>
          </cell>
          <cell r="I190" t="str">
            <v>Not Available</v>
          </cell>
          <cell r="J190" t="str">
            <v>Not Available</v>
          </cell>
          <cell r="K190" t="str">
            <v>Not Available</v>
          </cell>
          <cell r="L190" t="str">
            <v>Not Available</v>
          </cell>
          <cell r="M190" t="str">
            <v>Not Available</v>
          </cell>
          <cell r="N190" t="str">
            <v>Not Available</v>
          </cell>
          <cell r="O190" t="str">
            <v>Available</v>
          </cell>
          <cell r="P190" t="str">
            <v>Not Available</v>
          </cell>
          <cell r="Q190" t="str">
            <v>Not Available</v>
          </cell>
          <cell r="R190" t="str">
            <v>Not Available</v>
          </cell>
          <cell r="S190" t="str">
            <v>Not Available</v>
          </cell>
          <cell r="T190" t="str">
            <v>Not Available</v>
          </cell>
          <cell r="U190" t="str">
            <v>Not Available</v>
          </cell>
        </row>
        <row r="191">
          <cell r="B191" t="str">
            <v>KNA</v>
          </cell>
          <cell r="C191" t="b">
            <v>0</v>
          </cell>
          <cell r="D191" t="b">
            <v>0</v>
          </cell>
          <cell r="E191" t="str">
            <v>Saint Kitts and Nevis</v>
          </cell>
          <cell r="H191" t="str">
            <v>Not Available</v>
          </cell>
          <cell r="I191" t="str">
            <v>Not Available</v>
          </cell>
          <cell r="J191" t="str">
            <v>Not Available</v>
          </cell>
          <cell r="K191" t="str">
            <v>Not Available</v>
          </cell>
          <cell r="L191" t="str">
            <v>Not Available</v>
          </cell>
          <cell r="M191" t="str">
            <v>Not Available</v>
          </cell>
          <cell r="N191" t="str">
            <v>Available</v>
          </cell>
          <cell r="O191" t="str">
            <v>Available</v>
          </cell>
          <cell r="P191" t="str">
            <v>Available</v>
          </cell>
          <cell r="Q191" t="str">
            <v>Available</v>
          </cell>
          <cell r="R191" t="str">
            <v>Not Available</v>
          </cell>
          <cell r="S191" t="str">
            <v>Not Available</v>
          </cell>
          <cell r="T191" t="str">
            <v>Not Available</v>
          </cell>
          <cell r="U191" t="str">
            <v>Not Available</v>
          </cell>
        </row>
        <row r="192">
          <cell r="B192" t="str">
            <v>LCA</v>
          </cell>
          <cell r="C192" t="b">
            <v>0</v>
          </cell>
          <cell r="D192" t="b">
            <v>0</v>
          </cell>
          <cell r="E192" t="str">
            <v>Saint Lucia</v>
          </cell>
          <cell r="H192" t="str">
            <v>Not Available</v>
          </cell>
          <cell r="I192" t="str">
            <v>Not Available</v>
          </cell>
          <cell r="J192" t="str">
            <v>On Net Only</v>
          </cell>
          <cell r="K192" t="str">
            <v>On Net Only</v>
          </cell>
          <cell r="L192" t="str">
            <v>Not Available</v>
          </cell>
          <cell r="M192" t="str">
            <v>Not Available</v>
          </cell>
          <cell r="N192" t="str">
            <v>Not Available</v>
          </cell>
          <cell r="O192" t="str">
            <v>Not Available</v>
          </cell>
          <cell r="P192" t="str">
            <v>Not Available</v>
          </cell>
          <cell r="Q192" t="str">
            <v>Not Available</v>
          </cell>
          <cell r="R192" t="str">
            <v>Not Available</v>
          </cell>
          <cell r="S192" t="str">
            <v>Not Available</v>
          </cell>
          <cell r="T192" t="str">
            <v>Not Available</v>
          </cell>
          <cell r="U192" t="str">
            <v>Not Available</v>
          </cell>
        </row>
        <row r="193">
          <cell r="B193" t="str">
            <v>MAF</v>
          </cell>
          <cell r="C193" t="b">
            <v>0</v>
          </cell>
          <cell r="D193" t="b">
            <v>0</v>
          </cell>
          <cell r="E193" t="str">
            <v>Saint Martin (French part)</v>
          </cell>
          <cell r="H193" t="str">
            <v>Not Available</v>
          </cell>
          <cell r="I193" t="str">
            <v>Not Available</v>
          </cell>
          <cell r="J193" t="str">
            <v>See Reference Portal http://grp.equant.com/BusTalkGRP/</v>
          </cell>
          <cell r="K193" t="str">
            <v>See Reference Portal http://grp.equant.com/BusTalkGRP/</v>
          </cell>
          <cell r="L193" t="str">
            <v>Not Available</v>
          </cell>
          <cell r="M193" t="str">
            <v>Not Available</v>
          </cell>
          <cell r="N193" t="str">
            <v>Not Available</v>
          </cell>
          <cell r="O193" t="str">
            <v>Available</v>
          </cell>
          <cell r="P193" t="str">
            <v>Not Available</v>
          </cell>
          <cell r="Q193" t="str">
            <v>Not Available</v>
          </cell>
          <cell r="R193" t="str">
            <v>Not Available</v>
          </cell>
          <cell r="S193" t="str">
            <v>Not Available</v>
          </cell>
          <cell r="T193" t="str">
            <v>Not Available</v>
          </cell>
          <cell r="U193" t="str">
            <v>Not Available</v>
          </cell>
        </row>
        <row r="194">
          <cell r="B194" t="str">
            <v>SPM</v>
          </cell>
          <cell r="C194" t="b">
            <v>0</v>
          </cell>
          <cell r="D194" t="b">
            <v>0</v>
          </cell>
          <cell r="E194" t="str">
            <v>Saint Pierre and Miquelon</v>
          </cell>
          <cell r="H194" t="str">
            <v>Not Available</v>
          </cell>
          <cell r="I194" t="str">
            <v>Not Available</v>
          </cell>
          <cell r="J194" t="str">
            <v>See Reference Portal http://grp.equant.com/BusTalkGRP/</v>
          </cell>
          <cell r="K194" t="str">
            <v>See Reference Portal http://grp.equant.com/BusTalkGRP/</v>
          </cell>
          <cell r="L194" t="str">
            <v>Not Available</v>
          </cell>
          <cell r="M194" t="str">
            <v>Not Available</v>
          </cell>
          <cell r="N194" t="str">
            <v>Not Available</v>
          </cell>
          <cell r="O194" t="str">
            <v>Available</v>
          </cell>
          <cell r="P194" t="str">
            <v>Not Available</v>
          </cell>
          <cell r="Q194" t="str">
            <v>Available</v>
          </cell>
          <cell r="R194" t="str">
            <v>Not Available</v>
          </cell>
          <cell r="S194" t="str">
            <v>Not Available</v>
          </cell>
          <cell r="T194" t="str">
            <v>Not Available</v>
          </cell>
          <cell r="U194" t="str">
            <v>Not Available</v>
          </cell>
        </row>
        <row r="195">
          <cell r="B195" t="str">
            <v>VCT</v>
          </cell>
          <cell r="C195" t="b">
            <v>0</v>
          </cell>
          <cell r="D195" t="b">
            <v>0</v>
          </cell>
          <cell r="E195" t="str">
            <v>Saint Vincent and the Grenadines</v>
          </cell>
          <cell r="H195" t="str">
            <v>Not Available</v>
          </cell>
          <cell r="I195" t="str">
            <v>Not Available</v>
          </cell>
          <cell r="J195" t="str">
            <v>Not Available</v>
          </cell>
          <cell r="K195" t="str">
            <v>Not Available</v>
          </cell>
          <cell r="L195" t="str">
            <v>Not Available</v>
          </cell>
          <cell r="M195" t="str">
            <v>Not Available</v>
          </cell>
          <cell r="N195" t="str">
            <v>Available</v>
          </cell>
          <cell r="O195" t="str">
            <v>Available</v>
          </cell>
          <cell r="P195" t="str">
            <v>Available</v>
          </cell>
          <cell r="Q195" t="str">
            <v>Available</v>
          </cell>
          <cell r="R195" t="str">
            <v>Not Available</v>
          </cell>
          <cell r="S195" t="str">
            <v>Not Available</v>
          </cell>
          <cell r="T195" t="str">
            <v>Not Available</v>
          </cell>
          <cell r="U195" t="str">
            <v>Not Available</v>
          </cell>
        </row>
        <row r="196">
          <cell r="B196" t="str">
            <v>WSM</v>
          </cell>
          <cell r="C196" t="b">
            <v>0</v>
          </cell>
          <cell r="D196" t="b">
            <v>0</v>
          </cell>
          <cell r="E196" t="str">
            <v>Samoa</v>
          </cell>
          <cell r="H196" t="str">
            <v>Not Available</v>
          </cell>
          <cell r="I196" t="str">
            <v>Not Available</v>
          </cell>
          <cell r="J196" t="str">
            <v>Not Available</v>
          </cell>
          <cell r="K196" t="str">
            <v>Not Available</v>
          </cell>
          <cell r="L196" t="str">
            <v>Not Available</v>
          </cell>
          <cell r="M196" t="str">
            <v>Not Available</v>
          </cell>
          <cell r="N196" t="str">
            <v>Not Available</v>
          </cell>
          <cell r="O196" t="str">
            <v>Available</v>
          </cell>
          <cell r="P196" t="str">
            <v>Not Available</v>
          </cell>
          <cell r="Q196" t="str">
            <v>Available</v>
          </cell>
          <cell r="R196" t="str">
            <v>Not Available</v>
          </cell>
          <cell r="S196" t="str">
            <v>Not Available</v>
          </cell>
          <cell r="T196" t="str">
            <v>Not Available</v>
          </cell>
          <cell r="U196" t="str">
            <v>Not Available</v>
          </cell>
        </row>
        <row r="197">
          <cell r="B197" t="str">
            <v>SMR</v>
          </cell>
          <cell r="C197" t="b">
            <v>0</v>
          </cell>
          <cell r="D197" t="b">
            <v>1</v>
          </cell>
          <cell r="E197" t="str">
            <v>San Marino</v>
          </cell>
          <cell r="H197" t="str">
            <v>Not Available</v>
          </cell>
          <cell r="I197" t="str">
            <v>Not Available</v>
          </cell>
          <cell r="J197" t="str">
            <v>See Reference Portal http://grp.equant.com/BusTalkGRP/</v>
          </cell>
          <cell r="K197" t="str">
            <v>See Reference Portal http://grp.equant.com/BusTalkGRP/</v>
          </cell>
          <cell r="L197" t="str">
            <v>Not Available</v>
          </cell>
          <cell r="M197" t="str">
            <v>Not Available</v>
          </cell>
          <cell r="N197" t="str">
            <v>Not Available</v>
          </cell>
          <cell r="O197" t="str">
            <v>Not Available</v>
          </cell>
          <cell r="P197" t="str">
            <v>Not Available</v>
          </cell>
          <cell r="Q197" t="str">
            <v>Not Available</v>
          </cell>
          <cell r="R197" t="str">
            <v>Not Available</v>
          </cell>
          <cell r="S197" t="str">
            <v>Not Available</v>
          </cell>
          <cell r="T197" t="str">
            <v>Not Available</v>
          </cell>
          <cell r="U197" t="str">
            <v>Not Available</v>
          </cell>
        </row>
        <row r="198">
          <cell r="B198" t="str">
            <v>STP</v>
          </cell>
          <cell r="C198" t="b">
            <v>0</v>
          </cell>
          <cell r="D198" t="b">
            <v>0</v>
          </cell>
          <cell r="E198" t="str">
            <v>Sao Tome and Principe</v>
          </cell>
          <cell r="H198" t="str">
            <v>Not Available</v>
          </cell>
          <cell r="I198" t="str">
            <v>Not Available</v>
          </cell>
          <cell r="J198" t="str">
            <v>Not Available</v>
          </cell>
          <cell r="K198" t="str">
            <v>Not Available</v>
          </cell>
          <cell r="L198" t="str">
            <v>Not Available</v>
          </cell>
          <cell r="M198" t="str">
            <v>Not Available</v>
          </cell>
          <cell r="N198" t="str">
            <v>Not Available</v>
          </cell>
          <cell r="O198" t="str">
            <v>Available</v>
          </cell>
          <cell r="P198" t="str">
            <v>Not Available</v>
          </cell>
          <cell r="Q198" t="str">
            <v>Not Available</v>
          </cell>
          <cell r="R198" t="str">
            <v>Not Available</v>
          </cell>
          <cell r="S198" t="str">
            <v>Not Available</v>
          </cell>
          <cell r="T198" t="str">
            <v>Not Available</v>
          </cell>
          <cell r="U198" t="str">
            <v>Not Available</v>
          </cell>
        </row>
        <row r="199">
          <cell r="B199" t="str">
            <v>SAU</v>
          </cell>
          <cell r="C199" t="b">
            <v>0</v>
          </cell>
          <cell r="D199" t="b">
            <v>0</v>
          </cell>
          <cell r="E199" t="str">
            <v>Saudi Arabia</v>
          </cell>
          <cell r="H199" t="str">
            <v>Not Available</v>
          </cell>
          <cell r="I199" t="str">
            <v>Not Available</v>
          </cell>
          <cell r="J199" t="str">
            <v>On Net Only</v>
          </cell>
          <cell r="K199" t="str">
            <v>On Net Only</v>
          </cell>
          <cell r="L199" t="str">
            <v>On Net Only</v>
          </cell>
          <cell r="M199" t="str">
            <v>Not Available</v>
          </cell>
          <cell r="N199" t="str">
            <v>Not Available</v>
          </cell>
          <cell r="O199" t="str">
            <v>Available</v>
          </cell>
          <cell r="P199" t="str">
            <v>Not Available</v>
          </cell>
          <cell r="Q199" t="str">
            <v>Available</v>
          </cell>
          <cell r="R199" t="str">
            <v>Not Available</v>
          </cell>
          <cell r="S199" t="str">
            <v>Not Available</v>
          </cell>
          <cell r="T199" t="str">
            <v>Not Available</v>
          </cell>
          <cell r="U199" t="str">
            <v>Not Available</v>
          </cell>
        </row>
        <row r="200">
          <cell r="B200" t="str">
            <v>SEN</v>
          </cell>
          <cell r="C200" t="b">
            <v>0</v>
          </cell>
          <cell r="D200" t="b">
            <v>0</v>
          </cell>
          <cell r="E200" t="str">
            <v>Senegal</v>
          </cell>
          <cell r="H200" t="str">
            <v>Not Available</v>
          </cell>
          <cell r="I200" t="str">
            <v>Not Available</v>
          </cell>
          <cell r="J200" t="str">
            <v>See Reference Portal http://grp.equant.com/BusTalkGRP/</v>
          </cell>
          <cell r="K200" t="str">
            <v>See Reference Portal http://grp.equant.com/BusTalkGRP/</v>
          </cell>
          <cell r="L200" t="str">
            <v>Not Available</v>
          </cell>
          <cell r="M200" t="str">
            <v>Not Available</v>
          </cell>
          <cell r="N200" t="str">
            <v>Available</v>
          </cell>
          <cell r="O200" t="str">
            <v>Available</v>
          </cell>
          <cell r="P200" t="str">
            <v>Available</v>
          </cell>
          <cell r="Q200" t="str">
            <v>Available</v>
          </cell>
          <cell r="R200" t="str">
            <v>Not Available</v>
          </cell>
          <cell r="S200" t="str">
            <v>Not Available</v>
          </cell>
          <cell r="T200" t="str">
            <v>Not Available</v>
          </cell>
          <cell r="U200" t="str">
            <v>Not Available</v>
          </cell>
        </row>
        <row r="201">
          <cell r="B201" t="str">
            <v>SRB</v>
          </cell>
          <cell r="C201" t="b">
            <v>0</v>
          </cell>
          <cell r="D201" t="b">
            <v>1</v>
          </cell>
          <cell r="E201" t="str">
            <v>Serbia</v>
          </cell>
          <cell r="H201" t="str">
            <v>Not Available</v>
          </cell>
          <cell r="I201" t="str">
            <v>Not Available</v>
          </cell>
          <cell r="J201" t="str">
            <v>On Net Only</v>
          </cell>
          <cell r="K201" t="str">
            <v>On Net Only</v>
          </cell>
          <cell r="L201" t="str">
            <v>Not Available</v>
          </cell>
          <cell r="M201" t="str">
            <v>Not Available</v>
          </cell>
          <cell r="N201" t="str">
            <v>Not Available</v>
          </cell>
          <cell r="O201" t="str">
            <v>Available</v>
          </cell>
          <cell r="P201" t="str">
            <v>Not Available</v>
          </cell>
          <cell r="Q201" t="str">
            <v>Available</v>
          </cell>
          <cell r="R201" t="str">
            <v>Not Available</v>
          </cell>
          <cell r="S201" t="str">
            <v>Not Available</v>
          </cell>
          <cell r="T201" t="str">
            <v>Not Available</v>
          </cell>
          <cell r="U201" t="str">
            <v>Not Available</v>
          </cell>
        </row>
        <row r="202">
          <cell r="B202" t="str">
            <v>SYC</v>
          </cell>
          <cell r="C202" t="b">
            <v>0</v>
          </cell>
          <cell r="D202" t="b">
            <v>0</v>
          </cell>
          <cell r="E202" t="str">
            <v>Seychelles</v>
          </cell>
          <cell r="H202" t="str">
            <v>Not Available</v>
          </cell>
          <cell r="I202" t="str">
            <v>Not Available</v>
          </cell>
          <cell r="J202" t="str">
            <v>Not Available</v>
          </cell>
          <cell r="K202" t="str">
            <v>Not Available</v>
          </cell>
          <cell r="L202" t="str">
            <v>Not Available</v>
          </cell>
          <cell r="M202" t="str">
            <v>Not Available</v>
          </cell>
          <cell r="N202" t="str">
            <v>Not Available</v>
          </cell>
          <cell r="O202" t="str">
            <v>Available</v>
          </cell>
          <cell r="P202" t="str">
            <v>Not Available</v>
          </cell>
          <cell r="Q202" t="str">
            <v>Not Available</v>
          </cell>
          <cell r="R202" t="str">
            <v>Not Available</v>
          </cell>
          <cell r="S202" t="str">
            <v>Not Available</v>
          </cell>
          <cell r="T202" t="str">
            <v>Not Available</v>
          </cell>
          <cell r="U202" t="str">
            <v>Not Available</v>
          </cell>
        </row>
        <row r="203">
          <cell r="B203" t="str">
            <v>SLE</v>
          </cell>
          <cell r="C203" t="b">
            <v>0</v>
          </cell>
          <cell r="D203" t="b">
            <v>0</v>
          </cell>
          <cell r="E203" t="str">
            <v>Sierra Leone</v>
          </cell>
          <cell r="H203" t="str">
            <v>Not Available</v>
          </cell>
          <cell r="I203" t="str">
            <v>Not Available</v>
          </cell>
          <cell r="J203" t="str">
            <v>On Net Only</v>
          </cell>
          <cell r="K203" t="str">
            <v>On Net Only</v>
          </cell>
          <cell r="L203" t="str">
            <v>Not Available</v>
          </cell>
          <cell r="M203" t="str">
            <v>Not Available</v>
          </cell>
          <cell r="N203" t="str">
            <v>Not Available</v>
          </cell>
          <cell r="O203" t="str">
            <v>Available</v>
          </cell>
          <cell r="P203" t="str">
            <v>Not Available</v>
          </cell>
          <cell r="Q203" t="str">
            <v>Available</v>
          </cell>
          <cell r="R203" t="str">
            <v>Not Available</v>
          </cell>
          <cell r="S203" t="str">
            <v>Not Available</v>
          </cell>
          <cell r="T203" t="str">
            <v>Not Available</v>
          </cell>
          <cell r="U203" t="str">
            <v>Not Available</v>
          </cell>
        </row>
        <row r="204">
          <cell r="B204" t="str">
            <v>SGP</v>
          </cell>
          <cell r="C204" t="b">
            <v>0</v>
          </cell>
          <cell r="D204" t="b">
            <v>0</v>
          </cell>
          <cell r="E204" t="str">
            <v>Singapore</v>
          </cell>
          <cell r="H204" t="str">
            <v>Not Available</v>
          </cell>
          <cell r="I204" t="str">
            <v>Available</v>
          </cell>
          <cell r="J204" t="str">
            <v>Available</v>
          </cell>
          <cell r="K204" t="str">
            <v>Available</v>
          </cell>
          <cell r="L204" t="str">
            <v>Available</v>
          </cell>
          <cell r="M204" t="str">
            <v>Not Available</v>
          </cell>
          <cell r="N204" t="str">
            <v>Not Available</v>
          </cell>
          <cell r="O204" t="str">
            <v>Available</v>
          </cell>
          <cell r="P204" t="str">
            <v>Not Available</v>
          </cell>
          <cell r="Q204" t="str">
            <v>Not Available</v>
          </cell>
          <cell r="R204" t="str">
            <v>Not Available</v>
          </cell>
          <cell r="S204" t="str">
            <v>DIDZ3B</v>
          </cell>
          <cell r="T204" t="str">
            <v>DIDZ3B</v>
          </cell>
          <cell r="U204" t="str">
            <v>Not Available</v>
          </cell>
        </row>
        <row r="205">
          <cell r="B205" t="str">
            <v>SXM</v>
          </cell>
          <cell r="C205" t="b">
            <v>0</v>
          </cell>
          <cell r="D205" t="b">
            <v>0</v>
          </cell>
          <cell r="E205" t="str">
            <v>Sint Maarten (Dutch part)</v>
          </cell>
          <cell r="H205" t="str">
            <v>Not Available</v>
          </cell>
          <cell r="I205" t="str">
            <v>Not Available</v>
          </cell>
          <cell r="J205" t="str">
            <v>Not Available</v>
          </cell>
          <cell r="K205" t="str">
            <v>Not Available</v>
          </cell>
          <cell r="L205" t="str">
            <v>Not Available</v>
          </cell>
          <cell r="M205" t="str">
            <v>Not Available</v>
          </cell>
          <cell r="N205" t="str">
            <v>Not Available</v>
          </cell>
          <cell r="O205" t="str">
            <v>Available</v>
          </cell>
          <cell r="P205" t="str">
            <v>Not Available</v>
          </cell>
          <cell r="Q205" t="str">
            <v>Available</v>
          </cell>
          <cell r="R205" t="str">
            <v>Not Available</v>
          </cell>
          <cell r="S205" t="str">
            <v>Not Available</v>
          </cell>
          <cell r="T205" t="str">
            <v>Not Available</v>
          </cell>
          <cell r="U205" t="str">
            <v>Not Available</v>
          </cell>
        </row>
        <row r="206">
          <cell r="B206" t="str">
            <v>SVK</v>
          </cell>
          <cell r="C206" t="b">
            <v>1</v>
          </cell>
          <cell r="D206" t="b">
            <v>1</v>
          </cell>
          <cell r="E206" t="str">
            <v>Slovakia</v>
          </cell>
          <cell r="H206" t="str">
            <v>Not Available</v>
          </cell>
          <cell r="I206" t="str">
            <v>Available</v>
          </cell>
          <cell r="J206" t="str">
            <v>See Reference Portal http://grp.equant.com/BusTalkGRP/</v>
          </cell>
          <cell r="K206" t="str">
            <v>See Reference Portal http://grp.equant.com/BusTalkGRP/</v>
          </cell>
          <cell r="L206" t="str">
            <v>See Reference Portal http://grp.equant.com/BusTalkGRP/</v>
          </cell>
          <cell r="M206" t="str">
            <v>Not Available</v>
          </cell>
          <cell r="N206" t="str">
            <v>Not Available</v>
          </cell>
          <cell r="O206" t="str">
            <v>Available</v>
          </cell>
          <cell r="P206" t="str">
            <v>Not Available</v>
          </cell>
          <cell r="Q206" t="str">
            <v>Available</v>
          </cell>
          <cell r="R206" t="str">
            <v>Not Available</v>
          </cell>
          <cell r="S206" t="str">
            <v>DIDZ4</v>
          </cell>
          <cell r="T206" t="str">
            <v>DIDZ4</v>
          </cell>
          <cell r="U206" t="str">
            <v>Not Available</v>
          </cell>
        </row>
        <row r="207">
          <cell r="B207" t="str">
            <v>SVN</v>
          </cell>
          <cell r="C207" t="b">
            <v>1</v>
          </cell>
          <cell r="D207" t="b">
            <v>1</v>
          </cell>
          <cell r="E207" t="str">
            <v>Slovenia</v>
          </cell>
          <cell r="H207" t="str">
            <v>Not Available</v>
          </cell>
          <cell r="I207" t="str">
            <v>Not Available</v>
          </cell>
          <cell r="J207" t="str">
            <v>See Reference Portal http://grp.equant.com/BusTalkGRP/</v>
          </cell>
          <cell r="K207" t="str">
            <v>See Reference Portal http://grp.equant.com/BusTalkGRP/</v>
          </cell>
          <cell r="L207" t="str">
            <v>See Reference Portal http://grp.equant.com/BusTalkGRP/</v>
          </cell>
          <cell r="M207" t="str">
            <v>Not Available</v>
          </cell>
          <cell r="N207" t="str">
            <v>Not Available</v>
          </cell>
          <cell r="O207" t="str">
            <v>Available</v>
          </cell>
          <cell r="P207" t="str">
            <v>Not Available</v>
          </cell>
          <cell r="Q207" t="str">
            <v>Contact Product</v>
          </cell>
          <cell r="R207" t="str">
            <v>Not Available</v>
          </cell>
          <cell r="S207" t="str">
            <v>DIDZ4</v>
          </cell>
          <cell r="T207" t="str">
            <v>Not Available</v>
          </cell>
          <cell r="U207" t="str">
            <v>Not Available</v>
          </cell>
        </row>
        <row r="208">
          <cell r="B208" t="str">
            <v>SLB</v>
          </cell>
          <cell r="C208" t="b">
            <v>0</v>
          </cell>
          <cell r="D208" t="b">
            <v>0</v>
          </cell>
          <cell r="E208" t="str">
            <v>Solomon Islands</v>
          </cell>
          <cell r="H208" t="str">
            <v>Not Available</v>
          </cell>
          <cell r="I208" t="str">
            <v>Not Available</v>
          </cell>
          <cell r="J208" t="str">
            <v>Not Available</v>
          </cell>
          <cell r="K208" t="str">
            <v>Not Available</v>
          </cell>
          <cell r="L208" t="str">
            <v>Not Available</v>
          </cell>
          <cell r="M208" t="str">
            <v>Not Available</v>
          </cell>
          <cell r="N208" t="str">
            <v>Not Available</v>
          </cell>
          <cell r="O208" t="str">
            <v>Available</v>
          </cell>
          <cell r="P208" t="str">
            <v>Not Available</v>
          </cell>
          <cell r="Q208" t="str">
            <v>Not Available</v>
          </cell>
          <cell r="R208" t="str">
            <v>Not Available</v>
          </cell>
          <cell r="S208" t="str">
            <v>Not Available</v>
          </cell>
          <cell r="T208" t="str">
            <v>Not Available</v>
          </cell>
          <cell r="U208" t="str">
            <v>Not Available</v>
          </cell>
        </row>
        <row r="209">
          <cell r="B209" t="str">
            <v>SOM</v>
          </cell>
          <cell r="C209" t="b">
            <v>0</v>
          </cell>
          <cell r="D209" t="b">
            <v>0</v>
          </cell>
          <cell r="E209" t="str">
            <v>Somalia</v>
          </cell>
          <cell r="H209" t="str">
            <v>Not Available</v>
          </cell>
          <cell r="I209" t="str">
            <v>Not Available</v>
          </cell>
          <cell r="J209" t="str">
            <v>Not Available</v>
          </cell>
          <cell r="K209" t="str">
            <v>Not Available</v>
          </cell>
          <cell r="L209" t="str">
            <v>Not Available</v>
          </cell>
          <cell r="M209" t="str">
            <v>Not Available</v>
          </cell>
          <cell r="N209" t="str">
            <v>Not Available</v>
          </cell>
          <cell r="O209" t="str">
            <v>Available</v>
          </cell>
          <cell r="P209" t="str">
            <v>Not Available</v>
          </cell>
          <cell r="Q209" t="str">
            <v>Not Available</v>
          </cell>
          <cell r="R209" t="str">
            <v>Not Available</v>
          </cell>
          <cell r="S209" t="str">
            <v>Not Available</v>
          </cell>
          <cell r="T209" t="str">
            <v>Not Available</v>
          </cell>
          <cell r="U209" t="str">
            <v>Not Available</v>
          </cell>
        </row>
        <row r="210">
          <cell r="B210" t="str">
            <v>ZAF</v>
          </cell>
          <cell r="C210" t="b">
            <v>0</v>
          </cell>
          <cell r="D210" t="b">
            <v>0</v>
          </cell>
          <cell r="E210" t="str">
            <v>South Africa</v>
          </cell>
          <cell r="H210" t="str">
            <v>Not Available</v>
          </cell>
          <cell r="I210" t="str">
            <v>Available</v>
          </cell>
          <cell r="J210" t="str">
            <v>See Reference Portal http://grp.equant.com/BusTalkGRP/</v>
          </cell>
          <cell r="K210" t="str">
            <v>See Reference Portal http://grp.equant.com/BusTalkGRP/</v>
          </cell>
          <cell r="L210" t="str">
            <v>See Reference Portal http://grp.equant.com/BusTalkGRP/</v>
          </cell>
          <cell r="M210" t="str">
            <v>Not Available</v>
          </cell>
          <cell r="N210" t="str">
            <v>Not Available</v>
          </cell>
          <cell r="O210" t="str">
            <v>Available</v>
          </cell>
          <cell r="P210" t="str">
            <v>Not Available</v>
          </cell>
          <cell r="Q210" t="str">
            <v>Not Available</v>
          </cell>
          <cell r="R210" t="str">
            <v>Not Available</v>
          </cell>
          <cell r="S210" t="str">
            <v>DIDZ4</v>
          </cell>
          <cell r="T210" t="str">
            <v>DIDZ4</v>
          </cell>
          <cell r="U210" t="str">
            <v>Not Available</v>
          </cell>
        </row>
        <row r="211">
          <cell r="B211" t="str">
            <v>SGS</v>
          </cell>
          <cell r="C211" t="b">
            <v>0</v>
          </cell>
          <cell r="D211" t="b">
            <v>0</v>
          </cell>
          <cell r="E211" t="str">
            <v>South Georgia and the South Sandwich Islands</v>
          </cell>
          <cell r="H211" t="str">
            <v>Not Available</v>
          </cell>
          <cell r="I211" t="str">
            <v>Not Available</v>
          </cell>
          <cell r="J211" t="str">
            <v>See Reference Portal http://grp.equant.com/BusTalkGRP/</v>
          </cell>
          <cell r="K211" t="str">
            <v>See Reference Portal http://grp.equant.com/BusTalkGRP/</v>
          </cell>
          <cell r="L211" t="str">
            <v>Not Available</v>
          </cell>
          <cell r="M211" t="str">
            <v>Not Available</v>
          </cell>
          <cell r="N211" t="str">
            <v>Not Available</v>
          </cell>
          <cell r="O211" t="str">
            <v>Available</v>
          </cell>
          <cell r="P211" t="str">
            <v>Not Available</v>
          </cell>
          <cell r="Q211" t="str">
            <v>Available</v>
          </cell>
          <cell r="R211" t="str">
            <v>Not Available</v>
          </cell>
          <cell r="S211" t="str">
            <v>Not Available</v>
          </cell>
          <cell r="T211" t="str">
            <v>Not Available</v>
          </cell>
          <cell r="U211" t="str">
            <v>Not Available</v>
          </cell>
        </row>
        <row r="212">
          <cell r="B212" t="str">
            <v>KOR</v>
          </cell>
          <cell r="C212" t="b">
            <v>0</v>
          </cell>
          <cell r="D212" t="b">
            <v>0</v>
          </cell>
          <cell r="E212" t="str">
            <v>South Korea</v>
          </cell>
          <cell r="H212" t="str">
            <v>Not Available</v>
          </cell>
          <cell r="I212" t="str">
            <v>Not Available</v>
          </cell>
          <cell r="J212" t="str">
            <v>See Reference Portal http://grp.equant.com/BusTalkGRP/</v>
          </cell>
          <cell r="K212" t="str">
            <v>See Reference Portal http://grp.equant.com/BusTalkGRP/</v>
          </cell>
          <cell r="L212" t="str">
            <v>See Reference Portal http://grp.equant.com/BusTalkGRP/</v>
          </cell>
          <cell r="M212" t="str">
            <v>Not Available</v>
          </cell>
          <cell r="N212" t="str">
            <v>Available</v>
          </cell>
          <cell r="O212" t="str">
            <v>Available</v>
          </cell>
          <cell r="P212" t="str">
            <v>Not Available</v>
          </cell>
          <cell r="Q212" t="str">
            <v>Available</v>
          </cell>
          <cell r="R212" t="str">
            <v>Not Available</v>
          </cell>
          <cell r="S212" t="str">
            <v>DIDZ6</v>
          </cell>
          <cell r="T212" t="str">
            <v>Not Available</v>
          </cell>
          <cell r="U212" t="str">
            <v>Not Available</v>
          </cell>
        </row>
        <row r="213">
          <cell r="B213" t="str">
            <v>SSD</v>
          </cell>
          <cell r="C213" t="b">
            <v>0</v>
          </cell>
          <cell r="D213" t="b">
            <v>0</v>
          </cell>
          <cell r="E213" t="str">
            <v>South Sudan</v>
          </cell>
          <cell r="H213" t="str">
            <v>Not Available</v>
          </cell>
          <cell r="I213" t="str">
            <v>Not Available</v>
          </cell>
          <cell r="J213" t="str">
            <v>Not Available</v>
          </cell>
          <cell r="K213" t="str">
            <v>Not Available</v>
          </cell>
          <cell r="L213" t="str">
            <v>Not Available</v>
          </cell>
          <cell r="M213" t="str">
            <v>Not Available</v>
          </cell>
          <cell r="N213" t="str">
            <v>Not Available</v>
          </cell>
          <cell r="O213" t="str">
            <v>Available</v>
          </cell>
          <cell r="P213" t="str">
            <v>Not Available</v>
          </cell>
          <cell r="Q213" t="str">
            <v>Not Available</v>
          </cell>
          <cell r="R213" t="str">
            <v>Not Available</v>
          </cell>
          <cell r="S213" t="str">
            <v>Not Available</v>
          </cell>
          <cell r="T213" t="str">
            <v>Not Available</v>
          </cell>
          <cell r="U213" t="str">
            <v>Not Available</v>
          </cell>
        </row>
        <row r="214">
          <cell r="B214" t="str">
            <v>ESP</v>
          </cell>
          <cell r="C214" t="b">
            <v>1</v>
          </cell>
          <cell r="D214" t="b">
            <v>1</v>
          </cell>
          <cell r="E214" t="str">
            <v>Spain</v>
          </cell>
          <cell r="H214" t="str">
            <v>Not Available</v>
          </cell>
          <cell r="I214" t="str">
            <v>Available</v>
          </cell>
          <cell r="J214" t="str">
            <v>Available</v>
          </cell>
          <cell r="K214" t="str">
            <v>Available</v>
          </cell>
          <cell r="L214" t="str">
            <v>Available</v>
          </cell>
          <cell r="M214" t="str">
            <v>Not Available</v>
          </cell>
          <cell r="N214" t="str">
            <v>Not Available</v>
          </cell>
          <cell r="O214" t="str">
            <v>Available</v>
          </cell>
          <cell r="P214" t="str">
            <v>Not Available</v>
          </cell>
          <cell r="Q214" t="str">
            <v>Not Available</v>
          </cell>
          <cell r="R214" t="str">
            <v>Not Available</v>
          </cell>
          <cell r="S214" t="str">
            <v>DIDZ1</v>
          </cell>
          <cell r="T214" t="str">
            <v>DIDZ1</v>
          </cell>
          <cell r="U214" t="str">
            <v>Not Available</v>
          </cell>
        </row>
        <row r="215">
          <cell r="B215" t="str">
            <v>LKA</v>
          </cell>
          <cell r="C215" t="b">
            <v>0</v>
          </cell>
          <cell r="D215" t="b">
            <v>0</v>
          </cell>
          <cell r="E215" t="str">
            <v>Sri Lanka</v>
          </cell>
          <cell r="H215" t="str">
            <v>Not Available</v>
          </cell>
          <cell r="I215" t="str">
            <v>Not Available</v>
          </cell>
          <cell r="J215" t="str">
            <v>See Reference Portal http://grp.equant.com/BusTalkGRP/</v>
          </cell>
          <cell r="K215" t="str">
            <v>See Reference Portal http://grp.equant.com/BusTalkGRP/</v>
          </cell>
          <cell r="L215" t="str">
            <v>Not Available</v>
          </cell>
          <cell r="M215" t="str">
            <v>Not Available</v>
          </cell>
          <cell r="N215" t="str">
            <v>Not Available</v>
          </cell>
          <cell r="O215" t="str">
            <v>Available</v>
          </cell>
          <cell r="P215" t="str">
            <v>Not Available</v>
          </cell>
          <cell r="Q215" t="str">
            <v>Not Available</v>
          </cell>
          <cell r="R215" t="str">
            <v>Not Available</v>
          </cell>
          <cell r="S215" t="str">
            <v>Not Available</v>
          </cell>
          <cell r="T215" t="str">
            <v>Not Available</v>
          </cell>
          <cell r="U215" t="str">
            <v>Not Available</v>
          </cell>
        </row>
        <row r="216">
          <cell r="B216" t="str">
            <v>SDN</v>
          </cell>
          <cell r="C216" t="b">
            <v>0</v>
          </cell>
          <cell r="D216" t="b">
            <v>0</v>
          </cell>
          <cell r="E216" t="str">
            <v>Sudan</v>
          </cell>
          <cell r="H216" t="str">
            <v>Not Available</v>
          </cell>
          <cell r="I216" t="str">
            <v>Not Available</v>
          </cell>
          <cell r="J216" t="str">
            <v>Not Available</v>
          </cell>
          <cell r="K216" t="str">
            <v>Not Available</v>
          </cell>
          <cell r="L216" t="str">
            <v>Not Available</v>
          </cell>
          <cell r="M216" t="str">
            <v>Not Available</v>
          </cell>
          <cell r="N216" t="str">
            <v>Available</v>
          </cell>
          <cell r="O216" t="str">
            <v>Available</v>
          </cell>
          <cell r="P216" t="str">
            <v>Available</v>
          </cell>
          <cell r="Q216" t="str">
            <v>Available</v>
          </cell>
          <cell r="R216" t="str">
            <v>Not Available</v>
          </cell>
          <cell r="S216" t="str">
            <v>Not Available</v>
          </cell>
          <cell r="T216" t="str">
            <v>Not Available</v>
          </cell>
          <cell r="U216" t="str">
            <v>Not Available</v>
          </cell>
        </row>
        <row r="217">
          <cell r="B217" t="str">
            <v>SUR</v>
          </cell>
          <cell r="C217" t="b">
            <v>0</v>
          </cell>
          <cell r="D217" t="b">
            <v>0</v>
          </cell>
          <cell r="E217" t="str">
            <v>Suriname</v>
          </cell>
          <cell r="H217" t="str">
            <v>Not Available</v>
          </cell>
          <cell r="I217" t="str">
            <v>Not Available</v>
          </cell>
          <cell r="J217" t="str">
            <v>Not Available</v>
          </cell>
          <cell r="K217" t="str">
            <v>Not Available</v>
          </cell>
          <cell r="L217" t="str">
            <v>Not Available</v>
          </cell>
          <cell r="M217" t="str">
            <v>Not Available</v>
          </cell>
          <cell r="N217" t="str">
            <v>Not Available</v>
          </cell>
          <cell r="O217" t="str">
            <v>Available</v>
          </cell>
          <cell r="P217" t="str">
            <v>Not Available</v>
          </cell>
          <cell r="Q217" t="str">
            <v>Available</v>
          </cell>
          <cell r="R217" t="str">
            <v>Not Available</v>
          </cell>
          <cell r="S217" t="str">
            <v>Not Available</v>
          </cell>
          <cell r="T217" t="str">
            <v>Not Available</v>
          </cell>
          <cell r="U217" t="str">
            <v>Not Available</v>
          </cell>
        </row>
        <row r="218">
          <cell r="B218" t="str">
            <v>SJM</v>
          </cell>
          <cell r="C218" t="b">
            <v>0</v>
          </cell>
          <cell r="D218" t="b">
            <v>1</v>
          </cell>
          <cell r="E218" t="str">
            <v>Svalbard and Jan Mayen</v>
          </cell>
          <cell r="H218" t="str">
            <v>Not Available</v>
          </cell>
          <cell r="I218" t="str">
            <v>Not Available</v>
          </cell>
          <cell r="J218" t="str">
            <v>See Reference Portal http://grp.equant.com/BusTalkGRP/</v>
          </cell>
          <cell r="K218" t="str">
            <v>See Reference Portal http://grp.equant.com/BusTalkGRP/</v>
          </cell>
          <cell r="L218" t="str">
            <v>Not Available</v>
          </cell>
          <cell r="M218" t="str">
            <v>Not Available</v>
          </cell>
          <cell r="N218" t="str">
            <v>Not Available</v>
          </cell>
          <cell r="O218" t="str">
            <v>Available</v>
          </cell>
          <cell r="P218" t="str">
            <v>Not Available</v>
          </cell>
          <cell r="Q218" t="str">
            <v>Not Available</v>
          </cell>
          <cell r="R218" t="str">
            <v>Not Available</v>
          </cell>
          <cell r="S218" t="str">
            <v>DIDZ8</v>
          </cell>
          <cell r="T218" t="str">
            <v>Not Available</v>
          </cell>
          <cell r="U218" t="str">
            <v>Not Available</v>
          </cell>
        </row>
        <row r="219">
          <cell r="B219" t="str">
            <v>SWZ</v>
          </cell>
          <cell r="C219" t="b">
            <v>0</v>
          </cell>
          <cell r="D219" t="b">
            <v>0</v>
          </cell>
          <cell r="E219" t="str">
            <v>Swaziland</v>
          </cell>
          <cell r="H219" t="str">
            <v>Not Available</v>
          </cell>
          <cell r="I219" t="str">
            <v>Not Available</v>
          </cell>
          <cell r="J219" t="str">
            <v>Not Available</v>
          </cell>
          <cell r="K219" t="str">
            <v>Not Available</v>
          </cell>
          <cell r="L219" t="str">
            <v>Not Available</v>
          </cell>
          <cell r="M219" t="str">
            <v>Not Available</v>
          </cell>
          <cell r="N219" t="str">
            <v>Not Available</v>
          </cell>
          <cell r="O219" t="str">
            <v>Available</v>
          </cell>
          <cell r="P219" t="str">
            <v>Not Available</v>
          </cell>
          <cell r="Q219" t="str">
            <v>Not Available</v>
          </cell>
          <cell r="R219" t="str">
            <v>Not Available</v>
          </cell>
          <cell r="S219" t="str">
            <v>Not Available</v>
          </cell>
          <cell r="T219" t="str">
            <v>Not Available</v>
          </cell>
          <cell r="U219" t="str">
            <v>Not Available</v>
          </cell>
        </row>
        <row r="220">
          <cell r="B220" t="str">
            <v>SWE</v>
          </cell>
          <cell r="C220" t="b">
            <v>1</v>
          </cell>
          <cell r="D220" t="b">
            <v>1</v>
          </cell>
          <cell r="E220" t="str">
            <v>Sweden</v>
          </cell>
          <cell r="H220" t="str">
            <v>Not Available</v>
          </cell>
          <cell r="I220" t="str">
            <v>Available</v>
          </cell>
          <cell r="J220" t="str">
            <v>Available</v>
          </cell>
          <cell r="K220" t="str">
            <v>Available</v>
          </cell>
          <cell r="L220" t="str">
            <v>Available</v>
          </cell>
          <cell r="M220" t="str">
            <v>Not Available</v>
          </cell>
          <cell r="N220" t="str">
            <v>Not Available</v>
          </cell>
          <cell r="O220" t="str">
            <v>Available</v>
          </cell>
          <cell r="P220" t="str">
            <v>Not Available</v>
          </cell>
          <cell r="Q220" t="str">
            <v>Available</v>
          </cell>
          <cell r="R220" t="str">
            <v>Not Available</v>
          </cell>
          <cell r="S220" t="str">
            <v>DIDZ1</v>
          </cell>
          <cell r="T220" t="str">
            <v>DIDZ1</v>
          </cell>
          <cell r="U220" t="str">
            <v>Not Available</v>
          </cell>
        </row>
        <row r="221">
          <cell r="B221" t="str">
            <v>CHE</v>
          </cell>
          <cell r="C221" t="b">
            <v>1</v>
          </cell>
          <cell r="D221" t="b">
            <v>1</v>
          </cell>
          <cell r="E221" t="str">
            <v>Switzerland</v>
          </cell>
          <cell r="H221" t="str">
            <v>Not Available</v>
          </cell>
          <cell r="I221" t="str">
            <v>Available</v>
          </cell>
          <cell r="J221" t="str">
            <v>Available</v>
          </cell>
          <cell r="K221" t="str">
            <v>Available</v>
          </cell>
          <cell r="L221" t="str">
            <v>Available</v>
          </cell>
          <cell r="M221" t="str">
            <v>Not Available</v>
          </cell>
          <cell r="N221" t="str">
            <v>Not Available</v>
          </cell>
          <cell r="O221" t="str">
            <v>Available</v>
          </cell>
          <cell r="P221" t="str">
            <v>Not Available</v>
          </cell>
          <cell r="Q221" t="str">
            <v>Not Available</v>
          </cell>
          <cell r="R221" t="str">
            <v>Not Available</v>
          </cell>
          <cell r="S221" t="str">
            <v>DIDZ1</v>
          </cell>
          <cell r="T221" t="str">
            <v>DIDZ1</v>
          </cell>
          <cell r="U221" t="str">
            <v>Not Available</v>
          </cell>
        </row>
        <row r="222">
          <cell r="B222" t="str">
            <v>SYR</v>
          </cell>
          <cell r="C222" t="b">
            <v>0</v>
          </cell>
          <cell r="D222" t="b">
            <v>0</v>
          </cell>
          <cell r="E222" t="str">
            <v>Syria</v>
          </cell>
          <cell r="H222" t="str">
            <v>Not Available</v>
          </cell>
          <cell r="I222" t="str">
            <v>Not Available</v>
          </cell>
          <cell r="J222" t="str">
            <v>Not Available</v>
          </cell>
          <cell r="K222" t="str">
            <v>Not Available</v>
          </cell>
          <cell r="L222" t="str">
            <v>Not Available</v>
          </cell>
          <cell r="M222" t="str">
            <v>Not Available</v>
          </cell>
          <cell r="N222" t="str">
            <v>Not Available</v>
          </cell>
          <cell r="O222" t="str">
            <v>Available</v>
          </cell>
          <cell r="P222" t="str">
            <v>Not Available</v>
          </cell>
          <cell r="Q222" t="str">
            <v>Not Available</v>
          </cell>
          <cell r="R222" t="str">
            <v>Not Available</v>
          </cell>
          <cell r="S222" t="str">
            <v>Not Available</v>
          </cell>
          <cell r="T222" t="str">
            <v>Not Available</v>
          </cell>
          <cell r="U222" t="str">
            <v>Not Available</v>
          </cell>
        </row>
        <row r="223">
          <cell r="B223" t="str">
            <v>TWN</v>
          </cell>
          <cell r="C223" t="b">
            <v>0</v>
          </cell>
          <cell r="D223" t="b">
            <v>0</v>
          </cell>
          <cell r="E223" t="str">
            <v>Taiwan</v>
          </cell>
          <cell r="H223" t="str">
            <v>Not Available</v>
          </cell>
          <cell r="I223" t="str">
            <v>See Reference Portal http://grp.equant.com/BusTalkGRP/</v>
          </cell>
          <cell r="J223" t="str">
            <v>See Reference Portal http://grp.equant.com/BusTalkGRP/</v>
          </cell>
          <cell r="K223" t="str">
            <v>See Reference Portal http://grp.equant.com/BusTalkGRP/</v>
          </cell>
          <cell r="L223" t="str">
            <v>See Reference Portal http://grp.equant.com/BusTalkGRP/</v>
          </cell>
          <cell r="M223" t="str">
            <v>Not Available</v>
          </cell>
          <cell r="N223" t="str">
            <v>Not Available</v>
          </cell>
          <cell r="O223" t="str">
            <v>Available</v>
          </cell>
          <cell r="P223" t="str">
            <v>Not Available</v>
          </cell>
          <cell r="Q223" t="str">
            <v>Not Available</v>
          </cell>
          <cell r="R223" t="str">
            <v>Not Available</v>
          </cell>
          <cell r="S223" t="str">
            <v>DIDZ6</v>
          </cell>
          <cell r="T223" t="str">
            <v>DIDZ6</v>
          </cell>
          <cell r="U223" t="str">
            <v>Not Available</v>
          </cell>
        </row>
        <row r="224">
          <cell r="B224" t="str">
            <v>TJK</v>
          </cell>
          <cell r="C224" t="b">
            <v>0</v>
          </cell>
          <cell r="D224" t="b">
            <v>1</v>
          </cell>
          <cell r="E224" t="str">
            <v>Tajikistan</v>
          </cell>
          <cell r="H224" t="str">
            <v>Not Available</v>
          </cell>
          <cell r="I224" t="str">
            <v>Not Available</v>
          </cell>
          <cell r="J224" t="str">
            <v>Not Available</v>
          </cell>
          <cell r="K224" t="str">
            <v>Not Available</v>
          </cell>
          <cell r="L224" t="str">
            <v>Not Available</v>
          </cell>
          <cell r="M224" t="str">
            <v>Not Available</v>
          </cell>
          <cell r="N224" t="str">
            <v>Not Available</v>
          </cell>
          <cell r="O224" t="str">
            <v>Not Available</v>
          </cell>
          <cell r="P224" t="str">
            <v>Not Available</v>
          </cell>
          <cell r="Q224" t="str">
            <v>Not Available</v>
          </cell>
          <cell r="R224" t="str">
            <v>Not Available</v>
          </cell>
          <cell r="S224" t="str">
            <v>Not Available</v>
          </cell>
          <cell r="T224" t="str">
            <v>Not Available</v>
          </cell>
          <cell r="U224" t="str">
            <v>Not Available</v>
          </cell>
        </row>
        <row r="225">
          <cell r="B225" t="str">
            <v>TZA</v>
          </cell>
          <cell r="C225" t="b">
            <v>0</v>
          </cell>
          <cell r="D225" t="b">
            <v>0</v>
          </cell>
          <cell r="E225" t="str">
            <v>Tanzania</v>
          </cell>
          <cell r="H225" t="str">
            <v>Not Available</v>
          </cell>
          <cell r="I225" t="str">
            <v>Not Available</v>
          </cell>
          <cell r="J225" t="str">
            <v>See Reference Portal http://grp.equant.com/BusTalkGRP/</v>
          </cell>
          <cell r="K225" t="str">
            <v>See Reference Portal http://grp.equant.com/BusTalkGRP/</v>
          </cell>
          <cell r="L225" t="str">
            <v>Not Available</v>
          </cell>
          <cell r="M225" t="str">
            <v>Not Available</v>
          </cell>
          <cell r="N225" t="str">
            <v>Not Available</v>
          </cell>
          <cell r="O225" t="str">
            <v>Available</v>
          </cell>
          <cell r="P225" t="str">
            <v>Not Available</v>
          </cell>
          <cell r="Q225" t="str">
            <v>Available</v>
          </cell>
          <cell r="R225" t="str">
            <v>Not Available</v>
          </cell>
          <cell r="S225" t="str">
            <v>Not Available</v>
          </cell>
          <cell r="T225" t="str">
            <v>Not Available</v>
          </cell>
          <cell r="U225" t="str">
            <v>Not Available</v>
          </cell>
        </row>
        <row r="226">
          <cell r="B226" t="str">
            <v>THA</v>
          </cell>
          <cell r="C226" t="b">
            <v>0</v>
          </cell>
          <cell r="D226" t="b">
            <v>0</v>
          </cell>
          <cell r="E226" t="str">
            <v>Thailand</v>
          </cell>
          <cell r="H226" t="str">
            <v>Not Available</v>
          </cell>
          <cell r="I226" t="str">
            <v>Not Available</v>
          </cell>
          <cell r="J226" t="str">
            <v>On Net Only</v>
          </cell>
          <cell r="K226" t="str">
            <v>On Net Only</v>
          </cell>
          <cell r="L226" t="str">
            <v>On Net Only</v>
          </cell>
          <cell r="M226" t="str">
            <v>Not Available</v>
          </cell>
          <cell r="N226" t="str">
            <v>Not Available</v>
          </cell>
          <cell r="O226" t="str">
            <v>Available</v>
          </cell>
          <cell r="P226" t="str">
            <v>Not Available</v>
          </cell>
          <cell r="Q226" t="str">
            <v>Not Available</v>
          </cell>
          <cell r="R226" t="str">
            <v>Not Available</v>
          </cell>
          <cell r="S226" t="str">
            <v>Not Available</v>
          </cell>
          <cell r="T226" t="str">
            <v>Not Available</v>
          </cell>
          <cell r="U226" t="str">
            <v>Not Available</v>
          </cell>
        </row>
        <row r="227">
          <cell r="B227" t="str">
            <v>TLS</v>
          </cell>
          <cell r="C227" t="b">
            <v>0</v>
          </cell>
          <cell r="D227" t="b">
            <v>0</v>
          </cell>
          <cell r="E227" t="str">
            <v>Timor-Leste</v>
          </cell>
          <cell r="H227" t="str">
            <v>Not Available</v>
          </cell>
          <cell r="I227" t="str">
            <v>Not Available</v>
          </cell>
          <cell r="J227" t="str">
            <v>Not Available</v>
          </cell>
          <cell r="K227" t="str">
            <v>Not Available</v>
          </cell>
          <cell r="L227" t="str">
            <v>Not Available</v>
          </cell>
          <cell r="M227" t="str">
            <v>Not Available</v>
          </cell>
          <cell r="N227" t="str">
            <v>Not Available</v>
          </cell>
          <cell r="O227" t="str">
            <v>Available</v>
          </cell>
          <cell r="P227" t="str">
            <v>Not Available</v>
          </cell>
          <cell r="Q227" t="str">
            <v>Contact Product</v>
          </cell>
          <cell r="R227" t="str">
            <v>Not Available</v>
          </cell>
          <cell r="S227" t="str">
            <v>Not Available</v>
          </cell>
          <cell r="T227" t="str">
            <v>Not Available</v>
          </cell>
          <cell r="U227" t="str">
            <v>Not Available</v>
          </cell>
        </row>
        <row r="228">
          <cell r="B228" t="str">
            <v>TGO</v>
          </cell>
          <cell r="C228" t="b">
            <v>0</v>
          </cell>
          <cell r="D228" t="b">
            <v>0</v>
          </cell>
          <cell r="E228" t="str">
            <v>Togo</v>
          </cell>
          <cell r="H228" t="str">
            <v>Not Available</v>
          </cell>
          <cell r="I228" t="str">
            <v>Not Available</v>
          </cell>
          <cell r="J228" t="str">
            <v>On Net Only</v>
          </cell>
          <cell r="K228" t="str">
            <v>On Net Only</v>
          </cell>
          <cell r="L228" t="str">
            <v>Not Available</v>
          </cell>
          <cell r="M228" t="str">
            <v>Not Available</v>
          </cell>
          <cell r="N228" t="str">
            <v>Not Available</v>
          </cell>
          <cell r="O228" t="str">
            <v>Available</v>
          </cell>
          <cell r="P228" t="str">
            <v>Not Available</v>
          </cell>
          <cell r="Q228" t="str">
            <v>Not Available</v>
          </cell>
          <cell r="R228" t="str">
            <v>Not Available</v>
          </cell>
          <cell r="S228" t="str">
            <v>Not Available</v>
          </cell>
          <cell r="T228" t="str">
            <v>Not Available</v>
          </cell>
          <cell r="U228" t="str">
            <v>Not Available</v>
          </cell>
        </row>
        <row r="229">
          <cell r="B229" t="str">
            <v>TKL</v>
          </cell>
          <cell r="C229" t="b">
            <v>0</v>
          </cell>
          <cell r="D229" t="b">
            <v>0</v>
          </cell>
          <cell r="E229" t="str">
            <v>Tokelau</v>
          </cell>
          <cell r="H229" t="str">
            <v>Not Available</v>
          </cell>
          <cell r="I229" t="str">
            <v>Not Available</v>
          </cell>
          <cell r="J229" t="str">
            <v>Not Available</v>
          </cell>
          <cell r="K229" t="str">
            <v>Not Available</v>
          </cell>
          <cell r="L229" t="str">
            <v>Not Available</v>
          </cell>
          <cell r="M229" t="str">
            <v>Not Available</v>
          </cell>
          <cell r="N229" t="str">
            <v>Not Available</v>
          </cell>
          <cell r="O229" t="str">
            <v>Available</v>
          </cell>
          <cell r="P229" t="str">
            <v>Not Available</v>
          </cell>
          <cell r="Q229" t="str">
            <v>Not Available</v>
          </cell>
          <cell r="R229" t="str">
            <v>Not Available</v>
          </cell>
          <cell r="S229" t="str">
            <v>Not Available</v>
          </cell>
          <cell r="T229" t="str">
            <v>Not Available</v>
          </cell>
          <cell r="U229" t="str">
            <v>Not Available</v>
          </cell>
        </row>
        <row r="230">
          <cell r="B230" t="str">
            <v>TON</v>
          </cell>
          <cell r="C230" t="b">
            <v>0</v>
          </cell>
          <cell r="D230" t="b">
            <v>0</v>
          </cell>
          <cell r="E230" t="str">
            <v>Tonga</v>
          </cell>
          <cell r="H230" t="str">
            <v>Not Available</v>
          </cell>
          <cell r="I230" t="str">
            <v>Not Available</v>
          </cell>
          <cell r="J230" t="str">
            <v>Not Available</v>
          </cell>
          <cell r="K230" t="str">
            <v>Not Available</v>
          </cell>
          <cell r="L230" t="str">
            <v>Not Available</v>
          </cell>
          <cell r="M230" t="str">
            <v>Not Available</v>
          </cell>
          <cell r="N230" t="str">
            <v>Not Available</v>
          </cell>
          <cell r="O230" t="str">
            <v>Available</v>
          </cell>
          <cell r="P230" t="str">
            <v>Not Available</v>
          </cell>
          <cell r="Q230" t="str">
            <v>Not Available</v>
          </cell>
          <cell r="R230" t="str">
            <v>Not Available</v>
          </cell>
          <cell r="S230" t="str">
            <v>Not Available</v>
          </cell>
          <cell r="T230" t="str">
            <v>Not Available</v>
          </cell>
          <cell r="U230" t="str">
            <v>Not Available</v>
          </cell>
        </row>
        <row r="231">
          <cell r="B231" t="str">
            <v>TTO</v>
          </cell>
          <cell r="C231" t="b">
            <v>0</v>
          </cell>
          <cell r="D231" t="b">
            <v>0</v>
          </cell>
          <cell r="E231" t="str">
            <v>Trinidad and Tobago</v>
          </cell>
          <cell r="H231" t="str">
            <v>Not Available</v>
          </cell>
          <cell r="I231" t="str">
            <v>Not Available</v>
          </cell>
          <cell r="J231" t="str">
            <v>On Net Only</v>
          </cell>
          <cell r="K231" t="str">
            <v>On Net Only</v>
          </cell>
          <cell r="L231" t="str">
            <v>Not Available</v>
          </cell>
          <cell r="M231" t="str">
            <v>Not Available</v>
          </cell>
          <cell r="N231" t="str">
            <v>Not Available</v>
          </cell>
          <cell r="O231" t="str">
            <v>Available</v>
          </cell>
          <cell r="P231" t="str">
            <v>Not Available</v>
          </cell>
          <cell r="Q231" t="str">
            <v>Available</v>
          </cell>
          <cell r="R231" t="str">
            <v>Not Available</v>
          </cell>
          <cell r="S231" t="str">
            <v>Not Available</v>
          </cell>
          <cell r="T231" t="str">
            <v>Not Available</v>
          </cell>
          <cell r="U231" t="str">
            <v>Not Available</v>
          </cell>
        </row>
        <row r="232">
          <cell r="B232" t="str">
            <v>TUN</v>
          </cell>
          <cell r="C232" t="b">
            <v>0</v>
          </cell>
          <cell r="D232" t="b">
            <v>0</v>
          </cell>
          <cell r="E232" t="str">
            <v>Tunisia</v>
          </cell>
          <cell r="H232" t="str">
            <v>Not Available</v>
          </cell>
          <cell r="I232" t="str">
            <v>Not Available</v>
          </cell>
          <cell r="J232" t="str">
            <v>On Net Only</v>
          </cell>
          <cell r="K232" t="str">
            <v>On Net Only</v>
          </cell>
          <cell r="L232" t="str">
            <v>Not Available</v>
          </cell>
          <cell r="M232" t="str">
            <v>Not Available</v>
          </cell>
          <cell r="N232" t="str">
            <v>Not Available</v>
          </cell>
          <cell r="O232" t="str">
            <v>Available</v>
          </cell>
          <cell r="P232" t="str">
            <v>Not Available</v>
          </cell>
          <cell r="Q232" t="str">
            <v>Not Available</v>
          </cell>
          <cell r="R232" t="str">
            <v>Not Available</v>
          </cell>
          <cell r="S232" t="str">
            <v>Not Available</v>
          </cell>
          <cell r="T232" t="str">
            <v>Not Available</v>
          </cell>
          <cell r="U232" t="str">
            <v>Not Available</v>
          </cell>
        </row>
        <row r="233">
          <cell r="B233" t="str">
            <v>TUR</v>
          </cell>
          <cell r="C233" t="b">
            <v>0</v>
          </cell>
          <cell r="D233" t="b">
            <v>0</v>
          </cell>
          <cell r="E233" t="str">
            <v>Turkey</v>
          </cell>
          <cell r="H233" t="str">
            <v>Not Available</v>
          </cell>
          <cell r="I233" t="str">
            <v>Not Available</v>
          </cell>
          <cell r="J233" t="str">
            <v>On Net Only</v>
          </cell>
          <cell r="K233" t="str">
            <v>On Net Only</v>
          </cell>
          <cell r="L233" t="str">
            <v>On Net Only</v>
          </cell>
          <cell r="M233" t="str">
            <v>Not Available</v>
          </cell>
          <cell r="N233" t="str">
            <v>Not Available</v>
          </cell>
          <cell r="O233" t="str">
            <v>Available</v>
          </cell>
          <cell r="P233" t="str">
            <v>Not Available</v>
          </cell>
          <cell r="Q233" t="str">
            <v>Not Available</v>
          </cell>
          <cell r="R233" t="str">
            <v>Not Available</v>
          </cell>
          <cell r="S233" t="str">
            <v>Not Available</v>
          </cell>
          <cell r="T233" t="str">
            <v>Not Available</v>
          </cell>
          <cell r="U233" t="str">
            <v>Not Available</v>
          </cell>
        </row>
        <row r="234">
          <cell r="B234" t="str">
            <v>TKM</v>
          </cell>
          <cell r="C234" t="b">
            <v>0</v>
          </cell>
          <cell r="D234" t="b">
            <v>1</v>
          </cell>
          <cell r="E234" t="str">
            <v>Turkmenistan</v>
          </cell>
          <cell r="H234" t="str">
            <v>Not Available</v>
          </cell>
          <cell r="I234" t="str">
            <v>Not Available</v>
          </cell>
          <cell r="J234" t="str">
            <v>Not Available</v>
          </cell>
          <cell r="K234" t="str">
            <v>Not Available</v>
          </cell>
          <cell r="L234" t="str">
            <v>Not Available</v>
          </cell>
          <cell r="M234" t="str">
            <v>Not Available</v>
          </cell>
          <cell r="N234" t="str">
            <v>Not Available</v>
          </cell>
          <cell r="O234" t="str">
            <v>Available</v>
          </cell>
          <cell r="P234" t="str">
            <v>Not Available</v>
          </cell>
          <cell r="Q234" t="str">
            <v>Available</v>
          </cell>
          <cell r="R234" t="str">
            <v>Not Available</v>
          </cell>
          <cell r="S234" t="str">
            <v>Not Available</v>
          </cell>
          <cell r="T234" t="str">
            <v>Not Available</v>
          </cell>
          <cell r="U234" t="str">
            <v>Not Available</v>
          </cell>
        </row>
        <row r="235">
          <cell r="B235" t="str">
            <v>TCA</v>
          </cell>
          <cell r="C235" t="b">
            <v>0</v>
          </cell>
          <cell r="D235" t="b">
            <v>0</v>
          </cell>
          <cell r="E235" t="str">
            <v>Turks and Caicos Islands</v>
          </cell>
          <cell r="H235" t="str">
            <v>Not Available</v>
          </cell>
          <cell r="I235" t="str">
            <v>Not Available</v>
          </cell>
          <cell r="J235" t="str">
            <v>Not Available</v>
          </cell>
          <cell r="K235" t="str">
            <v>Not Available</v>
          </cell>
          <cell r="L235" t="str">
            <v>Not Available</v>
          </cell>
          <cell r="M235" t="str">
            <v>Not Available</v>
          </cell>
          <cell r="N235" t="str">
            <v>Not Available</v>
          </cell>
          <cell r="O235" t="str">
            <v>Available</v>
          </cell>
          <cell r="P235" t="str">
            <v>Not Available</v>
          </cell>
          <cell r="Q235" t="str">
            <v>Not Available</v>
          </cell>
          <cell r="R235" t="str">
            <v>Not Available</v>
          </cell>
          <cell r="S235" t="str">
            <v>Not Available</v>
          </cell>
          <cell r="T235" t="str">
            <v>Not Available</v>
          </cell>
          <cell r="U235" t="str">
            <v>Not Available</v>
          </cell>
        </row>
        <row r="236">
          <cell r="B236" t="str">
            <v>TUV</v>
          </cell>
          <cell r="C236" t="b">
            <v>0</v>
          </cell>
          <cell r="D236" t="b">
            <v>0</v>
          </cell>
          <cell r="E236" t="str">
            <v>Tuvalu</v>
          </cell>
          <cell r="H236" t="str">
            <v>Not Available</v>
          </cell>
          <cell r="I236" t="str">
            <v>Not Available</v>
          </cell>
          <cell r="J236" t="str">
            <v>Not Available</v>
          </cell>
          <cell r="K236" t="str">
            <v>Not Available</v>
          </cell>
          <cell r="L236" t="str">
            <v>Not Available</v>
          </cell>
          <cell r="M236" t="str">
            <v>Not Available</v>
          </cell>
          <cell r="N236" t="str">
            <v>Not Available</v>
          </cell>
          <cell r="O236" t="str">
            <v>Available</v>
          </cell>
          <cell r="P236" t="str">
            <v>Not Available</v>
          </cell>
          <cell r="Q236" t="str">
            <v>Not Available</v>
          </cell>
          <cell r="R236" t="str">
            <v>Not Available</v>
          </cell>
          <cell r="S236" t="str">
            <v>Not Available</v>
          </cell>
          <cell r="T236" t="str">
            <v>Not Available</v>
          </cell>
          <cell r="U236" t="str">
            <v>Not Available</v>
          </cell>
        </row>
        <row r="237">
          <cell r="B237" t="str">
            <v>UGA</v>
          </cell>
          <cell r="C237" t="b">
            <v>0</v>
          </cell>
          <cell r="D237" t="b">
            <v>0</v>
          </cell>
          <cell r="E237" t="str">
            <v>Uganda</v>
          </cell>
          <cell r="H237" t="str">
            <v>Not Available</v>
          </cell>
          <cell r="I237" t="str">
            <v>Not Available</v>
          </cell>
          <cell r="J237" t="str">
            <v>See Reference Portal http://grp.equant.com/BusTalkGRP/</v>
          </cell>
          <cell r="K237" t="str">
            <v>See Reference Portal http://grp.equant.com/BusTalkGRP/</v>
          </cell>
          <cell r="L237" t="str">
            <v>Not Available</v>
          </cell>
          <cell r="M237" t="str">
            <v>Not Available</v>
          </cell>
          <cell r="N237" t="str">
            <v>Not Available</v>
          </cell>
          <cell r="O237" t="str">
            <v>Available</v>
          </cell>
          <cell r="P237" t="str">
            <v>Not Available</v>
          </cell>
          <cell r="Q237" t="str">
            <v>Not Available</v>
          </cell>
          <cell r="R237" t="str">
            <v>Not Available</v>
          </cell>
          <cell r="S237" t="str">
            <v>Not Available</v>
          </cell>
          <cell r="T237" t="str">
            <v>Not Available</v>
          </cell>
          <cell r="U237" t="str">
            <v>Not Available</v>
          </cell>
        </row>
        <row r="238">
          <cell r="B238" t="str">
            <v>UKR</v>
          </cell>
          <cell r="C238" t="b">
            <v>0</v>
          </cell>
          <cell r="D238" t="b">
            <v>1</v>
          </cell>
          <cell r="E238" t="str">
            <v>Ukraine</v>
          </cell>
          <cell r="H238" t="str">
            <v>Not Available</v>
          </cell>
          <cell r="I238" t="str">
            <v>Not Available</v>
          </cell>
          <cell r="J238" t="str">
            <v>Not Available</v>
          </cell>
          <cell r="K238" t="str">
            <v>Not Available</v>
          </cell>
          <cell r="L238" t="str">
            <v>Not Available</v>
          </cell>
          <cell r="M238" t="str">
            <v>Not Available</v>
          </cell>
          <cell r="N238" t="str">
            <v>Not Available</v>
          </cell>
          <cell r="O238" t="str">
            <v>Available</v>
          </cell>
          <cell r="P238" t="str">
            <v>Not Available</v>
          </cell>
          <cell r="Q238" t="str">
            <v>Not Available</v>
          </cell>
          <cell r="R238" t="str">
            <v>Not Available</v>
          </cell>
          <cell r="S238" t="str">
            <v>Not Available</v>
          </cell>
          <cell r="T238" t="str">
            <v>Not Available</v>
          </cell>
          <cell r="U238" t="str">
            <v>Not Available</v>
          </cell>
        </row>
        <row r="239">
          <cell r="B239" t="str">
            <v>ARE</v>
          </cell>
          <cell r="C239" t="b">
            <v>0</v>
          </cell>
          <cell r="D239" t="b">
            <v>0</v>
          </cell>
          <cell r="E239" t="str">
            <v>United Arab Emirates</v>
          </cell>
          <cell r="H239" t="str">
            <v>Not Available</v>
          </cell>
          <cell r="I239" t="str">
            <v>Not Available</v>
          </cell>
          <cell r="J239" t="str">
            <v>On Net Only</v>
          </cell>
          <cell r="K239" t="str">
            <v>On Net Only</v>
          </cell>
          <cell r="L239" t="str">
            <v>Not Available</v>
          </cell>
          <cell r="M239" t="str">
            <v>Not Available</v>
          </cell>
          <cell r="N239" t="str">
            <v>Not Available</v>
          </cell>
          <cell r="O239" t="str">
            <v>Available</v>
          </cell>
          <cell r="P239" t="str">
            <v>Not Available</v>
          </cell>
          <cell r="Q239" t="str">
            <v>Available</v>
          </cell>
          <cell r="R239" t="str">
            <v>Not Available</v>
          </cell>
          <cell r="S239" t="str">
            <v>Not Available</v>
          </cell>
          <cell r="T239" t="str">
            <v>Not Available</v>
          </cell>
          <cell r="U239" t="str">
            <v>Not Available</v>
          </cell>
        </row>
        <row r="240">
          <cell r="B240" t="str">
            <v>GBR</v>
          </cell>
          <cell r="C240" t="b">
            <v>1</v>
          </cell>
          <cell r="D240" t="b">
            <v>1</v>
          </cell>
          <cell r="E240" t="str">
            <v>United Kingdom</v>
          </cell>
          <cell r="H240" t="str">
            <v>Not Available</v>
          </cell>
          <cell r="I240" t="str">
            <v>Available</v>
          </cell>
          <cell r="J240" t="str">
            <v>Available</v>
          </cell>
          <cell r="K240" t="str">
            <v>Available</v>
          </cell>
          <cell r="L240" t="str">
            <v>Available</v>
          </cell>
          <cell r="M240" t="str">
            <v>Not Available</v>
          </cell>
          <cell r="N240" t="str">
            <v>Not Available</v>
          </cell>
          <cell r="O240" t="str">
            <v>Available</v>
          </cell>
          <cell r="P240" t="str">
            <v>Not Available</v>
          </cell>
          <cell r="Q240" t="str">
            <v>Contact Product</v>
          </cell>
          <cell r="R240" t="str">
            <v>Not Available</v>
          </cell>
          <cell r="S240" t="str">
            <v>DIDZ1</v>
          </cell>
          <cell r="T240" t="str">
            <v>DIDZ1</v>
          </cell>
          <cell r="U240" t="str">
            <v>Not Available</v>
          </cell>
        </row>
        <row r="241">
          <cell r="B241" t="str">
            <v>USA</v>
          </cell>
          <cell r="C241" t="b">
            <v>0</v>
          </cell>
          <cell r="D241" t="b">
            <v>0</v>
          </cell>
          <cell r="E241" t="str">
            <v>United States</v>
          </cell>
          <cell r="H241" t="str">
            <v>Not Available</v>
          </cell>
          <cell r="I241" t="str">
            <v>See Reference Portal http://grp.equant.com/BusTalkGRP/</v>
          </cell>
          <cell r="J241" t="str">
            <v>See Reference Portal http://grp.equant.com/BusTalkGRP/</v>
          </cell>
          <cell r="K241" t="str">
            <v>See Reference Portal http://grp.equant.com/BusTalkGRP/</v>
          </cell>
          <cell r="L241" t="str">
            <v>See Reference Portal http://grp.equant.com/BusTalkGRP/</v>
          </cell>
          <cell r="M241" t="str">
            <v>Not Available</v>
          </cell>
          <cell r="N241" t="str">
            <v>Not Available</v>
          </cell>
          <cell r="O241" t="str">
            <v>Available</v>
          </cell>
          <cell r="P241" t="str">
            <v>Not Available</v>
          </cell>
          <cell r="Q241" t="str">
            <v>Not Available</v>
          </cell>
          <cell r="R241" t="str">
            <v>Not Available</v>
          </cell>
          <cell r="S241" t="str">
            <v>DIDZ2</v>
          </cell>
          <cell r="T241" t="str">
            <v>DIDZ2</v>
          </cell>
          <cell r="U241" t="str">
            <v>Not Available</v>
          </cell>
        </row>
        <row r="242">
          <cell r="B242" t="str">
            <v>UMI</v>
          </cell>
          <cell r="C242" t="b">
            <v>0</v>
          </cell>
          <cell r="D242" t="b">
            <v>0</v>
          </cell>
          <cell r="E242" t="str">
            <v>United States Minor Outlying Islands</v>
          </cell>
          <cell r="H242" t="str">
            <v>Not Available</v>
          </cell>
          <cell r="I242" t="str">
            <v>Not Available</v>
          </cell>
          <cell r="J242" t="str">
            <v>Not Available</v>
          </cell>
          <cell r="K242" t="str">
            <v>Not Available</v>
          </cell>
          <cell r="L242" t="str">
            <v>Not Available</v>
          </cell>
          <cell r="M242" t="str">
            <v>Not Available</v>
          </cell>
          <cell r="N242" t="str">
            <v>Not Available</v>
          </cell>
          <cell r="O242" t="str">
            <v>Available</v>
          </cell>
          <cell r="P242" t="str">
            <v>Not Available</v>
          </cell>
          <cell r="Q242" t="str">
            <v>Not Available</v>
          </cell>
          <cell r="R242" t="str">
            <v>Not Available</v>
          </cell>
          <cell r="S242" t="str">
            <v>Not Available</v>
          </cell>
          <cell r="T242" t="str">
            <v>Not Available</v>
          </cell>
          <cell r="U242" t="str">
            <v>Not Available</v>
          </cell>
        </row>
        <row r="243">
          <cell r="B243" t="str">
            <v>URY</v>
          </cell>
          <cell r="C243" t="b">
            <v>0</v>
          </cell>
          <cell r="D243" t="b">
            <v>0</v>
          </cell>
          <cell r="E243" t="str">
            <v>Uruguay</v>
          </cell>
          <cell r="H243" t="str">
            <v>Not Available</v>
          </cell>
          <cell r="I243" t="str">
            <v>Not Available</v>
          </cell>
          <cell r="J243" t="str">
            <v>See Reference Portal http://grp.equant.com/BusTalkGRP/</v>
          </cell>
          <cell r="K243" t="str">
            <v>See Reference Portal http://grp.equant.com/BusTalkGRP/</v>
          </cell>
          <cell r="L243" t="str">
            <v>Not Available</v>
          </cell>
          <cell r="M243" t="str">
            <v>Not Available</v>
          </cell>
          <cell r="N243" t="str">
            <v>Not Available</v>
          </cell>
          <cell r="O243" t="str">
            <v>Available</v>
          </cell>
          <cell r="P243" t="str">
            <v>Not Available</v>
          </cell>
          <cell r="Q243" t="str">
            <v>Not Available</v>
          </cell>
          <cell r="R243" t="str">
            <v>Not Available</v>
          </cell>
          <cell r="S243" t="str">
            <v>Not Available</v>
          </cell>
          <cell r="T243" t="str">
            <v>Not Available</v>
          </cell>
          <cell r="U243" t="str">
            <v>Not Available</v>
          </cell>
        </row>
        <row r="244">
          <cell r="B244" t="str">
            <v>UZB</v>
          </cell>
          <cell r="C244" t="b">
            <v>0</v>
          </cell>
          <cell r="D244" t="b">
            <v>1</v>
          </cell>
          <cell r="E244" t="str">
            <v>Uzbekistan</v>
          </cell>
          <cell r="H244" t="str">
            <v>Not Available</v>
          </cell>
          <cell r="I244" t="str">
            <v>Not Available</v>
          </cell>
          <cell r="J244" t="str">
            <v>Not Available</v>
          </cell>
          <cell r="K244" t="str">
            <v>Not Available</v>
          </cell>
          <cell r="L244" t="str">
            <v>Not Available</v>
          </cell>
          <cell r="M244" t="str">
            <v>Not Available</v>
          </cell>
          <cell r="N244" t="str">
            <v>Not Available</v>
          </cell>
          <cell r="O244" t="str">
            <v>Available</v>
          </cell>
          <cell r="P244" t="str">
            <v>Not Available</v>
          </cell>
          <cell r="Q244" t="str">
            <v>Not Available</v>
          </cell>
          <cell r="R244" t="str">
            <v>Not Available</v>
          </cell>
          <cell r="S244" t="str">
            <v>Not Available</v>
          </cell>
          <cell r="T244" t="str">
            <v>Not Available</v>
          </cell>
          <cell r="U244" t="str">
            <v>Not Available</v>
          </cell>
        </row>
        <row r="245">
          <cell r="B245" t="str">
            <v>VUT</v>
          </cell>
          <cell r="C245" t="b">
            <v>0</v>
          </cell>
          <cell r="D245" t="b">
            <v>0</v>
          </cell>
          <cell r="E245" t="str">
            <v>Vanuatu</v>
          </cell>
          <cell r="H245" t="str">
            <v>Not Available</v>
          </cell>
          <cell r="I245" t="str">
            <v>Not Available</v>
          </cell>
          <cell r="J245" t="str">
            <v>Not Available</v>
          </cell>
          <cell r="K245" t="str">
            <v>Not Available</v>
          </cell>
          <cell r="L245" t="str">
            <v>Not Available</v>
          </cell>
          <cell r="M245" t="str">
            <v>Not Available</v>
          </cell>
          <cell r="N245" t="str">
            <v>Available</v>
          </cell>
          <cell r="O245" t="str">
            <v>Available</v>
          </cell>
          <cell r="P245" t="str">
            <v>Not Available</v>
          </cell>
          <cell r="Q245" t="str">
            <v>Available</v>
          </cell>
          <cell r="R245" t="str">
            <v>Not Available</v>
          </cell>
          <cell r="S245" t="str">
            <v>Not Available</v>
          </cell>
          <cell r="T245" t="str">
            <v>Not Available</v>
          </cell>
          <cell r="U245" t="str">
            <v>Not Available</v>
          </cell>
        </row>
        <row r="246">
          <cell r="B246" t="str">
            <v>VEN</v>
          </cell>
          <cell r="C246" t="b">
            <v>0</v>
          </cell>
          <cell r="D246" t="b">
            <v>0</v>
          </cell>
          <cell r="E246" t="str">
            <v>Venezuela</v>
          </cell>
          <cell r="H246" t="str">
            <v>Not Available</v>
          </cell>
          <cell r="I246" t="str">
            <v>Not Available</v>
          </cell>
          <cell r="J246" t="str">
            <v>On Net Only</v>
          </cell>
          <cell r="K246" t="str">
            <v>On Net Only</v>
          </cell>
          <cell r="L246" t="str">
            <v>Not Available</v>
          </cell>
          <cell r="M246" t="str">
            <v>Not Available</v>
          </cell>
          <cell r="N246" t="str">
            <v>Not Available</v>
          </cell>
          <cell r="O246" t="str">
            <v>Available</v>
          </cell>
          <cell r="P246" t="str">
            <v>Not Available</v>
          </cell>
          <cell r="Q246" t="str">
            <v>Not Available</v>
          </cell>
          <cell r="R246" t="str">
            <v>Not Available</v>
          </cell>
          <cell r="S246" t="str">
            <v>Not Available</v>
          </cell>
          <cell r="T246" t="str">
            <v>Not Available</v>
          </cell>
          <cell r="U246" t="str">
            <v>Not Available</v>
          </cell>
        </row>
        <row r="247">
          <cell r="B247" t="str">
            <v>VNM</v>
          </cell>
          <cell r="C247" t="b">
            <v>0</v>
          </cell>
          <cell r="D247" t="b">
            <v>0</v>
          </cell>
          <cell r="E247" t="str">
            <v>Vietnam</v>
          </cell>
          <cell r="H247" t="str">
            <v>Not Available</v>
          </cell>
          <cell r="I247" t="str">
            <v>Not Available</v>
          </cell>
          <cell r="J247" t="str">
            <v>On Net Only</v>
          </cell>
          <cell r="K247" t="str">
            <v>On Net Only</v>
          </cell>
          <cell r="L247" t="str">
            <v>Not Available</v>
          </cell>
          <cell r="M247" t="str">
            <v>Not Available</v>
          </cell>
          <cell r="N247" t="str">
            <v>Not Available</v>
          </cell>
          <cell r="O247" t="str">
            <v>Available</v>
          </cell>
          <cell r="P247" t="str">
            <v>Not Available</v>
          </cell>
          <cell r="Q247" t="str">
            <v>Not Available</v>
          </cell>
          <cell r="R247" t="str">
            <v>Not Available</v>
          </cell>
          <cell r="S247" t="str">
            <v>Not Available</v>
          </cell>
          <cell r="T247" t="str">
            <v>Not Available</v>
          </cell>
          <cell r="U247" t="str">
            <v>Not Available</v>
          </cell>
        </row>
        <row r="248">
          <cell r="B248" t="str">
            <v>VIR</v>
          </cell>
          <cell r="C248" t="b">
            <v>0</v>
          </cell>
          <cell r="D248" t="b">
            <v>0</v>
          </cell>
          <cell r="E248" t="str">
            <v>Virgin Islands (USA)</v>
          </cell>
          <cell r="H248" t="str">
            <v>Not Available</v>
          </cell>
          <cell r="I248" t="str">
            <v>Not Available</v>
          </cell>
          <cell r="J248" t="str">
            <v>See Reference Portal http://grp.equant.com/BusTalkGRP/</v>
          </cell>
          <cell r="K248" t="str">
            <v>See Reference Portal http://grp.equant.com/BusTalkGRP/</v>
          </cell>
          <cell r="L248" t="str">
            <v>Not Available</v>
          </cell>
          <cell r="M248" t="str">
            <v>Not Available</v>
          </cell>
          <cell r="N248" t="str">
            <v>Not Available</v>
          </cell>
          <cell r="O248" t="str">
            <v>Available</v>
          </cell>
          <cell r="P248" t="str">
            <v>Not Available</v>
          </cell>
          <cell r="Q248" t="str">
            <v>Available</v>
          </cell>
          <cell r="R248" t="str">
            <v>Not Available</v>
          </cell>
          <cell r="S248" t="str">
            <v>Not Available</v>
          </cell>
          <cell r="T248" t="str">
            <v>Not Available</v>
          </cell>
          <cell r="U248" t="str">
            <v>Not Available</v>
          </cell>
        </row>
        <row r="249">
          <cell r="B249" t="str">
            <v>WLF</v>
          </cell>
          <cell r="C249" t="b">
            <v>0</v>
          </cell>
          <cell r="D249" t="b">
            <v>0</v>
          </cell>
          <cell r="E249" t="str">
            <v>Wallis and Futuna</v>
          </cell>
          <cell r="H249" t="str">
            <v>Not Available</v>
          </cell>
          <cell r="I249" t="str">
            <v>Not Available</v>
          </cell>
          <cell r="J249" t="str">
            <v>Not Available</v>
          </cell>
          <cell r="K249" t="str">
            <v>Not Available</v>
          </cell>
          <cell r="L249" t="str">
            <v>Not Available</v>
          </cell>
          <cell r="M249" t="str">
            <v>Not Available</v>
          </cell>
          <cell r="N249" t="str">
            <v>Not Available</v>
          </cell>
          <cell r="O249" t="str">
            <v>Available</v>
          </cell>
          <cell r="P249" t="str">
            <v>Not Available</v>
          </cell>
          <cell r="Q249" t="str">
            <v>Available</v>
          </cell>
          <cell r="R249" t="str">
            <v>Not Available</v>
          </cell>
          <cell r="S249" t="str">
            <v>Not Available</v>
          </cell>
          <cell r="T249" t="str">
            <v>Not Available</v>
          </cell>
          <cell r="U249" t="str">
            <v>Not Available</v>
          </cell>
        </row>
        <row r="250">
          <cell r="B250" t="str">
            <v>ESH</v>
          </cell>
          <cell r="C250" t="b">
            <v>0</v>
          </cell>
          <cell r="D250" t="b">
            <v>0</v>
          </cell>
          <cell r="E250" t="str">
            <v>Western Sahara</v>
          </cell>
          <cell r="H250" t="str">
            <v>Not Available</v>
          </cell>
          <cell r="I250" t="str">
            <v>Not Available</v>
          </cell>
          <cell r="J250" t="str">
            <v>Not Available</v>
          </cell>
          <cell r="K250" t="str">
            <v>Not Available</v>
          </cell>
          <cell r="L250" t="str">
            <v>Not Available</v>
          </cell>
          <cell r="M250" t="str">
            <v>Not Available</v>
          </cell>
          <cell r="N250" t="str">
            <v>Available</v>
          </cell>
          <cell r="O250" t="str">
            <v>Available</v>
          </cell>
          <cell r="P250" t="str">
            <v>Available</v>
          </cell>
          <cell r="Q250" t="str">
            <v>Available</v>
          </cell>
          <cell r="R250" t="str">
            <v>Not Available</v>
          </cell>
          <cell r="S250" t="str">
            <v>Not Available</v>
          </cell>
          <cell r="T250" t="str">
            <v>Not Available</v>
          </cell>
          <cell r="U250" t="str">
            <v>Not Available</v>
          </cell>
        </row>
        <row r="251">
          <cell r="B251" t="str">
            <v>YEM</v>
          </cell>
          <cell r="C251" t="b">
            <v>0</v>
          </cell>
          <cell r="D251" t="b">
            <v>0</v>
          </cell>
          <cell r="E251" t="str">
            <v>Yemen</v>
          </cell>
          <cell r="H251" t="str">
            <v>Not Available</v>
          </cell>
          <cell r="I251" t="str">
            <v>Not Available</v>
          </cell>
          <cell r="J251" t="str">
            <v>Not Available</v>
          </cell>
          <cell r="K251" t="str">
            <v>Not Available</v>
          </cell>
          <cell r="L251" t="str">
            <v>Not Available</v>
          </cell>
          <cell r="M251" t="str">
            <v>Not Available</v>
          </cell>
          <cell r="N251" t="str">
            <v>Not Available</v>
          </cell>
          <cell r="O251" t="str">
            <v>Available</v>
          </cell>
          <cell r="P251" t="str">
            <v>Not Available</v>
          </cell>
          <cell r="Q251" t="str">
            <v>Available</v>
          </cell>
          <cell r="R251" t="str">
            <v>Not Available</v>
          </cell>
          <cell r="S251" t="str">
            <v>Not Available</v>
          </cell>
          <cell r="T251" t="str">
            <v>Not Available</v>
          </cell>
          <cell r="U251" t="str">
            <v>Not Available</v>
          </cell>
        </row>
        <row r="252">
          <cell r="B252" t="str">
            <v>ZMB</v>
          </cell>
          <cell r="C252" t="b">
            <v>0</v>
          </cell>
          <cell r="D252" t="b">
            <v>0</v>
          </cell>
          <cell r="E252" t="str">
            <v>Zambia</v>
          </cell>
          <cell r="H252" t="str">
            <v>Not Available</v>
          </cell>
          <cell r="I252" t="str">
            <v>Not Available</v>
          </cell>
          <cell r="J252" t="str">
            <v>On Net Only</v>
          </cell>
          <cell r="K252" t="str">
            <v>On Net Only</v>
          </cell>
          <cell r="L252" t="str">
            <v>Not Available</v>
          </cell>
          <cell r="M252" t="str">
            <v>Not Available</v>
          </cell>
          <cell r="N252" t="str">
            <v>Not Available</v>
          </cell>
          <cell r="O252" t="str">
            <v>Not Available</v>
          </cell>
          <cell r="P252" t="str">
            <v>Not Available</v>
          </cell>
          <cell r="Q252" t="str">
            <v>Not Available</v>
          </cell>
          <cell r="R252" t="str">
            <v>Not Available</v>
          </cell>
          <cell r="S252" t="str">
            <v>Not Available</v>
          </cell>
          <cell r="T252" t="str">
            <v>Not Available</v>
          </cell>
          <cell r="U252" t="str">
            <v>Not Available</v>
          </cell>
        </row>
        <row r="253">
          <cell r="B253" t="str">
            <v>ZWE</v>
          </cell>
          <cell r="C253" t="b">
            <v>0</v>
          </cell>
          <cell r="D253" t="b">
            <v>0</v>
          </cell>
          <cell r="E253" t="str">
            <v>Zimbabwe</v>
          </cell>
          <cell r="H253" t="str">
            <v>Not Available</v>
          </cell>
          <cell r="I253" t="str">
            <v>Not Available</v>
          </cell>
          <cell r="J253" t="str">
            <v>On Net Only</v>
          </cell>
          <cell r="K253" t="str">
            <v>On Net Only</v>
          </cell>
          <cell r="L253" t="str">
            <v>Not Available</v>
          </cell>
          <cell r="M253" t="str">
            <v>Not Available</v>
          </cell>
          <cell r="N253" t="str">
            <v>Not Available</v>
          </cell>
          <cell r="O253" t="str">
            <v>Not Available</v>
          </cell>
          <cell r="P253" t="str">
            <v>Not Available</v>
          </cell>
          <cell r="Q253" t="str">
            <v>Not Available</v>
          </cell>
          <cell r="R253" t="str">
            <v>Not Available</v>
          </cell>
          <cell r="S253" t="str">
            <v>Not Available</v>
          </cell>
          <cell r="T253" t="str">
            <v>Not Available</v>
          </cell>
          <cell r="U253" t="str">
            <v>Not Available</v>
          </cell>
        </row>
      </sheetData>
      <sheetData sheetId="31" refreshError="1">
        <row r="1">
          <cell r="L1" t="str">
            <v>Multiply pricebook price by</v>
          </cell>
        </row>
        <row r="2">
          <cell r="K2" t="str">
            <v>Route type</v>
          </cell>
          <cell r="L2" t="str">
            <v>LP</v>
          </cell>
          <cell r="M2" t="str">
            <v>SD</v>
          </cell>
          <cell r="N2" t="str">
            <v>CM</v>
          </cell>
          <cell r="O2" t="str">
            <v>RM</v>
          </cell>
        </row>
        <row r="3">
          <cell r="K3" t="str">
            <v>STANDARD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</row>
        <row r="4">
          <cell r="K4" t="str">
            <v>MOBILE FREEMOVE</v>
          </cell>
          <cell r="L4">
            <v>0.9</v>
          </cell>
          <cell r="M4">
            <v>0.91</v>
          </cell>
          <cell r="N4">
            <v>0.93</v>
          </cell>
          <cell r="O4">
            <v>0.95</v>
          </cell>
        </row>
        <row r="5">
          <cell r="K5" t="str">
            <v>MOBILE NON FREEMOVE</v>
          </cell>
          <cell r="L5">
            <v>1.1499999999999999</v>
          </cell>
          <cell r="M5">
            <v>1.1499999999999999</v>
          </cell>
          <cell r="N5">
            <v>1.1499999999999999</v>
          </cell>
          <cell r="O5">
            <v>1.1499999999999999</v>
          </cell>
        </row>
        <row r="7">
          <cell r="F7" t="str">
            <v>Standard prices - V14E</v>
          </cell>
          <cell r="L7" t="str">
            <v>Free-Move offer prices</v>
          </cell>
        </row>
        <row r="8">
          <cell r="A8" t="str">
            <v>Code</v>
          </cell>
          <cell r="B8" t="str">
            <v>Label</v>
          </cell>
          <cell r="C8" t="str">
            <v>Unit</v>
          </cell>
          <cell r="D8" t="str">
            <v>Iso_Country_Code</v>
          </cell>
          <cell r="E8" t="str">
            <v>Discountable</v>
          </cell>
          <cell r="F8" t="str">
            <v>LP_Per_Minute_Peak</v>
          </cell>
          <cell r="G8" t="str">
            <v>SD_Per_Minute_Peak</v>
          </cell>
          <cell r="H8" t="str">
            <v>CM_Per_Minute_Peak</v>
          </cell>
          <cell r="I8" t="str">
            <v>RM_Per_Minute_Peak</v>
          </cell>
          <cell r="K8" t="str">
            <v>Route type</v>
          </cell>
          <cell r="L8" t="str">
            <v>LP</v>
          </cell>
          <cell r="M8" t="str">
            <v>SD</v>
          </cell>
          <cell r="N8" t="str">
            <v>CM</v>
          </cell>
          <cell r="O8" t="str">
            <v>RM</v>
          </cell>
        </row>
        <row r="9">
          <cell r="A9" t="str">
            <v>DOM AUT AUMKM</v>
          </cell>
          <cell r="B9" t="str">
            <v>Austria Mobile Mobilkom/3G</v>
          </cell>
          <cell r="C9" t="str">
            <v>minute</v>
          </cell>
          <cell r="D9" t="str">
            <v>AUT</v>
          </cell>
          <cell r="E9" t="b">
            <v>1</v>
          </cell>
          <cell r="F9">
            <v>3.56E-2</v>
          </cell>
          <cell r="G9">
            <v>3.3300000000000003E-2</v>
          </cell>
          <cell r="H9">
            <v>3.1099999999999999E-2</v>
          </cell>
          <cell r="I9">
            <v>2.9100000000000001E-2</v>
          </cell>
          <cell r="K9" t="str">
            <v>MOBILE NON FREEMOVE</v>
          </cell>
          <cell r="L9">
            <v>4.0939999999999997E-2</v>
          </cell>
          <cell r="M9">
            <v>3.8295000000000003E-2</v>
          </cell>
          <cell r="N9">
            <v>3.5764999999999998E-2</v>
          </cell>
          <cell r="O9">
            <v>3.3465000000000002E-2</v>
          </cell>
        </row>
        <row r="10">
          <cell r="A10" t="str">
            <v>DOM AUT AUM1</v>
          </cell>
          <cell r="B10" t="str">
            <v>Austria Mobile One</v>
          </cell>
          <cell r="C10" t="str">
            <v>minute</v>
          </cell>
          <cell r="D10" t="str">
            <v>AUT</v>
          </cell>
          <cell r="E10" t="b">
            <v>1</v>
          </cell>
          <cell r="F10">
            <v>3.56E-2</v>
          </cell>
          <cell r="G10">
            <v>3.3300000000000003E-2</v>
          </cell>
          <cell r="H10">
            <v>3.1099999999999999E-2</v>
          </cell>
          <cell r="I10">
            <v>2.9100000000000001E-2</v>
          </cell>
          <cell r="K10" t="str">
            <v>MOBILE NON FREEMOVE</v>
          </cell>
          <cell r="L10">
            <v>4.0939999999999997E-2</v>
          </cell>
          <cell r="M10">
            <v>3.8295000000000003E-2</v>
          </cell>
          <cell r="N10">
            <v>3.5764999999999998E-2</v>
          </cell>
          <cell r="O10">
            <v>3.3465000000000002E-2</v>
          </cell>
        </row>
        <row r="11">
          <cell r="A11" t="str">
            <v>DOM AUT ZAUT3</v>
          </cell>
          <cell r="B11" t="str">
            <v>Austria Mobile Other</v>
          </cell>
          <cell r="C11" t="str">
            <v>minute</v>
          </cell>
          <cell r="D11" t="str">
            <v>AUT</v>
          </cell>
          <cell r="E11" t="b">
            <v>1</v>
          </cell>
          <cell r="F11">
            <v>3.56E-2</v>
          </cell>
          <cell r="G11">
            <v>3.3300000000000003E-2</v>
          </cell>
          <cell r="H11">
            <v>3.1099999999999999E-2</v>
          </cell>
          <cell r="I11">
            <v>2.9100000000000001E-2</v>
          </cell>
          <cell r="K11" t="str">
            <v>MOBILE NON FREEMOVE</v>
          </cell>
          <cell r="L11">
            <v>4.0939999999999997E-2</v>
          </cell>
          <cell r="M11">
            <v>3.8295000000000003E-2</v>
          </cell>
          <cell r="N11">
            <v>3.5764999999999998E-2</v>
          </cell>
          <cell r="O11">
            <v>3.3465000000000002E-2</v>
          </cell>
        </row>
        <row r="12">
          <cell r="A12" t="str">
            <v>DOM AUT AUMTG</v>
          </cell>
          <cell r="B12" t="str">
            <v>Austria Mobile Telering</v>
          </cell>
          <cell r="C12" t="str">
            <v>minute</v>
          </cell>
          <cell r="D12" t="str">
            <v>AUT</v>
          </cell>
          <cell r="E12" t="b">
            <v>1</v>
          </cell>
          <cell r="F12">
            <v>3.56E-2</v>
          </cell>
          <cell r="G12">
            <v>3.3300000000000003E-2</v>
          </cell>
          <cell r="H12">
            <v>3.1099999999999999E-2</v>
          </cell>
          <cell r="I12">
            <v>2.9100000000000001E-2</v>
          </cell>
          <cell r="K12" t="str">
            <v>MOBILE NON FREEMOVE</v>
          </cell>
          <cell r="L12">
            <v>4.0939999999999997E-2</v>
          </cell>
          <cell r="M12">
            <v>3.8295000000000003E-2</v>
          </cell>
          <cell r="N12">
            <v>3.5764999999999998E-2</v>
          </cell>
          <cell r="O12">
            <v>3.3465000000000002E-2</v>
          </cell>
        </row>
        <row r="13">
          <cell r="A13" t="str">
            <v>DOM AUT ATMT</v>
          </cell>
          <cell r="B13" t="str">
            <v>Austria Mobile T-Mobile</v>
          </cell>
          <cell r="C13" t="str">
            <v>minute</v>
          </cell>
          <cell r="D13" t="str">
            <v>AUT</v>
          </cell>
          <cell r="E13" t="b">
            <v>1</v>
          </cell>
          <cell r="F13">
            <v>3.56E-2</v>
          </cell>
          <cell r="G13">
            <v>3.3300000000000003E-2</v>
          </cell>
          <cell r="H13">
            <v>3.1099999999999999E-2</v>
          </cell>
          <cell r="I13">
            <v>2.9100000000000001E-2</v>
          </cell>
          <cell r="K13" t="str">
            <v>MOBILE FREEMOVE</v>
          </cell>
          <cell r="L13">
            <v>3.2039999999999999E-2</v>
          </cell>
          <cell r="M13">
            <v>3.0303000000000004E-2</v>
          </cell>
          <cell r="N13">
            <v>2.8923000000000001E-2</v>
          </cell>
          <cell r="O13">
            <v>2.7644999999999999E-2</v>
          </cell>
        </row>
        <row r="14">
          <cell r="A14" t="str">
            <v>DOM AUT ZAUT0</v>
          </cell>
          <cell r="B14" t="str">
            <v>Austria National</v>
          </cell>
          <cell r="C14" t="str">
            <v>minute</v>
          </cell>
          <cell r="D14" t="str">
            <v>AUT</v>
          </cell>
          <cell r="E14" t="b">
            <v>1</v>
          </cell>
          <cell r="F14">
            <v>2.1299999999999999E-2</v>
          </cell>
          <cell r="G14">
            <v>1.9900000000000001E-2</v>
          </cell>
          <cell r="H14">
            <v>1.8599999999999998E-2</v>
          </cell>
          <cell r="I14">
            <v>1.7399999999999999E-2</v>
          </cell>
          <cell r="K14" t="str">
            <v>STANDARD</v>
          </cell>
          <cell r="L14">
            <v>2.1299999999999999E-2</v>
          </cell>
          <cell r="M14">
            <v>1.9900000000000001E-2</v>
          </cell>
          <cell r="N14">
            <v>1.8599999999999998E-2</v>
          </cell>
          <cell r="O14">
            <v>1.7399999999999999E-2</v>
          </cell>
        </row>
        <row r="15">
          <cell r="A15" t="str">
            <v>DOM BEL MOBS</v>
          </cell>
          <cell r="B15" t="str">
            <v>Belgium Mobile Base</v>
          </cell>
          <cell r="C15" t="str">
            <v>minute</v>
          </cell>
          <cell r="D15" t="str">
            <v>BEL</v>
          </cell>
          <cell r="E15" t="b">
            <v>1</v>
          </cell>
          <cell r="F15">
            <v>2.06E-2</v>
          </cell>
          <cell r="G15">
            <v>2.01E-2</v>
          </cell>
          <cell r="H15">
            <v>1.9599999999999999E-2</v>
          </cell>
          <cell r="I15">
            <v>1.9099999999999999E-2</v>
          </cell>
          <cell r="K15" t="str">
            <v>MOBILE NON FREEMOVE</v>
          </cell>
          <cell r="L15">
            <v>2.3689999999999999E-2</v>
          </cell>
          <cell r="M15">
            <v>2.3114999999999997E-2</v>
          </cell>
          <cell r="N15">
            <v>2.2539999999999998E-2</v>
          </cell>
          <cell r="O15">
            <v>2.1964999999999998E-2</v>
          </cell>
        </row>
        <row r="16">
          <cell r="A16" t="str">
            <v>DOM BEL MOBM</v>
          </cell>
          <cell r="B16" t="str">
            <v>Belgium Mobile Mobistar</v>
          </cell>
          <cell r="C16" t="str">
            <v>minute</v>
          </cell>
          <cell r="D16" t="str">
            <v>BEL</v>
          </cell>
          <cell r="E16" t="b">
            <v>1</v>
          </cell>
          <cell r="F16">
            <v>2.06E-2</v>
          </cell>
          <cell r="G16">
            <v>2.01E-2</v>
          </cell>
          <cell r="H16">
            <v>1.9599999999999999E-2</v>
          </cell>
          <cell r="I16">
            <v>1.9099999999999999E-2</v>
          </cell>
          <cell r="K16" t="str">
            <v>MOBILE FREEMOVE</v>
          </cell>
          <cell r="L16">
            <v>1.8540000000000001E-2</v>
          </cell>
          <cell r="M16">
            <v>1.8291000000000002E-2</v>
          </cell>
          <cell r="N16">
            <v>1.8228000000000001E-2</v>
          </cell>
          <cell r="O16">
            <v>1.8144999999999998E-2</v>
          </cell>
        </row>
        <row r="17">
          <cell r="A17" t="str">
            <v>DOM BEL MOBO</v>
          </cell>
          <cell r="B17" t="str">
            <v>Belgium Mobile Other</v>
          </cell>
          <cell r="C17" t="str">
            <v>minute</v>
          </cell>
          <cell r="D17" t="str">
            <v>BEL</v>
          </cell>
          <cell r="E17" t="b">
            <v>1</v>
          </cell>
          <cell r="F17">
            <v>4.6399999999999997E-2</v>
          </cell>
          <cell r="G17">
            <v>4.53E-2</v>
          </cell>
          <cell r="H17">
            <v>4.4200000000000003E-2</v>
          </cell>
          <cell r="I17">
            <v>4.3099999999999999E-2</v>
          </cell>
          <cell r="K17" t="str">
            <v>MOBILE NON FREEMOVE</v>
          </cell>
          <cell r="L17">
            <v>5.3359999999999991E-2</v>
          </cell>
          <cell r="M17">
            <v>5.2094999999999995E-2</v>
          </cell>
          <cell r="N17">
            <v>5.083E-2</v>
          </cell>
          <cell r="O17">
            <v>4.9564999999999998E-2</v>
          </cell>
        </row>
        <row r="18">
          <cell r="A18" t="str">
            <v>DOM BEL MOPX</v>
          </cell>
          <cell r="B18" t="str">
            <v>Belgium Mobile Proximus</v>
          </cell>
          <cell r="C18" t="str">
            <v>minute</v>
          </cell>
          <cell r="D18" t="str">
            <v>BEL</v>
          </cell>
          <cell r="E18" t="b">
            <v>1</v>
          </cell>
          <cell r="F18">
            <v>2.06E-2</v>
          </cell>
          <cell r="G18">
            <v>2.01E-2</v>
          </cell>
          <cell r="H18">
            <v>1.9599999999999999E-2</v>
          </cell>
          <cell r="I18">
            <v>1.9099999999999999E-2</v>
          </cell>
          <cell r="K18" t="str">
            <v>MOBILE NON FREEMOVE</v>
          </cell>
          <cell r="L18">
            <v>2.3689999999999999E-2</v>
          </cell>
          <cell r="M18">
            <v>2.3114999999999997E-2</v>
          </cell>
          <cell r="N18">
            <v>2.2539999999999998E-2</v>
          </cell>
          <cell r="O18">
            <v>2.1964999999999998E-2</v>
          </cell>
        </row>
        <row r="19">
          <cell r="A19" t="str">
            <v>DOM BEL BXL</v>
          </cell>
          <cell r="B19" t="str">
            <v>Belgium National</v>
          </cell>
          <cell r="C19" t="str">
            <v>minute</v>
          </cell>
          <cell r="D19" t="str">
            <v>BEL</v>
          </cell>
          <cell r="E19" t="b">
            <v>1</v>
          </cell>
          <cell r="F19">
            <v>1.6799999999999999E-2</v>
          </cell>
          <cell r="G19">
            <v>1.6400000000000001E-2</v>
          </cell>
          <cell r="H19">
            <v>1.6E-2</v>
          </cell>
          <cell r="I19">
            <v>1.5599999999999999E-2</v>
          </cell>
          <cell r="K19" t="str">
            <v>STANDARD</v>
          </cell>
          <cell r="L19">
            <v>1.6799999999999999E-2</v>
          </cell>
          <cell r="M19">
            <v>1.6400000000000001E-2</v>
          </cell>
          <cell r="N19">
            <v>1.6E-2</v>
          </cell>
          <cell r="O19">
            <v>1.5599999999999999E-2</v>
          </cell>
        </row>
        <row r="20">
          <cell r="A20" t="str">
            <v>DOM HRV FIX</v>
          </cell>
          <cell r="B20" t="str">
            <v>Croatia</v>
          </cell>
          <cell r="C20" t="str">
            <v>minute</v>
          </cell>
          <cell r="D20" t="str">
            <v>HRV</v>
          </cell>
          <cell r="E20" t="b">
            <v>1</v>
          </cell>
          <cell r="F20">
            <v>1.7000000000000001E-2</v>
          </cell>
          <cell r="G20">
            <v>1.4800000000000001E-2</v>
          </cell>
          <cell r="H20">
            <v>1.29E-2</v>
          </cell>
          <cell r="I20">
            <v>1.12E-2</v>
          </cell>
          <cell r="K20" t="str">
            <v>STANDARD</v>
          </cell>
          <cell r="L20">
            <v>1.7000000000000001E-2</v>
          </cell>
          <cell r="M20">
            <v>1.4800000000000001E-2</v>
          </cell>
          <cell r="N20">
            <v>1.29E-2</v>
          </cell>
          <cell r="O20">
            <v>1.12E-2</v>
          </cell>
        </row>
        <row r="21">
          <cell r="A21" t="str">
            <v>DOM HRV MOB</v>
          </cell>
          <cell r="B21" t="str">
            <v>Croatia Mobile</v>
          </cell>
          <cell r="C21" t="str">
            <v>minute</v>
          </cell>
          <cell r="D21" t="str">
            <v>HRV</v>
          </cell>
          <cell r="E21" t="b">
            <v>1</v>
          </cell>
          <cell r="F21">
            <v>0.14000000000000001</v>
          </cell>
          <cell r="G21">
            <v>0.1217</v>
          </cell>
          <cell r="H21">
            <v>0.10580000000000001</v>
          </cell>
          <cell r="I21">
            <v>9.1999999999999998E-2</v>
          </cell>
          <cell r="K21" t="str">
            <v>MOBILE NON FREEMOVE</v>
          </cell>
          <cell r="L21">
            <v>0.161</v>
          </cell>
          <cell r="M21">
            <v>0.139955</v>
          </cell>
          <cell r="N21">
            <v>0.12167</v>
          </cell>
          <cell r="O21">
            <v>0.10579999999999999</v>
          </cell>
        </row>
        <row r="22">
          <cell r="A22" t="str">
            <v>DOM HRV HRMT</v>
          </cell>
          <cell r="B22" t="str">
            <v>Croatia Mobile T-Mobile</v>
          </cell>
          <cell r="C22" t="str">
            <v>minute</v>
          </cell>
          <cell r="D22" t="str">
            <v>HRV</v>
          </cell>
          <cell r="E22" t="b">
            <v>1</v>
          </cell>
          <cell r="F22">
            <v>0.14000000000000001</v>
          </cell>
          <cell r="G22">
            <v>0.1217</v>
          </cell>
          <cell r="H22">
            <v>0.10580000000000001</v>
          </cell>
          <cell r="I22">
            <v>9.1999999999999998E-2</v>
          </cell>
          <cell r="K22" t="str">
            <v>MOBILE FREEMOVE</v>
          </cell>
          <cell r="L22">
            <v>0.12600000000000003</v>
          </cell>
          <cell r="M22">
            <v>0.11074700000000001</v>
          </cell>
          <cell r="N22">
            <v>9.8394000000000009E-2</v>
          </cell>
          <cell r="O22">
            <v>8.7399999999999992E-2</v>
          </cell>
        </row>
        <row r="23">
          <cell r="A23" t="str">
            <v>DOM CSK CZMT</v>
          </cell>
          <cell r="B23" t="str">
            <v>Czech Rep Mobile T-Mobile</v>
          </cell>
          <cell r="C23" t="str">
            <v>minute</v>
          </cell>
          <cell r="D23" t="str">
            <v>CZE</v>
          </cell>
          <cell r="E23" t="b">
            <v>1</v>
          </cell>
          <cell r="F23">
            <v>1.95E-2</v>
          </cell>
          <cell r="G23">
            <v>1.8700000000000001E-2</v>
          </cell>
          <cell r="H23">
            <v>1.7899999999999999E-2</v>
          </cell>
          <cell r="I23">
            <v>1.7100000000000001E-2</v>
          </cell>
          <cell r="K23" t="str">
            <v>MOBILE FREEMOVE</v>
          </cell>
          <cell r="L23">
            <v>1.755E-2</v>
          </cell>
          <cell r="M23">
            <v>1.7017000000000001E-2</v>
          </cell>
          <cell r="N23">
            <v>1.6646999999999999E-2</v>
          </cell>
          <cell r="O23">
            <v>1.6244999999999999E-2</v>
          </cell>
        </row>
        <row r="24">
          <cell r="A24" t="str">
            <v>DOM CSK FIX</v>
          </cell>
          <cell r="B24" t="str">
            <v>Czech Republic</v>
          </cell>
          <cell r="C24" t="str">
            <v>minute</v>
          </cell>
          <cell r="D24" t="str">
            <v>CZE</v>
          </cell>
          <cell r="E24" t="b">
            <v>1</v>
          </cell>
          <cell r="F24">
            <v>2.1000000000000001E-2</v>
          </cell>
          <cell r="G24">
            <v>2.01E-2</v>
          </cell>
          <cell r="H24">
            <v>1.9199999999999998E-2</v>
          </cell>
          <cell r="I24">
            <v>1.84E-2</v>
          </cell>
          <cell r="K24" t="str">
            <v>STANDARD</v>
          </cell>
          <cell r="L24">
            <v>2.1000000000000001E-2</v>
          </cell>
          <cell r="M24">
            <v>2.01E-2</v>
          </cell>
          <cell r="N24">
            <v>1.9199999999999998E-2</v>
          </cell>
          <cell r="O24">
            <v>1.84E-2</v>
          </cell>
        </row>
        <row r="25">
          <cell r="A25" t="str">
            <v>DOM CSK MOBIL</v>
          </cell>
          <cell r="B25" t="str">
            <v>Czech Republic Mobile</v>
          </cell>
          <cell r="C25" t="str">
            <v>minute</v>
          </cell>
          <cell r="D25" t="str">
            <v>CZE</v>
          </cell>
          <cell r="E25" t="b">
            <v>1</v>
          </cell>
          <cell r="F25">
            <v>1.95E-2</v>
          </cell>
          <cell r="G25">
            <v>1.8700000000000001E-2</v>
          </cell>
          <cell r="H25">
            <v>1.7899999999999999E-2</v>
          </cell>
          <cell r="I25">
            <v>1.7100000000000001E-2</v>
          </cell>
          <cell r="K25" t="str">
            <v>MOBILE NON FREEMOVE</v>
          </cell>
          <cell r="L25">
            <v>2.2424999999999997E-2</v>
          </cell>
          <cell r="M25">
            <v>2.1505E-2</v>
          </cell>
          <cell r="N25">
            <v>2.0584999999999999E-2</v>
          </cell>
          <cell r="O25">
            <v>1.9664999999999998E-2</v>
          </cell>
        </row>
        <row r="26">
          <cell r="A26" t="str">
            <v>DOM DNK AREA3</v>
          </cell>
          <cell r="B26" t="str">
            <v>Denmark Mobile</v>
          </cell>
          <cell r="C26" t="str">
            <v>minute</v>
          </cell>
          <cell r="D26" t="str">
            <v>DNK</v>
          </cell>
          <cell r="E26" t="b">
            <v>1</v>
          </cell>
          <cell r="F26">
            <v>2.3199999999999998E-2</v>
          </cell>
          <cell r="G26">
            <v>2.1700000000000001E-2</v>
          </cell>
          <cell r="H26">
            <v>2.0299999999999999E-2</v>
          </cell>
          <cell r="I26">
            <v>1.9E-2</v>
          </cell>
          <cell r="K26" t="str">
            <v>MOBILE NON FREEMOVE</v>
          </cell>
          <cell r="L26">
            <v>2.6679999999999995E-2</v>
          </cell>
          <cell r="M26">
            <v>2.4954999999999998E-2</v>
          </cell>
          <cell r="N26">
            <v>2.3344999999999998E-2</v>
          </cell>
          <cell r="O26">
            <v>2.1849999999999998E-2</v>
          </cell>
        </row>
        <row r="27">
          <cell r="A27" t="str">
            <v>DOM DNK DKMTE</v>
          </cell>
          <cell r="B27" t="str">
            <v>Denmark Mobile Telia</v>
          </cell>
          <cell r="C27" t="str">
            <v>minute</v>
          </cell>
          <cell r="D27" t="str">
            <v>DNK</v>
          </cell>
          <cell r="E27" t="b">
            <v>1</v>
          </cell>
          <cell r="F27">
            <v>2.3199999999999998E-2</v>
          </cell>
          <cell r="G27">
            <v>2.1700000000000001E-2</v>
          </cell>
          <cell r="H27">
            <v>2.0299999999999999E-2</v>
          </cell>
          <cell r="I27">
            <v>1.9E-2</v>
          </cell>
          <cell r="K27" t="str">
            <v>MOBILE FREEMOVE</v>
          </cell>
          <cell r="L27">
            <v>2.0879999999999999E-2</v>
          </cell>
          <cell r="M27">
            <v>1.9747000000000001E-2</v>
          </cell>
          <cell r="N27">
            <v>1.8879E-2</v>
          </cell>
          <cell r="O27">
            <v>1.805E-2</v>
          </cell>
        </row>
        <row r="28">
          <cell r="A28" t="str">
            <v>DOM DNK AREA1</v>
          </cell>
          <cell r="B28" t="str">
            <v>Denmark National</v>
          </cell>
          <cell r="C28" t="str">
            <v>minute</v>
          </cell>
          <cell r="D28" t="str">
            <v>DNK</v>
          </cell>
          <cell r="E28" t="b">
            <v>1</v>
          </cell>
          <cell r="F28">
            <v>1.09E-2</v>
          </cell>
          <cell r="G28">
            <v>1.0200000000000001E-2</v>
          </cell>
          <cell r="H28">
            <v>9.4999999999999998E-3</v>
          </cell>
          <cell r="I28">
            <v>8.8999999999999999E-3</v>
          </cell>
          <cell r="K28" t="str">
            <v>STANDARD</v>
          </cell>
          <cell r="L28">
            <v>1.09E-2</v>
          </cell>
          <cell r="M28">
            <v>1.0200000000000001E-2</v>
          </cell>
          <cell r="N28">
            <v>9.4999999999999998E-3</v>
          </cell>
          <cell r="O28">
            <v>8.8999999999999999E-3</v>
          </cell>
        </row>
        <row r="29">
          <cell r="A29" t="str">
            <v>DOM EST FIX</v>
          </cell>
          <cell r="B29" t="str">
            <v>Estonia</v>
          </cell>
          <cell r="C29" t="str">
            <v>minute</v>
          </cell>
          <cell r="D29" t="str">
            <v>EST</v>
          </cell>
          <cell r="E29" t="b">
            <v>1</v>
          </cell>
          <cell r="F29">
            <v>3.1E-2</v>
          </cell>
          <cell r="G29">
            <v>2.7E-2</v>
          </cell>
          <cell r="H29">
            <v>2.3400000000000001E-2</v>
          </cell>
          <cell r="I29">
            <v>2.0400000000000001E-2</v>
          </cell>
          <cell r="K29" t="str">
            <v>STANDARD</v>
          </cell>
          <cell r="L29">
            <v>3.1E-2</v>
          </cell>
          <cell r="M29">
            <v>2.7E-2</v>
          </cell>
          <cell r="N29">
            <v>2.3400000000000001E-2</v>
          </cell>
          <cell r="O29">
            <v>2.0400000000000001E-2</v>
          </cell>
        </row>
        <row r="30">
          <cell r="A30" t="str">
            <v>DOM EST MOB</v>
          </cell>
          <cell r="B30" t="str">
            <v>Estonia Mobile</v>
          </cell>
          <cell r="C30" t="str">
            <v>minute</v>
          </cell>
          <cell r="D30" t="str">
            <v>EST</v>
          </cell>
          <cell r="E30" t="b">
            <v>1</v>
          </cell>
          <cell r="F30">
            <v>0.1729</v>
          </cell>
          <cell r="G30">
            <v>0.15040000000000001</v>
          </cell>
          <cell r="H30">
            <v>0.13070000000000001</v>
          </cell>
          <cell r="I30">
            <v>0.1137</v>
          </cell>
          <cell r="K30" t="str">
            <v>MOBILE NON FREEMOVE</v>
          </cell>
          <cell r="L30">
            <v>0.19883499999999998</v>
          </cell>
          <cell r="M30">
            <v>0.17296</v>
          </cell>
          <cell r="N30">
            <v>0.15030499999999999</v>
          </cell>
          <cell r="O30">
            <v>0.13075499999999998</v>
          </cell>
        </row>
        <row r="31">
          <cell r="A31" t="str">
            <v>DOM EST EEMEM</v>
          </cell>
          <cell r="B31" t="str">
            <v>Estonia Mobile Emt</v>
          </cell>
          <cell r="C31" t="str">
            <v>minute</v>
          </cell>
          <cell r="D31" t="str">
            <v>EST</v>
          </cell>
          <cell r="E31" t="b">
            <v>1</v>
          </cell>
          <cell r="F31">
            <v>0.1729</v>
          </cell>
          <cell r="G31">
            <v>0.15040000000000001</v>
          </cell>
          <cell r="H31">
            <v>0.13070000000000001</v>
          </cell>
          <cell r="I31">
            <v>0.1137</v>
          </cell>
          <cell r="K31" t="str">
            <v>MOBILE FREEMOVE</v>
          </cell>
          <cell r="L31">
            <v>0.15561</v>
          </cell>
          <cell r="M31">
            <v>0.13686400000000001</v>
          </cell>
          <cell r="N31">
            <v>0.12155100000000002</v>
          </cell>
          <cell r="O31">
            <v>0.10801499999999999</v>
          </cell>
        </row>
        <row r="32">
          <cell r="A32" t="str">
            <v>DOM FIN AREA1</v>
          </cell>
          <cell r="B32" t="str">
            <v>Finland</v>
          </cell>
          <cell r="C32" t="str">
            <v>minute</v>
          </cell>
          <cell r="D32" t="str">
            <v>FIN</v>
          </cell>
          <cell r="E32" t="b">
            <v>1</v>
          </cell>
          <cell r="F32">
            <v>3.9300000000000002E-2</v>
          </cell>
          <cell r="G32">
            <v>3.6700000000000003E-2</v>
          </cell>
          <cell r="H32">
            <v>3.4299999999999997E-2</v>
          </cell>
          <cell r="I32">
            <v>3.2099999999999997E-2</v>
          </cell>
          <cell r="K32" t="str">
            <v>STANDARD</v>
          </cell>
          <cell r="L32">
            <v>3.9300000000000002E-2</v>
          </cell>
          <cell r="M32">
            <v>3.6700000000000003E-2</v>
          </cell>
          <cell r="N32">
            <v>3.4299999999999997E-2</v>
          </cell>
          <cell r="O32">
            <v>3.2099999999999997E-2</v>
          </cell>
        </row>
        <row r="33">
          <cell r="A33" t="str">
            <v>DOM FIN AREA2</v>
          </cell>
          <cell r="B33" t="str">
            <v>Finland Mobile</v>
          </cell>
          <cell r="C33" t="str">
            <v>minute</v>
          </cell>
          <cell r="D33" t="str">
            <v>FIN</v>
          </cell>
          <cell r="E33" t="b">
            <v>1</v>
          </cell>
          <cell r="F33">
            <v>4.7699999999999999E-2</v>
          </cell>
          <cell r="G33">
            <v>4.4600000000000001E-2</v>
          </cell>
          <cell r="H33">
            <v>4.1700000000000001E-2</v>
          </cell>
          <cell r="I33">
            <v>3.9E-2</v>
          </cell>
          <cell r="K33" t="str">
            <v>MOBILE NON FREEMOVE</v>
          </cell>
          <cell r="L33">
            <v>5.4854999999999994E-2</v>
          </cell>
          <cell r="M33">
            <v>5.1289999999999995E-2</v>
          </cell>
          <cell r="N33">
            <v>4.7954999999999998E-2</v>
          </cell>
          <cell r="O33">
            <v>4.4849999999999994E-2</v>
          </cell>
        </row>
        <row r="34">
          <cell r="A34" t="str">
            <v>DOM FIN FIMSO</v>
          </cell>
          <cell r="B34" t="str">
            <v>Finland Mobile Sonera</v>
          </cell>
          <cell r="C34" t="str">
            <v>minute</v>
          </cell>
          <cell r="D34" t="str">
            <v>FIN</v>
          </cell>
          <cell r="E34" t="b">
            <v>1</v>
          </cell>
          <cell r="F34">
            <v>4.7699999999999999E-2</v>
          </cell>
          <cell r="G34">
            <v>4.4600000000000001E-2</v>
          </cell>
          <cell r="H34">
            <v>4.1700000000000001E-2</v>
          </cell>
          <cell r="I34">
            <v>3.9E-2</v>
          </cell>
          <cell r="K34" t="str">
            <v>MOBILE FREEMOVE</v>
          </cell>
          <cell r="L34">
            <v>4.2930000000000003E-2</v>
          </cell>
          <cell r="M34">
            <v>4.0586000000000004E-2</v>
          </cell>
          <cell r="N34">
            <v>3.8781000000000003E-2</v>
          </cell>
          <cell r="O34">
            <v>3.705E-2</v>
          </cell>
        </row>
        <row r="35">
          <cell r="A35" t="str">
            <v>DOM FRA MOBIL</v>
          </cell>
          <cell r="B35" t="str">
            <v>France Mobile</v>
          </cell>
          <cell r="C35" t="str">
            <v>minute</v>
          </cell>
          <cell r="D35" t="str">
            <v>FRA</v>
          </cell>
          <cell r="E35" t="b">
            <v>1</v>
          </cell>
          <cell r="F35">
            <v>3.1600000000000003E-2</v>
          </cell>
          <cell r="G35">
            <v>2.9499999999999998E-2</v>
          </cell>
          <cell r="H35">
            <v>2.76E-2</v>
          </cell>
          <cell r="I35">
            <v>2.58E-2</v>
          </cell>
          <cell r="K35" t="str">
            <v>MOBILE NON FREEMOVE</v>
          </cell>
          <cell r="L35">
            <v>3.6339999999999997E-2</v>
          </cell>
          <cell r="M35">
            <v>3.3924999999999997E-2</v>
          </cell>
          <cell r="N35">
            <v>3.1739999999999997E-2</v>
          </cell>
          <cell r="O35">
            <v>2.9669999999999998E-2</v>
          </cell>
        </row>
        <row r="36">
          <cell r="A36" t="str">
            <v>DOM FRA MOBBO</v>
          </cell>
          <cell r="B36" t="str">
            <v>France Mobile Bouygues</v>
          </cell>
          <cell r="C36" t="str">
            <v>minute</v>
          </cell>
          <cell r="D36" t="str">
            <v>FRA</v>
          </cell>
          <cell r="E36" t="b">
            <v>1</v>
          </cell>
          <cell r="F36">
            <v>3.1600000000000003E-2</v>
          </cell>
          <cell r="G36">
            <v>2.9499999999999998E-2</v>
          </cell>
          <cell r="H36">
            <v>2.76E-2</v>
          </cell>
          <cell r="I36">
            <v>2.58E-2</v>
          </cell>
          <cell r="K36" t="str">
            <v>MOBILE NON FREEMOVE</v>
          </cell>
          <cell r="L36">
            <v>3.6339999999999997E-2</v>
          </cell>
          <cell r="M36">
            <v>3.3924999999999997E-2</v>
          </cell>
          <cell r="N36">
            <v>3.1739999999999997E-2</v>
          </cell>
          <cell r="O36">
            <v>2.9669999999999998E-2</v>
          </cell>
        </row>
        <row r="37">
          <cell r="A37" t="str">
            <v>DOM FRA MOBI1</v>
          </cell>
          <cell r="B37" t="str">
            <v>France Mobile Orange</v>
          </cell>
          <cell r="C37" t="str">
            <v>minute</v>
          </cell>
          <cell r="D37" t="str">
            <v>FRA</v>
          </cell>
          <cell r="E37" t="b">
            <v>1</v>
          </cell>
          <cell r="F37">
            <v>3.1600000000000003E-2</v>
          </cell>
          <cell r="G37">
            <v>2.9499999999999998E-2</v>
          </cell>
          <cell r="H37">
            <v>2.76E-2</v>
          </cell>
          <cell r="I37">
            <v>2.58E-2</v>
          </cell>
          <cell r="K37" t="str">
            <v>MOBILE FREEMOVE</v>
          </cell>
          <cell r="L37">
            <v>2.8440000000000003E-2</v>
          </cell>
          <cell r="M37">
            <v>2.6845000000000001E-2</v>
          </cell>
          <cell r="N37">
            <v>2.5668E-2</v>
          </cell>
          <cell r="O37">
            <v>2.4510000000000001E-2</v>
          </cell>
        </row>
        <row r="38">
          <cell r="A38" t="str">
            <v>DOM FRA MOBSF</v>
          </cell>
          <cell r="B38" t="str">
            <v>France Mobile SFR</v>
          </cell>
          <cell r="C38" t="str">
            <v>minute</v>
          </cell>
          <cell r="D38" t="str">
            <v>FRA</v>
          </cell>
          <cell r="E38" t="b">
            <v>1</v>
          </cell>
          <cell r="F38">
            <v>3.1600000000000003E-2</v>
          </cell>
          <cell r="G38">
            <v>2.9499999999999998E-2</v>
          </cell>
          <cell r="H38">
            <v>2.76E-2</v>
          </cell>
          <cell r="I38">
            <v>2.58E-2</v>
          </cell>
          <cell r="K38" t="str">
            <v>MOBILE NON FREEMOVE</v>
          </cell>
          <cell r="L38">
            <v>3.6339999999999997E-2</v>
          </cell>
          <cell r="M38">
            <v>3.3924999999999997E-2</v>
          </cell>
          <cell r="N38">
            <v>3.1739999999999997E-2</v>
          </cell>
          <cell r="O38">
            <v>2.9669999999999998E-2</v>
          </cell>
        </row>
        <row r="39">
          <cell r="A39" t="str">
            <v>DOM FRA OFPOP</v>
          </cell>
          <cell r="B39" t="str">
            <v>France National</v>
          </cell>
          <cell r="C39" t="str">
            <v>minute</v>
          </cell>
          <cell r="D39" t="str">
            <v>FRA</v>
          </cell>
          <cell r="E39" t="b">
            <v>1</v>
          </cell>
          <cell r="F39">
            <v>1.14E-2</v>
          </cell>
          <cell r="G39">
            <v>1.0699999999999999E-2</v>
          </cell>
          <cell r="H39">
            <v>0.01</v>
          </cell>
          <cell r="I39">
            <v>9.2999999999999992E-3</v>
          </cell>
          <cell r="K39" t="str">
            <v>STANDARD</v>
          </cell>
          <cell r="L39">
            <v>1.14E-2</v>
          </cell>
          <cell r="M39">
            <v>1.0699999999999999E-2</v>
          </cell>
          <cell r="N39">
            <v>0.01</v>
          </cell>
          <cell r="O39">
            <v>9.2999999999999992E-3</v>
          </cell>
        </row>
        <row r="40">
          <cell r="A40" t="str">
            <v>DOM GEO FIX</v>
          </cell>
          <cell r="B40" t="str">
            <v>Georgia</v>
          </cell>
          <cell r="C40" t="str">
            <v>minute</v>
          </cell>
          <cell r="D40" t="str">
            <v>GEO</v>
          </cell>
          <cell r="E40" t="b">
            <v>1</v>
          </cell>
          <cell r="F40">
            <v>9.2799999999999994E-2</v>
          </cell>
          <cell r="G40">
            <v>8.0699999999999994E-2</v>
          </cell>
          <cell r="H40">
            <v>7.0199999999999999E-2</v>
          </cell>
          <cell r="I40">
            <v>6.0999999999999999E-2</v>
          </cell>
          <cell r="K40" t="str">
            <v>STANDARD</v>
          </cell>
          <cell r="L40">
            <v>9.2799999999999994E-2</v>
          </cell>
          <cell r="M40">
            <v>8.0699999999999994E-2</v>
          </cell>
          <cell r="N40">
            <v>7.0199999999999999E-2</v>
          </cell>
          <cell r="O40">
            <v>6.0999999999999999E-2</v>
          </cell>
        </row>
        <row r="41">
          <cell r="A41" t="str">
            <v>DOM GEO MOB</v>
          </cell>
          <cell r="B41" t="str">
            <v>Georgia Mobile</v>
          </cell>
          <cell r="C41" t="str">
            <v>minute</v>
          </cell>
          <cell r="D41" t="str">
            <v>GEO</v>
          </cell>
          <cell r="E41" t="b">
            <v>1</v>
          </cell>
          <cell r="F41">
            <v>0.17469999999999999</v>
          </cell>
          <cell r="G41">
            <v>0.15190000000000001</v>
          </cell>
          <cell r="H41">
            <v>0.1321</v>
          </cell>
          <cell r="I41">
            <v>0.1149</v>
          </cell>
          <cell r="K41" t="str">
            <v>MOBILE NON FREEMOVE</v>
          </cell>
          <cell r="L41">
            <v>0.20090499999999997</v>
          </cell>
          <cell r="M41">
            <v>0.17468500000000001</v>
          </cell>
          <cell r="N41">
            <v>0.15191499999999999</v>
          </cell>
          <cell r="O41">
            <v>0.132135</v>
          </cell>
        </row>
        <row r="42">
          <cell r="A42" t="str">
            <v>DOM GEO GEMGE</v>
          </cell>
          <cell r="B42" t="str">
            <v>Georgia Mobile Geocell</v>
          </cell>
          <cell r="C42" t="str">
            <v>minute</v>
          </cell>
          <cell r="D42" t="str">
            <v>GEO</v>
          </cell>
          <cell r="E42" t="b">
            <v>1</v>
          </cell>
          <cell r="F42">
            <v>0.17469999999999999</v>
          </cell>
          <cell r="G42">
            <v>0.15190000000000001</v>
          </cell>
          <cell r="H42">
            <v>0.1321</v>
          </cell>
          <cell r="I42">
            <v>0.1149</v>
          </cell>
          <cell r="K42" t="str">
            <v>MOBILE FREEMOVE</v>
          </cell>
          <cell r="L42">
            <v>0.15723000000000001</v>
          </cell>
          <cell r="M42">
            <v>0.13822900000000002</v>
          </cell>
          <cell r="N42">
            <v>0.122853</v>
          </cell>
          <cell r="O42">
            <v>0.109155</v>
          </cell>
        </row>
        <row r="43">
          <cell r="A43" t="str">
            <v>DOM GER GEMEP</v>
          </cell>
          <cell r="B43" t="str">
            <v>Germany Mobile E-Plus</v>
          </cell>
          <cell r="C43" t="str">
            <v>minute</v>
          </cell>
          <cell r="D43" t="str">
            <v>DEU</v>
          </cell>
          <cell r="E43" t="b">
            <v>1</v>
          </cell>
          <cell r="F43">
            <v>3.3000000000000002E-2</v>
          </cell>
          <cell r="G43">
            <v>3.2199999999999999E-2</v>
          </cell>
          <cell r="H43">
            <v>3.1399999999999997E-2</v>
          </cell>
          <cell r="I43">
            <v>3.0599999999999999E-2</v>
          </cell>
          <cell r="K43" t="str">
            <v>MOBILE NON FREEMOVE</v>
          </cell>
          <cell r="L43">
            <v>3.7949999999999998E-2</v>
          </cell>
          <cell r="M43">
            <v>3.7029999999999993E-2</v>
          </cell>
          <cell r="N43">
            <v>3.6109999999999996E-2</v>
          </cell>
          <cell r="O43">
            <v>3.5189999999999999E-2</v>
          </cell>
        </row>
        <row r="44">
          <cell r="A44" t="str">
            <v>DOM GER GEMO2</v>
          </cell>
          <cell r="B44" t="str">
            <v>Germany Mobile O2</v>
          </cell>
          <cell r="C44" t="str">
            <v>minute</v>
          </cell>
          <cell r="D44" t="str">
            <v>DEU</v>
          </cell>
          <cell r="E44" t="b">
            <v>1</v>
          </cell>
          <cell r="F44">
            <v>3.3000000000000002E-2</v>
          </cell>
          <cell r="G44">
            <v>3.2199999999999999E-2</v>
          </cell>
          <cell r="H44">
            <v>3.1399999999999997E-2</v>
          </cell>
          <cell r="I44">
            <v>3.0599999999999999E-2</v>
          </cell>
          <cell r="K44" t="str">
            <v>MOBILE NON FREEMOVE</v>
          </cell>
          <cell r="L44">
            <v>3.7949999999999998E-2</v>
          </cell>
          <cell r="M44">
            <v>3.7029999999999993E-2</v>
          </cell>
          <cell r="N44">
            <v>3.6109999999999996E-2</v>
          </cell>
          <cell r="O44">
            <v>3.5189999999999999E-2</v>
          </cell>
        </row>
        <row r="45">
          <cell r="A45" t="str">
            <v>DOM GER GMMOB</v>
          </cell>
          <cell r="B45" t="str">
            <v>Germany Mobile Other</v>
          </cell>
          <cell r="C45" t="str">
            <v>minute</v>
          </cell>
          <cell r="D45" t="str">
            <v>DEU</v>
          </cell>
          <cell r="E45" t="b">
            <v>1</v>
          </cell>
          <cell r="F45">
            <v>5.7799999999999997E-2</v>
          </cell>
          <cell r="G45">
            <v>5.6399999999999999E-2</v>
          </cell>
          <cell r="H45">
            <v>5.5E-2</v>
          </cell>
          <cell r="I45">
            <v>5.3699999999999998E-2</v>
          </cell>
          <cell r="K45" t="str">
            <v>MOBILE NON FREEMOVE</v>
          </cell>
          <cell r="L45">
            <v>6.6469999999999987E-2</v>
          </cell>
          <cell r="M45">
            <v>6.4859999999999987E-2</v>
          </cell>
          <cell r="N45">
            <v>6.3250000000000001E-2</v>
          </cell>
          <cell r="O45">
            <v>6.175499999999999E-2</v>
          </cell>
        </row>
        <row r="46">
          <cell r="A46" t="str">
            <v>DOM GER GEMTM</v>
          </cell>
          <cell r="B46" t="str">
            <v>Germany Mobile T-Mobile</v>
          </cell>
          <cell r="C46" t="str">
            <v>minute</v>
          </cell>
          <cell r="D46" t="str">
            <v>DEU</v>
          </cell>
          <cell r="E46" t="b">
            <v>1</v>
          </cell>
          <cell r="F46">
            <v>3.3000000000000002E-2</v>
          </cell>
          <cell r="G46">
            <v>3.2199999999999999E-2</v>
          </cell>
          <cell r="H46">
            <v>3.1399999999999997E-2</v>
          </cell>
          <cell r="I46">
            <v>3.0599999999999999E-2</v>
          </cell>
          <cell r="K46" t="str">
            <v>MOBILE FREEMOVE</v>
          </cell>
          <cell r="L46">
            <v>2.9700000000000001E-2</v>
          </cell>
          <cell r="M46">
            <v>2.9302000000000002E-2</v>
          </cell>
          <cell r="N46">
            <v>2.9201999999999999E-2</v>
          </cell>
          <cell r="O46">
            <v>2.9069999999999999E-2</v>
          </cell>
        </row>
        <row r="47">
          <cell r="A47" t="str">
            <v>DOM GER GEMVO</v>
          </cell>
          <cell r="B47" t="str">
            <v>Germany Mobile Vodafone</v>
          </cell>
          <cell r="C47" t="str">
            <v>minute</v>
          </cell>
          <cell r="D47" t="str">
            <v>DEU</v>
          </cell>
          <cell r="E47" t="b">
            <v>1</v>
          </cell>
          <cell r="F47">
            <v>3.3000000000000002E-2</v>
          </cell>
          <cell r="G47">
            <v>3.2199999999999999E-2</v>
          </cell>
          <cell r="H47">
            <v>3.1399999999999997E-2</v>
          </cell>
          <cell r="I47">
            <v>3.0599999999999999E-2</v>
          </cell>
          <cell r="K47" t="str">
            <v>MOBILE NON FREEMOVE</v>
          </cell>
          <cell r="L47">
            <v>3.7949999999999998E-2</v>
          </cell>
          <cell r="M47">
            <v>3.7029999999999993E-2</v>
          </cell>
          <cell r="N47">
            <v>3.6109999999999996E-2</v>
          </cell>
          <cell r="O47">
            <v>3.5189999999999999E-2</v>
          </cell>
        </row>
        <row r="48">
          <cell r="A48" t="str">
            <v>DOM GER GMOTH</v>
          </cell>
          <cell r="B48" t="str">
            <v>Germany National</v>
          </cell>
          <cell r="C48" t="str">
            <v>minute</v>
          </cell>
          <cell r="D48" t="str">
            <v>DEU</v>
          </cell>
          <cell r="E48" t="b">
            <v>1</v>
          </cell>
          <cell r="F48">
            <v>1.1900000000000001E-2</v>
          </cell>
          <cell r="G48">
            <v>1.1599999999999999E-2</v>
          </cell>
          <cell r="H48">
            <v>1.1299999999999999E-2</v>
          </cell>
          <cell r="I48">
            <v>1.0999999999999999E-2</v>
          </cell>
          <cell r="K48" t="str">
            <v>STANDARD</v>
          </cell>
          <cell r="L48">
            <v>1.1900000000000001E-2</v>
          </cell>
          <cell r="M48">
            <v>1.1599999999999999E-2</v>
          </cell>
          <cell r="N48">
            <v>1.1299999999999999E-2</v>
          </cell>
          <cell r="O48">
            <v>1.0999999999999999E-2</v>
          </cell>
        </row>
        <row r="49">
          <cell r="A49" t="str">
            <v>DOM GRC FIXGR</v>
          </cell>
          <cell r="B49" t="str">
            <v>Greece</v>
          </cell>
          <cell r="C49" t="str">
            <v>minute</v>
          </cell>
          <cell r="D49" t="str">
            <v>GRC</v>
          </cell>
          <cell r="E49" t="b">
            <v>1</v>
          </cell>
          <cell r="F49">
            <v>1.29E-2</v>
          </cell>
          <cell r="G49">
            <v>1.21E-2</v>
          </cell>
          <cell r="H49">
            <v>1.1299999999999999E-2</v>
          </cell>
          <cell r="I49">
            <v>1.06E-2</v>
          </cell>
          <cell r="K49" t="str">
            <v>STANDARD</v>
          </cell>
          <cell r="L49">
            <v>1.29E-2</v>
          </cell>
          <cell r="M49">
            <v>1.21E-2</v>
          </cell>
          <cell r="N49">
            <v>1.1299999999999999E-2</v>
          </cell>
          <cell r="O49">
            <v>1.06E-2</v>
          </cell>
        </row>
        <row r="50">
          <cell r="A50" t="str">
            <v>DOM GRC MOBGR</v>
          </cell>
          <cell r="B50" t="str">
            <v>Greece Mobile</v>
          </cell>
          <cell r="C50" t="str">
            <v>minute</v>
          </cell>
          <cell r="D50" t="str">
            <v>GRC</v>
          </cell>
          <cell r="E50" t="b">
            <v>1</v>
          </cell>
          <cell r="F50">
            <v>2.4400000000000002E-2</v>
          </cell>
          <cell r="G50">
            <v>2.2800000000000001E-2</v>
          </cell>
          <cell r="H50">
            <v>2.1299999999999999E-2</v>
          </cell>
          <cell r="I50">
            <v>1.9900000000000001E-2</v>
          </cell>
          <cell r="K50" t="str">
            <v>MOBILE NON FREEMOVE</v>
          </cell>
          <cell r="L50">
            <v>2.8059999999999998E-2</v>
          </cell>
          <cell r="M50">
            <v>2.622E-2</v>
          </cell>
          <cell r="N50">
            <v>2.4494999999999996E-2</v>
          </cell>
          <cell r="O50">
            <v>2.2884999999999999E-2</v>
          </cell>
        </row>
        <row r="51">
          <cell r="A51" t="str">
            <v>DOM GRC GRMCO</v>
          </cell>
          <cell r="B51" t="str">
            <v>Greece Mobile Cosmote</v>
          </cell>
          <cell r="C51" t="str">
            <v>minute</v>
          </cell>
          <cell r="D51" t="str">
            <v>GRC</v>
          </cell>
          <cell r="E51" t="b">
            <v>1</v>
          </cell>
          <cell r="F51">
            <v>2.4400000000000002E-2</v>
          </cell>
          <cell r="G51">
            <v>2.2800000000000001E-2</v>
          </cell>
          <cell r="H51">
            <v>2.1299999999999999E-2</v>
          </cell>
          <cell r="I51">
            <v>1.9900000000000001E-2</v>
          </cell>
          <cell r="K51" t="str">
            <v>MOBILE FREEMOVE</v>
          </cell>
          <cell r="L51">
            <v>2.196E-2</v>
          </cell>
          <cell r="M51">
            <v>2.0748000000000003E-2</v>
          </cell>
          <cell r="N51">
            <v>1.9809E-2</v>
          </cell>
          <cell r="O51">
            <v>1.8905000000000002E-2</v>
          </cell>
        </row>
        <row r="52">
          <cell r="A52" t="str">
            <v>DOM HUN FIX</v>
          </cell>
          <cell r="B52" t="str">
            <v>Hungary</v>
          </cell>
          <cell r="C52" t="str">
            <v>minute</v>
          </cell>
          <cell r="D52" t="str">
            <v>HUN</v>
          </cell>
          <cell r="E52" t="b">
            <v>1</v>
          </cell>
          <cell r="F52">
            <v>1.24E-2</v>
          </cell>
          <cell r="G52">
            <v>1.1599999999999999E-2</v>
          </cell>
          <cell r="H52">
            <v>1.0800000000000001E-2</v>
          </cell>
          <cell r="I52">
            <v>1.01E-2</v>
          </cell>
          <cell r="K52" t="str">
            <v>STANDARD</v>
          </cell>
          <cell r="L52">
            <v>1.24E-2</v>
          </cell>
          <cell r="M52">
            <v>1.1599999999999999E-2</v>
          </cell>
          <cell r="N52">
            <v>1.0800000000000001E-2</v>
          </cell>
          <cell r="O52">
            <v>1.01E-2</v>
          </cell>
        </row>
        <row r="53">
          <cell r="A53" t="str">
            <v>DOM HUN MOBIL</v>
          </cell>
          <cell r="B53" t="str">
            <v>Hungary Mobile</v>
          </cell>
          <cell r="C53" t="str">
            <v>minute</v>
          </cell>
          <cell r="D53" t="str">
            <v>HUN</v>
          </cell>
          <cell r="E53" t="b">
            <v>1</v>
          </cell>
          <cell r="F53">
            <v>4.0899999999999999E-2</v>
          </cell>
          <cell r="G53">
            <v>3.8300000000000001E-2</v>
          </cell>
          <cell r="H53">
            <v>3.5700000000000003E-2</v>
          </cell>
          <cell r="I53">
            <v>3.3399999999999999E-2</v>
          </cell>
          <cell r="K53" t="str">
            <v>MOBILE NON FREEMOVE</v>
          </cell>
          <cell r="L53">
            <v>4.7034999999999993E-2</v>
          </cell>
          <cell r="M53">
            <v>4.4045000000000001E-2</v>
          </cell>
          <cell r="N53">
            <v>4.1055000000000001E-2</v>
          </cell>
          <cell r="O53">
            <v>3.8409999999999993E-2</v>
          </cell>
        </row>
        <row r="54">
          <cell r="A54" t="str">
            <v>DOM HUN HUMT</v>
          </cell>
          <cell r="B54" t="str">
            <v>Hungary Mobile T-Mobile</v>
          </cell>
          <cell r="C54" t="str">
            <v>minute</v>
          </cell>
          <cell r="D54" t="str">
            <v>HUN</v>
          </cell>
          <cell r="E54" t="b">
            <v>1</v>
          </cell>
          <cell r="F54">
            <v>4.0899999999999999E-2</v>
          </cell>
          <cell r="G54">
            <v>3.8300000000000001E-2</v>
          </cell>
          <cell r="H54">
            <v>3.5700000000000003E-2</v>
          </cell>
          <cell r="I54">
            <v>3.3399999999999999E-2</v>
          </cell>
          <cell r="K54" t="str">
            <v>MOBILE FREEMOVE</v>
          </cell>
          <cell r="L54">
            <v>3.6810000000000002E-2</v>
          </cell>
          <cell r="M54">
            <v>3.4853000000000002E-2</v>
          </cell>
          <cell r="N54">
            <v>3.3201000000000001E-2</v>
          </cell>
          <cell r="O54">
            <v>3.1729999999999994E-2</v>
          </cell>
        </row>
        <row r="55">
          <cell r="A55" t="str">
            <v>DOM ITA ZITA7</v>
          </cell>
          <cell r="B55" t="str">
            <v>Italy Mobile Other</v>
          </cell>
          <cell r="C55" t="str">
            <v>minute</v>
          </cell>
          <cell r="D55" t="str">
            <v>ITA</v>
          </cell>
          <cell r="E55" t="b">
            <v>1</v>
          </cell>
          <cell r="F55">
            <v>2.2800000000000001E-2</v>
          </cell>
          <cell r="G55">
            <v>2.1299999999999999E-2</v>
          </cell>
          <cell r="H55">
            <v>1.9900000000000001E-2</v>
          </cell>
          <cell r="I55">
            <v>1.8599999999999998E-2</v>
          </cell>
          <cell r="K55" t="str">
            <v>MOBILE NON FREEMOVE</v>
          </cell>
          <cell r="L55">
            <v>2.622E-2</v>
          </cell>
          <cell r="M55">
            <v>2.4494999999999996E-2</v>
          </cell>
          <cell r="N55">
            <v>2.2884999999999999E-2</v>
          </cell>
          <cell r="O55">
            <v>2.1389999999999996E-2</v>
          </cell>
        </row>
        <row r="56">
          <cell r="A56" t="str">
            <v>DOM ITA ZITA9</v>
          </cell>
          <cell r="B56" t="str">
            <v>Italy Mobile Tim</v>
          </cell>
          <cell r="C56" t="str">
            <v>minute</v>
          </cell>
          <cell r="D56" t="str">
            <v>ITA</v>
          </cell>
          <cell r="E56" t="b">
            <v>1</v>
          </cell>
          <cell r="F56">
            <v>2.2800000000000001E-2</v>
          </cell>
          <cell r="G56">
            <v>2.1299999999999999E-2</v>
          </cell>
          <cell r="H56">
            <v>1.9900000000000001E-2</v>
          </cell>
          <cell r="I56">
            <v>1.8599999999999998E-2</v>
          </cell>
          <cell r="K56" t="str">
            <v>MOBILE FREEMOVE</v>
          </cell>
          <cell r="L56">
            <v>2.052E-2</v>
          </cell>
          <cell r="M56">
            <v>1.9383000000000001E-2</v>
          </cell>
          <cell r="N56">
            <v>1.8507000000000003E-2</v>
          </cell>
          <cell r="O56">
            <v>1.7669999999999998E-2</v>
          </cell>
        </row>
        <row r="57">
          <cell r="A57" t="str">
            <v>DOM ITA ZITA8</v>
          </cell>
          <cell r="B57" t="str">
            <v>Italy Mobile Vodafone</v>
          </cell>
          <cell r="C57" t="str">
            <v>minute</v>
          </cell>
          <cell r="D57" t="str">
            <v>ITA</v>
          </cell>
          <cell r="E57" t="b">
            <v>1</v>
          </cell>
          <cell r="F57">
            <v>2.2800000000000001E-2</v>
          </cell>
          <cell r="G57">
            <v>2.1299999999999999E-2</v>
          </cell>
          <cell r="H57">
            <v>1.9900000000000001E-2</v>
          </cell>
          <cell r="I57">
            <v>1.8599999999999998E-2</v>
          </cell>
          <cell r="K57" t="str">
            <v>MOBILE NON FREEMOVE</v>
          </cell>
          <cell r="L57">
            <v>2.622E-2</v>
          </cell>
          <cell r="M57">
            <v>2.4494999999999996E-2</v>
          </cell>
          <cell r="N57">
            <v>2.2884999999999999E-2</v>
          </cell>
          <cell r="O57">
            <v>2.1389999999999996E-2</v>
          </cell>
        </row>
        <row r="58">
          <cell r="A58" t="str">
            <v>DOM ITA ZIT10</v>
          </cell>
          <cell r="B58" t="str">
            <v>Italy Mobile Wind</v>
          </cell>
          <cell r="C58" t="str">
            <v>minute</v>
          </cell>
          <cell r="D58" t="str">
            <v>ITA</v>
          </cell>
          <cell r="E58" t="b">
            <v>1</v>
          </cell>
          <cell r="F58">
            <v>2.2800000000000001E-2</v>
          </cell>
          <cell r="G58">
            <v>2.1299999999999999E-2</v>
          </cell>
          <cell r="H58">
            <v>1.9900000000000001E-2</v>
          </cell>
          <cell r="I58">
            <v>1.8599999999999998E-2</v>
          </cell>
          <cell r="K58" t="str">
            <v>MOBILE NON FREEMOVE</v>
          </cell>
          <cell r="L58">
            <v>2.622E-2</v>
          </cell>
          <cell r="M58">
            <v>2.4494999999999996E-2</v>
          </cell>
          <cell r="N58">
            <v>2.2884999999999999E-2</v>
          </cell>
          <cell r="O58">
            <v>2.1389999999999996E-2</v>
          </cell>
        </row>
        <row r="59">
          <cell r="A59" t="str">
            <v>DOM ITA REST</v>
          </cell>
          <cell r="B59" t="str">
            <v>Italy National</v>
          </cell>
          <cell r="C59" t="str">
            <v>minute</v>
          </cell>
          <cell r="D59" t="str">
            <v>ITA</v>
          </cell>
          <cell r="E59" t="b">
            <v>1</v>
          </cell>
          <cell r="F59">
            <v>1.37E-2</v>
          </cell>
          <cell r="G59">
            <v>1.2699999999999999E-2</v>
          </cell>
          <cell r="H59">
            <v>1.1900000000000001E-2</v>
          </cell>
          <cell r="I59">
            <v>1.11E-2</v>
          </cell>
          <cell r="K59" t="str">
            <v>STANDARD</v>
          </cell>
          <cell r="L59">
            <v>1.37E-2</v>
          </cell>
          <cell r="M59">
            <v>1.2699999999999999E-2</v>
          </cell>
          <cell r="N59">
            <v>1.1900000000000001E-2</v>
          </cell>
          <cell r="O59">
            <v>1.11E-2</v>
          </cell>
        </row>
        <row r="60">
          <cell r="A60" t="str">
            <v>DOM LVA FIX</v>
          </cell>
          <cell r="B60" t="str">
            <v>Latvia</v>
          </cell>
          <cell r="C60" t="str">
            <v>minute</v>
          </cell>
          <cell r="D60" t="str">
            <v>LVA</v>
          </cell>
          <cell r="E60" t="b">
            <v>1</v>
          </cell>
          <cell r="F60">
            <v>8.7999999999999995E-2</v>
          </cell>
          <cell r="G60">
            <v>7.6499999999999999E-2</v>
          </cell>
          <cell r="H60">
            <v>6.6500000000000004E-2</v>
          </cell>
          <cell r="I60">
            <v>5.7799999999999997E-2</v>
          </cell>
          <cell r="K60" t="str">
            <v>STANDARD</v>
          </cell>
          <cell r="L60">
            <v>8.7999999999999995E-2</v>
          </cell>
          <cell r="M60">
            <v>7.6499999999999999E-2</v>
          </cell>
          <cell r="N60">
            <v>6.6500000000000004E-2</v>
          </cell>
          <cell r="O60">
            <v>5.7799999999999997E-2</v>
          </cell>
        </row>
        <row r="61">
          <cell r="A61" t="str">
            <v>DOM LVA MOB</v>
          </cell>
          <cell r="B61" t="str">
            <v>Latvia Mobile</v>
          </cell>
          <cell r="C61" t="str">
            <v>minute</v>
          </cell>
          <cell r="D61" t="str">
            <v>LVA</v>
          </cell>
          <cell r="E61" t="b">
            <v>1</v>
          </cell>
          <cell r="F61">
            <v>4.3700000000000003E-2</v>
          </cell>
          <cell r="G61">
            <v>3.7999999999999999E-2</v>
          </cell>
          <cell r="H61">
            <v>3.3099999999999997E-2</v>
          </cell>
          <cell r="I61">
            <v>2.8799999999999999E-2</v>
          </cell>
          <cell r="K61" t="str">
            <v>MOBILE NON FREEMOVE</v>
          </cell>
          <cell r="L61">
            <v>5.0255000000000001E-2</v>
          </cell>
          <cell r="M61">
            <v>4.3699999999999996E-2</v>
          </cell>
          <cell r="N61">
            <v>3.8064999999999995E-2</v>
          </cell>
          <cell r="O61">
            <v>3.3119999999999997E-2</v>
          </cell>
        </row>
        <row r="62">
          <cell r="A62" t="str">
            <v>DOM LVA LVMLM</v>
          </cell>
          <cell r="B62" t="str">
            <v>Latvia Mobile Lmt</v>
          </cell>
          <cell r="C62" t="str">
            <v>minute</v>
          </cell>
          <cell r="D62" t="str">
            <v>LVA</v>
          </cell>
          <cell r="E62" t="b">
            <v>1</v>
          </cell>
          <cell r="F62">
            <v>4.3700000000000003E-2</v>
          </cell>
          <cell r="G62">
            <v>3.7999999999999999E-2</v>
          </cell>
          <cell r="H62">
            <v>3.3099999999999997E-2</v>
          </cell>
          <cell r="I62">
            <v>2.8799999999999999E-2</v>
          </cell>
          <cell r="K62" t="str">
            <v>MOBILE FREEMOVE</v>
          </cell>
          <cell r="L62">
            <v>3.9330000000000004E-2</v>
          </cell>
          <cell r="M62">
            <v>3.458E-2</v>
          </cell>
          <cell r="N62">
            <v>3.0782999999999998E-2</v>
          </cell>
          <cell r="O62">
            <v>2.7359999999999999E-2</v>
          </cell>
        </row>
        <row r="63">
          <cell r="A63" t="str">
            <v>DOM LIE FIX</v>
          </cell>
          <cell r="B63" t="str">
            <v>Liechtenstein</v>
          </cell>
          <cell r="C63" t="str">
            <v>minute</v>
          </cell>
          <cell r="D63" t="str">
            <v>LIE</v>
          </cell>
          <cell r="E63" t="b">
            <v>1</v>
          </cell>
          <cell r="F63">
            <v>0.11219999999999999</v>
          </cell>
          <cell r="G63">
            <v>9.7600000000000006E-2</v>
          </cell>
          <cell r="H63">
            <v>8.4900000000000003E-2</v>
          </cell>
          <cell r="I63">
            <v>7.3800000000000004E-2</v>
          </cell>
          <cell r="K63" t="str">
            <v>STANDARD</v>
          </cell>
          <cell r="L63">
            <v>0.11219999999999999</v>
          </cell>
          <cell r="M63">
            <v>9.7600000000000006E-2</v>
          </cell>
          <cell r="N63">
            <v>8.4900000000000003E-2</v>
          </cell>
          <cell r="O63">
            <v>7.3800000000000004E-2</v>
          </cell>
        </row>
        <row r="64">
          <cell r="A64" t="str">
            <v>DOM LIE MOB</v>
          </cell>
          <cell r="B64" t="str">
            <v>Liechtenstein Mobile</v>
          </cell>
          <cell r="C64" t="str">
            <v>minute</v>
          </cell>
          <cell r="D64" t="str">
            <v>LIE</v>
          </cell>
          <cell r="E64" t="b">
            <v>1</v>
          </cell>
          <cell r="F64">
            <v>0.441</v>
          </cell>
          <cell r="G64">
            <v>0.38350000000000001</v>
          </cell>
          <cell r="H64">
            <v>0.33350000000000002</v>
          </cell>
          <cell r="I64">
            <v>0.28999999999999998</v>
          </cell>
          <cell r="K64" t="str">
            <v>MOBILE NON FREEMOVE</v>
          </cell>
          <cell r="L64">
            <v>0.50714999999999999</v>
          </cell>
          <cell r="M64">
            <v>0.441025</v>
          </cell>
          <cell r="N64">
            <v>0.383525</v>
          </cell>
          <cell r="O64">
            <v>0.33349999999999996</v>
          </cell>
        </row>
        <row r="65">
          <cell r="A65" t="str">
            <v>DOM LIE LIMOR</v>
          </cell>
          <cell r="B65" t="str">
            <v>Liechtenstein Mobile Orange</v>
          </cell>
          <cell r="C65" t="str">
            <v>minute</v>
          </cell>
          <cell r="D65" t="str">
            <v>LIE</v>
          </cell>
          <cell r="E65" t="b">
            <v>1</v>
          </cell>
          <cell r="F65">
            <v>0.441</v>
          </cell>
          <cell r="G65">
            <v>0.38350000000000001</v>
          </cell>
          <cell r="H65">
            <v>0.33350000000000002</v>
          </cell>
          <cell r="I65">
            <v>0.28999999999999998</v>
          </cell>
          <cell r="K65" t="str">
            <v>MOBILE FREEMOVE</v>
          </cell>
          <cell r="L65">
            <v>0.39690000000000003</v>
          </cell>
          <cell r="M65">
            <v>0.34898500000000005</v>
          </cell>
          <cell r="N65">
            <v>0.31015500000000001</v>
          </cell>
          <cell r="O65">
            <v>0.27549999999999997</v>
          </cell>
        </row>
        <row r="66">
          <cell r="A66" t="str">
            <v>DOM LTU FIX</v>
          </cell>
          <cell r="B66" t="str">
            <v>Lithuania</v>
          </cell>
          <cell r="C66" t="str">
            <v>minute</v>
          </cell>
          <cell r="D66" t="str">
            <v>LTU</v>
          </cell>
          <cell r="E66" t="b">
            <v>1</v>
          </cell>
          <cell r="F66">
            <v>2.7099999999999999E-2</v>
          </cell>
          <cell r="G66">
            <v>2.3599999999999999E-2</v>
          </cell>
          <cell r="H66">
            <v>2.0500000000000001E-2</v>
          </cell>
          <cell r="I66">
            <v>1.78E-2</v>
          </cell>
          <cell r="K66" t="str">
            <v>STANDARD</v>
          </cell>
          <cell r="L66">
            <v>2.7099999999999999E-2</v>
          </cell>
          <cell r="M66">
            <v>2.3599999999999999E-2</v>
          </cell>
          <cell r="N66">
            <v>2.0500000000000001E-2</v>
          </cell>
          <cell r="O66">
            <v>1.78E-2</v>
          </cell>
        </row>
        <row r="67">
          <cell r="A67" t="str">
            <v>DOM LTU MOB</v>
          </cell>
          <cell r="B67" t="str">
            <v>Lithuania Mobile</v>
          </cell>
          <cell r="C67" t="str">
            <v>minute</v>
          </cell>
          <cell r="D67" t="str">
            <v>LTU</v>
          </cell>
          <cell r="E67" t="b">
            <v>1</v>
          </cell>
          <cell r="F67">
            <v>5.5199999999999999E-2</v>
          </cell>
          <cell r="G67">
            <v>4.8000000000000001E-2</v>
          </cell>
          <cell r="H67">
            <v>4.1700000000000001E-2</v>
          </cell>
          <cell r="I67">
            <v>3.6299999999999999E-2</v>
          </cell>
          <cell r="K67" t="str">
            <v>MOBILE NON FREEMOVE</v>
          </cell>
          <cell r="L67">
            <v>6.3479999999999995E-2</v>
          </cell>
          <cell r="M67">
            <v>5.5199999999999999E-2</v>
          </cell>
          <cell r="N67">
            <v>4.7954999999999998E-2</v>
          </cell>
          <cell r="O67">
            <v>4.1744999999999997E-2</v>
          </cell>
        </row>
        <row r="68">
          <cell r="A68" t="str">
            <v>DOM LTU LTMOM</v>
          </cell>
          <cell r="B68" t="str">
            <v>Lithuania Mobile Omnitel</v>
          </cell>
          <cell r="C68" t="str">
            <v>minute</v>
          </cell>
          <cell r="D68" t="str">
            <v>LTU</v>
          </cell>
          <cell r="E68" t="b">
            <v>1</v>
          </cell>
          <cell r="F68">
            <v>5.5199999999999999E-2</v>
          </cell>
          <cell r="G68">
            <v>4.8000000000000001E-2</v>
          </cell>
          <cell r="H68">
            <v>4.1700000000000001E-2</v>
          </cell>
          <cell r="I68">
            <v>3.6299999999999999E-2</v>
          </cell>
          <cell r="K68" t="str">
            <v>MOBILE FREEMOVE</v>
          </cell>
          <cell r="L68">
            <v>4.9680000000000002E-2</v>
          </cell>
          <cell r="M68">
            <v>4.3680000000000004E-2</v>
          </cell>
          <cell r="N68">
            <v>3.8781000000000003E-2</v>
          </cell>
          <cell r="O68">
            <v>3.4484999999999995E-2</v>
          </cell>
        </row>
        <row r="69">
          <cell r="A69" t="str">
            <v>DOM LUX AREA2</v>
          </cell>
          <cell r="B69" t="str">
            <v>Luxembourg Mobile Ept</v>
          </cell>
          <cell r="C69" t="str">
            <v>minute</v>
          </cell>
          <cell r="D69" t="str">
            <v>LUX</v>
          </cell>
          <cell r="E69" t="b">
            <v>1</v>
          </cell>
          <cell r="F69">
            <v>0.12479999999999999</v>
          </cell>
          <cell r="G69">
            <v>0.12180000000000001</v>
          </cell>
          <cell r="H69">
            <v>0.1188</v>
          </cell>
          <cell r="I69">
            <v>0.1159</v>
          </cell>
          <cell r="K69" t="str">
            <v>MOBILE NON FREEMOVE</v>
          </cell>
          <cell r="L69">
            <v>0.14351999999999998</v>
          </cell>
          <cell r="M69">
            <v>0.14007</v>
          </cell>
          <cell r="N69">
            <v>0.13661999999999999</v>
          </cell>
          <cell r="O69">
            <v>0.13328499999999999</v>
          </cell>
        </row>
        <row r="70">
          <cell r="A70" t="str">
            <v>DOM LUX LXMJO</v>
          </cell>
          <cell r="B70" t="str">
            <v>Luxembourg Mobile Join</v>
          </cell>
          <cell r="C70" t="str">
            <v>minute</v>
          </cell>
          <cell r="D70" t="str">
            <v>LUX</v>
          </cell>
          <cell r="E70" t="b">
            <v>1</v>
          </cell>
          <cell r="F70">
            <v>0.12479999999999999</v>
          </cell>
          <cell r="G70">
            <v>0.12180000000000001</v>
          </cell>
          <cell r="H70">
            <v>0.1188</v>
          </cell>
          <cell r="I70">
            <v>0.1159</v>
          </cell>
          <cell r="K70" t="str">
            <v>MOBILE NON FREEMOVE</v>
          </cell>
          <cell r="L70">
            <v>0.14351999999999998</v>
          </cell>
          <cell r="M70">
            <v>0.14007</v>
          </cell>
          <cell r="N70">
            <v>0.13661999999999999</v>
          </cell>
          <cell r="O70">
            <v>0.13328499999999999</v>
          </cell>
        </row>
        <row r="71">
          <cell r="A71" t="str">
            <v>DOM LUX LXMVO</v>
          </cell>
          <cell r="B71" t="str">
            <v>Luxembourg Mobile Orange</v>
          </cell>
          <cell r="C71" t="str">
            <v>minute</v>
          </cell>
          <cell r="D71" t="str">
            <v>LUX</v>
          </cell>
          <cell r="E71" t="b">
            <v>1</v>
          </cell>
          <cell r="F71">
            <v>0.12479999999999999</v>
          </cell>
          <cell r="G71">
            <v>0.12180000000000001</v>
          </cell>
          <cell r="H71">
            <v>0.1188</v>
          </cell>
          <cell r="I71">
            <v>0.1159</v>
          </cell>
          <cell r="K71" t="str">
            <v>MOBILE FREEMOVE</v>
          </cell>
          <cell r="L71">
            <v>0.11232</v>
          </cell>
          <cell r="M71">
            <v>0.11083800000000001</v>
          </cell>
          <cell r="N71">
            <v>0.11048400000000001</v>
          </cell>
          <cell r="O71">
            <v>0.11010499999999999</v>
          </cell>
        </row>
        <row r="72">
          <cell r="A72" t="str">
            <v>DOM LUX LXMTA</v>
          </cell>
          <cell r="B72" t="str">
            <v>Luxembourg Mobile Tango</v>
          </cell>
          <cell r="C72" t="str">
            <v>minute</v>
          </cell>
          <cell r="D72" t="str">
            <v>LUX</v>
          </cell>
          <cell r="E72" t="b">
            <v>1</v>
          </cell>
          <cell r="F72">
            <v>0.12479999999999999</v>
          </cell>
          <cell r="G72">
            <v>0.12180000000000001</v>
          </cell>
          <cell r="H72">
            <v>0.1188</v>
          </cell>
          <cell r="I72">
            <v>0.1159</v>
          </cell>
          <cell r="K72" t="str">
            <v>MOBILE NON FREEMOVE</v>
          </cell>
          <cell r="L72">
            <v>0.14351999999999998</v>
          </cell>
          <cell r="M72">
            <v>0.14007</v>
          </cell>
          <cell r="N72">
            <v>0.13661999999999999</v>
          </cell>
          <cell r="O72">
            <v>0.13328499999999999</v>
          </cell>
        </row>
        <row r="73">
          <cell r="A73" t="str">
            <v>DOM LUX AREA1</v>
          </cell>
          <cell r="B73" t="str">
            <v>Luxembourg National</v>
          </cell>
          <cell r="C73" t="str">
            <v>minute</v>
          </cell>
          <cell r="D73" t="str">
            <v>LUX</v>
          </cell>
          <cell r="E73" t="b">
            <v>1</v>
          </cell>
          <cell r="F73">
            <v>1.4200000000000001E-2</v>
          </cell>
          <cell r="G73">
            <v>1.3899999999999999E-2</v>
          </cell>
          <cell r="H73">
            <v>1.3599999999999999E-2</v>
          </cell>
          <cell r="I73">
            <v>1.3299999999999999E-2</v>
          </cell>
          <cell r="K73" t="str">
            <v>STANDARD</v>
          </cell>
          <cell r="L73">
            <v>1.4200000000000001E-2</v>
          </cell>
          <cell r="M73">
            <v>1.3899999999999999E-2</v>
          </cell>
          <cell r="N73">
            <v>1.3599999999999999E-2</v>
          </cell>
          <cell r="O73">
            <v>1.3299999999999999E-2</v>
          </cell>
        </row>
        <row r="74">
          <cell r="A74" t="str">
            <v>DOM NDL NDKPN</v>
          </cell>
          <cell r="B74" t="str">
            <v>Netherlands Mobile Kpn</v>
          </cell>
          <cell r="C74" t="str">
            <v>minute</v>
          </cell>
          <cell r="D74" t="str">
            <v>NLD</v>
          </cell>
          <cell r="E74" t="b">
            <v>1</v>
          </cell>
          <cell r="F74">
            <v>4.3799999999999999E-2</v>
          </cell>
          <cell r="G74">
            <v>4.1700000000000001E-2</v>
          </cell>
          <cell r="H74">
            <v>3.9699999999999999E-2</v>
          </cell>
          <cell r="I74">
            <v>3.7699999999999997E-2</v>
          </cell>
          <cell r="K74" t="str">
            <v>MOBILE NON FREEMOVE</v>
          </cell>
          <cell r="L74">
            <v>5.0369999999999991E-2</v>
          </cell>
          <cell r="M74">
            <v>4.7954999999999998E-2</v>
          </cell>
          <cell r="N74">
            <v>4.5654999999999994E-2</v>
          </cell>
          <cell r="O74">
            <v>4.3354999999999991E-2</v>
          </cell>
        </row>
        <row r="75">
          <cell r="A75" t="str">
            <v>DOM NDL CNDL3</v>
          </cell>
          <cell r="B75" t="str">
            <v>Netherlands Mobile Other</v>
          </cell>
          <cell r="C75" t="str">
            <v>minute</v>
          </cell>
          <cell r="D75" t="str">
            <v>NLD</v>
          </cell>
          <cell r="E75" t="b">
            <v>1</v>
          </cell>
          <cell r="F75">
            <v>4.3799999999999999E-2</v>
          </cell>
          <cell r="G75">
            <v>4.1700000000000001E-2</v>
          </cell>
          <cell r="H75">
            <v>3.9699999999999999E-2</v>
          </cell>
          <cell r="I75">
            <v>3.7699999999999997E-2</v>
          </cell>
          <cell r="K75" t="str">
            <v>MOBILE NON FREEMOVE</v>
          </cell>
          <cell r="L75">
            <v>5.0369999999999991E-2</v>
          </cell>
          <cell r="M75">
            <v>4.7954999999999998E-2</v>
          </cell>
          <cell r="N75">
            <v>4.5654999999999994E-2</v>
          </cell>
          <cell r="O75">
            <v>4.3354999999999991E-2</v>
          </cell>
        </row>
        <row r="76">
          <cell r="A76" t="str">
            <v>DOM NDL NDTMO</v>
          </cell>
          <cell r="B76" t="str">
            <v>Netherlands Mobile T-Mobile</v>
          </cell>
          <cell r="C76" t="str">
            <v>minute</v>
          </cell>
          <cell r="D76" t="str">
            <v>NLD</v>
          </cell>
          <cell r="E76" t="b">
            <v>1</v>
          </cell>
          <cell r="F76">
            <v>4.3799999999999999E-2</v>
          </cell>
          <cell r="G76">
            <v>4.1700000000000001E-2</v>
          </cell>
          <cell r="H76">
            <v>3.9699999999999999E-2</v>
          </cell>
          <cell r="I76">
            <v>3.7699999999999997E-2</v>
          </cell>
          <cell r="K76" t="str">
            <v>MOBILE FREEMOVE</v>
          </cell>
          <cell r="L76">
            <v>3.9419999999999997E-2</v>
          </cell>
          <cell r="M76">
            <v>3.7947000000000002E-2</v>
          </cell>
          <cell r="N76">
            <v>3.6921000000000002E-2</v>
          </cell>
          <cell r="O76">
            <v>3.5814999999999993E-2</v>
          </cell>
        </row>
        <row r="77">
          <cell r="A77" t="str">
            <v>DOM NDL NDVOD</v>
          </cell>
          <cell r="B77" t="str">
            <v>Netherlands Mobile Vodafone</v>
          </cell>
          <cell r="C77" t="str">
            <v>minute</v>
          </cell>
          <cell r="D77" t="str">
            <v>NLD</v>
          </cell>
          <cell r="E77" t="b">
            <v>1</v>
          </cell>
          <cell r="F77">
            <v>4.3799999999999999E-2</v>
          </cell>
          <cell r="G77">
            <v>4.1700000000000001E-2</v>
          </cell>
          <cell r="H77">
            <v>3.9699999999999999E-2</v>
          </cell>
          <cell r="I77">
            <v>3.7699999999999997E-2</v>
          </cell>
          <cell r="K77" t="str">
            <v>MOBILE NON FREEMOVE</v>
          </cell>
          <cell r="L77">
            <v>5.0369999999999991E-2</v>
          </cell>
          <cell r="M77">
            <v>4.7954999999999998E-2</v>
          </cell>
          <cell r="N77">
            <v>4.5654999999999994E-2</v>
          </cell>
          <cell r="O77">
            <v>4.3354999999999991E-2</v>
          </cell>
        </row>
        <row r="78">
          <cell r="A78" t="str">
            <v>DOM NDL OPAR</v>
          </cell>
          <cell r="B78" t="str">
            <v>Netherlands National</v>
          </cell>
          <cell r="C78" t="str">
            <v>minute</v>
          </cell>
          <cell r="D78" t="str">
            <v>NLD</v>
          </cell>
          <cell r="E78" t="b">
            <v>1</v>
          </cell>
          <cell r="F78">
            <v>1.52E-2</v>
          </cell>
          <cell r="G78">
            <v>1.4500000000000001E-2</v>
          </cell>
          <cell r="H78">
            <v>1.38E-2</v>
          </cell>
          <cell r="I78">
            <v>1.3100000000000001E-2</v>
          </cell>
          <cell r="K78" t="str">
            <v>STANDARD</v>
          </cell>
          <cell r="L78">
            <v>1.52E-2</v>
          </cell>
          <cell r="M78">
            <v>1.4500000000000001E-2</v>
          </cell>
          <cell r="N78">
            <v>1.38E-2</v>
          </cell>
          <cell r="O78">
            <v>1.3100000000000001E-2</v>
          </cell>
        </row>
        <row r="79">
          <cell r="A79" t="str">
            <v>DOM NOR AREA4</v>
          </cell>
          <cell r="B79" t="str">
            <v>Norway Mobile Netcom</v>
          </cell>
          <cell r="C79" t="str">
            <v>minute</v>
          </cell>
          <cell r="D79" t="str">
            <v>NOR</v>
          </cell>
          <cell r="E79" t="b">
            <v>1</v>
          </cell>
          <cell r="F79">
            <v>3.7600000000000001E-2</v>
          </cell>
          <cell r="G79">
            <v>3.5099999999999999E-2</v>
          </cell>
          <cell r="H79">
            <v>3.2800000000000003E-2</v>
          </cell>
          <cell r="I79">
            <v>3.0700000000000002E-2</v>
          </cell>
          <cell r="K79" t="str">
            <v>MOBILE FREEMOVE</v>
          </cell>
          <cell r="L79">
            <v>3.3840000000000002E-2</v>
          </cell>
          <cell r="M79">
            <v>3.1940999999999997E-2</v>
          </cell>
          <cell r="N79">
            <v>3.0504000000000003E-2</v>
          </cell>
          <cell r="O79">
            <v>2.9165E-2</v>
          </cell>
        </row>
        <row r="80">
          <cell r="A80" t="str">
            <v>DOM NOR AREA3</v>
          </cell>
          <cell r="B80" t="str">
            <v>Norway Mobile Other</v>
          </cell>
          <cell r="C80" t="str">
            <v>minute</v>
          </cell>
          <cell r="D80" t="str">
            <v>NOR</v>
          </cell>
          <cell r="E80" t="b">
            <v>1</v>
          </cell>
          <cell r="F80">
            <v>3.7600000000000001E-2</v>
          </cell>
          <cell r="G80">
            <v>3.5099999999999999E-2</v>
          </cell>
          <cell r="H80">
            <v>3.2800000000000003E-2</v>
          </cell>
          <cell r="I80">
            <v>3.0700000000000002E-2</v>
          </cell>
          <cell r="K80" t="str">
            <v>MOBILE NON FREEMOVE</v>
          </cell>
          <cell r="L80">
            <v>4.3240000000000001E-2</v>
          </cell>
          <cell r="M80">
            <v>4.0364999999999998E-2</v>
          </cell>
          <cell r="N80">
            <v>3.7720000000000004E-2</v>
          </cell>
          <cell r="O80">
            <v>3.5304999999999996E-2</v>
          </cell>
        </row>
        <row r="81">
          <cell r="A81" t="str">
            <v>DOM NOR AREA5</v>
          </cell>
          <cell r="B81" t="str">
            <v>Norway Mobile Telenor</v>
          </cell>
          <cell r="C81" t="str">
            <v>minute</v>
          </cell>
          <cell r="D81" t="str">
            <v>NOR</v>
          </cell>
          <cell r="E81" t="b">
            <v>1</v>
          </cell>
          <cell r="F81">
            <v>3.7600000000000001E-2</v>
          </cell>
          <cell r="G81">
            <v>3.5099999999999999E-2</v>
          </cell>
          <cell r="H81">
            <v>3.2800000000000003E-2</v>
          </cell>
          <cell r="I81">
            <v>3.0700000000000002E-2</v>
          </cell>
          <cell r="K81" t="str">
            <v>MOBILE NON FREEMOVE</v>
          </cell>
          <cell r="L81">
            <v>4.3240000000000001E-2</v>
          </cell>
          <cell r="M81">
            <v>4.0364999999999998E-2</v>
          </cell>
          <cell r="N81">
            <v>3.7720000000000004E-2</v>
          </cell>
          <cell r="O81">
            <v>3.5304999999999996E-2</v>
          </cell>
        </row>
        <row r="82">
          <cell r="A82" t="str">
            <v>DOM NOR AREA2</v>
          </cell>
          <cell r="B82" t="str">
            <v>Norway National</v>
          </cell>
          <cell r="C82" t="str">
            <v>minute</v>
          </cell>
          <cell r="D82" t="str">
            <v>NOR</v>
          </cell>
          <cell r="E82" t="b">
            <v>1</v>
          </cell>
          <cell r="F82">
            <v>1.29E-2</v>
          </cell>
          <cell r="G82">
            <v>1.21E-2</v>
          </cell>
          <cell r="H82">
            <v>1.1299999999999999E-2</v>
          </cell>
          <cell r="I82">
            <v>1.06E-2</v>
          </cell>
          <cell r="K82" t="str">
            <v>STANDARD</v>
          </cell>
          <cell r="L82">
            <v>1.29E-2</v>
          </cell>
          <cell r="M82">
            <v>1.21E-2</v>
          </cell>
          <cell r="N82">
            <v>1.1299999999999999E-2</v>
          </cell>
          <cell r="O82">
            <v>1.06E-2</v>
          </cell>
        </row>
        <row r="83">
          <cell r="A83" t="str">
            <v>DOM POL POL</v>
          </cell>
          <cell r="B83" t="str">
            <v>Poland</v>
          </cell>
          <cell r="C83" t="str">
            <v>minute</v>
          </cell>
          <cell r="D83" t="str">
            <v>POL</v>
          </cell>
          <cell r="E83" t="b">
            <v>1</v>
          </cell>
          <cell r="F83">
            <v>1.35E-2</v>
          </cell>
          <cell r="G83">
            <v>1.26E-2</v>
          </cell>
          <cell r="H83">
            <v>1.18E-2</v>
          </cell>
          <cell r="I83">
            <v>1.0999999999999999E-2</v>
          </cell>
          <cell r="K83" t="str">
            <v>STANDARD</v>
          </cell>
          <cell r="L83">
            <v>1.35E-2</v>
          </cell>
          <cell r="M83">
            <v>1.26E-2</v>
          </cell>
          <cell r="N83">
            <v>1.18E-2</v>
          </cell>
          <cell r="O83">
            <v>1.0999999999999999E-2</v>
          </cell>
        </row>
        <row r="84">
          <cell r="A84" t="str">
            <v>DOM POL MOBPL</v>
          </cell>
          <cell r="B84" t="str">
            <v>Poland Mobile</v>
          </cell>
          <cell r="C84" t="str">
            <v>minute</v>
          </cell>
          <cell r="D84" t="str">
            <v>POL</v>
          </cell>
          <cell r="E84" t="b">
            <v>1</v>
          </cell>
          <cell r="F84">
            <v>2.1100000000000001E-2</v>
          </cell>
          <cell r="G84">
            <v>1.9800000000000002E-2</v>
          </cell>
          <cell r="H84">
            <v>1.8499999999999999E-2</v>
          </cell>
          <cell r="I84">
            <v>1.7299999999999999E-2</v>
          </cell>
          <cell r="K84" t="str">
            <v>MOBILE NON FREEMOVE</v>
          </cell>
          <cell r="L84">
            <v>2.4264999999999998E-2</v>
          </cell>
          <cell r="M84">
            <v>2.2769999999999999E-2</v>
          </cell>
          <cell r="N84">
            <v>2.1274999999999999E-2</v>
          </cell>
          <cell r="O84">
            <v>1.9894999999999999E-2</v>
          </cell>
        </row>
        <row r="85">
          <cell r="A85" t="str">
            <v>DOM POL PLMOR</v>
          </cell>
          <cell r="B85" t="str">
            <v>Poland Mobile Orange</v>
          </cell>
          <cell r="C85" t="str">
            <v>minute</v>
          </cell>
          <cell r="D85" t="str">
            <v>POL</v>
          </cell>
          <cell r="E85" t="b">
            <v>1</v>
          </cell>
          <cell r="F85">
            <v>2.1100000000000001E-2</v>
          </cell>
          <cell r="G85">
            <v>1.9800000000000002E-2</v>
          </cell>
          <cell r="H85">
            <v>1.8499999999999999E-2</v>
          </cell>
          <cell r="I85">
            <v>1.7299999999999999E-2</v>
          </cell>
          <cell r="K85" t="str">
            <v>MOBILE FREEMOVE</v>
          </cell>
          <cell r="L85">
            <v>1.899E-2</v>
          </cell>
          <cell r="M85">
            <v>1.8018000000000003E-2</v>
          </cell>
          <cell r="N85">
            <v>1.7205000000000002E-2</v>
          </cell>
          <cell r="O85">
            <v>1.6434999999999998E-2</v>
          </cell>
        </row>
        <row r="86">
          <cell r="A86" t="str">
            <v>DOM PRT ZPOR1</v>
          </cell>
          <cell r="B86" t="str">
            <v>Portugal</v>
          </cell>
          <cell r="C86" t="str">
            <v>minute</v>
          </cell>
          <cell r="D86" t="str">
            <v>PRT</v>
          </cell>
          <cell r="E86" t="b">
            <v>1</v>
          </cell>
          <cell r="F86">
            <v>1.2800000000000001E-2</v>
          </cell>
          <cell r="G86">
            <v>1.23E-2</v>
          </cell>
          <cell r="H86">
            <v>1.18E-2</v>
          </cell>
          <cell r="I86">
            <v>1.1299999999999999E-2</v>
          </cell>
          <cell r="K86" t="str">
            <v>STANDARD</v>
          </cell>
          <cell r="L86">
            <v>1.2800000000000001E-2</v>
          </cell>
          <cell r="M86">
            <v>1.23E-2</v>
          </cell>
          <cell r="N86">
            <v>1.18E-2</v>
          </cell>
          <cell r="O86">
            <v>1.1299999999999999E-2</v>
          </cell>
        </row>
        <row r="87">
          <cell r="A87" t="str">
            <v>DOM PRT ZPOR5</v>
          </cell>
          <cell r="B87" t="str">
            <v>Portugal Mobile</v>
          </cell>
          <cell r="C87" t="str">
            <v>minute</v>
          </cell>
          <cell r="D87" t="str">
            <v>PRT</v>
          </cell>
          <cell r="E87" t="b">
            <v>1</v>
          </cell>
          <cell r="F87">
            <v>2.2700000000000001E-2</v>
          </cell>
          <cell r="G87">
            <v>2.1700000000000001E-2</v>
          </cell>
          <cell r="H87">
            <v>2.0799999999999999E-2</v>
          </cell>
          <cell r="I87">
            <v>1.9900000000000001E-2</v>
          </cell>
          <cell r="K87" t="str">
            <v>MOBILE NON FREEMOVE</v>
          </cell>
          <cell r="L87">
            <v>2.6105E-2</v>
          </cell>
          <cell r="M87">
            <v>2.4954999999999998E-2</v>
          </cell>
          <cell r="N87">
            <v>2.3919999999999997E-2</v>
          </cell>
          <cell r="O87">
            <v>2.2884999999999999E-2</v>
          </cell>
        </row>
        <row r="88">
          <cell r="A88" t="str">
            <v>DOM PRT PTMOP</v>
          </cell>
          <cell r="B88" t="str">
            <v>Portugal Mobile Optimus</v>
          </cell>
          <cell r="C88" t="str">
            <v>minute</v>
          </cell>
          <cell r="D88" t="str">
            <v>PRT</v>
          </cell>
          <cell r="E88" t="b">
            <v>1</v>
          </cell>
          <cell r="F88">
            <v>2.2700000000000001E-2</v>
          </cell>
          <cell r="G88">
            <v>2.1700000000000001E-2</v>
          </cell>
          <cell r="H88">
            <v>2.0799999999999999E-2</v>
          </cell>
          <cell r="I88">
            <v>1.9900000000000001E-2</v>
          </cell>
          <cell r="K88" t="str">
            <v>MOBILE FREEMOVE</v>
          </cell>
          <cell r="L88">
            <v>2.043E-2</v>
          </cell>
          <cell r="M88">
            <v>1.9747000000000001E-2</v>
          </cell>
          <cell r="N88">
            <v>1.9344E-2</v>
          </cell>
          <cell r="O88">
            <v>1.8905000000000002E-2</v>
          </cell>
        </row>
        <row r="89">
          <cell r="A89" t="str">
            <v>DOM ROM FIX</v>
          </cell>
          <cell r="B89" t="str">
            <v>Romania</v>
          </cell>
          <cell r="C89" t="str">
            <v>minute</v>
          </cell>
          <cell r="D89" t="str">
            <v>ROU</v>
          </cell>
          <cell r="E89" t="b">
            <v>1</v>
          </cell>
          <cell r="F89">
            <v>1.9599999999999999E-2</v>
          </cell>
          <cell r="G89">
            <v>1.83E-2</v>
          </cell>
          <cell r="H89">
            <v>1.7100000000000001E-2</v>
          </cell>
          <cell r="I89">
            <v>1.6E-2</v>
          </cell>
          <cell r="K89" t="str">
            <v>STANDARD</v>
          </cell>
          <cell r="L89">
            <v>1.9599999999999999E-2</v>
          </cell>
          <cell r="M89">
            <v>1.83E-2</v>
          </cell>
          <cell r="N89">
            <v>1.7100000000000001E-2</v>
          </cell>
          <cell r="O89">
            <v>1.6E-2</v>
          </cell>
        </row>
        <row r="90">
          <cell r="A90" t="str">
            <v>DOM ROM ROMOR</v>
          </cell>
          <cell r="B90" t="str">
            <v>Romania Mobile Orange</v>
          </cell>
          <cell r="C90" t="str">
            <v>minute</v>
          </cell>
          <cell r="D90" t="str">
            <v>ROU</v>
          </cell>
          <cell r="E90" t="b">
            <v>1</v>
          </cell>
          <cell r="F90">
            <v>5.3900000000000003E-2</v>
          </cell>
          <cell r="G90">
            <v>5.04E-2</v>
          </cell>
          <cell r="H90">
            <v>4.7100000000000003E-2</v>
          </cell>
          <cell r="I90">
            <v>4.3999999999999997E-2</v>
          </cell>
          <cell r="K90" t="str">
            <v>MOBILE FREEMOVE</v>
          </cell>
          <cell r="L90">
            <v>4.8510000000000005E-2</v>
          </cell>
          <cell r="M90">
            <v>4.5864000000000002E-2</v>
          </cell>
          <cell r="N90">
            <v>4.3803000000000002E-2</v>
          </cell>
          <cell r="O90">
            <v>4.1799999999999997E-2</v>
          </cell>
        </row>
        <row r="91">
          <cell r="A91" t="str">
            <v>DOM RUS RUS00</v>
          </cell>
          <cell r="B91" t="str">
            <v>Russia</v>
          </cell>
          <cell r="C91" t="str">
            <v>minute</v>
          </cell>
          <cell r="D91" t="str">
            <v>RUS</v>
          </cell>
          <cell r="E91" t="b">
            <v>1</v>
          </cell>
          <cell r="F91">
            <v>2.1700000000000001E-2</v>
          </cell>
          <cell r="G91">
            <v>2.0299999999999999E-2</v>
          </cell>
          <cell r="H91">
            <v>1.9E-2</v>
          </cell>
          <cell r="I91">
            <v>1.78E-2</v>
          </cell>
          <cell r="K91" t="str">
            <v>STANDARD</v>
          </cell>
          <cell r="L91">
            <v>2.1700000000000001E-2</v>
          </cell>
          <cell r="M91">
            <v>2.0299999999999999E-2</v>
          </cell>
          <cell r="N91">
            <v>1.9E-2</v>
          </cell>
          <cell r="O91">
            <v>1.78E-2</v>
          </cell>
        </row>
        <row r="92">
          <cell r="A92" t="str">
            <v>DOM RUS RUSMO</v>
          </cell>
          <cell r="B92" t="str">
            <v>Russia Mobile</v>
          </cell>
          <cell r="C92" t="str">
            <v>minute</v>
          </cell>
          <cell r="D92" t="str">
            <v>RUS</v>
          </cell>
          <cell r="E92" t="b">
            <v>1</v>
          </cell>
          <cell r="F92">
            <v>0.13500000000000001</v>
          </cell>
          <cell r="G92">
            <v>0.12620000000000001</v>
          </cell>
          <cell r="H92">
            <v>0.1179</v>
          </cell>
          <cell r="I92">
            <v>0.11020000000000001</v>
          </cell>
          <cell r="K92" t="str">
            <v>MOBILE NON FREEMOVE</v>
          </cell>
          <cell r="L92">
            <v>0.15525</v>
          </cell>
          <cell r="M92">
            <v>0.14513000000000001</v>
          </cell>
          <cell r="N92">
            <v>0.13558499999999998</v>
          </cell>
          <cell r="O92">
            <v>0.12673000000000001</v>
          </cell>
        </row>
        <row r="93">
          <cell r="A93" t="str">
            <v>DOM RUS RUMME</v>
          </cell>
          <cell r="B93" t="str">
            <v>Russia Mobile Megafon</v>
          </cell>
          <cell r="C93" t="str">
            <v>minute</v>
          </cell>
          <cell r="D93" t="str">
            <v>RUS</v>
          </cell>
          <cell r="E93" t="b">
            <v>1</v>
          </cell>
          <cell r="F93">
            <v>0.13500000000000001</v>
          </cell>
          <cell r="G93">
            <v>0.12620000000000001</v>
          </cell>
          <cell r="H93">
            <v>0.1179</v>
          </cell>
          <cell r="I93">
            <v>0.11020000000000001</v>
          </cell>
          <cell r="K93" t="str">
            <v>MOBILE FREEMOVE</v>
          </cell>
          <cell r="L93">
            <v>0.12150000000000001</v>
          </cell>
          <cell r="M93">
            <v>0.11484200000000001</v>
          </cell>
          <cell r="N93">
            <v>0.10964700000000001</v>
          </cell>
          <cell r="O93">
            <v>0.10469000000000001</v>
          </cell>
        </row>
        <row r="94">
          <cell r="A94" t="str">
            <v>DOM SVK SKMOR</v>
          </cell>
          <cell r="B94" t="str">
            <v>Slovak Rep Mobile Orange</v>
          </cell>
          <cell r="C94" t="str">
            <v>minute</v>
          </cell>
          <cell r="D94" t="str">
            <v>SVK</v>
          </cell>
          <cell r="E94" t="b">
            <v>1</v>
          </cell>
          <cell r="F94">
            <v>0.12429999999999999</v>
          </cell>
          <cell r="G94">
            <v>0.1162</v>
          </cell>
          <cell r="H94">
            <v>0.1086</v>
          </cell>
          <cell r="I94">
            <v>0.10150000000000001</v>
          </cell>
          <cell r="K94" t="str">
            <v>MOBILE FREEMOVE</v>
          </cell>
          <cell r="L94">
            <v>0.11187</v>
          </cell>
          <cell r="M94">
            <v>0.105742</v>
          </cell>
          <cell r="N94">
            <v>0.100998</v>
          </cell>
          <cell r="O94">
            <v>9.6424999999999997E-2</v>
          </cell>
        </row>
        <row r="95">
          <cell r="A95" t="str">
            <v>DOM SVK FIX</v>
          </cell>
          <cell r="B95" t="str">
            <v>Slovakia</v>
          </cell>
          <cell r="C95" t="str">
            <v>minute</v>
          </cell>
          <cell r="D95" t="str">
            <v>SVK</v>
          </cell>
          <cell r="E95" t="b">
            <v>1</v>
          </cell>
          <cell r="F95">
            <v>2.5600000000000001E-2</v>
          </cell>
          <cell r="G95">
            <v>2.3900000000000001E-2</v>
          </cell>
          <cell r="H95">
            <v>2.23E-2</v>
          </cell>
          <cell r="I95">
            <v>2.0799999999999999E-2</v>
          </cell>
          <cell r="K95" t="str">
            <v>STANDARD</v>
          </cell>
          <cell r="L95">
            <v>2.5600000000000001E-2</v>
          </cell>
          <cell r="M95">
            <v>2.3900000000000001E-2</v>
          </cell>
          <cell r="N95">
            <v>2.23E-2</v>
          </cell>
          <cell r="O95">
            <v>2.0799999999999999E-2</v>
          </cell>
        </row>
        <row r="96">
          <cell r="A96" t="str">
            <v>DOM SVK MOB</v>
          </cell>
          <cell r="B96" t="str">
            <v>Slovakia Mobile</v>
          </cell>
          <cell r="C96" t="str">
            <v>minute</v>
          </cell>
          <cell r="D96" t="str">
            <v>SVK</v>
          </cell>
          <cell r="E96" t="b">
            <v>1</v>
          </cell>
          <cell r="F96">
            <v>0.12429999999999999</v>
          </cell>
          <cell r="G96">
            <v>0.1162</v>
          </cell>
          <cell r="H96">
            <v>0.1086</v>
          </cell>
          <cell r="I96">
            <v>0.10150000000000001</v>
          </cell>
          <cell r="K96" t="str">
            <v>MOBILE NON FREEMOVE</v>
          </cell>
          <cell r="L96">
            <v>0.14294499999999999</v>
          </cell>
          <cell r="M96">
            <v>0.13363</v>
          </cell>
          <cell r="N96">
            <v>0.12488999999999999</v>
          </cell>
          <cell r="O96">
            <v>0.116725</v>
          </cell>
        </row>
        <row r="97">
          <cell r="A97" t="str">
            <v>DOM SVN FIX</v>
          </cell>
          <cell r="B97" t="str">
            <v>Slovenia</v>
          </cell>
          <cell r="C97" t="str">
            <v>minute</v>
          </cell>
          <cell r="D97" t="str">
            <v>SVN</v>
          </cell>
          <cell r="E97" t="b">
            <v>1</v>
          </cell>
          <cell r="F97">
            <v>2.6499999999999999E-2</v>
          </cell>
          <cell r="G97">
            <v>2.3E-2</v>
          </cell>
          <cell r="H97">
            <v>0.02</v>
          </cell>
          <cell r="I97">
            <v>1.7399999999999999E-2</v>
          </cell>
          <cell r="K97" t="str">
            <v>STANDARD</v>
          </cell>
          <cell r="L97">
            <v>2.6499999999999999E-2</v>
          </cell>
          <cell r="M97">
            <v>2.3E-2</v>
          </cell>
          <cell r="N97">
            <v>0.02</v>
          </cell>
          <cell r="O97">
            <v>1.7399999999999999E-2</v>
          </cell>
        </row>
        <row r="98">
          <cell r="A98" t="str">
            <v>DOM SVN MOB</v>
          </cell>
          <cell r="B98" t="str">
            <v>Slovenia Mobile</v>
          </cell>
          <cell r="C98" t="str">
            <v>minute</v>
          </cell>
          <cell r="D98" t="str">
            <v>SVN</v>
          </cell>
          <cell r="E98" t="b">
            <v>1</v>
          </cell>
          <cell r="F98">
            <v>0.49709999999999999</v>
          </cell>
          <cell r="G98">
            <v>0.43230000000000002</v>
          </cell>
          <cell r="H98">
            <v>0.37590000000000001</v>
          </cell>
          <cell r="I98">
            <v>0.32690000000000002</v>
          </cell>
          <cell r="K98" t="str">
            <v>MOBILE NON FREEMOVE</v>
          </cell>
          <cell r="L98">
            <v>0.57166499999999998</v>
          </cell>
          <cell r="M98">
            <v>0.497145</v>
          </cell>
          <cell r="N98">
            <v>0.43228499999999997</v>
          </cell>
          <cell r="O98">
            <v>0.37593500000000002</v>
          </cell>
        </row>
        <row r="99">
          <cell r="A99" t="str">
            <v>DOM SVN SIMMO</v>
          </cell>
          <cell r="B99" t="str">
            <v>Slovenia Mobile Mobitel</v>
          </cell>
          <cell r="C99" t="str">
            <v>minute</v>
          </cell>
          <cell r="D99" t="str">
            <v>SVN</v>
          </cell>
          <cell r="E99" t="b">
            <v>1</v>
          </cell>
          <cell r="F99">
            <v>0.49709999999999999</v>
          </cell>
          <cell r="G99">
            <v>0.43230000000000002</v>
          </cell>
          <cell r="H99">
            <v>0.37590000000000001</v>
          </cell>
          <cell r="I99">
            <v>0.32690000000000002</v>
          </cell>
          <cell r="K99" t="str">
            <v>MOBILE FREEMOVE</v>
          </cell>
          <cell r="L99">
            <v>0.44739000000000001</v>
          </cell>
          <cell r="M99">
            <v>0.39339300000000005</v>
          </cell>
          <cell r="N99">
            <v>0.34958700000000004</v>
          </cell>
          <cell r="O99">
            <v>0.31055500000000003</v>
          </cell>
        </row>
        <row r="100">
          <cell r="A100" t="str">
            <v>DOM ESP SPMAM</v>
          </cell>
          <cell r="B100" t="str">
            <v>Spain Mobile Orange</v>
          </cell>
          <cell r="C100" t="str">
            <v>minute</v>
          </cell>
          <cell r="D100" t="str">
            <v>ESP</v>
          </cell>
          <cell r="E100" t="b">
            <v>1</v>
          </cell>
          <cell r="F100">
            <v>2.24E-2</v>
          </cell>
          <cell r="G100">
            <v>2.0899999999999998E-2</v>
          </cell>
          <cell r="H100">
            <v>1.95E-2</v>
          </cell>
          <cell r="I100">
            <v>1.83E-2</v>
          </cell>
          <cell r="K100" t="str">
            <v>MOBILE FREEMOVE</v>
          </cell>
          <cell r="L100">
            <v>2.0160000000000001E-2</v>
          </cell>
          <cell r="M100">
            <v>1.9018999999999998E-2</v>
          </cell>
          <cell r="N100">
            <v>1.8135000000000002E-2</v>
          </cell>
          <cell r="O100">
            <v>1.7385000000000001E-2</v>
          </cell>
        </row>
        <row r="101">
          <cell r="A101" t="str">
            <v>DOM ESP ZESP4</v>
          </cell>
          <cell r="B101" t="str">
            <v>Spain Mobile Other</v>
          </cell>
          <cell r="C101" t="str">
            <v>minute</v>
          </cell>
          <cell r="D101" t="str">
            <v>ESP</v>
          </cell>
          <cell r="E101" t="b">
            <v>1</v>
          </cell>
          <cell r="F101">
            <v>2.24E-2</v>
          </cell>
          <cell r="G101">
            <v>2.0899999999999998E-2</v>
          </cell>
          <cell r="H101">
            <v>1.95E-2</v>
          </cell>
          <cell r="I101">
            <v>1.83E-2</v>
          </cell>
          <cell r="K101" t="str">
            <v>MOBILE NON FREEMOVE</v>
          </cell>
          <cell r="L101">
            <v>2.5759999999999998E-2</v>
          </cell>
          <cell r="M101">
            <v>2.4034999999999997E-2</v>
          </cell>
          <cell r="N101">
            <v>2.2424999999999997E-2</v>
          </cell>
          <cell r="O101">
            <v>2.1044999999999998E-2</v>
          </cell>
        </row>
        <row r="102">
          <cell r="A102" t="str">
            <v>DOM ESP SPMTE</v>
          </cell>
          <cell r="B102" t="str">
            <v>Spain Mobile Telefonica</v>
          </cell>
          <cell r="C102" t="str">
            <v>minute</v>
          </cell>
          <cell r="D102" t="str">
            <v>ESP</v>
          </cell>
          <cell r="E102" t="b">
            <v>1</v>
          </cell>
          <cell r="F102">
            <v>2.24E-2</v>
          </cell>
          <cell r="G102">
            <v>2.0899999999999998E-2</v>
          </cell>
          <cell r="H102">
            <v>1.95E-2</v>
          </cell>
          <cell r="I102">
            <v>1.83E-2</v>
          </cell>
          <cell r="K102" t="str">
            <v>MOBILE NON FREEMOVE</v>
          </cell>
          <cell r="L102">
            <v>2.5759999999999998E-2</v>
          </cell>
          <cell r="M102">
            <v>2.4034999999999997E-2</v>
          </cell>
          <cell r="N102">
            <v>2.2424999999999997E-2</v>
          </cell>
          <cell r="O102">
            <v>2.1044999999999998E-2</v>
          </cell>
        </row>
        <row r="103">
          <cell r="A103" t="str">
            <v>DOM ESP SPMVO</v>
          </cell>
          <cell r="B103" t="str">
            <v>Spain Mobile Vodafone</v>
          </cell>
          <cell r="C103" t="str">
            <v>minute</v>
          </cell>
          <cell r="D103" t="str">
            <v>ESP</v>
          </cell>
          <cell r="E103" t="b">
            <v>1</v>
          </cell>
          <cell r="F103">
            <v>2.24E-2</v>
          </cell>
          <cell r="G103">
            <v>2.0899999999999998E-2</v>
          </cell>
          <cell r="H103">
            <v>1.95E-2</v>
          </cell>
          <cell r="I103">
            <v>1.83E-2</v>
          </cell>
          <cell r="K103" t="str">
            <v>MOBILE NON FREEMOVE</v>
          </cell>
          <cell r="L103">
            <v>2.5759999999999998E-2</v>
          </cell>
          <cell r="M103">
            <v>2.4034999999999997E-2</v>
          </cell>
          <cell r="N103">
            <v>2.2424999999999997E-2</v>
          </cell>
          <cell r="O103">
            <v>2.1044999999999998E-2</v>
          </cell>
        </row>
        <row r="104">
          <cell r="A104" t="str">
            <v>DOM ESP ZESP3</v>
          </cell>
          <cell r="B104" t="str">
            <v>Spain National</v>
          </cell>
          <cell r="C104" t="str">
            <v>minute</v>
          </cell>
          <cell r="D104" t="str">
            <v>ESP</v>
          </cell>
          <cell r="E104" t="b">
            <v>1</v>
          </cell>
          <cell r="F104">
            <v>1.2699999999999999E-2</v>
          </cell>
          <cell r="G104">
            <v>1.1900000000000001E-2</v>
          </cell>
          <cell r="H104">
            <v>1.11E-2</v>
          </cell>
          <cell r="I104">
            <v>1.04E-2</v>
          </cell>
          <cell r="K104" t="str">
            <v>STANDARD</v>
          </cell>
          <cell r="L104">
            <v>1.2699999999999999E-2</v>
          </cell>
          <cell r="M104">
            <v>1.1900000000000001E-2</v>
          </cell>
          <cell r="N104">
            <v>1.11E-2</v>
          </cell>
          <cell r="O104">
            <v>1.04E-2</v>
          </cell>
        </row>
        <row r="105">
          <cell r="A105" t="str">
            <v>DOM SWE SWMO</v>
          </cell>
          <cell r="B105" t="str">
            <v>Sweden Mobile</v>
          </cell>
          <cell r="C105" t="str">
            <v>minute</v>
          </cell>
          <cell r="D105" t="str">
            <v>SWE</v>
          </cell>
          <cell r="E105" t="b">
            <v>1</v>
          </cell>
          <cell r="F105">
            <v>1.54E-2</v>
          </cell>
          <cell r="G105">
            <v>1.44E-2</v>
          </cell>
          <cell r="H105">
            <v>1.34E-2</v>
          </cell>
          <cell r="I105">
            <v>1.2500000000000001E-2</v>
          </cell>
          <cell r="K105" t="str">
            <v>MOBILE NON FREEMOVE</v>
          </cell>
          <cell r="L105">
            <v>1.771E-2</v>
          </cell>
          <cell r="M105">
            <v>1.6559999999999998E-2</v>
          </cell>
          <cell r="N105">
            <v>1.541E-2</v>
          </cell>
          <cell r="O105">
            <v>1.4374999999999999E-2</v>
          </cell>
        </row>
        <row r="106">
          <cell r="A106" t="str">
            <v>DOM SWE SEMTE</v>
          </cell>
          <cell r="B106" t="str">
            <v>Sweden Mobile Telia</v>
          </cell>
          <cell r="C106" t="str">
            <v>minute</v>
          </cell>
          <cell r="D106" t="str">
            <v>SWE</v>
          </cell>
          <cell r="E106" t="b">
            <v>1</v>
          </cell>
          <cell r="F106">
            <v>1.54E-2</v>
          </cell>
          <cell r="G106">
            <v>1.44E-2</v>
          </cell>
          <cell r="H106">
            <v>1.34E-2</v>
          </cell>
          <cell r="I106">
            <v>1.2500000000000001E-2</v>
          </cell>
          <cell r="K106" t="str">
            <v>MOBILE FREEMOVE</v>
          </cell>
          <cell r="L106">
            <v>1.3860000000000001E-2</v>
          </cell>
          <cell r="M106">
            <v>1.3103999999999999E-2</v>
          </cell>
          <cell r="N106">
            <v>1.2462000000000001E-2</v>
          </cell>
          <cell r="O106">
            <v>1.1875E-2</v>
          </cell>
        </row>
        <row r="107">
          <cell r="A107" t="str">
            <v>DOM SWE AREA1</v>
          </cell>
          <cell r="B107" t="str">
            <v>Sweden National</v>
          </cell>
          <cell r="C107" t="str">
            <v>minute</v>
          </cell>
          <cell r="D107" t="str">
            <v>SWE</v>
          </cell>
          <cell r="E107" t="b">
            <v>1</v>
          </cell>
          <cell r="F107">
            <v>9.1000000000000004E-3</v>
          </cell>
          <cell r="G107">
            <v>8.5000000000000006E-3</v>
          </cell>
          <cell r="H107">
            <v>7.9000000000000008E-3</v>
          </cell>
          <cell r="I107">
            <v>7.4000000000000003E-3</v>
          </cell>
          <cell r="K107" t="str">
            <v>STANDARD</v>
          </cell>
          <cell r="L107">
            <v>9.1000000000000004E-3</v>
          </cell>
          <cell r="M107">
            <v>8.5000000000000006E-3</v>
          </cell>
          <cell r="N107">
            <v>7.9000000000000008E-3</v>
          </cell>
          <cell r="O107">
            <v>7.4000000000000003E-3</v>
          </cell>
        </row>
        <row r="108">
          <cell r="A108" t="str">
            <v>DOM CHE ZCHE2</v>
          </cell>
          <cell r="B108" t="str">
            <v>Switzerland Mobile In&amp;Phone</v>
          </cell>
          <cell r="C108" t="str">
            <v>minute</v>
          </cell>
          <cell r="D108" t="str">
            <v>CHE</v>
          </cell>
          <cell r="E108" t="b">
            <v>1</v>
          </cell>
          <cell r="F108">
            <v>0.252</v>
          </cell>
          <cell r="G108">
            <v>0.24590000000000001</v>
          </cell>
          <cell r="H108">
            <v>0.2399</v>
          </cell>
          <cell r="I108">
            <v>0.23400000000000001</v>
          </cell>
          <cell r="K108" t="str">
            <v>MOBILE NON FREEMOVE</v>
          </cell>
          <cell r="L108">
            <v>0.2898</v>
          </cell>
          <cell r="M108">
            <v>0.28278500000000001</v>
          </cell>
          <cell r="N108">
            <v>0.27588499999999999</v>
          </cell>
          <cell r="O108">
            <v>0.26910000000000001</v>
          </cell>
        </row>
        <row r="109">
          <cell r="A109" t="str">
            <v>DOM CHE ZCH32</v>
          </cell>
          <cell r="B109" t="str">
            <v>Switzerland Mobile Orange</v>
          </cell>
          <cell r="C109" t="str">
            <v>minute</v>
          </cell>
          <cell r="D109" t="str">
            <v>CHE</v>
          </cell>
          <cell r="E109" t="b">
            <v>1</v>
          </cell>
          <cell r="F109">
            <v>0.1002</v>
          </cell>
          <cell r="G109">
            <v>9.7799999999999998E-2</v>
          </cell>
          <cell r="H109">
            <v>9.5399999999999999E-2</v>
          </cell>
          <cell r="I109">
            <v>9.3100000000000002E-2</v>
          </cell>
          <cell r="K109" t="str">
            <v>MOBILE FREEMOVE</v>
          </cell>
          <cell r="L109">
            <v>9.0179999999999996E-2</v>
          </cell>
          <cell r="M109">
            <v>8.8998000000000008E-2</v>
          </cell>
          <cell r="N109">
            <v>8.8722000000000009E-2</v>
          </cell>
          <cell r="O109">
            <v>8.8444999999999996E-2</v>
          </cell>
        </row>
        <row r="110">
          <cell r="A110" t="str">
            <v>DOM CHE ZCHM5</v>
          </cell>
          <cell r="B110" t="str">
            <v>Switzerland Mobile Others</v>
          </cell>
          <cell r="C110" t="str">
            <v>minute</v>
          </cell>
          <cell r="D110" t="str">
            <v>CHE</v>
          </cell>
          <cell r="E110" t="b">
            <v>1</v>
          </cell>
          <cell r="F110">
            <v>0.252</v>
          </cell>
          <cell r="G110">
            <v>0.24590000000000001</v>
          </cell>
          <cell r="H110">
            <v>0.2399</v>
          </cell>
          <cell r="I110">
            <v>0.23400000000000001</v>
          </cell>
          <cell r="K110" t="str">
            <v>MOBILE NON FREEMOVE</v>
          </cell>
          <cell r="L110">
            <v>0.2898</v>
          </cell>
          <cell r="M110">
            <v>0.28278500000000001</v>
          </cell>
          <cell r="N110">
            <v>0.27588499999999999</v>
          </cell>
          <cell r="O110">
            <v>0.26910000000000001</v>
          </cell>
        </row>
        <row r="111">
          <cell r="A111" t="str">
            <v>DOM CHE ZCH33</v>
          </cell>
          <cell r="B111" t="str">
            <v>Switzerland Mobile Sunrise</v>
          </cell>
          <cell r="C111" t="str">
            <v>minute</v>
          </cell>
          <cell r="D111" t="str">
            <v>CHE</v>
          </cell>
          <cell r="E111" t="b">
            <v>1</v>
          </cell>
          <cell r="F111">
            <v>0.105</v>
          </cell>
          <cell r="G111">
            <v>0.10249999999999999</v>
          </cell>
          <cell r="H111">
            <v>0.1</v>
          </cell>
          <cell r="I111">
            <v>9.7600000000000006E-2</v>
          </cell>
          <cell r="K111" t="str">
            <v>MOBILE NON FREEMOVE</v>
          </cell>
          <cell r="L111">
            <v>0.12074999999999998</v>
          </cell>
          <cell r="M111">
            <v>0.11787499999999998</v>
          </cell>
          <cell r="N111">
            <v>0.11499999999999999</v>
          </cell>
          <cell r="O111">
            <v>0.11223999999999999</v>
          </cell>
        </row>
        <row r="112">
          <cell r="A112" t="str">
            <v>DOM CHE ZCH24</v>
          </cell>
          <cell r="B112" t="str">
            <v>Switzerland Mobile Swisscom</v>
          </cell>
          <cell r="C112" t="str">
            <v>minute</v>
          </cell>
          <cell r="D112" t="str">
            <v>CHE</v>
          </cell>
          <cell r="E112" t="b">
            <v>1</v>
          </cell>
          <cell r="F112">
            <v>8.7099999999999997E-2</v>
          </cell>
          <cell r="G112">
            <v>8.5000000000000006E-2</v>
          </cell>
          <cell r="H112">
            <v>8.2900000000000001E-2</v>
          </cell>
          <cell r="I112">
            <v>8.09E-2</v>
          </cell>
          <cell r="K112" t="str">
            <v>MOBILE NON FREEMOVE</v>
          </cell>
          <cell r="L112">
            <v>0.10016499999999999</v>
          </cell>
          <cell r="M112">
            <v>9.7750000000000004E-2</v>
          </cell>
          <cell r="N112">
            <v>9.5334999999999989E-2</v>
          </cell>
          <cell r="O112">
            <v>9.3034999999999993E-2</v>
          </cell>
        </row>
        <row r="113">
          <cell r="A113" t="str">
            <v>DOM CHE ZCHEN</v>
          </cell>
          <cell r="B113" t="str">
            <v>Switzerland National</v>
          </cell>
          <cell r="C113" t="str">
            <v>minute</v>
          </cell>
          <cell r="D113" t="str">
            <v>CHE</v>
          </cell>
          <cell r="E113" t="b">
            <v>1</v>
          </cell>
          <cell r="F113">
            <v>1.5800000000000002E-2</v>
          </cell>
          <cell r="G113">
            <v>1.54E-2</v>
          </cell>
          <cell r="H113">
            <v>1.4999999999999999E-2</v>
          </cell>
          <cell r="I113">
            <v>1.46E-2</v>
          </cell>
          <cell r="K113" t="str">
            <v>STANDARD</v>
          </cell>
          <cell r="L113">
            <v>1.5800000000000002E-2</v>
          </cell>
          <cell r="M113">
            <v>1.54E-2</v>
          </cell>
          <cell r="N113">
            <v>1.4999999999999999E-2</v>
          </cell>
          <cell r="O113">
            <v>1.46E-2</v>
          </cell>
        </row>
        <row r="114">
          <cell r="A114" t="str">
            <v>DOM TUR FIX</v>
          </cell>
          <cell r="B114" t="str">
            <v>Turkey</v>
          </cell>
          <cell r="C114" t="str">
            <v>minute</v>
          </cell>
          <cell r="D114" t="str">
            <v>TUR</v>
          </cell>
          <cell r="E114" t="b">
            <v>1</v>
          </cell>
          <cell r="F114">
            <v>4.0399999999999998E-2</v>
          </cell>
          <cell r="G114">
            <v>3.5099999999999999E-2</v>
          </cell>
          <cell r="H114">
            <v>3.0499999999999999E-2</v>
          </cell>
          <cell r="I114">
            <v>2.6599999999999999E-2</v>
          </cell>
          <cell r="K114" t="str">
            <v>STANDARD</v>
          </cell>
          <cell r="L114">
            <v>4.0399999999999998E-2</v>
          </cell>
          <cell r="M114">
            <v>3.5099999999999999E-2</v>
          </cell>
          <cell r="N114">
            <v>3.0499999999999999E-2</v>
          </cell>
          <cell r="O114">
            <v>2.6599999999999999E-2</v>
          </cell>
        </row>
        <row r="115">
          <cell r="A115" t="str">
            <v>DOM TUR MOB</v>
          </cell>
          <cell r="B115" t="str">
            <v>Turkey Mobile</v>
          </cell>
          <cell r="C115" t="str">
            <v>minute</v>
          </cell>
          <cell r="D115" t="str">
            <v>TUR</v>
          </cell>
          <cell r="E115" t="b">
            <v>1</v>
          </cell>
          <cell r="F115">
            <v>0.17910000000000001</v>
          </cell>
          <cell r="G115">
            <v>0.15570000000000001</v>
          </cell>
          <cell r="H115">
            <v>0.13539999999999999</v>
          </cell>
          <cell r="I115">
            <v>0.1177</v>
          </cell>
          <cell r="K115" t="str">
            <v>MOBILE NON FREEMOVE</v>
          </cell>
          <cell r="L115">
            <v>0.20596499999999998</v>
          </cell>
          <cell r="M115">
            <v>0.17905499999999999</v>
          </cell>
          <cell r="N115">
            <v>0.15570999999999999</v>
          </cell>
          <cell r="O115">
            <v>0.13535499999999998</v>
          </cell>
        </row>
        <row r="116">
          <cell r="A116" t="str">
            <v>DOM TUR TRMTU</v>
          </cell>
          <cell r="B116" t="str">
            <v>Turkey Mobile Turkcell</v>
          </cell>
          <cell r="C116" t="str">
            <v>minute</v>
          </cell>
          <cell r="D116" t="str">
            <v>TUR</v>
          </cell>
          <cell r="E116" t="b">
            <v>1</v>
          </cell>
          <cell r="F116">
            <v>0.17910000000000001</v>
          </cell>
          <cell r="G116">
            <v>0.15570000000000001</v>
          </cell>
          <cell r="H116">
            <v>0.13539999999999999</v>
          </cell>
          <cell r="I116">
            <v>0.1177</v>
          </cell>
          <cell r="K116" t="str">
            <v>MOBILE FREEMOVE</v>
          </cell>
          <cell r="L116">
            <v>0.16119</v>
          </cell>
          <cell r="M116">
            <v>0.14168700000000001</v>
          </cell>
          <cell r="N116">
            <v>0.12592200000000001</v>
          </cell>
          <cell r="O116">
            <v>0.111815</v>
          </cell>
        </row>
      </sheetData>
      <sheetData sheetId="32" refreshError="1"/>
      <sheetData sheetId="33" refreshError="1">
        <row r="4">
          <cell r="L4" t="str">
            <v>list</v>
          </cell>
          <cell r="AJ4" t="str">
            <v>12 months</v>
          </cell>
          <cell r="AN4">
            <v>3</v>
          </cell>
          <cell r="AX4" t="str">
            <v>Austria</v>
          </cell>
          <cell r="AY4" t="str">
            <v>available</v>
          </cell>
          <cell r="BA4" t="str">
            <v>EMEA</v>
          </cell>
          <cell r="BD4" t="str">
            <v>Switched Access</v>
          </cell>
          <cell r="BE4">
            <v>9000</v>
          </cell>
          <cell r="BH4" t="str">
            <v>V9A</v>
          </cell>
          <cell r="BL4" t="str">
            <v>Business Talk Pricing Tool v14.74</v>
          </cell>
        </row>
        <row r="5">
          <cell r="L5" t="str">
            <v>sales discretionary</v>
          </cell>
          <cell r="AA5" t="str">
            <v>Switched Access</v>
          </cell>
          <cell r="AH5" t="str">
            <v>EUR</v>
          </cell>
          <cell r="AJ5" t="str">
            <v>18 months</v>
          </cell>
          <cell r="AQ5" t="str">
            <v>standard</v>
          </cell>
          <cell r="AX5" t="str">
            <v>Belgium</v>
          </cell>
          <cell r="AY5" t="str">
            <v>available</v>
          </cell>
          <cell r="BA5" t="str">
            <v>APA</v>
          </cell>
          <cell r="BD5" t="str">
            <v>Dedicated Access</v>
          </cell>
          <cell r="BE5">
            <v>240000</v>
          </cell>
          <cell r="BH5" t="str">
            <v>V9B</v>
          </cell>
          <cell r="BL5" t="str">
            <v>all prices &amp; costs in EUR</v>
          </cell>
        </row>
        <row r="6">
          <cell r="L6" t="str">
            <v>country manager</v>
          </cell>
          <cell r="AA6" t="str">
            <v>Dedicated Access</v>
          </cell>
          <cell r="AH6" t="str">
            <v>USD</v>
          </cell>
          <cell r="AJ6" t="str">
            <v>24 months</v>
          </cell>
          <cell r="AQ6" t="str">
            <v>none</v>
          </cell>
          <cell r="AX6" t="str">
            <v>Denmark</v>
          </cell>
          <cell r="AY6" t="str">
            <v>available</v>
          </cell>
          <cell r="BA6" t="str">
            <v>NAM</v>
          </cell>
          <cell r="BD6" t="str">
            <v>Mobile</v>
          </cell>
          <cell r="BE6">
            <v>0</v>
          </cell>
          <cell r="BH6" t="str">
            <v>V9C</v>
          </cell>
        </row>
        <row r="7">
          <cell r="L7" t="str">
            <v>regional manager</v>
          </cell>
          <cell r="AA7" t="str">
            <v>IP Access</v>
          </cell>
          <cell r="AJ7" t="str">
            <v>36 months</v>
          </cell>
          <cell r="AX7" t="str">
            <v>Finland</v>
          </cell>
          <cell r="AY7" t="str">
            <v>available</v>
          </cell>
          <cell r="BA7" t="str">
            <v>FR</v>
          </cell>
          <cell r="BD7" t="str">
            <v>IP Access</v>
          </cell>
          <cell r="BE7">
            <v>120000</v>
          </cell>
          <cell r="BH7" t="str">
            <v>V10A</v>
          </cell>
        </row>
        <row r="8">
          <cell r="AA8" t="str">
            <v>IP Access Connect hub</v>
          </cell>
          <cell r="AJ8" t="str">
            <v>48 months</v>
          </cell>
          <cell r="AX8" t="str">
            <v>France</v>
          </cell>
          <cell r="AY8" t="str">
            <v>FT to quote</v>
          </cell>
          <cell r="BD8" t="str">
            <v>IP Access Connect hub</v>
          </cell>
          <cell r="BE8">
            <v>120000</v>
          </cell>
          <cell r="BH8" t="str">
            <v>V10B</v>
          </cell>
        </row>
        <row r="9">
          <cell r="AA9" t="str">
            <v>IP Access Small</v>
          </cell>
          <cell r="AJ9" t="str">
            <v>60 months</v>
          </cell>
          <cell r="AX9" t="str">
            <v>Germany</v>
          </cell>
          <cell r="AY9" t="str">
            <v>available</v>
          </cell>
          <cell r="BD9" t="str">
            <v>IP Access Small</v>
          </cell>
          <cell r="BE9">
            <v>120000</v>
          </cell>
          <cell r="BH9" t="str">
            <v>V10C</v>
          </cell>
        </row>
        <row r="10">
          <cell r="AA10" t="str">
            <v>IP Access Satellite</v>
          </cell>
          <cell r="AX10" t="str">
            <v>Ireland</v>
          </cell>
          <cell r="AY10" t="str">
            <v>available</v>
          </cell>
          <cell r="BD10" t="str">
            <v>IP Access Satellite</v>
          </cell>
          <cell r="BE10">
            <v>120000</v>
          </cell>
          <cell r="BH10" t="str">
            <v>V11A</v>
          </cell>
        </row>
        <row r="11">
          <cell r="AX11" t="str">
            <v>Italy</v>
          </cell>
          <cell r="AY11" t="str">
            <v>available</v>
          </cell>
          <cell r="BH11" t="str">
            <v>V11B</v>
          </cell>
        </row>
        <row r="12">
          <cell r="AX12" t="str">
            <v>Kenya</v>
          </cell>
          <cell r="AY12" t="str">
            <v>available</v>
          </cell>
          <cell r="BH12" t="str">
            <v>V12A</v>
          </cell>
        </row>
        <row r="13">
          <cell r="AX13" t="str">
            <v>Luxembourg</v>
          </cell>
          <cell r="AY13" t="str">
            <v>available</v>
          </cell>
          <cell r="BH13" t="str">
            <v>V12B</v>
          </cell>
        </row>
        <row r="14">
          <cell r="AX14" t="str">
            <v>Mayotte</v>
          </cell>
          <cell r="AY14" t="str">
            <v>available</v>
          </cell>
          <cell r="BH14" t="str">
            <v>V12C</v>
          </cell>
        </row>
        <row r="15">
          <cell r="AX15" t="str">
            <v>Netherlands</v>
          </cell>
          <cell r="AY15" t="str">
            <v>available</v>
          </cell>
          <cell r="BH15" t="str">
            <v>V12D</v>
          </cell>
        </row>
        <row r="16">
          <cell r="AX16" t="str">
            <v>Poland</v>
          </cell>
          <cell r="AY16" t="str">
            <v>available</v>
          </cell>
          <cell r="BH16" t="str">
            <v>V13A</v>
          </cell>
        </row>
        <row r="17">
          <cell r="AX17" t="str">
            <v>Portugal</v>
          </cell>
          <cell r="AY17" t="str">
            <v>available</v>
          </cell>
          <cell r="BH17" t="str">
            <v>V13B</v>
          </cell>
        </row>
        <row r="18">
          <cell r="AX18" t="str">
            <v>Russia</v>
          </cell>
          <cell r="AY18" t="str">
            <v>Russia to quote</v>
          </cell>
          <cell r="BH18" t="str">
            <v>V13C</v>
          </cell>
        </row>
        <row r="19">
          <cell r="AX19" t="str">
            <v>Spain and Canary Islands</v>
          </cell>
          <cell r="AY19" t="str">
            <v>available</v>
          </cell>
          <cell r="BH19" t="str">
            <v>V13D</v>
          </cell>
        </row>
        <row r="20">
          <cell r="AX20" t="str">
            <v>Sweden</v>
          </cell>
          <cell r="AY20" t="str">
            <v>available</v>
          </cell>
          <cell r="BH20" t="str">
            <v>V13E</v>
          </cell>
        </row>
        <row r="21">
          <cell r="AX21" t="str">
            <v>Switzerland</v>
          </cell>
          <cell r="AY21" t="str">
            <v>available</v>
          </cell>
          <cell r="BH21" t="str">
            <v>V13F</v>
          </cell>
        </row>
        <row r="22">
          <cell r="AX22" t="str">
            <v>United Kingdom</v>
          </cell>
          <cell r="AY22" t="str">
            <v>available</v>
          </cell>
          <cell r="BH22" t="str">
            <v>V14A</v>
          </cell>
        </row>
        <row r="23">
          <cell r="AX23" t="str">
            <v>Vatican City</v>
          </cell>
          <cell r="AY23" t="str">
            <v>available</v>
          </cell>
          <cell r="BH23" t="str">
            <v>V14B</v>
          </cell>
        </row>
        <row r="24">
          <cell r="BH24" t="str">
            <v>V14C</v>
          </cell>
        </row>
        <row r="25">
          <cell r="BH25" t="str">
            <v>V14D</v>
          </cell>
        </row>
        <row r="26">
          <cell r="BH26" t="str">
            <v>V14E</v>
          </cell>
        </row>
        <row r="27">
          <cell r="BH27" t="str">
            <v>V14F</v>
          </cell>
        </row>
        <row r="28">
          <cell r="BH28" t="str">
            <v>V15A</v>
          </cell>
        </row>
        <row r="29">
          <cell r="BH29" t="str">
            <v>V15B</v>
          </cell>
        </row>
        <row r="30">
          <cell r="BH30" t="str">
            <v>V15C</v>
          </cell>
        </row>
        <row r="31">
          <cell r="BH31" t="str">
            <v>V15D</v>
          </cell>
        </row>
        <row r="32">
          <cell r="BH32" t="str">
            <v>V15E</v>
          </cell>
        </row>
        <row r="33">
          <cell r="BH33" t="str">
            <v>V15F</v>
          </cell>
        </row>
        <row r="34">
          <cell r="BH34" t="str">
            <v>V16A</v>
          </cell>
        </row>
        <row r="35">
          <cell r="BH35" t="str">
            <v>no match!</v>
          </cell>
        </row>
      </sheetData>
      <sheetData sheetId="34" refreshError="1">
        <row r="9">
          <cell r="J9">
            <v>1</v>
          </cell>
        </row>
      </sheetData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uide - FAQs"/>
      <sheetName val="guide - quick start"/>
      <sheetName val="pbook - usage pricing"/>
      <sheetName val="pbook - site installation"/>
      <sheetName val="pbook - DID numbers"/>
      <sheetName val="pbook - VAS"/>
      <sheetName val="pbook - USA read me"/>
      <sheetName val="pbook - USA sites"/>
      <sheetName val="quote - main"/>
      <sheetName val="quote - sites"/>
      <sheetName val="quote - site BT services"/>
      <sheetName val="quote - pricing summary"/>
      <sheetName val="quote - usage pricing"/>
      <sheetName val="quote - data table sites"/>
      <sheetName val="quote - data table pricing"/>
      <sheetName val="info - charging periods"/>
      <sheetName val="quote - tariff sheet"/>
      <sheetName val="quote - export summary"/>
      <sheetName val="quote - import sheet"/>
      <sheetName val="quote - pricing template"/>
      <sheetName val="tools - route information"/>
      <sheetName val="tools - regions &amp; call types"/>
      <sheetName val="tools - domestic dial plan"/>
      <sheetName val="tools - intl. dial plan"/>
      <sheetName val="tools - intl. ISDN dial plan"/>
      <sheetName val="tools - USA domestic dial plan"/>
      <sheetName val="data - Portal PB tariff"/>
      <sheetName val="data - Portal PB other"/>
      <sheetName val="data - non-Portal prices"/>
      <sheetName val="data - PB avail"/>
      <sheetName val="data - PB Free Move"/>
      <sheetName val="data_UniqueIDCorrection"/>
      <sheetName val="data - tool maintenance"/>
      <sheetName val="data - main"/>
      <sheetName val="info - forex"/>
      <sheetName val="data - MRG"/>
      <sheetName val="change control"/>
      <sheetName val="Sheet1"/>
    </sheetNames>
    <sheetDataSet>
      <sheetData sheetId="0" refreshError="1">
        <row r="33">
          <cell r="B33" t="str">
            <v>Orange Group Confidential - 4 APR 2017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uide - FAQs"/>
      <sheetName val="pbook - usage pricing"/>
      <sheetName val="pbook - numbers"/>
      <sheetName val="pbook - NIVR call usage"/>
      <sheetName val="pbook - NIVR application"/>
      <sheetName val="pbook - USA read me"/>
      <sheetName val="pbook - USA sites"/>
      <sheetName val="pbook - site installation"/>
      <sheetName val="pbook - features"/>
      <sheetName val="quote - main"/>
      <sheetName val="quote - site"/>
      <sheetName val="quote - site installation"/>
      <sheetName val="quote - access lines"/>
      <sheetName val="quote - call collection"/>
      <sheetName val="quote - toll-revenue share"/>
      <sheetName val="quote - number"/>
      <sheetName val="quote - PSTN Termination"/>
      <sheetName val="quote - pricing summary"/>
      <sheetName val="quote - data table pricing"/>
      <sheetName val="quote - data table sites"/>
      <sheetName val="quote - tariff sheet"/>
      <sheetName val="info - billing route codes"/>
      <sheetName val="data - Portal PB tariff"/>
      <sheetName val="data - Portal PB other"/>
      <sheetName val="data - non-Portal prices"/>
      <sheetName val="data - Portal PB avail"/>
      <sheetName val="data - number availability"/>
      <sheetName val="data"/>
      <sheetName val="info - forex"/>
      <sheetName val="change control"/>
    </sheetNames>
    <sheetDataSet>
      <sheetData sheetId="0">
        <row r="3">
          <cell r="F3" t="str">
            <v>V12B</v>
          </cell>
        </row>
        <row r="4">
          <cell r="H4" t="str">
            <v>USD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Report--"/>
      <sheetName val="Report"/>
      <sheetName val="data - Portal PB tariff (OLD)"/>
      <sheetName val="Countries wo Rev. Dial Plan"/>
      <sheetName val="Countries w. Reviewed Dial Plan"/>
      <sheetName val="data - Portal PB tariff (NEW)"/>
      <sheetName val="tools - domestic dial plan"/>
    </sheetNames>
    <sheetDataSet>
      <sheetData sheetId="0"/>
      <sheetData sheetId="1"/>
      <sheetData sheetId="2"/>
      <sheetData sheetId="3">
        <row r="7">
          <cell r="A7" t="str">
            <v>DOM GER GMOTH</v>
          </cell>
          <cell r="B7" t="str">
            <v>02;03;04;05;06;0702;0703;0704;0705;0706;0707;0708;0709;071;072;073;074;075;076;077;078;079;0802;0803;0804;0805;0806;0807;0808;0809;081;082;083;084;085;086;087;088;089;0906;0907;0908;0909;091;092;093;094;095;096;097;098;099;2;3;4;5;6;702;703;704;705;706;70</v>
          </cell>
          <cell r="D7" t="str">
            <v>Germany National</v>
          </cell>
          <cell r="E7" t="str">
            <v>minute</v>
          </cell>
          <cell r="F7" t="str">
            <v>BCRSS</v>
          </cell>
          <cell r="G7" t="str">
            <v>see EUR</v>
          </cell>
          <cell r="H7" t="str">
            <v>see EUR</v>
          </cell>
          <cell r="I7">
            <v>6.1614959910000003E-3</v>
          </cell>
          <cell r="K7">
            <v>2.9550389409722221E-3</v>
          </cell>
          <cell r="L7" t="str">
            <v/>
          </cell>
          <cell r="Y7" t="str">
            <v/>
          </cell>
          <cell r="Z7">
            <v>9.1165349319722224E-3</v>
          </cell>
          <cell r="AC7" t="str">
            <v/>
          </cell>
          <cell r="AD7">
            <v>1.0939841918366666E-2</v>
          </cell>
          <cell r="AE7" t="str">
            <v/>
          </cell>
          <cell r="AF7">
            <v>1.0787899669500464E-2</v>
          </cell>
          <cell r="AG7" t="str">
            <v/>
          </cell>
          <cell r="AH7">
            <v>1.063595742063426E-2</v>
          </cell>
          <cell r="AI7" t="str">
            <v/>
          </cell>
          <cell r="AJ7">
            <v>1.0484015171768056E-2</v>
          </cell>
          <cell r="AL7">
            <v>0</v>
          </cell>
          <cell r="AM7">
            <v>1.2</v>
          </cell>
          <cell r="AN7">
            <v>0.33333333333333331</v>
          </cell>
          <cell r="AO7">
            <v>0.33333333333333331</v>
          </cell>
          <cell r="AP7">
            <v>0</v>
          </cell>
          <cell r="AQ7">
            <v>1.1499999999999999</v>
          </cell>
          <cell r="AS7" t="str">
            <v>Fixed Price (max retail used) @ 6.1667 CHE/min (VAT excl.) &amp; 462.96 CHE/call (VAT excl.)</v>
          </cell>
          <cell r="AU7">
            <v>1.2</v>
          </cell>
          <cell r="AV7">
            <v>1.1499999999999999</v>
          </cell>
        </row>
        <row r="8">
          <cell r="A8" t="str">
            <v>DOM GER GEMTM</v>
          </cell>
          <cell r="B8" t="str">
            <v>0151;0160;0170;0171;0175;151;160;170;171;175;</v>
          </cell>
          <cell r="D8" t="str">
            <v>Germany Mobile T-Mobile</v>
          </cell>
          <cell r="E8" t="str">
            <v>minute</v>
          </cell>
          <cell r="F8" t="str">
            <v>BCRSS</v>
          </cell>
          <cell r="G8" t="str">
            <v>see EUR</v>
          </cell>
          <cell r="H8" t="str">
            <v>see EUR</v>
          </cell>
          <cell r="I8">
            <v>3.6373749901999999E-2</v>
          </cell>
          <cell r="K8">
            <v>2.9550389409722221E-3</v>
          </cell>
          <cell r="L8" t="str">
            <v/>
          </cell>
          <cell r="Y8" t="str">
            <v/>
          </cell>
          <cell r="Z8">
            <v>3.9328788842972223E-2</v>
          </cell>
          <cell r="AC8" t="str">
            <v/>
          </cell>
          <cell r="AD8">
            <v>6.6858941033052774E-2</v>
          </cell>
          <cell r="AE8" t="str">
            <v/>
          </cell>
          <cell r="AF8">
            <v>6.4237021776854641E-2</v>
          </cell>
          <cell r="AG8" t="str">
            <v/>
          </cell>
          <cell r="AH8">
            <v>6.1615102520656488E-2</v>
          </cell>
          <cell r="AI8" t="str">
            <v/>
          </cell>
          <cell r="AJ8">
            <v>5.8993183264458335E-2</v>
          </cell>
          <cell r="AL8">
            <v>0</v>
          </cell>
          <cell r="AM8">
            <v>1.7</v>
          </cell>
          <cell r="AN8">
            <v>0.33333333333333331</v>
          </cell>
          <cell r="AO8">
            <v>0.33333333333333331</v>
          </cell>
          <cell r="AP8">
            <v>0</v>
          </cell>
          <cell r="AQ8">
            <v>1.5</v>
          </cell>
          <cell r="AS8" t="str">
            <v>Fixed Price (max retail used) @ 6.1667 CHE/min (VAT excl.) &amp; 462.96 CHE/call (VAT excl.)</v>
          </cell>
          <cell r="AU8">
            <v>1.7</v>
          </cell>
          <cell r="AV8">
            <v>1.5</v>
          </cell>
        </row>
        <row r="9">
          <cell r="A9" t="str">
            <v>DOM GER GEMVO</v>
          </cell>
          <cell r="B9" t="str">
            <v>0152;0162;0172;0173;0174;152;162;172;173;174;</v>
          </cell>
          <cell r="D9" t="str">
            <v>Germany Mobile Vodafone</v>
          </cell>
          <cell r="E9" t="str">
            <v>minute</v>
          </cell>
          <cell r="F9" t="str">
            <v>BCRSS</v>
          </cell>
          <cell r="G9" t="str">
            <v>see EUR</v>
          </cell>
          <cell r="H9" t="str">
            <v>see EUR</v>
          </cell>
          <cell r="I9">
            <v>3.6373749901999999E-2</v>
          </cell>
          <cell r="K9">
            <v>2.9550389409722221E-3</v>
          </cell>
          <cell r="L9" t="str">
            <v/>
          </cell>
          <cell r="Y9" t="str">
            <v/>
          </cell>
          <cell r="Z9">
            <v>3.9328788842972223E-2</v>
          </cell>
          <cell r="AC9" t="str">
            <v/>
          </cell>
          <cell r="AD9">
            <v>6.6858941033052774E-2</v>
          </cell>
          <cell r="AE9" t="str">
            <v/>
          </cell>
          <cell r="AF9">
            <v>6.4237021776854641E-2</v>
          </cell>
          <cell r="AG9" t="str">
            <v/>
          </cell>
          <cell r="AH9">
            <v>6.1615102520656488E-2</v>
          </cell>
          <cell r="AI9" t="str">
            <v/>
          </cell>
          <cell r="AJ9">
            <v>5.8993183264458335E-2</v>
          </cell>
          <cell r="AL9">
            <v>0</v>
          </cell>
          <cell r="AM9">
            <v>1.7</v>
          </cell>
          <cell r="AN9">
            <v>0.33333333333333331</v>
          </cell>
          <cell r="AO9">
            <v>0.33333333333333331</v>
          </cell>
          <cell r="AP9">
            <v>0</v>
          </cell>
          <cell r="AQ9">
            <v>1.5</v>
          </cell>
          <cell r="AS9" t="str">
            <v>Fixed Price (max retail used) @ 6.1667 CHE/min (VAT excl.) &amp; 462.96 CHE/call (VAT excl.)</v>
          </cell>
          <cell r="AU9">
            <v>1.7</v>
          </cell>
          <cell r="AV9">
            <v>1.5</v>
          </cell>
        </row>
        <row r="10">
          <cell r="A10" t="str">
            <v>DOM GER GEMEP</v>
          </cell>
          <cell r="B10" t="str">
            <v>0155;0157;0163;0177;0178;155;157;163;177;178;</v>
          </cell>
          <cell r="D10" t="str">
            <v>Germany Mobile E-Plus</v>
          </cell>
          <cell r="E10" t="str">
            <v>minute</v>
          </cell>
          <cell r="F10" t="str">
            <v>BCRSS</v>
          </cell>
          <cell r="G10" t="str">
            <v>see EUR</v>
          </cell>
          <cell r="H10" t="str">
            <v>see EUR</v>
          </cell>
          <cell r="I10">
            <v>3.6373749901999999E-2</v>
          </cell>
          <cell r="K10">
            <v>2.9550389409722221E-3</v>
          </cell>
          <cell r="L10" t="str">
            <v/>
          </cell>
          <cell r="Y10" t="str">
            <v/>
          </cell>
          <cell r="Z10">
            <v>3.9328788842972223E-2</v>
          </cell>
          <cell r="AC10" t="str">
            <v/>
          </cell>
          <cell r="AD10">
            <v>6.6858941033052774E-2</v>
          </cell>
          <cell r="AE10" t="str">
            <v/>
          </cell>
          <cell r="AF10">
            <v>6.4237021776854641E-2</v>
          </cell>
          <cell r="AG10" t="str">
            <v/>
          </cell>
          <cell r="AH10">
            <v>6.1615102520656488E-2</v>
          </cell>
          <cell r="AI10" t="str">
            <v/>
          </cell>
          <cell r="AJ10">
            <v>5.8993183264458335E-2</v>
          </cell>
          <cell r="AL10">
            <v>0</v>
          </cell>
          <cell r="AM10">
            <v>1.7</v>
          </cell>
          <cell r="AN10">
            <v>0.33333333333333331</v>
          </cell>
          <cell r="AO10">
            <v>0.33333333333333331</v>
          </cell>
          <cell r="AP10">
            <v>0</v>
          </cell>
          <cell r="AQ10">
            <v>1.5</v>
          </cell>
          <cell r="AS10" t="str">
            <v>Fixed Price (max retail used) @ 6.1667 CHE/min (VAT excl.) &amp; 462.96 CHE/call (VAT excl.)</v>
          </cell>
          <cell r="AU10">
            <v>1.7</v>
          </cell>
          <cell r="AV10">
            <v>1.5</v>
          </cell>
        </row>
        <row r="11">
          <cell r="A11" t="str">
            <v>DOM GER GEMO2</v>
          </cell>
          <cell r="B11" t="str">
            <v>0159;0176;0179;159;176;179;</v>
          </cell>
          <cell r="D11" t="str">
            <v>Germany Mobile O2</v>
          </cell>
          <cell r="E11" t="str">
            <v>minute</v>
          </cell>
          <cell r="F11" t="str">
            <v>BCRSS</v>
          </cell>
          <cell r="G11" t="str">
            <v>see EUR</v>
          </cell>
          <cell r="H11" t="str">
            <v>see EUR</v>
          </cell>
          <cell r="I11">
            <v>3.6373749901999999E-2</v>
          </cell>
          <cell r="K11">
            <v>2.9550389409722221E-3</v>
          </cell>
          <cell r="L11" t="str">
            <v/>
          </cell>
          <cell r="Y11" t="str">
            <v/>
          </cell>
          <cell r="Z11">
            <v>3.9328788842972223E-2</v>
          </cell>
          <cell r="AC11" t="str">
            <v/>
          </cell>
          <cell r="AD11">
            <v>6.6858941033052774E-2</v>
          </cell>
          <cell r="AE11" t="str">
            <v/>
          </cell>
          <cell r="AF11">
            <v>6.4237021776854641E-2</v>
          </cell>
          <cell r="AG11" t="str">
            <v/>
          </cell>
          <cell r="AH11">
            <v>6.1615102520656488E-2</v>
          </cell>
          <cell r="AI11" t="str">
            <v/>
          </cell>
          <cell r="AJ11">
            <v>5.8993183264458335E-2</v>
          </cell>
          <cell r="AL11">
            <v>0</v>
          </cell>
          <cell r="AM11">
            <v>1.7</v>
          </cell>
          <cell r="AN11">
            <v>0.33333333333333331</v>
          </cell>
          <cell r="AO11">
            <v>0.33333333333333331</v>
          </cell>
          <cell r="AP11">
            <v>0</v>
          </cell>
          <cell r="AQ11">
            <v>1.5</v>
          </cell>
          <cell r="AS11" t="str">
            <v>Fixed Price (max retail used) @ 6.1667 CHE/min (VAT excl.) &amp; 462.96 CHE/call (VAT excl.)</v>
          </cell>
          <cell r="AU11">
            <v>1.7</v>
          </cell>
          <cell r="AV11">
            <v>1.5</v>
          </cell>
        </row>
        <row r="12">
          <cell r="A12" t="str">
            <v>DOM GER GMMOB</v>
          </cell>
          <cell r="B12" t="str">
            <v>0150;150;</v>
          </cell>
          <cell r="D12" t="str">
            <v>Germany Mobile Other</v>
          </cell>
          <cell r="E12" t="str">
            <v>minute</v>
          </cell>
          <cell r="F12" t="str">
            <v>BCRSS</v>
          </cell>
          <cell r="G12" t="str">
            <v>see EUR</v>
          </cell>
          <cell r="H12" t="str">
            <v>see EUR</v>
          </cell>
          <cell r="I12">
            <v>3.6373749901999999E-2</v>
          </cell>
          <cell r="K12">
            <v>2.9550389409722221E-3</v>
          </cell>
          <cell r="L12" t="str">
            <v/>
          </cell>
          <cell r="Y12" t="str">
            <v/>
          </cell>
          <cell r="Z12">
            <v>3.9328788842972223E-2</v>
          </cell>
          <cell r="AC12" t="str">
            <v/>
          </cell>
          <cell r="AD12">
            <v>6.6858941033052774E-2</v>
          </cell>
          <cell r="AE12" t="str">
            <v/>
          </cell>
          <cell r="AF12">
            <v>6.4237021776854641E-2</v>
          </cell>
          <cell r="AG12" t="str">
            <v/>
          </cell>
          <cell r="AH12">
            <v>6.1615102520656488E-2</v>
          </cell>
          <cell r="AI12" t="str">
            <v/>
          </cell>
          <cell r="AJ12">
            <v>5.8993183264458335E-2</v>
          </cell>
          <cell r="AL12">
            <v>0</v>
          </cell>
          <cell r="AM12">
            <v>1.7</v>
          </cell>
          <cell r="AN12">
            <v>0.33333333333333331</v>
          </cell>
          <cell r="AO12">
            <v>0.33333333333333331</v>
          </cell>
          <cell r="AP12">
            <v>0</v>
          </cell>
          <cell r="AQ12">
            <v>1.5</v>
          </cell>
          <cell r="AS12" t="str">
            <v>Fixed Price (max retail used) @ 6.1667 CHE/min (VAT excl.) &amp; 462.96 CHE/call (VAT excl.)</v>
          </cell>
          <cell r="AU12">
            <v>1.7</v>
          </cell>
          <cell r="AV12">
            <v>1.5</v>
          </cell>
        </row>
        <row r="13">
          <cell r="A13" t="str">
            <v>DOM ITA REST</v>
          </cell>
          <cell r="D13" t="str">
            <v>Italy National</v>
          </cell>
          <cell r="E13" t="str">
            <v>minute</v>
          </cell>
          <cell r="F13" t="str">
            <v>BCRSS</v>
          </cell>
          <cell r="G13" t="str">
            <v>see EUR</v>
          </cell>
          <cell r="H13" t="str">
            <v>see EUR</v>
          </cell>
          <cell r="I13">
            <v>6.9568932300000004E-3</v>
          </cell>
          <cell r="K13">
            <v>2.9550389409722221E-3</v>
          </cell>
          <cell r="Y13" t="str">
            <v/>
          </cell>
          <cell r="Z13">
            <v>9.9119321709722225E-3</v>
          </cell>
          <cell r="AC13" t="str">
            <v/>
          </cell>
          <cell r="AD13">
            <v>1.1894318605166666E-2</v>
          </cell>
          <cell r="AE13" t="str">
            <v/>
          </cell>
          <cell r="AF13">
            <v>1.1729119735650464E-2</v>
          </cell>
          <cell r="AG13" t="str">
            <v/>
          </cell>
          <cell r="AH13">
            <v>1.156392086613426E-2</v>
          </cell>
          <cell r="AI13" t="str">
            <v/>
          </cell>
          <cell r="AJ13">
            <v>1.1398721996618054E-2</v>
          </cell>
          <cell r="AL13">
            <v>0</v>
          </cell>
          <cell r="AM13">
            <v>1.2</v>
          </cell>
          <cell r="AN13">
            <v>0.33333333333333331</v>
          </cell>
          <cell r="AO13">
            <v>0.33333333333333331</v>
          </cell>
          <cell r="AP13">
            <v>0</v>
          </cell>
          <cell r="AQ13">
            <v>1.1499999999999999</v>
          </cell>
          <cell r="AS13" t="str">
            <v>Fixed Price (max retail used) @ 6.1667 CHE/min (VAT excl.) &amp; 462.96 CHE/call (VAT excl.)</v>
          </cell>
          <cell r="AU13">
            <v>1.2</v>
          </cell>
          <cell r="AV13">
            <v>1.1499999999999999</v>
          </cell>
        </row>
        <row r="14">
          <cell r="A14" t="str">
            <v>DOM ITA ZITA7</v>
          </cell>
          <cell r="D14" t="str">
            <v>Italy Mobile Other</v>
          </cell>
          <cell r="E14" t="str">
            <v>minute</v>
          </cell>
          <cell r="F14" t="str">
            <v>BCRSS</v>
          </cell>
          <cell r="G14" t="str">
            <v>see EUR</v>
          </cell>
          <cell r="H14" t="str">
            <v>see EUR</v>
          </cell>
          <cell r="I14">
            <v>0.17252641992600001</v>
          </cell>
          <cell r="K14">
            <v>2.9550389409722221E-3</v>
          </cell>
          <cell r="Y14" t="str">
            <v/>
          </cell>
          <cell r="Z14">
            <v>0.17548145886697222</v>
          </cell>
          <cell r="AC14" t="str">
            <v/>
          </cell>
          <cell r="AD14">
            <v>0.29831848007385275</v>
          </cell>
          <cell r="AE14" t="str">
            <v/>
          </cell>
          <cell r="AF14">
            <v>0.28661971614938797</v>
          </cell>
          <cell r="AG14" t="str">
            <v/>
          </cell>
          <cell r="AH14">
            <v>0.27492095222492319</v>
          </cell>
          <cell r="AI14" t="str">
            <v/>
          </cell>
          <cell r="AJ14">
            <v>0.26322218830045835</v>
          </cell>
          <cell r="AL14">
            <v>0</v>
          </cell>
          <cell r="AM14">
            <v>1.7</v>
          </cell>
          <cell r="AN14">
            <v>0.33333333333333331</v>
          </cell>
          <cell r="AO14">
            <v>0.33333333333333331</v>
          </cell>
          <cell r="AP14">
            <v>0</v>
          </cell>
          <cell r="AQ14">
            <v>1.5</v>
          </cell>
          <cell r="AS14" t="str">
            <v>Fixed Price (max retail used) @ 6.1667 CHE/min (VAT excl.) &amp; 462.96 CHE/call (VAT excl.)</v>
          </cell>
          <cell r="AU14">
            <v>1.7</v>
          </cell>
          <cell r="AV14">
            <v>1.5</v>
          </cell>
        </row>
        <row r="15">
          <cell r="A15" t="str">
            <v>DOM ITA ZITA8</v>
          </cell>
          <cell r="D15" t="str">
            <v>Italy Mobile Vodafone</v>
          </cell>
          <cell r="E15" t="str">
            <v>minute</v>
          </cell>
          <cell r="F15" t="str">
            <v>BCRSS</v>
          </cell>
          <cell r="G15" t="str">
            <v>see EUR</v>
          </cell>
          <cell r="H15" t="str">
            <v>see EUR</v>
          </cell>
          <cell r="I15">
            <v>5.7542042613999998E-2</v>
          </cell>
          <cell r="K15">
            <v>2.9550389409722221E-3</v>
          </cell>
          <cell r="Y15" t="str">
            <v/>
          </cell>
          <cell r="Z15">
            <v>6.0497081554972222E-2</v>
          </cell>
          <cell r="AC15" t="str">
            <v/>
          </cell>
          <cell r="AD15">
            <v>0.10284503864345278</v>
          </cell>
          <cell r="AE15" t="str">
            <v/>
          </cell>
          <cell r="AF15">
            <v>9.8811899873121306E-2</v>
          </cell>
          <cell r="AG15" t="str">
            <v/>
          </cell>
          <cell r="AH15">
            <v>9.4778761102789821E-2</v>
          </cell>
          <cell r="AI15" t="str">
            <v/>
          </cell>
          <cell r="AJ15">
            <v>9.0745622332458337E-2</v>
          </cell>
          <cell r="AL15">
            <v>0</v>
          </cell>
          <cell r="AM15">
            <v>1.7</v>
          </cell>
          <cell r="AN15">
            <v>0.33333333333333331</v>
          </cell>
          <cell r="AO15">
            <v>0.33333333333333331</v>
          </cell>
          <cell r="AP15">
            <v>0</v>
          </cell>
          <cell r="AQ15">
            <v>1.5</v>
          </cell>
          <cell r="AS15" t="str">
            <v>Fixed Price (max retail used) @ 6.1667 CHE/min (VAT excl.) &amp; 462.96 CHE/call (VAT excl.)</v>
          </cell>
          <cell r="AU15">
            <v>1.7</v>
          </cell>
          <cell r="AV15">
            <v>1.5</v>
          </cell>
        </row>
        <row r="16">
          <cell r="A16" t="str">
            <v>DOM ITA ZITA9</v>
          </cell>
          <cell r="D16" t="str">
            <v>Italy Mobile TIM</v>
          </cell>
          <cell r="E16" t="str">
            <v>minute</v>
          </cell>
          <cell r="F16" t="str">
            <v>BCRSS</v>
          </cell>
          <cell r="G16" t="str">
            <v>see EUR</v>
          </cell>
          <cell r="H16" t="str">
            <v>see EUR</v>
          </cell>
          <cell r="I16">
            <v>5.7542042613999998E-2</v>
          </cell>
          <cell r="K16">
            <v>2.9550389409722221E-3</v>
          </cell>
          <cell r="Y16" t="str">
            <v/>
          </cell>
          <cell r="Z16">
            <v>6.0497081554972222E-2</v>
          </cell>
          <cell r="AC16" t="str">
            <v/>
          </cell>
          <cell r="AD16">
            <v>0.10284503864345278</v>
          </cell>
          <cell r="AE16" t="str">
            <v/>
          </cell>
          <cell r="AF16">
            <v>9.8811899873121306E-2</v>
          </cell>
          <cell r="AG16" t="str">
            <v/>
          </cell>
          <cell r="AH16">
            <v>9.4778761102789821E-2</v>
          </cell>
          <cell r="AI16" t="str">
            <v/>
          </cell>
          <cell r="AJ16">
            <v>9.0745622332458337E-2</v>
          </cell>
          <cell r="AL16">
            <v>0</v>
          </cell>
          <cell r="AM16">
            <v>1.7</v>
          </cell>
          <cell r="AN16">
            <v>0.33333333333333331</v>
          </cell>
          <cell r="AO16">
            <v>0.33333333333333331</v>
          </cell>
          <cell r="AP16">
            <v>0</v>
          </cell>
          <cell r="AQ16">
            <v>1.5</v>
          </cell>
          <cell r="AS16" t="str">
            <v>Fixed Price (max retail used) @ 6.1667 CHE/min (VAT excl.) &amp; 462.96 CHE/call (VAT excl.)</v>
          </cell>
          <cell r="AU16">
            <v>1.7</v>
          </cell>
          <cell r="AV16">
            <v>1.5</v>
          </cell>
        </row>
        <row r="17">
          <cell r="A17" t="str">
            <v>DOM ITA ZIT10</v>
          </cell>
          <cell r="D17" t="str">
            <v>Italy Mobile Wind</v>
          </cell>
          <cell r="E17" t="str">
            <v>minute</v>
          </cell>
          <cell r="F17" t="str">
            <v>BCRSS</v>
          </cell>
          <cell r="G17" t="str">
            <v>see EUR</v>
          </cell>
          <cell r="H17" t="str">
            <v>see EUR</v>
          </cell>
          <cell r="I17">
            <v>5.7542042613999998E-2</v>
          </cell>
          <cell r="K17">
            <v>2.9550389409722221E-3</v>
          </cell>
          <cell r="Y17" t="str">
            <v/>
          </cell>
          <cell r="Z17">
            <v>6.0497081554972222E-2</v>
          </cell>
          <cell r="AC17" t="str">
            <v/>
          </cell>
          <cell r="AD17">
            <v>0.10284503864345278</v>
          </cell>
          <cell r="AE17" t="str">
            <v/>
          </cell>
          <cell r="AF17">
            <v>9.8811899873121306E-2</v>
          </cell>
          <cell r="AG17" t="str">
            <v/>
          </cell>
          <cell r="AH17">
            <v>9.4778761102789821E-2</v>
          </cell>
          <cell r="AI17" t="str">
            <v/>
          </cell>
          <cell r="AJ17">
            <v>9.0745622332458337E-2</v>
          </cell>
          <cell r="AL17">
            <v>0</v>
          </cell>
          <cell r="AM17">
            <v>1.7</v>
          </cell>
          <cell r="AN17">
            <v>0.33333333333333331</v>
          </cell>
          <cell r="AO17">
            <v>0.33333333333333331</v>
          </cell>
          <cell r="AP17">
            <v>0</v>
          </cell>
          <cell r="AQ17">
            <v>1.5</v>
          </cell>
          <cell r="AS17" t="str">
            <v>Fixed Price (max retail used) @ 6.1667 CHE/min (VAT excl.) &amp; 462.96 CHE/call (VAT excl.)</v>
          </cell>
          <cell r="AU17">
            <v>1.7</v>
          </cell>
          <cell r="AV17">
            <v>1.5</v>
          </cell>
        </row>
        <row r="18">
          <cell r="A18" t="str">
            <v>DOM LUX AREA1</v>
          </cell>
          <cell r="D18" t="str">
            <v>Luxembourg National</v>
          </cell>
          <cell r="E18" t="str">
            <v>minute</v>
          </cell>
          <cell r="F18" t="str">
            <v>RIM</v>
          </cell>
          <cell r="G18" t="str">
            <v>see EUR</v>
          </cell>
          <cell r="H18" t="str">
            <v>see EUR</v>
          </cell>
          <cell r="I18">
            <v>8.8000000000000005E-3</v>
          </cell>
          <cell r="K18">
            <v>2.9550389409722221E-3</v>
          </cell>
          <cell r="Y18" t="str">
            <v/>
          </cell>
          <cell r="Z18">
            <v>1.1755038940972223E-2</v>
          </cell>
          <cell r="AC18" t="str">
            <v/>
          </cell>
          <cell r="AD18">
            <v>1.4106046729166667E-2</v>
          </cell>
          <cell r="AE18" t="str">
            <v/>
          </cell>
          <cell r="AF18">
            <v>1.3910129413483796E-2</v>
          </cell>
          <cell r="AG18" t="str">
            <v/>
          </cell>
          <cell r="AH18">
            <v>1.3714212097800925E-2</v>
          </cell>
          <cell r="AI18" t="str">
            <v/>
          </cell>
          <cell r="AJ18">
            <v>1.3518294782118054E-2</v>
          </cell>
          <cell r="AL18">
            <v>0</v>
          </cell>
          <cell r="AM18">
            <v>1.2</v>
          </cell>
          <cell r="AN18">
            <v>0.33333333333333331</v>
          </cell>
          <cell r="AO18">
            <v>0.33333333333333331</v>
          </cell>
          <cell r="AP18">
            <v>0</v>
          </cell>
          <cell r="AQ18">
            <v>1.1499999999999999</v>
          </cell>
          <cell r="AS18" t="str">
            <v>Fixed Price (max retail used) @ 6.1667 CHE/min (VAT excl.) &amp; 462.96 CHE/call (VAT excl.)</v>
          </cell>
          <cell r="AU18">
            <v>1.2</v>
          </cell>
          <cell r="AV18">
            <v>1.1499999999999999</v>
          </cell>
        </row>
        <row r="19">
          <cell r="A19" t="str">
            <v>DOM LUX AREA2</v>
          </cell>
          <cell r="D19" t="str">
            <v>Luxembourg Mobile Other</v>
          </cell>
          <cell r="E19" t="str">
            <v>minute</v>
          </cell>
          <cell r="F19" t="str">
            <v>RIM</v>
          </cell>
          <cell r="G19" t="str">
            <v>see EUR</v>
          </cell>
          <cell r="H19" t="str">
            <v>see EUR</v>
          </cell>
          <cell r="I19">
            <v>8.7999999999999995E-2</v>
          </cell>
          <cell r="K19">
            <v>2.9550389409722221E-3</v>
          </cell>
          <cell r="Y19" t="str">
            <v/>
          </cell>
          <cell r="Z19">
            <v>9.0955038940972219E-2</v>
          </cell>
          <cell r="AC19" t="str">
            <v/>
          </cell>
          <cell r="AD19">
            <v>0.10914604672916665</v>
          </cell>
          <cell r="AE19" t="str">
            <v/>
          </cell>
          <cell r="AF19">
            <v>0.10763012941348379</v>
          </cell>
          <cell r="AG19" t="str">
            <v/>
          </cell>
          <cell r="AH19">
            <v>0.10611421209780092</v>
          </cell>
          <cell r="AI19" t="str">
            <v/>
          </cell>
          <cell r="AJ19">
            <v>0.10459829478211805</v>
          </cell>
          <cell r="AL19">
            <v>0</v>
          </cell>
          <cell r="AM19">
            <v>1.2</v>
          </cell>
          <cell r="AN19">
            <v>0.33333333333333331</v>
          </cell>
          <cell r="AO19">
            <v>0.33333333333333331</v>
          </cell>
          <cell r="AP19">
            <v>0</v>
          </cell>
          <cell r="AQ19">
            <v>1.1499999999999999</v>
          </cell>
          <cell r="AS19" t="str">
            <v>Fixed Price (max retail used) @ 6.1667 CHE/min (VAT excl.) &amp; 462.96 CHE/call (VAT excl.)</v>
          </cell>
          <cell r="AU19">
            <v>1.2</v>
          </cell>
          <cell r="AV19">
            <v>1.1499999999999999</v>
          </cell>
        </row>
        <row r="20">
          <cell r="A20" t="str">
            <v>DOM LUX LXMTA</v>
          </cell>
          <cell r="D20" t="str">
            <v>Luxembourg Mobile Tango</v>
          </cell>
          <cell r="E20" t="str">
            <v>minute</v>
          </cell>
          <cell r="F20" t="str">
            <v>RIM</v>
          </cell>
          <cell r="G20" t="str">
            <v>see EUR</v>
          </cell>
          <cell r="H20" t="str">
            <v>see EUR</v>
          </cell>
          <cell r="I20">
            <v>8.7999999999999995E-2</v>
          </cell>
          <cell r="K20">
            <v>2.9550389409722221E-3</v>
          </cell>
          <cell r="Y20" t="str">
            <v/>
          </cell>
          <cell r="Z20">
            <v>9.0955038940972219E-2</v>
          </cell>
          <cell r="AC20" t="str">
            <v/>
          </cell>
          <cell r="AD20">
            <v>0.10914604672916665</v>
          </cell>
          <cell r="AE20" t="str">
            <v/>
          </cell>
          <cell r="AF20">
            <v>0.10763012941348379</v>
          </cell>
          <cell r="AG20" t="str">
            <v/>
          </cell>
          <cell r="AH20">
            <v>0.10611421209780092</v>
          </cell>
          <cell r="AI20" t="str">
            <v/>
          </cell>
          <cell r="AJ20">
            <v>0.10459829478211805</v>
          </cell>
          <cell r="AL20">
            <v>0</v>
          </cell>
          <cell r="AM20">
            <v>1.2</v>
          </cell>
          <cell r="AN20">
            <v>0.33333333333333331</v>
          </cell>
          <cell r="AO20">
            <v>0.33333333333333331</v>
          </cell>
          <cell r="AP20">
            <v>0</v>
          </cell>
          <cell r="AQ20">
            <v>1.1499999999999999</v>
          </cell>
          <cell r="AS20" t="str">
            <v>Fixed Price (max retail used) @ 6.1667 CHE/min (VAT excl.) &amp; 462.96 CHE/call (VAT excl.)</v>
          </cell>
          <cell r="AU20">
            <v>1.2</v>
          </cell>
          <cell r="AV20">
            <v>1.1499999999999999</v>
          </cell>
        </row>
        <row r="21">
          <cell r="A21" t="str">
            <v>DOM LUX LXMVO</v>
          </cell>
          <cell r="D21" t="str">
            <v>Luxembourg Mobile Orange</v>
          </cell>
          <cell r="E21" t="str">
            <v>minute</v>
          </cell>
          <cell r="F21" t="str">
            <v>RIM</v>
          </cell>
          <cell r="G21" t="str">
            <v>see EUR</v>
          </cell>
          <cell r="H21" t="str">
            <v>see EUR</v>
          </cell>
          <cell r="I21">
            <v>0.113</v>
          </cell>
          <cell r="K21">
            <v>2.9550389409722221E-3</v>
          </cell>
          <cell r="Y21" t="str">
            <v/>
          </cell>
          <cell r="Z21">
            <v>0.11595503894097223</v>
          </cell>
          <cell r="AC21" t="str">
            <v/>
          </cell>
          <cell r="AD21">
            <v>0.13914604672916667</v>
          </cell>
          <cell r="AE21" t="str">
            <v/>
          </cell>
          <cell r="AF21">
            <v>0.13721346274681712</v>
          </cell>
          <cell r="AG21" t="str">
            <v/>
          </cell>
          <cell r="AH21">
            <v>0.13528087876446759</v>
          </cell>
          <cell r="AI21" t="str">
            <v/>
          </cell>
          <cell r="AJ21">
            <v>0.13334829478211804</v>
          </cell>
          <cell r="AL21">
            <v>0</v>
          </cell>
          <cell r="AM21">
            <v>1.2</v>
          </cell>
          <cell r="AN21">
            <v>0.33333333333333331</v>
          </cell>
          <cell r="AO21">
            <v>0.33333333333333331</v>
          </cell>
          <cell r="AP21">
            <v>0</v>
          </cell>
          <cell r="AQ21">
            <v>1.1499999999999999</v>
          </cell>
          <cell r="AS21" t="str">
            <v>Fixed Price (max retail used) @ 6.1667 CHE/min (VAT excl.) &amp; 462.96 CHE/call (VAT excl.)</v>
          </cell>
          <cell r="AU21">
            <v>1.2</v>
          </cell>
          <cell r="AV21">
            <v>1.1499999999999999</v>
          </cell>
        </row>
        <row r="22">
          <cell r="A22" t="str">
            <v>DOM NOR AREA2</v>
          </cell>
          <cell r="B22" t="str">
            <v>10;114;115;116;117;118;119;120;121;122;123;125;126;127;128;129;130;131;132;133;134;135;136;137;138;139;140;141;142;143;144;146;147;148;15;16;170;171;172;173;174;176;178;179;180;181;182;183;184;185;186;187;1880;1882;1883;1884;1885;1886;1887;1888;1889;189;1</v>
          </cell>
          <cell r="D22" t="str">
            <v>Norway National</v>
          </cell>
          <cell r="E22" t="str">
            <v>minute</v>
          </cell>
          <cell r="F22" t="str">
            <v>RIM</v>
          </cell>
          <cell r="G22">
            <v>3.7999999999999999E-2</v>
          </cell>
          <cell r="I22">
            <v>4.9006964147536754E-3</v>
          </cell>
          <cell r="K22">
            <v>2.9550389409722221E-3</v>
          </cell>
          <cell r="Y22" t="str">
            <v/>
          </cell>
          <cell r="Z22">
            <v>7.8557353557258975E-3</v>
          </cell>
          <cell r="AC22" t="str">
            <v/>
          </cell>
          <cell r="AD22">
            <v>1.1783603033588847E-2</v>
          </cell>
          <cell r="AE22" t="str">
            <v/>
          </cell>
          <cell r="AF22">
            <v>1.1259887343207122E-2</v>
          </cell>
          <cell r="AG22" t="str">
            <v/>
          </cell>
          <cell r="AH22">
            <v>1.0736171652825394E-2</v>
          </cell>
          <cell r="AI22" t="str">
            <v/>
          </cell>
          <cell r="AJ22">
            <v>1.0212455962443667E-2</v>
          </cell>
          <cell r="AL22">
            <v>0</v>
          </cell>
          <cell r="AM22">
            <v>1.5</v>
          </cell>
          <cell r="AN22">
            <v>0.33333333333333331</v>
          </cell>
          <cell r="AO22">
            <v>0.33333333333333331</v>
          </cell>
          <cell r="AP22">
            <v>0</v>
          </cell>
          <cell r="AQ22">
            <v>1.3</v>
          </cell>
          <cell r="AS22" t="str">
            <v>Fixed Price (max retail used) @ 6.1667 CHE/min (VAT excl.) &amp; 462.96 CHE/call (VAT excl.)</v>
          </cell>
          <cell r="AU22">
            <v>1.5</v>
          </cell>
          <cell r="AV22">
            <v>1.3</v>
          </cell>
        </row>
        <row r="23">
          <cell r="A23" t="str">
            <v>DOM NOR AREA4</v>
          </cell>
          <cell r="B23" t="str">
            <v>40;45;47;4740;47450;47451;47452;47453;47454;47455;47456;474570;474571;474572;474573;474574;474575;474576;474577;474578;4745790;4745791;4745792;4745793;4745794;4745795;4745796;4745797;4745798;4745799;474583;474584;474585;474586;474587;474588;474589;47459;4</v>
          </cell>
          <cell r="D23" t="str">
            <v>Norway Mobile Netcom</v>
          </cell>
          <cell r="E23" t="str">
            <v>minute</v>
          </cell>
          <cell r="F23" t="str">
            <v>RIM</v>
          </cell>
          <cell r="G23">
            <v>0.3</v>
          </cell>
          <cell r="I23">
            <v>3.8689708537529018E-2</v>
          </cell>
          <cell r="K23">
            <v>2.9550389409722221E-3</v>
          </cell>
          <cell r="Y23" t="str">
            <v/>
          </cell>
          <cell r="Z23">
            <v>4.1644747478501241E-2</v>
          </cell>
          <cell r="AC23" t="str">
            <v/>
          </cell>
          <cell r="AD23">
            <v>7.0796070713452106E-2</v>
          </cell>
          <cell r="AE23" t="str">
            <v/>
          </cell>
          <cell r="AF23">
            <v>6.8019754214885361E-2</v>
          </cell>
          <cell r="AG23" t="str">
            <v/>
          </cell>
          <cell r="AH23">
            <v>6.5243437716318603E-2</v>
          </cell>
          <cell r="AI23" t="str">
            <v/>
          </cell>
          <cell r="AJ23">
            <v>6.2467121217751859E-2</v>
          </cell>
          <cell r="AL23">
            <v>0</v>
          </cell>
          <cell r="AM23">
            <v>1.7</v>
          </cell>
          <cell r="AN23">
            <v>0.33333333333333331</v>
          </cell>
          <cell r="AO23">
            <v>0.33333333333333331</v>
          </cell>
          <cell r="AP23">
            <v>0</v>
          </cell>
          <cell r="AQ23">
            <v>1.5</v>
          </cell>
          <cell r="AS23" t="str">
            <v>Fixed Price (max retail used) @ 6.1667 CHE/min (VAT excl.) &amp; 462.96 CHE/call (VAT excl.)</v>
          </cell>
          <cell r="AU23">
            <v>1.7</v>
          </cell>
          <cell r="AV23">
            <v>1.5</v>
          </cell>
        </row>
        <row r="24">
          <cell r="A24" t="str">
            <v>DOM NOR AREA5</v>
          </cell>
          <cell r="B24" t="str">
            <v>41;46;47410;47411;47414;47415;47416;47417;47418;47419;474580;474581;474582;47460;474610;474611;474612;474613;474614;474615;47468;47469;47470;474710;474711;474712;474713;474718;474719;47474;47475;47476;474770;474771;474772;474773;474774;474775;474776;47478</v>
          </cell>
          <cell r="D24" t="str">
            <v>Norway Mobile Telenor</v>
          </cell>
          <cell r="E24" t="str">
            <v>minute</v>
          </cell>
          <cell r="F24" t="str">
            <v>RIM</v>
          </cell>
          <cell r="G24">
            <v>0.3</v>
          </cell>
          <cell r="I24">
            <v>3.8689708537529018E-2</v>
          </cell>
          <cell r="K24">
            <v>2.9550389409722221E-3</v>
          </cell>
          <cell r="Y24" t="str">
            <v/>
          </cell>
          <cell r="Z24">
            <v>4.1644747478501241E-2</v>
          </cell>
          <cell r="AC24" t="str">
            <v/>
          </cell>
          <cell r="AD24">
            <v>7.0796070713452106E-2</v>
          </cell>
          <cell r="AE24" t="str">
            <v/>
          </cell>
          <cell r="AF24">
            <v>6.8019754214885361E-2</v>
          </cell>
          <cell r="AG24" t="str">
            <v/>
          </cell>
          <cell r="AH24">
            <v>6.5243437716318603E-2</v>
          </cell>
          <cell r="AI24" t="str">
            <v/>
          </cell>
          <cell r="AJ24">
            <v>6.2467121217751859E-2</v>
          </cell>
          <cell r="AL24">
            <v>0</v>
          </cell>
          <cell r="AM24">
            <v>1.7</v>
          </cell>
          <cell r="AN24">
            <v>0.33333333333333331</v>
          </cell>
          <cell r="AO24">
            <v>0.33333333333333331</v>
          </cell>
          <cell r="AP24">
            <v>0</v>
          </cell>
          <cell r="AQ24">
            <v>1.5</v>
          </cell>
          <cell r="AS24" t="str">
            <v>Fixed Price (max retail used) @ 6.1667 CHE/min (VAT excl.) &amp; 462.96 CHE/call (VAT excl.)</v>
          </cell>
          <cell r="AU24">
            <v>1.7</v>
          </cell>
          <cell r="AV24">
            <v>1.5</v>
          </cell>
        </row>
        <row r="25">
          <cell r="A25" t="str">
            <v>DOM NOR AREA3</v>
          </cell>
          <cell r="B25" t="str">
            <v>47412;47413;47472;47473;474890;474891;4748920;4748921;4748922;4748923;4748924;4748925;4748926;4748927;4748928;4748929;47945;47946;4794700;4794701;4794702;4794703;4794704;4794705;4794706;4794707;4794708;4794709;4794710;4794711;4794712;4794713;4794714;47947</v>
          </cell>
          <cell r="D25" t="str">
            <v>Norway Mobile Other</v>
          </cell>
          <cell r="E25" t="str">
            <v>minute</v>
          </cell>
          <cell r="F25" t="str">
            <v>RIM</v>
          </cell>
          <cell r="G25">
            <v>0.8</v>
          </cell>
          <cell r="I25">
            <v>0.10317255610007739</v>
          </cell>
          <cell r="K25">
            <v>2.9550389409722221E-3</v>
          </cell>
          <cell r="Y25" t="str">
            <v/>
          </cell>
          <cell r="Z25">
            <v>0.10612759504104961</v>
          </cell>
          <cell r="AC25" t="str">
            <v/>
          </cell>
          <cell r="AD25">
            <v>0.18041691156978434</v>
          </cell>
          <cell r="AE25" t="str">
            <v/>
          </cell>
          <cell r="AF25">
            <v>0.17334173856704771</v>
          </cell>
          <cell r="AG25" t="str">
            <v/>
          </cell>
          <cell r="AH25">
            <v>0.16626656556431108</v>
          </cell>
          <cell r="AI25" t="str">
            <v/>
          </cell>
          <cell r="AJ25">
            <v>0.15919139256157441</v>
          </cell>
          <cell r="AL25">
            <v>0</v>
          </cell>
          <cell r="AM25">
            <v>1.7</v>
          </cell>
          <cell r="AN25">
            <v>0.33333333333333331</v>
          </cell>
          <cell r="AO25">
            <v>0.33333333333333331</v>
          </cell>
          <cell r="AP25">
            <v>0</v>
          </cell>
          <cell r="AQ25">
            <v>1.5</v>
          </cell>
          <cell r="AS25" t="str">
            <v>Fixed Price (max retail used) @ 6.1667 CHE/min (VAT excl.) &amp; 462.96 CHE/call (VAT excl.)</v>
          </cell>
          <cell r="AU25">
            <v>1.7</v>
          </cell>
          <cell r="AV25">
            <v>1.5</v>
          </cell>
        </row>
        <row r="26">
          <cell r="A26" t="str">
            <v>DOM ESP ZESP3</v>
          </cell>
          <cell r="B26" t="str">
            <v xml:space="preserve">81-89, 91-99 </v>
          </cell>
          <cell r="D26" t="str">
            <v>Spain National</v>
          </cell>
          <cell r="E26" t="str">
            <v>minute</v>
          </cell>
          <cell r="F26" t="str">
            <v>RIM</v>
          </cell>
          <cell r="G26" t="str">
            <v>see EUR</v>
          </cell>
          <cell r="H26" t="str">
            <v>see EUR</v>
          </cell>
          <cell r="I26">
            <v>6.4999999999999997E-3</v>
          </cell>
          <cell r="K26">
            <v>2.9550389409722221E-3</v>
          </cell>
          <cell r="Y26" t="str">
            <v/>
          </cell>
          <cell r="Z26">
            <v>9.4550389409722227E-3</v>
          </cell>
          <cell r="AC26" t="str">
            <v/>
          </cell>
          <cell r="AD26">
            <v>1.2386101012673612E-2</v>
          </cell>
          <cell r="AE26" t="str">
            <v/>
          </cell>
          <cell r="AF26">
            <v>1.1976382658564816E-2</v>
          </cell>
          <cell r="AG26" t="str">
            <v/>
          </cell>
          <cell r="AH26">
            <v>1.156666430445602E-2</v>
          </cell>
          <cell r="AI26" t="str">
            <v/>
          </cell>
          <cell r="AJ26">
            <v>1.1156945950347223E-2</v>
          </cell>
          <cell r="AL26">
            <v>0</v>
          </cell>
          <cell r="AM26">
            <v>1.31</v>
          </cell>
          <cell r="AN26">
            <v>0.33333333333333331</v>
          </cell>
          <cell r="AO26">
            <v>0.33333333333333331</v>
          </cell>
          <cell r="AP26">
            <v>0</v>
          </cell>
          <cell r="AQ26">
            <v>1.18</v>
          </cell>
          <cell r="AS26" t="str">
            <v>Fixed Price (max retail used) @ 6.1667 CHE/min (VAT excl.) &amp; 462.96 CHE/call (VAT excl.)</v>
          </cell>
          <cell r="AU26">
            <v>1.31</v>
          </cell>
          <cell r="AV26">
            <v>1.18</v>
          </cell>
        </row>
        <row r="27">
          <cell r="A27" t="str">
            <v>DOM ESP SPMAM</v>
          </cell>
          <cell r="B27" t="str">
            <v>605, 615, 625, 635, 645, 651-658, 665, 675, 685</v>
          </cell>
          <cell r="D27" t="str">
            <v>Spain Mobila Orange/Amena</v>
          </cell>
          <cell r="E27" t="str">
            <v>minute</v>
          </cell>
          <cell r="F27" t="str">
            <v>RIM</v>
          </cell>
          <cell r="G27" t="str">
            <v>see EUR</v>
          </cell>
          <cell r="H27" t="str">
            <v>see EUR</v>
          </cell>
          <cell r="I27">
            <v>0.04</v>
          </cell>
          <cell r="K27">
            <v>2.9550389409722221E-3</v>
          </cell>
          <cell r="Y27" t="str">
            <v/>
          </cell>
          <cell r="Z27">
            <v>4.2955038940972225E-2</v>
          </cell>
          <cell r="AC27" t="str">
            <v/>
          </cell>
          <cell r="AD27">
            <v>7.3023566199652779E-2</v>
          </cell>
          <cell r="AE27" t="str">
            <v/>
          </cell>
          <cell r="AF27">
            <v>7.0159896936921304E-2</v>
          </cell>
          <cell r="AG27" t="str">
            <v/>
          </cell>
          <cell r="AH27">
            <v>6.7296227674189829E-2</v>
          </cell>
          <cell r="AI27" t="str">
            <v/>
          </cell>
          <cell r="AJ27">
            <v>6.4432558411458341E-2</v>
          </cell>
          <cell r="AL27">
            <v>0</v>
          </cell>
          <cell r="AM27">
            <v>1.7</v>
          </cell>
          <cell r="AN27">
            <v>0.33333333333333331</v>
          </cell>
          <cell r="AO27">
            <v>0.33333333333333331</v>
          </cell>
          <cell r="AP27">
            <v>0</v>
          </cell>
          <cell r="AQ27">
            <v>1.5</v>
          </cell>
          <cell r="AS27" t="str">
            <v>Fixed Price (max retail used) @ 6.1667 CHE/min (VAT excl.) &amp; 462.96 CHE/call (VAT excl.)</v>
          </cell>
          <cell r="AU27">
            <v>1.7</v>
          </cell>
          <cell r="AV27">
            <v>1.5</v>
          </cell>
        </row>
        <row r="28">
          <cell r="A28" t="str">
            <v>DOM ESP SPMTE</v>
          </cell>
          <cell r="B28" t="str">
            <v>606, 608, 609, 616, 626, 628-630, 636, 639, 646, 649, 650, 659, 660, 669, 676, 679, 680, 686, 689, 690, 696, 699</v>
          </cell>
          <cell r="D28" t="str">
            <v>Spain Mobile Telefonica</v>
          </cell>
          <cell r="E28" t="str">
            <v>minute</v>
          </cell>
          <cell r="F28" t="str">
            <v>RIM</v>
          </cell>
          <cell r="G28" t="str">
            <v>see EUR</v>
          </cell>
          <cell r="H28" t="str">
            <v>see EUR</v>
          </cell>
          <cell r="I28">
            <v>0.04</v>
          </cell>
          <cell r="K28">
            <v>2.9550389409722221E-3</v>
          </cell>
          <cell r="Y28" t="str">
            <v/>
          </cell>
          <cell r="Z28">
            <v>4.2955038940972225E-2</v>
          </cell>
          <cell r="AC28" t="str">
            <v/>
          </cell>
          <cell r="AD28">
            <v>7.3023566199652779E-2</v>
          </cell>
          <cell r="AE28" t="str">
            <v/>
          </cell>
          <cell r="AF28">
            <v>7.0159896936921304E-2</v>
          </cell>
          <cell r="AG28" t="str">
            <v/>
          </cell>
          <cell r="AH28">
            <v>6.7296227674189829E-2</v>
          </cell>
          <cell r="AI28" t="str">
            <v/>
          </cell>
          <cell r="AJ28">
            <v>6.4432558411458341E-2</v>
          </cell>
          <cell r="AL28">
            <v>0</v>
          </cell>
          <cell r="AM28">
            <v>1.7</v>
          </cell>
          <cell r="AN28">
            <v>0.33333333333333331</v>
          </cell>
          <cell r="AO28">
            <v>0.33333333333333331</v>
          </cell>
          <cell r="AP28">
            <v>0</v>
          </cell>
          <cell r="AQ28">
            <v>1.5</v>
          </cell>
          <cell r="AS28" t="str">
            <v>Fixed Price (max retail used) @ 6.1667 CHE/min (VAT excl.) &amp; 462.96 CHE/call (VAT excl.)</v>
          </cell>
          <cell r="AU28">
            <v>1.7</v>
          </cell>
          <cell r="AV28">
            <v>1.5</v>
          </cell>
        </row>
        <row r="29">
          <cell r="A29" t="str">
            <v>DOM ESP SPMVO</v>
          </cell>
          <cell r="B29" t="str">
            <v>600, 607, 610, 617, 627, 637, 647, 661, 662, 666, 667, 670, 677, 678, 687, 697</v>
          </cell>
          <cell r="D29" t="str">
            <v>Spain mobile Vodafone</v>
          </cell>
          <cell r="E29" t="str">
            <v>minute</v>
          </cell>
          <cell r="F29" t="str">
            <v>RIM</v>
          </cell>
          <cell r="G29" t="str">
            <v>see EUR</v>
          </cell>
          <cell r="H29" t="str">
            <v>see EUR</v>
          </cell>
          <cell r="I29">
            <v>0.04</v>
          </cell>
          <cell r="K29">
            <v>2.9550389409722221E-3</v>
          </cell>
          <cell r="Y29" t="str">
            <v/>
          </cell>
          <cell r="Z29">
            <v>4.2955038940972225E-2</v>
          </cell>
          <cell r="AC29" t="str">
            <v/>
          </cell>
          <cell r="AD29">
            <v>7.3023566199652779E-2</v>
          </cell>
          <cell r="AE29" t="str">
            <v/>
          </cell>
          <cell r="AF29">
            <v>7.0159896936921304E-2</v>
          </cell>
          <cell r="AG29" t="str">
            <v/>
          </cell>
          <cell r="AH29">
            <v>6.7296227674189829E-2</v>
          </cell>
          <cell r="AI29" t="str">
            <v/>
          </cell>
          <cell r="AJ29">
            <v>6.4432558411458341E-2</v>
          </cell>
          <cell r="AL29">
            <v>0</v>
          </cell>
          <cell r="AM29">
            <v>1.7</v>
          </cell>
          <cell r="AN29">
            <v>0.33333333333333331</v>
          </cell>
          <cell r="AO29">
            <v>0.33333333333333331</v>
          </cell>
          <cell r="AP29">
            <v>0</v>
          </cell>
          <cell r="AQ29">
            <v>1.5</v>
          </cell>
          <cell r="AS29" t="str">
            <v>Fixed Price (max retail used) @ 6.1667 CHE/min (VAT excl.) &amp; 462.96 CHE/call (VAT excl.)</v>
          </cell>
          <cell r="AU29">
            <v>1.7</v>
          </cell>
          <cell r="AV29">
            <v>1.5</v>
          </cell>
        </row>
        <row r="30">
          <cell r="A30" t="str">
            <v>DOM ESP ZESP4</v>
          </cell>
          <cell r="B30" t="str">
            <v>601-604, 611-614, 621-624, 631-634, 638, 640-644, 648, 663, 664, 668, 671-674, 681-684, 688, 691-695, 698</v>
          </cell>
          <cell r="D30" t="str">
            <v>Spain Mobile Other</v>
          </cell>
          <cell r="E30" t="str">
            <v>minute</v>
          </cell>
          <cell r="F30" t="str">
            <v>RIM</v>
          </cell>
          <cell r="G30" t="str">
            <v>see EUR</v>
          </cell>
          <cell r="H30" t="str">
            <v>see EUR</v>
          </cell>
          <cell r="I30">
            <v>4.9700000000000001E-2</v>
          </cell>
          <cell r="K30">
            <v>2.9550389409722221E-3</v>
          </cell>
          <cell r="Y30" t="str">
            <v/>
          </cell>
          <cell r="Z30">
            <v>5.2655038940972225E-2</v>
          </cell>
          <cell r="AC30" t="str">
            <v/>
          </cell>
          <cell r="AD30">
            <v>8.9513566199652783E-2</v>
          </cell>
          <cell r="AE30" t="str">
            <v/>
          </cell>
          <cell r="AF30">
            <v>8.6003230270254638E-2</v>
          </cell>
          <cell r="AG30" t="str">
            <v/>
          </cell>
          <cell r="AH30">
            <v>8.2492894340856493E-2</v>
          </cell>
          <cell r="AI30" t="str">
            <v/>
          </cell>
          <cell r="AJ30">
            <v>7.8982558411458334E-2</v>
          </cell>
          <cell r="AL30">
            <v>0</v>
          </cell>
          <cell r="AM30">
            <v>1.7</v>
          </cell>
          <cell r="AN30">
            <v>0.33333333333333331</v>
          </cell>
          <cell r="AO30">
            <v>0.33333333333333331</v>
          </cell>
          <cell r="AP30">
            <v>0</v>
          </cell>
          <cell r="AQ30">
            <v>1.5</v>
          </cell>
          <cell r="AS30" t="str">
            <v>Fixed Price (max retail used) @ 6.1667 CHE/min (VAT excl.) &amp; 462.96 CHE/call (VAT excl.)</v>
          </cell>
          <cell r="AU30">
            <v>1.7</v>
          </cell>
          <cell r="AV30">
            <v>1.5</v>
          </cell>
        </row>
      </sheetData>
      <sheetData sheetId="4">
        <row r="1">
          <cell r="N1">
            <v>1</v>
          </cell>
          <cell r="O1">
            <v>2</v>
          </cell>
          <cell r="P1">
            <v>3</v>
          </cell>
          <cell r="Q1">
            <v>4</v>
          </cell>
          <cell r="R1">
            <v>5</v>
          </cell>
          <cell r="S1">
            <v>6</v>
          </cell>
          <cell r="T1">
            <v>7</v>
          </cell>
          <cell r="U1">
            <v>8</v>
          </cell>
          <cell r="V1">
            <v>9</v>
          </cell>
          <cell r="W1">
            <v>10</v>
          </cell>
          <cell r="X1">
            <v>11</v>
          </cell>
          <cell r="Y1">
            <v>12</v>
          </cell>
          <cell r="Z1">
            <v>13</v>
          </cell>
          <cell r="AA1">
            <v>14</v>
          </cell>
          <cell r="AB1">
            <v>15</v>
          </cell>
          <cell r="AC1">
            <v>16</v>
          </cell>
          <cell r="AD1">
            <v>17</v>
          </cell>
          <cell r="AE1">
            <v>18</v>
          </cell>
          <cell r="AF1">
            <v>19</v>
          </cell>
          <cell r="AG1">
            <v>20</v>
          </cell>
          <cell r="AH1">
            <v>21</v>
          </cell>
          <cell r="AI1">
            <v>22</v>
          </cell>
          <cell r="AJ1">
            <v>23</v>
          </cell>
          <cell r="AK1">
            <v>24</v>
          </cell>
          <cell r="AL1">
            <v>25</v>
          </cell>
        </row>
        <row r="2">
          <cell r="Q2" t="str">
            <v>PRICES</v>
          </cell>
        </row>
        <row r="3">
          <cell r="N3" t="str">
            <v>Unique ID</v>
          </cell>
          <cell r="O3" t="str">
            <v>Price Type</v>
          </cell>
          <cell r="P3" t="str">
            <v>LP</v>
          </cell>
          <cell r="R3" t="str">
            <v>SD</v>
          </cell>
          <cell r="T3" t="str">
            <v>CM</v>
          </cell>
          <cell r="V3" t="str">
            <v>RM</v>
          </cell>
          <cell r="X3" t="str">
            <v>CURRENT COST</v>
          </cell>
          <cell r="Z3" t="str">
            <v>UPDATED COST</v>
          </cell>
          <cell r="AC3" t="str">
            <v>New Prices</v>
          </cell>
          <cell r="AD3" t="str">
            <v>List</v>
          </cell>
          <cell r="AF3" t="str">
            <v>Sales Disc.</v>
          </cell>
          <cell r="AH3" t="str">
            <v>Country Man.</v>
          </cell>
          <cell r="AJ3" t="str">
            <v>Regional Man.</v>
          </cell>
        </row>
        <row r="4">
          <cell r="P4" t="str">
            <v>set up</v>
          </cell>
          <cell r="Q4" t="str">
            <v>per minute</v>
          </cell>
          <cell r="R4" t="str">
            <v>set up</v>
          </cell>
          <cell r="S4" t="str">
            <v>per minute</v>
          </cell>
          <cell r="T4" t="str">
            <v>set up</v>
          </cell>
          <cell r="U4" t="str">
            <v>per minute</v>
          </cell>
          <cell r="V4" t="str">
            <v>set up</v>
          </cell>
          <cell r="W4" t="str">
            <v>per minute</v>
          </cell>
          <cell r="X4" t="str">
            <v>set up</v>
          </cell>
          <cell r="Y4" t="str">
            <v>per minute</v>
          </cell>
          <cell r="Z4" t="str">
            <v>set up</v>
          </cell>
          <cell r="AA4" t="str">
            <v>per minute</v>
          </cell>
          <cell r="AC4" t="str">
            <v>&gt;&gt;&gt;&gt;&gt;&gt;&gt;&gt;&gt;&gt;</v>
          </cell>
          <cell r="AD4" t="str">
            <v>set up</v>
          </cell>
          <cell r="AE4" t="str">
            <v>per minute</v>
          </cell>
          <cell r="AF4" t="str">
            <v>set up</v>
          </cell>
          <cell r="AG4" t="str">
            <v>per minute</v>
          </cell>
          <cell r="AH4" t="str">
            <v>set up</v>
          </cell>
          <cell r="AI4" t="str">
            <v>per minute</v>
          </cell>
          <cell r="AJ4" t="str">
            <v>set up</v>
          </cell>
          <cell r="AK4" t="str">
            <v>per minute</v>
          </cell>
          <cell r="AL4" t="str">
            <v>New Name</v>
          </cell>
        </row>
        <row r="5">
          <cell r="N5" t="str">
            <v>DOM BEL BXL</v>
          </cell>
          <cell r="O5" t="str">
            <v>minute</v>
          </cell>
          <cell r="P5" t="str">
            <v>-</v>
          </cell>
          <cell r="Q5">
            <v>1.24E-2</v>
          </cell>
          <cell r="R5" t="str">
            <v>-</v>
          </cell>
          <cell r="S5">
            <v>1.2E-2</v>
          </cell>
          <cell r="T5" t="str">
            <v>-</v>
          </cell>
          <cell r="U5">
            <v>1.15E-2</v>
          </cell>
          <cell r="V5" t="str">
            <v>-</v>
          </cell>
          <cell r="W5">
            <v>1.12E-2</v>
          </cell>
          <cell r="X5" t="str">
            <v>-</v>
          </cell>
          <cell r="Y5">
            <v>1.0500000000000001E-2</v>
          </cell>
          <cell r="Z5" t="str">
            <v/>
          </cell>
          <cell r="AA5">
            <v>1.2155038940972222E-2</v>
          </cell>
          <cell r="AE5">
            <v>1.4586046729166666E-2</v>
          </cell>
          <cell r="AG5">
            <v>1.438346274681713E-2</v>
          </cell>
          <cell r="AI5">
            <v>1.4180878764467593E-2</v>
          </cell>
          <cell r="AK5">
            <v>1.3978294782118055E-2</v>
          </cell>
          <cell r="AL5" t="str">
            <v>Belgium National</v>
          </cell>
        </row>
        <row r="6">
          <cell r="N6" t="str">
            <v>DOM BEL DTFN</v>
          </cell>
          <cell r="O6" t="str">
            <v>minute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/>
          </cell>
          <cell r="AA6">
            <v>2.9550389409722221E-3</v>
          </cell>
          <cell r="AE6">
            <v>0</v>
          </cell>
          <cell r="AG6">
            <v>0</v>
          </cell>
          <cell r="AI6">
            <v>0</v>
          </cell>
          <cell r="AK6">
            <v>0</v>
          </cell>
          <cell r="AL6" t="str">
            <v>Belgium Toll Free</v>
          </cell>
        </row>
        <row r="7">
          <cell r="N7" t="str">
            <v>DOM BEL MOMB</v>
          </cell>
          <cell r="O7" t="str">
            <v>minute</v>
          </cell>
          <cell r="P7" t="str">
            <v>-</v>
          </cell>
          <cell r="Q7">
            <v>0.1237</v>
          </cell>
          <cell r="R7" t="str">
            <v>-</v>
          </cell>
          <cell r="S7">
            <v>0.12</v>
          </cell>
          <cell r="T7" t="str">
            <v>-</v>
          </cell>
          <cell r="U7">
            <v>0.115</v>
          </cell>
          <cell r="V7" t="str">
            <v>-</v>
          </cell>
          <cell r="W7">
            <v>0.1113</v>
          </cell>
          <cell r="X7" t="str">
            <v>-</v>
          </cell>
          <cell r="Y7">
            <v>9.4600000000000004E-2</v>
          </cell>
          <cell r="Z7" t="str">
            <v/>
          </cell>
          <cell r="AA7">
            <v>5.2005038940972227E-2</v>
          </cell>
          <cell r="AE7">
            <v>8.8408566199652788E-2</v>
          </cell>
          <cell r="AG7">
            <v>8.4941563603587983E-2</v>
          </cell>
          <cell r="AI7">
            <v>8.1474561007523164E-2</v>
          </cell>
          <cell r="AK7">
            <v>7.8007558411458344E-2</v>
          </cell>
          <cell r="AL7" t="str">
            <v>Belgium Mobile Mobistar</v>
          </cell>
        </row>
        <row r="8">
          <cell r="N8" t="str">
            <v>DOM BEL MOBS</v>
          </cell>
          <cell r="O8" t="str">
            <v>minute</v>
          </cell>
          <cell r="P8" t="str">
            <v>-</v>
          </cell>
          <cell r="Q8">
            <v>0.1249</v>
          </cell>
          <cell r="R8" t="str">
            <v>-</v>
          </cell>
          <cell r="S8">
            <v>0.1249</v>
          </cell>
          <cell r="T8" t="str">
            <v>-</v>
          </cell>
          <cell r="U8">
            <v>0.1249</v>
          </cell>
          <cell r="V8" t="str">
            <v>-</v>
          </cell>
          <cell r="W8">
            <v>0.1249</v>
          </cell>
          <cell r="X8" t="str">
            <v>-</v>
          </cell>
          <cell r="Y8">
            <v>0.1182</v>
          </cell>
          <cell r="Z8" t="str">
            <v/>
          </cell>
          <cell r="AA8">
            <v>5.8105038940972221E-2</v>
          </cell>
          <cell r="AE8">
            <v>9.8778566199652779E-2</v>
          </cell>
          <cell r="AG8">
            <v>9.4904896936921307E-2</v>
          </cell>
          <cell r="AI8">
            <v>9.1031227674189821E-2</v>
          </cell>
          <cell r="AK8">
            <v>8.7157558411458336E-2</v>
          </cell>
          <cell r="AL8" t="str">
            <v>Belgium Mobile Base</v>
          </cell>
        </row>
        <row r="9">
          <cell r="N9" t="str">
            <v>DOM BEL MOPX</v>
          </cell>
          <cell r="O9" t="str">
            <v>minute</v>
          </cell>
          <cell r="P9" t="str">
            <v>-</v>
          </cell>
          <cell r="Q9">
            <v>0.1031</v>
          </cell>
          <cell r="R9" t="str">
            <v>-</v>
          </cell>
          <cell r="S9">
            <v>0.1</v>
          </cell>
          <cell r="T9" t="str">
            <v>-</v>
          </cell>
          <cell r="U9">
            <v>9.5899999999999999E-2</v>
          </cell>
          <cell r="V9" t="str">
            <v>-</v>
          </cell>
          <cell r="W9">
            <v>9.2799999999999994E-2</v>
          </cell>
          <cell r="X9" t="str">
            <v>-</v>
          </cell>
          <cell r="Y9">
            <v>7.5200000000000003E-2</v>
          </cell>
          <cell r="Z9" t="str">
            <v/>
          </cell>
          <cell r="AA9">
            <v>4.8505038940972224E-2</v>
          </cell>
          <cell r="AE9">
            <v>8.2458566199652777E-2</v>
          </cell>
          <cell r="AG9">
            <v>7.9224896936921307E-2</v>
          </cell>
          <cell r="AI9">
            <v>7.5991227674189823E-2</v>
          </cell>
          <cell r="AK9">
            <v>7.275755841145834E-2</v>
          </cell>
          <cell r="AL9" t="str">
            <v>Belgium Mobile Proximus</v>
          </cell>
        </row>
        <row r="10">
          <cell r="N10" t="str">
            <v>DOM BEL MOBO</v>
          </cell>
          <cell r="O10" t="str">
            <v>minute</v>
          </cell>
          <cell r="P10" t="str">
            <v>-</v>
          </cell>
          <cell r="Q10">
            <v>0.1237</v>
          </cell>
          <cell r="R10" t="str">
            <v>-</v>
          </cell>
          <cell r="S10">
            <v>0.12</v>
          </cell>
          <cell r="T10" t="str">
            <v>-</v>
          </cell>
          <cell r="U10">
            <v>0.115</v>
          </cell>
          <cell r="V10" t="str">
            <v>-</v>
          </cell>
          <cell r="W10">
            <v>0.1113</v>
          </cell>
          <cell r="X10" t="str">
            <v>-</v>
          </cell>
          <cell r="Y10">
            <v>9.4600000000000004E-2</v>
          </cell>
          <cell r="Z10" t="str">
            <v/>
          </cell>
          <cell r="AA10">
            <v>5.2005038940972227E-2</v>
          </cell>
          <cell r="AE10">
            <v>8.8408566199652788E-2</v>
          </cell>
          <cell r="AG10">
            <v>8.4941563603587983E-2</v>
          </cell>
          <cell r="AI10">
            <v>8.1474561007523164E-2</v>
          </cell>
          <cell r="AK10">
            <v>7.8007558411458344E-2</v>
          </cell>
          <cell r="AL10" t="str">
            <v>Belgium Mobile Other</v>
          </cell>
        </row>
        <row r="11">
          <cell r="N11" t="str">
            <v>DOM BEL EAS1</v>
          </cell>
          <cell r="O11" t="str">
            <v>minute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-</v>
          </cell>
          <cell r="Z11" t="str">
            <v/>
          </cell>
          <cell r="AA11">
            <v>1.2155038940972222E-2</v>
          </cell>
          <cell r="AD11" t="str">
            <v>-</v>
          </cell>
          <cell r="AE11">
            <v>0</v>
          </cell>
          <cell r="AF11" t="str">
            <v>-</v>
          </cell>
          <cell r="AG11">
            <v>0</v>
          </cell>
          <cell r="AH11" t="str">
            <v>-</v>
          </cell>
          <cell r="AI11">
            <v>0</v>
          </cell>
          <cell r="AJ11" t="str">
            <v>-</v>
          </cell>
          <cell r="AK11">
            <v>0</v>
          </cell>
          <cell r="AL11" t="str">
            <v>Belgium Emergency</v>
          </cell>
        </row>
        <row r="12">
          <cell r="N12" t="str">
            <v>DOM BEL EAS2</v>
          </cell>
          <cell r="O12" t="str">
            <v>call</v>
          </cell>
          <cell r="P12">
            <v>7.6E-3</v>
          </cell>
          <cell r="Q12">
            <v>1.5800000000000002E-2</v>
          </cell>
          <cell r="R12">
            <v>7.6E-3</v>
          </cell>
          <cell r="S12">
            <v>1.5800000000000002E-2</v>
          </cell>
          <cell r="T12">
            <v>7.6E-3</v>
          </cell>
          <cell r="U12">
            <v>1.5800000000000002E-2</v>
          </cell>
          <cell r="V12">
            <v>7.6E-3</v>
          </cell>
          <cell r="W12">
            <v>1.5800000000000002E-2</v>
          </cell>
          <cell r="X12">
            <v>5.6800000000000002E-3</v>
          </cell>
          <cell r="Y12">
            <v>1.1900000000000001E-2</v>
          </cell>
          <cell r="Z12">
            <v>1.9662636293402778E-2</v>
          </cell>
          <cell r="AA12" t="str">
            <v/>
          </cell>
          <cell r="AD12">
            <v>2.5561427181423613E-2</v>
          </cell>
          <cell r="AF12">
            <v>2.5561427181423617E-2</v>
          </cell>
          <cell r="AH12">
            <v>2.5561427181423617E-2</v>
          </cell>
          <cell r="AJ12">
            <v>2.5561427181423613E-2</v>
          </cell>
          <cell r="AL12" t="str">
            <v>Belgium Emergency Red Cross</v>
          </cell>
        </row>
        <row r="13">
          <cell r="N13" t="str">
            <v>DOM BEL EAS3</v>
          </cell>
          <cell r="O13" t="str">
            <v>call</v>
          </cell>
          <cell r="P13">
            <v>7.6E-3</v>
          </cell>
          <cell r="Q13">
            <v>1.5800000000000002E-2</v>
          </cell>
          <cell r="R13">
            <v>7.6E-3</v>
          </cell>
          <cell r="S13">
            <v>1.5800000000000002E-2</v>
          </cell>
          <cell r="T13">
            <v>7.6E-3</v>
          </cell>
          <cell r="U13">
            <v>1.5800000000000002E-2</v>
          </cell>
          <cell r="V13">
            <v>7.6E-3</v>
          </cell>
          <cell r="W13">
            <v>1.5800000000000002E-2</v>
          </cell>
          <cell r="X13">
            <v>5.6800000000000002E-3</v>
          </cell>
          <cell r="Y13">
            <v>1.1900000000000001E-2</v>
          </cell>
          <cell r="Z13">
            <v>1.9662636293402778E-2</v>
          </cell>
          <cell r="AA13" t="str">
            <v/>
          </cell>
          <cell r="AD13">
            <v>2.5561427181423613E-2</v>
          </cell>
          <cell r="AF13">
            <v>2.5561427181423617E-2</v>
          </cell>
          <cell r="AH13">
            <v>2.5561427181423617E-2</v>
          </cell>
          <cell r="AJ13">
            <v>2.5561427181423613E-2</v>
          </cell>
          <cell r="AL13" t="str">
            <v xml:space="preserve">Belgium Children Helpline </v>
          </cell>
        </row>
        <row r="14">
          <cell r="N14" t="str">
            <v>DOM BEL EAS4</v>
          </cell>
          <cell r="O14" t="str">
            <v>call</v>
          </cell>
          <cell r="P14">
            <v>7.6E-3</v>
          </cell>
          <cell r="Q14">
            <v>1.5800000000000002E-2</v>
          </cell>
          <cell r="R14">
            <v>7.6E-3</v>
          </cell>
          <cell r="S14">
            <v>1.5800000000000002E-2</v>
          </cell>
          <cell r="T14">
            <v>7.6E-3</v>
          </cell>
          <cell r="U14">
            <v>1.5800000000000002E-2</v>
          </cell>
          <cell r="V14">
            <v>7.6E-3</v>
          </cell>
          <cell r="W14">
            <v>1.5800000000000002E-2</v>
          </cell>
          <cell r="X14">
            <v>5.6800000000000002E-3</v>
          </cell>
          <cell r="Y14">
            <v>1.1900000000000001E-2</v>
          </cell>
          <cell r="Z14">
            <v>1.9662636293402778E-2</v>
          </cell>
          <cell r="AA14" t="str">
            <v/>
          </cell>
          <cell r="AD14">
            <v>2.5561427181423613E-2</v>
          </cell>
          <cell r="AF14">
            <v>2.5561427181423617E-2</v>
          </cell>
          <cell r="AH14">
            <v>2.5561427181423617E-2</v>
          </cell>
          <cell r="AJ14">
            <v>2.5561427181423613E-2</v>
          </cell>
          <cell r="AL14" t="str">
            <v>Belgium Crisis Line</v>
          </cell>
        </row>
        <row r="15">
          <cell r="N15" t="str">
            <v>DOM BEL EDD</v>
          </cell>
          <cell r="O15" t="str">
            <v>minute &amp; call</v>
          </cell>
          <cell r="P15">
            <v>2.5</v>
          </cell>
          <cell r="Q15">
            <v>0.26</v>
          </cell>
          <cell r="R15">
            <v>2.5</v>
          </cell>
          <cell r="S15">
            <v>0.26</v>
          </cell>
          <cell r="T15">
            <v>2.5</v>
          </cell>
          <cell r="U15">
            <v>0.26</v>
          </cell>
          <cell r="V15">
            <v>2.5</v>
          </cell>
          <cell r="W15">
            <v>0.26</v>
          </cell>
          <cell r="X15" t="str">
            <v>-</v>
          </cell>
          <cell r="Y15">
            <v>6.2129999999999998E-2</v>
          </cell>
          <cell r="Z15">
            <v>1.8913213181467015</v>
          </cell>
          <cell r="AA15">
            <v>0.20049751947048611</v>
          </cell>
          <cell r="AD15">
            <v>2.4587177135907119</v>
          </cell>
          <cell r="AE15">
            <v>0.26064677531163194</v>
          </cell>
          <cell r="AF15">
            <v>2.4587177135907119</v>
          </cell>
          <cell r="AG15">
            <v>0.26064677531163194</v>
          </cell>
          <cell r="AH15">
            <v>2.4587177135907119</v>
          </cell>
          <cell r="AI15">
            <v>0.26064677531163194</v>
          </cell>
          <cell r="AJ15">
            <v>2.4587177135907119</v>
          </cell>
          <cell r="AK15">
            <v>0.26064677531163194</v>
          </cell>
          <cell r="AL15" t="str">
            <v>Belgium Directory Dutch</v>
          </cell>
        </row>
        <row r="16">
          <cell r="N16" t="str">
            <v>DOM BEL EDE</v>
          </cell>
          <cell r="O16" t="str">
            <v>minute &amp; call</v>
          </cell>
          <cell r="P16">
            <v>2.5</v>
          </cell>
          <cell r="Q16">
            <v>0.26</v>
          </cell>
          <cell r="R16">
            <v>2.5</v>
          </cell>
          <cell r="S16">
            <v>0.26</v>
          </cell>
          <cell r="T16">
            <v>2.5</v>
          </cell>
          <cell r="U16">
            <v>0.26</v>
          </cell>
          <cell r="V16">
            <v>2.5</v>
          </cell>
          <cell r="W16">
            <v>0.26</v>
          </cell>
          <cell r="X16" t="str">
            <v>-</v>
          </cell>
          <cell r="Y16">
            <v>6.2129999999999998E-2</v>
          </cell>
          <cell r="Z16">
            <v>1.8913213181467015</v>
          </cell>
          <cell r="AA16">
            <v>0.20049751947048611</v>
          </cell>
          <cell r="AD16">
            <v>2.4587177135907119</v>
          </cell>
          <cell r="AE16">
            <v>0.26064677531163194</v>
          </cell>
          <cell r="AF16">
            <v>2.4587177135907119</v>
          </cell>
          <cell r="AG16">
            <v>0.26064677531163194</v>
          </cell>
          <cell r="AH16">
            <v>2.4587177135907119</v>
          </cell>
          <cell r="AI16">
            <v>0.26064677531163194</v>
          </cell>
          <cell r="AJ16">
            <v>2.4587177135907119</v>
          </cell>
          <cell r="AK16">
            <v>0.26064677531163194</v>
          </cell>
          <cell r="AL16" t="str">
            <v>Belgium Directory English</v>
          </cell>
        </row>
        <row r="17">
          <cell r="N17" t="str">
            <v>DOM BEL EDF</v>
          </cell>
          <cell r="O17" t="str">
            <v>minute &amp; call</v>
          </cell>
          <cell r="P17">
            <v>2.5</v>
          </cell>
          <cell r="Q17">
            <v>0.26</v>
          </cell>
          <cell r="R17">
            <v>2.5</v>
          </cell>
          <cell r="S17">
            <v>0.26</v>
          </cell>
          <cell r="T17">
            <v>2.5</v>
          </cell>
          <cell r="U17">
            <v>0.26</v>
          </cell>
          <cell r="V17">
            <v>2.5</v>
          </cell>
          <cell r="W17">
            <v>0.26</v>
          </cell>
          <cell r="X17" t="str">
            <v>-</v>
          </cell>
          <cell r="Y17">
            <v>6.2129999999999998E-2</v>
          </cell>
          <cell r="Z17">
            <v>1.8913213181467015</v>
          </cell>
          <cell r="AA17">
            <v>0.20049751947048611</v>
          </cell>
          <cell r="AD17">
            <v>2.4587177135907119</v>
          </cell>
          <cell r="AE17">
            <v>0.26064677531163194</v>
          </cell>
          <cell r="AF17">
            <v>2.4587177135907119</v>
          </cell>
          <cell r="AG17">
            <v>0.26064677531163194</v>
          </cell>
          <cell r="AH17">
            <v>2.4587177135907119</v>
          </cell>
          <cell r="AI17">
            <v>0.26064677531163194</v>
          </cell>
          <cell r="AJ17">
            <v>2.4587177135907119</v>
          </cell>
          <cell r="AK17">
            <v>0.26064677531163194</v>
          </cell>
          <cell r="AL17" t="str">
            <v>Belgium Directory French</v>
          </cell>
        </row>
        <row r="18">
          <cell r="N18" t="str">
            <v>DOM BEL EDO</v>
          </cell>
          <cell r="O18" t="str">
            <v>minute &amp; call</v>
          </cell>
          <cell r="P18" t="str">
            <v>-</v>
          </cell>
          <cell r="Q18">
            <v>8.2799999999999999E-2</v>
          </cell>
          <cell r="R18" t="str">
            <v>-</v>
          </cell>
          <cell r="S18">
            <v>8.2799999999999999E-2</v>
          </cell>
          <cell r="T18" t="str">
            <v>-</v>
          </cell>
          <cell r="U18">
            <v>8.2799999999999999E-2</v>
          </cell>
          <cell r="V18" t="str">
            <v>-</v>
          </cell>
          <cell r="W18">
            <v>8.2799999999999999E-2</v>
          </cell>
          <cell r="X18" t="str">
            <v>-</v>
          </cell>
          <cell r="Y18">
            <v>6.2129999999999998E-2</v>
          </cell>
          <cell r="Z18">
            <v>1.8913213181467015</v>
          </cell>
          <cell r="AA18">
            <v>0.20049751947048611</v>
          </cell>
          <cell r="AD18">
            <v>2.4587177135907119</v>
          </cell>
          <cell r="AE18">
            <v>0.26064677531163194</v>
          </cell>
          <cell r="AF18">
            <v>2.4587177135907119</v>
          </cell>
          <cell r="AG18">
            <v>0.26064677531163194</v>
          </cell>
          <cell r="AH18">
            <v>2.4587177135907119</v>
          </cell>
          <cell r="AI18">
            <v>0.26064677531163194</v>
          </cell>
          <cell r="AJ18">
            <v>2.4587177135907119</v>
          </cell>
          <cell r="AK18">
            <v>0.26064677531163194</v>
          </cell>
          <cell r="AL18" t="str">
            <v>Belgium Directory Other</v>
          </cell>
        </row>
        <row r="19">
          <cell r="N19" t="str">
            <v>DOM BEL BGHLP</v>
          </cell>
          <cell r="O19" t="str">
            <v>minute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1.4761318146701388E-2</v>
          </cell>
          <cell r="Y19">
            <v>1.106751947048611E-2</v>
          </cell>
          <cell r="Z19" t="str">
            <v/>
          </cell>
          <cell r="AA19">
            <v>1.2545038940972222E-2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 t="str">
            <v>Belgium Eu Helpline Services</v>
          </cell>
        </row>
        <row r="20">
          <cell r="N20" t="str">
            <v>DOM BEL BGASH</v>
          </cell>
          <cell r="O20" t="str">
            <v>minute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1.4761318146701388E-2</v>
          </cell>
          <cell r="Y20">
            <v>1.106751947048611E-2</v>
          </cell>
          <cell r="Z20" t="str">
            <v/>
          </cell>
          <cell r="AA20">
            <v>1.2545038940972222E-2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 t="str">
            <v>Belgium Astrid Helpline Services</v>
          </cell>
        </row>
        <row r="21">
          <cell r="N21" t="str">
            <v>DOM BEL PRM1</v>
          </cell>
          <cell r="O21" t="str">
            <v>minute</v>
          </cell>
          <cell r="P21" t="str">
            <v>-</v>
          </cell>
          <cell r="Q21">
            <v>0.5</v>
          </cell>
          <cell r="R21" t="str">
            <v>-</v>
          </cell>
          <cell r="S21">
            <v>0.5</v>
          </cell>
          <cell r="T21" t="str">
            <v>-</v>
          </cell>
          <cell r="U21">
            <v>0.5</v>
          </cell>
          <cell r="V21" t="str">
            <v>-</v>
          </cell>
          <cell r="W21">
            <v>0.5</v>
          </cell>
          <cell r="X21" t="str">
            <v>-</v>
          </cell>
          <cell r="Y21">
            <v>0.35820000000000002</v>
          </cell>
          <cell r="Z21" t="str">
            <v/>
          </cell>
          <cell r="AA21">
            <v>0.38060817943683994</v>
          </cell>
          <cell r="AE21">
            <v>0.41806020066889632</v>
          </cell>
          <cell r="AG21">
            <v>0.41806020066889638</v>
          </cell>
          <cell r="AI21">
            <v>0.41806020066889638</v>
          </cell>
          <cell r="AK21">
            <v>0.41806020066889632</v>
          </cell>
          <cell r="AL21" t="str">
            <v>Belgium Premium Rate 1</v>
          </cell>
        </row>
        <row r="22">
          <cell r="N22" t="str">
            <v>DOM BEL PRM2</v>
          </cell>
          <cell r="O22" t="str">
            <v>call</v>
          </cell>
          <cell r="P22">
            <v>0.5</v>
          </cell>
          <cell r="Q22" t="str">
            <v>-</v>
          </cell>
          <cell r="R22">
            <v>0.5</v>
          </cell>
          <cell r="S22" t="str">
            <v>-</v>
          </cell>
          <cell r="T22">
            <v>0.5</v>
          </cell>
          <cell r="U22" t="str">
            <v>-</v>
          </cell>
          <cell r="V22">
            <v>0.5</v>
          </cell>
          <cell r="W22" t="str">
            <v>-</v>
          </cell>
          <cell r="X22">
            <v>0.36</v>
          </cell>
          <cell r="Y22" t="str">
            <v>-</v>
          </cell>
          <cell r="Z22">
            <v>0.75482891728513835</v>
          </cell>
          <cell r="AA22" t="str">
            <v/>
          </cell>
          <cell r="AD22">
            <v>0.41806020066889638</v>
          </cell>
          <cell r="AF22">
            <v>0.41806020066889638</v>
          </cell>
          <cell r="AH22">
            <v>0.41806020066889638</v>
          </cell>
          <cell r="AJ22">
            <v>0.41806020066889638</v>
          </cell>
          <cell r="AL22" t="str">
            <v>Belgium Premium Rate 2</v>
          </cell>
        </row>
        <row r="23">
          <cell r="N23" t="str">
            <v>DOM BEL PRM3</v>
          </cell>
          <cell r="O23" t="str">
            <v>minute</v>
          </cell>
          <cell r="P23" t="str">
            <v>-</v>
          </cell>
          <cell r="Q23">
            <v>1</v>
          </cell>
          <cell r="R23" t="str">
            <v>-</v>
          </cell>
          <cell r="S23">
            <v>1</v>
          </cell>
          <cell r="T23" t="str">
            <v>-</v>
          </cell>
          <cell r="U23">
            <v>1</v>
          </cell>
          <cell r="V23" t="str">
            <v>-</v>
          </cell>
          <cell r="W23">
            <v>1</v>
          </cell>
          <cell r="X23" t="str">
            <v>-</v>
          </cell>
          <cell r="Y23">
            <v>0.75470000000000004</v>
          </cell>
          <cell r="Z23" t="str">
            <v/>
          </cell>
          <cell r="AA23">
            <v>0.75251131993270781</v>
          </cell>
          <cell r="AE23">
            <v>0.83612040133779264</v>
          </cell>
          <cell r="AG23">
            <v>0.83612040133779275</v>
          </cell>
          <cell r="AI23">
            <v>0.83612040133779275</v>
          </cell>
          <cell r="AK23">
            <v>0.83612040133779264</v>
          </cell>
          <cell r="AL23" t="str">
            <v>Belgium Premium Rate 3</v>
          </cell>
        </row>
        <row r="24">
          <cell r="N24" t="str">
            <v>DOM BEL PRM4</v>
          </cell>
          <cell r="O24" t="str">
            <v>minute</v>
          </cell>
          <cell r="P24" t="str">
            <v>-</v>
          </cell>
          <cell r="Q24">
            <v>1.5</v>
          </cell>
          <cell r="R24" t="str">
            <v>-</v>
          </cell>
          <cell r="S24">
            <v>1.5</v>
          </cell>
          <cell r="T24" t="str">
            <v>-</v>
          </cell>
          <cell r="U24">
            <v>1.5</v>
          </cell>
          <cell r="V24" t="str">
            <v>-</v>
          </cell>
          <cell r="W24">
            <v>1.5</v>
          </cell>
          <cell r="X24" t="str">
            <v>-</v>
          </cell>
          <cell r="Y24">
            <v>1.145</v>
          </cell>
          <cell r="Z24" t="str">
            <v/>
          </cell>
          <cell r="AA24">
            <v>1.1244044604285757</v>
          </cell>
          <cell r="AE24">
            <v>1.254180602006689</v>
          </cell>
          <cell r="AG24">
            <v>1.254180602006689</v>
          </cell>
          <cell r="AI24">
            <v>1.254180602006689</v>
          </cell>
          <cell r="AK24">
            <v>1.254180602006689</v>
          </cell>
          <cell r="AL24" t="str">
            <v>Belgium Premium Rate 4</v>
          </cell>
        </row>
        <row r="25">
          <cell r="N25" t="str">
            <v>DOM BEL PRM5</v>
          </cell>
          <cell r="O25" t="str">
            <v>minute</v>
          </cell>
          <cell r="P25" t="str">
            <v>-</v>
          </cell>
          <cell r="Q25">
            <v>2</v>
          </cell>
          <cell r="R25" t="str">
            <v>-</v>
          </cell>
          <cell r="S25">
            <v>2</v>
          </cell>
          <cell r="T25" t="str">
            <v>-</v>
          </cell>
          <cell r="U25">
            <v>2</v>
          </cell>
          <cell r="V25" t="str">
            <v>-</v>
          </cell>
          <cell r="W25">
            <v>2</v>
          </cell>
          <cell r="X25" t="str">
            <v>-</v>
          </cell>
          <cell r="Y25">
            <v>1.5354000000000001</v>
          </cell>
          <cell r="Z25" t="str">
            <v/>
          </cell>
          <cell r="AA25">
            <v>1.4963076009244434</v>
          </cell>
          <cell r="AE25">
            <v>1.6722408026755853</v>
          </cell>
          <cell r="AG25">
            <v>1.6722408026755855</v>
          </cell>
          <cell r="AI25">
            <v>1.6722408026755855</v>
          </cell>
          <cell r="AK25">
            <v>1.6722408026755853</v>
          </cell>
          <cell r="AL25" t="str">
            <v>Belgium Premium Rate 5</v>
          </cell>
        </row>
        <row r="26">
          <cell r="N26" t="str">
            <v>DOM BEL PRM6</v>
          </cell>
          <cell r="O26" t="str">
            <v>call</v>
          </cell>
          <cell r="P26">
            <v>2</v>
          </cell>
          <cell r="Q26" t="str">
            <v>-</v>
          </cell>
          <cell r="R26">
            <v>2</v>
          </cell>
          <cell r="S26" t="str">
            <v>-</v>
          </cell>
          <cell r="T26">
            <v>2</v>
          </cell>
          <cell r="U26" t="str">
            <v>-</v>
          </cell>
          <cell r="V26">
            <v>2</v>
          </cell>
          <cell r="W26" t="str">
            <v>-</v>
          </cell>
          <cell r="X26">
            <v>1.54403</v>
          </cell>
          <cell r="Y26" t="str">
            <v>-</v>
          </cell>
          <cell r="Z26">
            <v>1.5812751982768738</v>
          </cell>
          <cell r="AA26" t="str">
            <v/>
          </cell>
          <cell r="AD26">
            <v>1.6722408026755851</v>
          </cell>
          <cell r="AF26">
            <v>1.6722408026755851</v>
          </cell>
          <cell r="AH26">
            <v>1.6722408026755851</v>
          </cell>
          <cell r="AJ26">
            <v>1.6722408026755851</v>
          </cell>
          <cell r="AL26" t="str">
            <v>Belgium Premium Rate 6</v>
          </cell>
        </row>
        <row r="27">
          <cell r="N27" t="str">
            <v>DOM BEL PRM7</v>
          </cell>
          <cell r="O27" t="str">
            <v>minute</v>
          </cell>
          <cell r="P27" t="str">
            <v>-</v>
          </cell>
          <cell r="Q27">
            <v>1</v>
          </cell>
          <cell r="R27" t="str">
            <v>-</v>
          </cell>
          <cell r="S27">
            <v>1</v>
          </cell>
          <cell r="T27" t="str">
            <v>-</v>
          </cell>
          <cell r="U27">
            <v>1</v>
          </cell>
          <cell r="V27" t="str">
            <v>-</v>
          </cell>
          <cell r="W27">
            <v>1</v>
          </cell>
          <cell r="X27" t="str">
            <v>-</v>
          </cell>
          <cell r="Y27">
            <v>0.75470000000000004</v>
          </cell>
          <cell r="Z27" t="str">
            <v/>
          </cell>
          <cell r="AA27">
            <v>0.77317131993270782</v>
          </cell>
          <cell r="AE27">
            <v>0.83612040133779264</v>
          </cell>
          <cell r="AG27">
            <v>0.83612040133779275</v>
          </cell>
          <cell r="AI27">
            <v>0.83612040133779275</v>
          </cell>
          <cell r="AK27">
            <v>0.83612040133779264</v>
          </cell>
          <cell r="AL27" t="str">
            <v>Belgium Premium Rate 7</v>
          </cell>
        </row>
        <row r="28">
          <cell r="N28" t="str">
            <v>DOM BEL PRM8</v>
          </cell>
          <cell r="O28" t="str">
            <v>minute</v>
          </cell>
          <cell r="P28" t="str">
            <v>-</v>
          </cell>
          <cell r="Q28">
            <v>2</v>
          </cell>
          <cell r="R28" t="str">
            <v>-</v>
          </cell>
          <cell r="S28">
            <v>2</v>
          </cell>
          <cell r="T28" t="str">
            <v>-</v>
          </cell>
          <cell r="U28">
            <v>2</v>
          </cell>
          <cell r="V28" t="str">
            <v>-</v>
          </cell>
          <cell r="W28">
            <v>2</v>
          </cell>
          <cell r="X28" t="str">
            <v>-</v>
          </cell>
          <cell r="Y28">
            <v>1.5354000000000001</v>
          </cell>
          <cell r="Z28" t="str">
            <v/>
          </cell>
          <cell r="AA28">
            <v>1.5169676009244433</v>
          </cell>
          <cell r="AE28">
            <v>1.6722408026755853</v>
          </cell>
          <cell r="AG28">
            <v>1.6722408026755855</v>
          </cell>
          <cell r="AI28">
            <v>1.6722408026755855</v>
          </cell>
          <cell r="AK28">
            <v>1.6722408026755853</v>
          </cell>
          <cell r="AL28" t="str">
            <v>Belgium Premium Rate 8</v>
          </cell>
        </row>
        <row r="29">
          <cell r="N29" t="str">
            <v>DOM BEL PRM9</v>
          </cell>
          <cell r="O29" t="str">
            <v>call</v>
          </cell>
          <cell r="P29">
            <v>31</v>
          </cell>
          <cell r="Q29" t="str">
            <v>-</v>
          </cell>
          <cell r="R29">
            <v>31</v>
          </cell>
          <cell r="S29" t="str">
            <v>-</v>
          </cell>
          <cell r="T29">
            <v>31</v>
          </cell>
          <cell r="U29" t="str">
            <v>-</v>
          </cell>
          <cell r="V29">
            <v>31</v>
          </cell>
          <cell r="W29" t="str">
            <v>-</v>
          </cell>
          <cell r="X29">
            <v>24.184899999999999</v>
          </cell>
          <cell r="Y29" t="str">
            <v>-</v>
          </cell>
          <cell r="Z29">
            <v>25.548217347037205</v>
          </cell>
          <cell r="AA29" t="str">
            <v/>
          </cell>
          <cell r="AD29">
            <v>25.91973244147157</v>
          </cell>
          <cell r="AF29">
            <v>25.91973244147157</v>
          </cell>
          <cell r="AH29">
            <v>25.91973244147157</v>
          </cell>
          <cell r="AJ29">
            <v>25.91973244147157</v>
          </cell>
          <cell r="AL29" t="str">
            <v>Belgium Premium Rate 9</v>
          </cell>
        </row>
        <row r="30">
          <cell r="N30" t="str">
            <v>DOM BEL PSN</v>
          </cell>
          <cell r="O30" t="str">
            <v>minute</v>
          </cell>
          <cell r="P30" t="str">
            <v>-</v>
          </cell>
          <cell r="Q30">
            <v>0.3</v>
          </cell>
          <cell r="R30" t="str">
            <v>-</v>
          </cell>
          <cell r="S30">
            <v>0.3</v>
          </cell>
          <cell r="T30" t="str">
            <v>-</v>
          </cell>
          <cell r="U30">
            <v>0.3</v>
          </cell>
          <cell r="V30" t="str">
            <v>-</v>
          </cell>
          <cell r="W30">
            <v>0.3</v>
          </cell>
          <cell r="X30" t="str">
            <v>-</v>
          </cell>
          <cell r="Y30">
            <v>0.23100000000000001</v>
          </cell>
          <cell r="Z30" t="str">
            <v/>
          </cell>
          <cell r="AA30">
            <v>0.26297503894097224</v>
          </cell>
          <cell r="AE30">
            <v>0.3</v>
          </cell>
          <cell r="AG30">
            <v>0.3</v>
          </cell>
          <cell r="AI30">
            <v>0.3</v>
          </cell>
          <cell r="AK30">
            <v>0.3</v>
          </cell>
          <cell r="AL30" t="str">
            <v>Belgium Personal Number</v>
          </cell>
        </row>
        <row r="31">
          <cell r="N31" t="str">
            <v>DOM BEL SCS</v>
          </cell>
          <cell r="O31" t="str">
            <v>minute</v>
          </cell>
          <cell r="P31">
            <v>5.8528428093645495E-2</v>
          </cell>
          <cell r="Q31">
            <v>4.4314381270903008E-2</v>
          </cell>
          <cell r="R31">
            <v>5.8528428093645495E-2</v>
          </cell>
          <cell r="S31">
            <v>4.4314381270903008E-2</v>
          </cell>
          <cell r="T31">
            <v>5.8528428093645495E-2</v>
          </cell>
          <cell r="U31">
            <v>4.4314381270903008E-2</v>
          </cell>
          <cell r="V31">
            <v>5.8528428093645495E-2</v>
          </cell>
          <cell r="W31">
            <v>4.4314381270903008E-2</v>
          </cell>
          <cell r="X31">
            <v>1.9140000000000001E-2</v>
          </cell>
          <cell r="Y31">
            <v>2.7799999999999998E-2</v>
          </cell>
          <cell r="Z31" t="str">
            <v/>
          </cell>
          <cell r="AA31">
            <v>1.2155038940972222E-2</v>
          </cell>
          <cell r="AE31">
            <v>1.8232558411458332E-2</v>
          </cell>
          <cell r="AG31">
            <v>1.7422222482060185E-2</v>
          </cell>
          <cell r="AI31">
            <v>1.6611886552662037E-2</v>
          </cell>
          <cell r="AK31">
            <v>1.5801550623263889E-2</v>
          </cell>
          <cell r="AL31" t="str">
            <v>Belgium Shared Cost Services</v>
          </cell>
        </row>
        <row r="32">
          <cell r="N32" t="str">
            <v>DOM CHE ZCHE0</v>
          </cell>
          <cell r="O32" t="str">
            <v>minute</v>
          </cell>
          <cell r="P32" t="str">
            <v>-</v>
          </cell>
          <cell r="Q32">
            <v>0.37609999999999999</v>
          </cell>
          <cell r="R32" t="str">
            <v>-</v>
          </cell>
          <cell r="S32">
            <v>0.37609999999999999</v>
          </cell>
          <cell r="T32" t="str">
            <v>-</v>
          </cell>
          <cell r="U32">
            <v>0.37609999999999999</v>
          </cell>
          <cell r="V32" t="str">
            <v>-</v>
          </cell>
          <cell r="W32">
            <v>0.37609999999999999</v>
          </cell>
          <cell r="X32" t="str">
            <v>-</v>
          </cell>
          <cell r="Y32">
            <v>2.1700000000000001E-2</v>
          </cell>
          <cell r="Z32" t="str">
            <v/>
          </cell>
          <cell r="AA32">
            <v>5.8774711072119762E-2</v>
          </cell>
          <cell r="AD32" t="str">
            <v/>
          </cell>
          <cell r="AE32">
            <v>6.0716454159077109E-2</v>
          </cell>
          <cell r="AF32" t="str">
            <v/>
          </cell>
          <cell r="AG32">
            <v>6.0716454159077109E-2</v>
          </cell>
          <cell r="AH32" t="str">
            <v/>
          </cell>
          <cell r="AI32">
            <v>6.0716454159077109E-2</v>
          </cell>
          <cell r="AJ32" t="str">
            <v/>
          </cell>
          <cell r="AK32">
            <v>6.0716454159077109E-2</v>
          </cell>
          <cell r="AL32" t="str">
            <v xml:space="preserve">Switzerland Corporate </v>
          </cell>
        </row>
        <row r="33">
          <cell r="N33" t="str">
            <v>DOM CHE ZCHE1</v>
          </cell>
          <cell r="O33" t="str">
            <v>minute</v>
          </cell>
          <cell r="P33" t="str">
            <v>-</v>
          </cell>
          <cell r="Q33">
            <v>1.1299999999999999E-2</v>
          </cell>
          <cell r="R33" t="str">
            <v>-</v>
          </cell>
          <cell r="S33">
            <v>1.0999999999999999E-2</v>
          </cell>
          <cell r="T33" t="str">
            <v>-</v>
          </cell>
          <cell r="U33">
            <v>1.0500000000000001E-2</v>
          </cell>
          <cell r="V33" t="str">
            <v>-</v>
          </cell>
          <cell r="W33">
            <v>1.0200000000000001E-2</v>
          </cell>
          <cell r="X33" t="str">
            <v>-</v>
          </cell>
          <cell r="Y33">
            <v>9.5999999999999992E-3</v>
          </cell>
          <cell r="Z33" t="str">
            <v/>
          </cell>
          <cell r="AA33">
            <v>1.1176882940972223E-2</v>
          </cell>
          <cell r="AD33" t="str">
            <v/>
          </cell>
          <cell r="AE33">
            <v>1.3412259529166666E-2</v>
          </cell>
          <cell r="AF33" t="str">
            <v/>
          </cell>
          <cell r="AG33">
            <v>1.3225978146817131E-2</v>
          </cell>
          <cell r="AH33" t="str">
            <v/>
          </cell>
          <cell r="AI33">
            <v>1.3039696764467593E-2</v>
          </cell>
          <cell r="AJ33" t="str">
            <v/>
          </cell>
          <cell r="AK33">
            <v>1.2853415382118056E-2</v>
          </cell>
          <cell r="AL33" t="str">
            <v>Switzerland National</v>
          </cell>
        </row>
        <row r="34">
          <cell r="N34" t="str">
            <v>DOM CHE ZCH25</v>
          </cell>
          <cell r="O34" t="str">
            <v>minute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>
            <v>-1.7779501525429762E-2</v>
          </cell>
          <cell r="AA34">
            <v>-5.325759218038479E-3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 t="str">
            <v xml:space="preserve">Switzerland Toll Free                        </v>
          </cell>
        </row>
        <row r="35">
          <cell r="N35" t="str">
            <v>DOM CHE ZCH26</v>
          </cell>
          <cell r="O35" t="str">
            <v>minute</v>
          </cell>
          <cell r="P35" t="str">
            <v>-</v>
          </cell>
          <cell r="Q35">
            <v>0.37609999999999999</v>
          </cell>
          <cell r="R35" t="str">
            <v>-</v>
          </cell>
          <cell r="S35">
            <v>0.37609999999999999</v>
          </cell>
          <cell r="T35" t="str">
            <v>-</v>
          </cell>
          <cell r="U35">
            <v>0.37609999999999999</v>
          </cell>
          <cell r="V35" t="str">
            <v>-</v>
          </cell>
          <cell r="W35">
            <v>0.37609999999999999</v>
          </cell>
          <cell r="X35" t="str">
            <v>-</v>
          </cell>
          <cell r="Y35">
            <v>2.1700000000000001E-2</v>
          </cell>
          <cell r="Z35">
            <v>-2.4336878574610091E-2</v>
          </cell>
          <cell r="AA35">
            <v>5.5903748978682825E-2</v>
          </cell>
          <cell r="AD35">
            <v>0</v>
          </cell>
          <cell r="AE35">
            <v>6.1475409836065573E-2</v>
          </cell>
          <cell r="AF35">
            <v>0</v>
          </cell>
          <cell r="AG35">
            <v>6.1475409836065573E-2</v>
          </cell>
          <cell r="AH35">
            <v>0</v>
          </cell>
          <cell r="AI35">
            <v>6.1475409836065573E-2</v>
          </cell>
          <cell r="AJ35">
            <v>0</v>
          </cell>
          <cell r="AK35">
            <v>6.1475409836065573E-2</v>
          </cell>
          <cell r="AL35" t="str">
            <v>Switzerland Toll Shared</v>
          </cell>
        </row>
        <row r="36">
          <cell r="N36" t="str">
            <v>DOM CHE ZCH27</v>
          </cell>
          <cell r="O36" t="str">
            <v>minute</v>
          </cell>
          <cell r="P36" t="str">
            <v>-</v>
          </cell>
          <cell r="Q36">
            <v>0.37609999999999999</v>
          </cell>
          <cell r="R36" t="str">
            <v>-</v>
          </cell>
          <cell r="S36">
            <v>0.37609999999999999</v>
          </cell>
          <cell r="T36" t="str">
            <v>-</v>
          </cell>
          <cell r="U36">
            <v>0.37609999999999999</v>
          </cell>
          <cell r="V36" t="str">
            <v>-</v>
          </cell>
          <cell r="W36">
            <v>0.37609999999999999</v>
          </cell>
          <cell r="X36" t="str">
            <v>-</v>
          </cell>
          <cell r="Y36">
            <v>2.1700000000000001E-2</v>
          </cell>
          <cell r="Z36">
            <v>-2.4336878574610091E-2</v>
          </cell>
          <cell r="AA36">
            <v>5.5903748978682825E-2</v>
          </cell>
          <cell r="AD36">
            <v>0</v>
          </cell>
          <cell r="AE36">
            <v>6.1475409836065573E-2</v>
          </cell>
          <cell r="AF36">
            <v>0</v>
          </cell>
          <cell r="AG36">
            <v>6.1475409836065573E-2</v>
          </cell>
          <cell r="AH36">
            <v>0</v>
          </cell>
          <cell r="AI36">
            <v>6.1475409836065573E-2</v>
          </cell>
          <cell r="AJ36">
            <v>0</v>
          </cell>
          <cell r="AK36">
            <v>6.1475409836065573E-2</v>
          </cell>
          <cell r="AL36" t="str">
            <v>Switzerland Personal Services</v>
          </cell>
        </row>
        <row r="37">
          <cell r="N37" t="str">
            <v>DOM CHE ZCH28</v>
          </cell>
          <cell r="O37" t="str">
            <v>minute</v>
          </cell>
          <cell r="P37" t="str">
            <v>-</v>
          </cell>
          <cell r="Q37">
            <v>3.4382000000000001</v>
          </cell>
          <cell r="R37" t="str">
            <v>-</v>
          </cell>
          <cell r="S37">
            <v>3.4382000000000001</v>
          </cell>
          <cell r="T37" t="str">
            <v>-</v>
          </cell>
          <cell r="U37">
            <v>3.4382000000000001</v>
          </cell>
          <cell r="V37" t="str">
            <v>-</v>
          </cell>
          <cell r="W37">
            <v>3.4382000000000001</v>
          </cell>
          <cell r="X37" t="str">
            <v>-</v>
          </cell>
          <cell r="Y37">
            <v>3.0078</v>
          </cell>
          <cell r="Z37">
            <v>3.770441506367709</v>
          </cell>
          <cell r="AA37">
            <v>5.0490731478857862</v>
          </cell>
          <cell r="AD37">
            <v>3.7947540983606558</v>
          </cell>
          <cell r="AE37">
            <v>5.054918032786885</v>
          </cell>
          <cell r="AF37">
            <v>3.7947540983606558</v>
          </cell>
          <cell r="AG37">
            <v>5.054918032786885</v>
          </cell>
          <cell r="AH37">
            <v>3.7947540983606558</v>
          </cell>
          <cell r="AI37">
            <v>5.054918032786885</v>
          </cell>
          <cell r="AJ37">
            <v>3.7947540983606558</v>
          </cell>
          <cell r="AK37">
            <v>5.054918032786885</v>
          </cell>
          <cell r="AL37" t="str">
            <v>Switzerland Premium Rate</v>
          </cell>
        </row>
        <row r="38">
          <cell r="N38" t="str">
            <v>DOM CHE ZCH29</v>
          </cell>
          <cell r="O38" t="str">
            <v>call</v>
          </cell>
          <cell r="P38" t="str">
            <v>-</v>
          </cell>
          <cell r="Q38">
            <v>0.51280000000000003</v>
          </cell>
          <cell r="R38" t="str">
            <v>-</v>
          </cell>
          <cell r="S38">
            <v>0.51280000000000003</v>
          </cell>
          <cell r="T38" t="str">
            <v>-</v>
          </cell>
          <cell r="U38">
            <v>0.51280000000000003</v>
          </cell>
          <cell r="V38" t="str">
            <v>-</v>
          </cell>
          <cell r="W38">
            <v>0.51280000000000003</v>
          </cell>
          <cell r="X38" t="str">
            <v>-</v>
          </cell>
          <cell r="Y38">
            <v>0.29149999999999998</v>
          </cell>
          <cell r="Z38">
            <v>1.000738372047188E-2</v>
          </cell>
          <cell r="AA38">
            <v>7.5411945699994307E-2</v>
          </cell>
          <cell r="AD38">
            <v>0.15179113539769276</v>
          </cell>
          <cell r="AE38">
            <v>0</v>
          </cell>
          <cell r="AF38">
            <v>0.15179113539769276</v>
          </cell>
          <cell r="AG38">
            <v>0</v>
          </cell>
          <cell r="AH38">
            <v>0.15179113539769276</v>
          </cell>
          <cell r="AI38">
            <v>0</v>
          </cell>
          <cell r="AJ38">
            <v>0.15179113539769276</v>
          </cell>
          <cell r="AK38">
            <v>0</v>
          </cell>
          <cell r="AL38" t="str">
            <v>Switzerland Assistance &amp; Emergency</v>
          </cell>
        </row>
        <row r="39">
          <cell r="N39" t="str">
            <v>DOM CHE ZCH30</v>
          </cell>
          <cell r="O39" t="str">
            <v>minute &amp; call</v>
          </cell>
          <cell r="P39" t="str">
            <v>-</v>
          </cell>
          <cell r="Q39">
            <v>0.51280000000000003</v>
          </cell>
          <cell r="R39" t="str">
            <v>-</v>
          </cell>
          <cell r="S39">
            <v>0.51280000000000003</v>
          </cell>
          <cell r="T39" t="str">
            <v>-</v>
          </cell>
          <cell r="U39">
            <v>0.51280000000000003</v>
          </cell>
          <cell r="V39" t="str">
            <v>-</v>
          </cell>
          <cell r="W39">
            <v>0.51280000000000003</v>
          </cell>
          <cell r="X39" t="str">
            <v>-</v>
          </cell>
          <cell r="Y39">
            <v>0.29149999999999998</v>
          </cell>
          <cell r="Z39" t="str">
            <v/>
          </cell>
          <cell r="AA39">
            <v>0.35657735697375903</v>
          </cell>
          <cell r="AD39">
            <v>0.68306010928961747</v>
          </cell>
          <cell r="AE39">
            <v>0.68306010928961747</v>
          </cell>
          <cell r="AF39">
            <v>0.68306010928961758</v>
          </cell>
          <cell r="AG39">
            <v>0.68306010928961758</v>
          </cell>
          <cell r="AH39">
            <v>0.68306010928961758</v>
          </cell>
          <cell r="AI39">
            <v>0.68306010928961758</v>
          </cell>
          <cell r="AJ39">
            <v>0.68306010928961747</v>
          </cell>
          <cell r="AK39">
            <v>0.68306010928961747</v>
          </cell>
          <cell r="AL39" t="str">
            <v>Switzerland Avalanche Bulletin</v>
          </cell>
        </row>
        <row r="40">
          <cell r="N40" t="str">
            <v>DOM CHE ZCH31</v>
          </cell>
          <cell r="O40" t="str">
            <v>minute &amp; call</v>
          </cell>
          <cell r="P40" t="str">
            <v>-</v>
          </cell>
          <cell r="Q40">
            <v>0.51280000000000003</v>
          </cell>
          <cell r="R40" t="str">
            <v>-</v>
          </cell>
          <cell r="S40">
            <v>0.51280000000000003</v>
          </cell>
          <cell r="T40" t="str">
            <v>-</v>
          </cell>
          <cell r="U40">
            <v>0.51280000000000003</v>
          </cell>
          <cell r="V40" t="str">
            <v>-</v>
          </cell>
          <cell r="W40">
            <v>0.51280000000000003</v>
          </cell>
          <cell r="X40" t="str">
            <v>-</v>
          </cell>
          <cell r="Y40" t="str">
            <v>-</v>
          </cell>
          <cell r="Z40">
            <v>0.3551409599196218</v>
          </cell>
          <cell r="AA40">
            <v>0.37390617763684919</v>
          </cell>
          <cell r="AD40">
            <v>0.68306010928961747</v>
          </cell>
          <cell r="AE40">
            <v>0.68306010928961747</v>
          </cell>
          <cell r="AF40">
            <v>0.68306010928961758</v>
          </cell>
          <cell r="AG40">
            <v>0.68306010928961758</v>
          </cell>
          <cell r="AH40">
            <v>0.68306010928961758</v>
          </cell>
          <cell r="AI40">
            <v>0.68306010928961758</v>
          </cell>
          <cell r="AJ40">
            <v>0.68306010928961747</v>
          </cell>
          <cell r="AK40">
            <v>0.68306010928961747</v>
          </cell>
          <cell r="AL40" t="str">
            <v>Switzerland Information</v>
          </cell>
        </row>
        <row r="41">
          <cell r="N41" t="str">
            <v>DOM CHE ZCHSC</v>
          </cell>
          <cell r="O41" t="str">
            <v>call</v>
          </cell>
          <cell r="Z41">
            <v>0.3551409599196218</v>
          </cell>
          <cell r="AA41">
            <v>-5.5716608573827412E-3</v>
          </cell>
          <cell r="AD41">
            <v>0.37947783849423183</v>
          </cell>
          <cell r="AE41">
            <v>0</v>
          </cell>
          <cell r="AF41">
            <v>0.37947783849423183</v>
          </cell>
          <cell r="AG41">
            <v>0</v>
          </cell>
          <cell r="AH41">
            <v>0.37947783849423183</v>
          </cell>
          <cell r="AI41">
            <v>0</v>
          </cell>
          <cell r="AJ41">
            <v>0.37947783849423183</v>
          </cell>
          <cell r="AK41">
            <v>0</v>
          </cell>
          <cell r="AL41" t="str">
            <v>Switzerland Speaking Clock</v>
          </cell>
        </row>
        <row r="42">
          <cell r="N42" t="str">
            <v>DOM CHE ZCHTT</v>
          </cell>
          <cell r="O42" t="str">
            <v>minute &amp; call</v>
          </cell>
          <cell r="Z42">
            <v>0.65872323071500727</v>
          </cell>
          <cell r="AA42">
            <v>0.67748844843223466</v>
          </cell>
          <cell r="AD42">
            <v>0.66414056653662412</v>
          </cell>
          <cell r="AE42">
            <v>0.68306010928961747</v>
          </cell>
          <cell r="AF42">
            <v>0.66414056653662412</v>
          </cell>
          <cell r="AG42">
            <v>0.68306010928961758</v>
          </cell>
          <cell r="AH42">
            <v>0.66414056653662412</v>
          </cell>
          <cell r="AI42">
            <v>0.68306010928961758</v>
          </cell>
          <cell r="AJ42">
            <v>0.66414056653662412</v>
          </cell>
          <cell r="AK42">
            <v>0.68306010928961747</v>
          </cell>
          <cell r="AL42" t="str">
            <v>Switzerland Traffic &amp; Travel Info</v>
          </cell>
        </row>
        <row r="43">
          <cell r="N43" t="str">
            <v>DOM CHE ZCHCA</v>
          </cell>
          <cell r="O43" t="str">
            <v>minute</v>
          </cell>
          <cell r="Z43">
            <v>0.12745425682308267</v>
          </cell>
          <cell r="AA43">
            <v>-5.5716608573827412E-3</v>
          </cell>
          <cell r="AD43">
            <v>0.15179113539769276</v>
          </cell>
          <cell r="AE43">
            <v>0</v>
          </cell>
          <cell r="AF43">
            <v>0.15179113539769276</v>
          </cell>
          <cell r="AG43">
            <v>0</v>
          </cell>
          <cell r="AH43">
            <v>0.15179113539769276</v>
          </cell>
          <cell r="AI43">
            <v>0</v>
          </cell>
          <cell r="AJ43">
            <v>0.15179113539769276</v>
          </cell>
          <cell r="AK43">
            <v>0</v>
          </cell>
          <cell r="AL43" t="str">
            <v>Switzerland Car Assistance</v>
          </cell>
        </row>
        <row r="44">
          <cell r="N44" t="str">
            <v>DOM CHE ZCHE2</v>
          </cell>
          <cell r="O44" t="str">
            <v>minute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str">
            <v/>
          </cell>
          <cell r="AA44">
            <v>0.12607951194097222</v>
          </cell>
          <cell r="AD44" t="str">
            <v/>
          </cell>
          <cell r="AE44">
            <v>0.21433517029965277</v>
          </cell>
          <cell r="AF44" t="str">
            <v/>
          </cell>
          <cell r="AG44">
            <v>0.20592986950358796</v>
          </cell>
          <cell r="AH44" t="str">
            <v/>
          </cell>
          <cell r="AI44">
            <v>0.19752456870752316</v>
          </cell>
          <cell r="AJ44" t="str">
            <v/>
          </cell>
          <cell r="AK44">
            <v>0.18911926791145833</v>
          </cell>
          <cell r="AL44" t="str">
            <v xml:space="preserve">Switzerland Mobile In&amp;Phone </v>
          </cell>
        </row>
        <row r="45">
          <cell r="N45" t="str">
            <v>DOM CHE ZCH24</v>
          </cell>
          <cell r="O45" t="str">
            <v>minute</v>
          </cell>
          <cell r="P45" t="str">
            <v>-</v>
          </cell>
          <cell r="Q45">
            <v>0.13400000000000001</v>
          </cell>
          <cell r="R45" t="str">
            <v>-</v>
          </cell>
          <cell r="S45">
            <v>0.13</v>
          </cell>
          <cell r="T45" t="str">
            <v>-</v>
          </cell>
          <cell r="U45">
            <v>0.1246</v>
          </cell>
          <cell r="V45" t="str">
            <v>-</v>
          </cell>
          <cell r="W45">
            <v>0.1206</v>
          </cell>
          <cell r="X45" t="str">
            <v>-</v>
          </cell>
          <cell r="Y45">
            <v>9.9599999999999994E-2</v>
          </cell>
          <cell r="Z45" t="str">
            <v/>
          </cell>
          <cell r="AA45">
            <v>6.954177794097223E-2</v>
          </cell>
          <cell r="AD45" t="str">
            <v/>
          </cell>
          <cell r="AE45">
            <v>0.11822102249965279</v>
          </cell>
          <cell r="AF45" t="str">
            <v/>
          </cell>
          <cell r="AG45">
            <v>0.11358490397025464</v>
          </cell>
          <cell r="AH45" t="str">
            <v/>
          </cell>
          <cell r="AI45">
            <v>0.10894878544085651</v>
          </cell>
          <cell r="AJ45" t="str">
            <v/>
          </cell>
          <cell r="AK45">
            <v>0.10431266691145835</v>
          </cell>
          <cell r="AL45" t="str">
            <v xml:space="preserve">Switzerland Mobile Swisscom      </v>
          </cell>
        </row>
        <row r="46">
          <cell r="N46" t="str">
            <v>DOM CHE ZCH32</v>
          </cell>
          <cell r="O46" t="str">
            <v>minute</v>
          </cell>
          <cell r="P46" t="str">
            <v>-</v>
          </cell>
          <cell r="Q46">
            <v>0.13400000000000001</v>
          </cell>
          <cell r="R46" t="str">
            <v>-</v>
          </cell>
          <cell r="S46">
            <v>0.13</v>
          </cell>
          <cell r="T46" t="str">
            <v>-</v>
          </cell>
          <cell r="U46">
            <v>0.1255</v>
          </cell>
          <cell r="V46" t="str">
            <v>-</v>
          </cell>
          <cell r="W46">
            <v>0.1255</v>
          </cell>
          <cell r="X46" t="str">
            <v>-</v>
          </cell>
          <cell r="Y46">
            <v>0.1188</v>
          </cell>
          <cell r="Z46" t="str">
            <v/>
          </cell>
          <cell r="AA46">
            <v>8.3955117940972226E-2</v>
          </cell>
          <cell r="AD46" t="str">
            <v/>
          </cell>
          <cell r="AE46">
            <v>0.14272370049965277</v>
          </cell>
          <cell r="AF46" t="str">
            <v/>
          </cell>
          <cell r="AG46">
            <v>0.13712669263692132</v>
          </cell>
          <cell r="AH46" t="str">
            <v/>
          </cell>
          <cell r="AI46">
            <v>0.13152968477418983</v>
          </cell>
          <cell r="AJ46" t="str">
            <v/>
          </cell>
          <cell r="AK46">
            <v>0.12593267691145835</v>
          </cell>
          <cell r="AL46" t="str">
            <v>Switzerland Mobile Orange</v>
          </cell>
        </row>
        <row r="47">
          <cell r="N47" t="str">
            <v>DOM CHE ZCH33</v>
          </cell>
          <cell r="O47" t="str">
            <v>minute</v>
          </cell>
          <cell r="P47" t="str">
            <v>-</v>
          </cell>
          <cell r="Q47">
            <v>0.1701</v>
          </cell>
          <cell r="R47" t="str">
            <v>-</v>
          </cell>
          <cell r="S47">
            <v>0.16500000000000001</v>
          </cell>
          <cell r="T47" t="str">
            <v>-</v>
          </cell>
          <cell r="U47">
            <v>0.15820000000000001</v>
          </cell>
          <cell r="V47" t="str">
            <v>-</v>
          </cell>
          <cell r="W47">
            <v>0.15310000000000001</v>
          </cell>
          <cell r="X47" t="str">
            <v>-</v>
          </cell>
          <cell r="Y47">
            <v>0.1149</v>
          </cell>
          <cell r="Z47" t="str">
            <v/>
          </cell>
          <cell r="AA47">
            <v>8.4868317940972229E-2</v>
          </cell>
          <cell r="AD47" t="str">
            <v/>
          </cell>
          <cell r="AE47">
            <v>0.14427614049965279</v>
          </cell>
          <cell r="AF47" t="str">
            <v/>
          </cell>
          <cell r="AG47">
            <v>0.13861825263692132</v>
          </cell>
          <cell r="AH47" t="str">
            <v/>
          </cell>
          <cell r="AI47">
            <v>0.13296036477418982</v>
          </cell>
          <cell r="AJ47" t="str">
            <v/>
          </cell>
          <cell r="AK47">
            <v>0.12730247691145835</v>
          </cell>
          <cell r="AL47" t="str">
            <v>Switzerland Mobile Sunrise</v>
          </cell>
        </row>
        <row r="48">
          <cell r="N48" t="str">
            <v>DOM CHE ZCHM5</v>
          </cell>
          <cell r="O48" t="str">
            <v>minute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str">
            <v/>
          </cell>
          <cell r="AA48">
            <v>1.2627170088513206E-2</v>
          </cell>
          <cell r="AD48" t="str">
            <v/>
          </cell>
          <cell r="AE48">
            <v>2.1466189150472447E-2</v>
          </cell>
          <cell r="AF48" t="str">
            <v/>
          </cell>
          <cell r="AG48">
            <v>2.0624377811238236E-2</v>
          </cell>
          <cell r="AH48" t="str">
            <v/>
          </cell>
          <cell r="AI48">
            <v>1.9782566472004021E-2</v>
          </cell>
          <cell r="AJ48" t="str">
            <v/>
          </cell>
          <cell r="AK48">
            <v>1.8940755132769809E-2</v>
          </cell>
          <cell r="AL48" t="str">
            <v>Switzerland Mobile Others</v>
          </cell>
        </row>
        <row r="49">
          <cell r="Z49" t="e">
            <v>#N/A</v>
          </cell>
          <cell r="AA49" t="e">
            <v>#N/A</v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</row>
        <row r="50">
          <cell r="N50" t="str">
            <v>DOM CHE ZCHPG</v>
          </cell>
          <cell r="O50" t="str">
            <v>call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X50" t="e">
            <v>#N/A</v>
          </cell>
          <cell r="Y50" t="e">
            <v>#N/A</v>
          </cell>
          <cell r="Z50">
            <v>0.22615492470407844</v>
          </cell>
          <cell r="AA50">
            <v>1.1149650618027095E-2</v>
          </cell>
          <cell r="AD50">
            <v>0.61475409836065575</v>
          </cell>
          <cell r="AE50">
            <v>0</v>
          </cell>
          <cell r="AF50">
            <v>0.61475409836065575</v>
          </cell>
          <cell r="AG50">
            <v>0</v>
          </cell>
          <cell r="AH50">
            <v>0.61475409836065575</v>
          </cell>
          <cell r="AI50">
            <v>0</v>
          </cell>
          <cell r="AJ50">
            <v>0.61475409836065575</v>
          </cell>
          <cell r="AK50">
            <v>0</v>
          </cell>
          <cell r="AL50" t="str">
            <v>Switzerland Paging</v>
          </cell>
        </row>
        <row r="51">
          <cell r="N51" t="str">
            <v>DOM CHE ZCHS6</v>
          </cell>
          <cell r="O51" t="str">
            <v>minute &amp; call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X51" t="e">
            <v>#N/A</v>
          </cell>
          <cell r="Y51" t="e">
            <v>#N/A</v>
          </cell>
          <cell r="Z51">
            <v>1.0089350933586635E-2</v>
          </cell>
          <cell r="AA51">
            <v>1.5704119456999943</v>
          </cell>
          <cell r="AD51">
            <v>1.0154409169421265E-2</v>
          </cell>
          <cell r="AE51">
            <v>1.5722298787742599</v>
          </cell>
          <cell r="AF51">
            <v>1.0154409169421265E-2</v>
          </cell>
          <cell r="AG51">
            <v>1.5722298787742601</v>
          </cell>
          <cell r="AH51">
            <v>1.0154409169421265E-2</v>
          </cell>
          <cell r="AI51">
            <v>1.5722298787742601</v>
          </cell>
          <cell r="AJ51">
            <v>1.0154409169421265E-2</v>
          </cell>
          <cell r="AK51">
            <v>1.5722298787742599</v>
          </cell>
          <cell r="AL51" t="str">
            <v>Switzerland Swisscom Directory</v>
          </cell>
        </row>
        <row r="52">
          <cell r="N52" t="str">
            <v>DOM CHE ZCHEU</v>
          </cell>
          <cell r="O52" t="str">
            <v>minute</v>
          </cell>
          <cell r="P52" t="e">
            <v>#N/A</v>
          </cell>
          <cell r="Q52" t="e">
            <v>#N/A</v>
          </cell>
          <cell r="R52" t="e">
            <v>#N/A</v>
          </cell>
          <cell r="S52" t="e">
            <v>#N/A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X52" t="e">
            <v>#N/A</v>
          </cell>
          <cell r="Y52" t="e">
            <v>#N/A</v>
          </cell>
          <cell r="Z52">
            <v>5.1713181467013883E-3</v>
          </cell>
          <cell r="AA52">
            <v>1.4775194704861111E-3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 t="str">
            <v>Switzerland Eu Harmonized Helpline Service</v>
          </cell>
        </row>
        <row r="53">
          <cell r="N53" t="str">
            <v>DOM CHE ZCHS7</v>
          </cell>
          <cell r="O53" t="str">
            <v>minute &amp; call</v>
          </cell>
          <cell r="Z53">
            <v>3.770441506367709</v>
          </cell>
          <cell r="AA53">
            <v>5.0490731478857862</v>
          </cell>
          <cell r="AD53">
            <v>3.7947540983606558</v>
          </cell>
          <cell r="AE53">
            <v>5.054918032786885</v>
          </cell>
          <cell r="AF53">
            <v>3.7947540983606558</v>
          </cell>
          <cell r="AG53">
            <v>5.054918032786885</v>
          </cell>
          <cell r="AH53">
            <v>3.7947540983606558</v>
          </cell>
          <cell r="AI53">
            <v>5.054918032786885</v>
          </cell>
          <cell r="AJ53">
            <v>3.7947540983606558</v>
          </cell>
          <cell r="AK53">
            <v>5.054918032786885</v>
          </cell>
          <cell r="AL53" t="str">
            <v>Switzerland Directory</v>
          </cell>
        </row>
        <row r="54">
          <cell r="N54" t="str">
            <v>DOM GBR MOB4</v>
          </cell>
          <cell r="O54" t="str">
            <v>minute</v>
          </cell>
          <cell r="P54" t="str">
            <v>-</v>
          </cell>
          <cell r="Q54">
            <v>7.1400000000000005E-2</v>
          </cell>
          <cell r="R54" t="str">
            <v>-</v>
          </cell>
          <cell r="S54">
            <v>6.93E-2</v>
          </cell>
          <cell r="T54" t="str">
            <v>-</v>
          </cell>
          <cell r="U54">
            <v>6.6400000000000001E-2</v>
          </cell>
          <cell r="V54" t="str">
            <v>-</v>
          </cell>
          <cell r="W54">
            <v>6.4299999999999996E-2</v>
          </cell>
          <cell r="X54" t="str">
            <v>-</v>
          </cell>
          <cell r="Y54">
            <v>5.1900000000000002E-2</v>
          </cell>
          <cell r="Z54" t="str">
            <v/>
          </cell>
          <cell r="AA54">
            <v>3.7114089798619285E-2</v>
          </cell>
          <cell r="AE54">
            <v>7.4228179597238569E-2</v>
          </cell>
          <cell r="AG54">
            <v>6.8042497964135362E-2</v>
          </cell>
          <cell r="AI54">
            <v>6.1856816331032148E-2</v>
          </cell>
          <cell r="AK54">
            <v>5.5671134697928927E-2</v>
          </cell>
          <cell r="AL54" t="str">
            <v>United Kingdom Mobile</v>
          </cell>
        </row>
        <row r="55">
          <cell r="N55" t="str">
            <v>DOM GBR MOB4</v>
          </cell>
          <cell r="O55" t="str">
            <v>minute</v>
          </cell>
          <cell r="P55" t="str">
            <v>-</v>
          </cell>
          <cell r="Q55">
            <v>7.1400000000000005E-2</v>
          </cell>
          <cell r="R55" t="str">
            <v>-</v>
          </cell>
          <cell r="S55">
            <v>6.93E-2</v>
          </cell>
          <cell r="T55" t="str">
            <v>-</v>
          </cell>
          <cell r="U55">
            <v>6.6400000000000001E-2</v>
          </cell>
          <cell r="V55" t="str">
            <v>-</v>
          </cell>
          <cell r="W55">
            <v>6.4299999999999996E-2</v>
          </cell>
          <cell r="X55" t="str">
            <v>-</v>
          </cell>
          <cell r="Y55">
            <v>5.1900000000000002E-2</v>
          </cell>
          <cell r="Z55" t="str">
            <v/>
          </cell>
          <cell r="AA55">
            <v>3.7114089798619285E-2</v>
          </cell>
          <cell r="AE55">
            <v>7.4228179597238569E-2</v>
          </cell>
          <cell r="AG55">
            <v>6.8042497964135362E-2</v>
          </cell>
          <cell r="AI55">
            <v>6.1856816331032148E-2</v>
          </cell>
          <cell r="AK55">
            <v>5.5671134697928927E-2</v>
          </cell>
          <cell r="AL55" t="str">
            <v>United Kingdom Mobile</v>
          </cell>
        </row>
        <row r="56">
          <cell r="N56" t="str">
            <v>DOM GBR MOB4</v>
          </cell>
          <cell r="O56" t="str">
            <v>minute</v>
          </cell>
          <cell r="P56" t="str">
            <v>-</v>
          </cell>
          <cell r="Q56">
            <v>7.1400000000000005E-2</v>
          </cell>
          <cell r="R56" t="str">
            <v>-</v>
          </cell>
          <cell r="S56">
            <v>6.93E-2</v>
          </cell>
          <cell r="T56" t="str">
            <v>-</v>
          </cell>
          <cell r="U56">
            <v>6.6400000000000001E-2</v>
          </cell>
          <cell r="V56" t="str">
            <v>-</v>
          </cell>
          <cell r="W56">
            <v>6.4299999999999996E-2</v>
          </cell>
          <cell r="X56" t="str">
            <v>-</v>
          </cell>
          <cell r="Y56">
            <v>5.1900000000000002E-2</v>
          </cell>
          <cell r="Z56" t="str">
            <v/>
          </cell>
          <cell r="AA56">
            <v>3.7114089798619285E-2</v>
          </cell>
          <cell r="AE56">
            <v>7.4228179597238569E-2</v>
          </cell>
          <cell r="AG56">
            <v>6.8042497964135362E-2</v>
          </cell>
          <cell r="AI56">
            <v>6.1856816331032148E-2</v>
          </cell>
          <cell r="AK56">
            <v>5.5671134697928927E-2</v>
          </cell>
          <cell r="AL56" t="str">
            <v>United Kingdom Mobile</v>
          </cell>
        </row>
        <row r="57">
          <cell r="N57" t="str">
            <v>DOM GBR MOB4</v>
          </cell>
          <cell r="O57" t="str">
            <v>minute</v>
          </cell>
          <cell r="P57" t="str">
            <v>-</v>
          </cell>
          <cell r="Q57">
            <v>7.1400000000000005E-2</v>
          </cell>
          <cell r="R57" t="str">
            <v>-</v>
          </cell>
          <cell r="S57">
            <v>6.93E-2</v>
          </cell>
          <cell r="T57" t="str">
            <v>-</v>
          </cell>
          <cell r="U57">
            <v>6.6400000000000001E-2</v>
          </cell>
          <cell r="V57" t="str">
            <v>-</v>
          </cell>
          <cell r="W57">
            <v>6.4299999999999996E-2</v>
          </cell>
          <cell r="X57" t="str">
            <v>-</v>
          </cell>
          <cell r="Y57">
            <v>5.1900000000000002E-2</v>
          </cell>
          <cell r="Z57" t="str">
            <v/>
          </cell>
          <cell r="AA57">
            <v>3.7114089798619285E-2</v>
          </cell>
          <cell r="AE57">
            <v>7.4228179597238569E-2</v>
          </cell>
          <cell r="AG57">
            <v>6.8042497964135362E-2</v>
          </cell>
          <cell r="AI57">
            <v>6.1856816331032148E-2</v>
          </cell>
          <cell r="AK57">
            <v>5.5671134697928927E-2</v>
          </cell>
          <cell r="AL57" t="str">
            <v>United Kingdom Mobile</v>
          </cell>
        </row>
        <row r="58">
          <cell r="N58" t="str">
            <v>DOM GBR UKMOB</v>
          </cell>
          <cell r="O58" t="str">
            <v>minute</v>
          </cell>
          <cell r="P58" t="str">
            <v>-</v>
          </cell>
          <cell r="Q58">
            <v>8.2500000000000004E-2</v>
          </cell>
          <cell r="R58" t="str">
            <v>-</v>
          </cell>
          <cell r="S58">
            <v>0.08</v>
          </cell>
          <cell r="T58" t="str">
            <v>-</v>
          </cell>
          <cell r="U58">
            <v>7.6700000000000004E-2</v>
          </cell>
          <cell r="V58" t="str">
            <v>-</v>
          </cell>
          <cell r="W58">
            <v>7.4300000000000005E-2</v>
          </cell>
          <cell r="X58" t="str">
            <v>-</v>
          </cell>
          <cell r="Y58">
            <v>5.7799999999999997E-2</v>
          </cell>
          <cell r="Z58" t="str">
            <v/>
          </cell>
          <cell r="AA58">
            <v>0.18930543682332515</v>
          </cell>
          <cell r="AE58">
            <v>0.3786108736466503</v>
          </cell>
          <cell r="AG58">
            <v>0.34705996750942947</v>
          </cell>
          <cell r="AI58">
            <v>0.31550906137220858</v>
          </cell>
          <cell r="AK58">
            <v>0.28395815523498774</v>
          </cell>
          <cell r="AL58" t="str">
            <v>United Kingdom Mobile Vno</v>
          </cell>
        </row>
        <row r="59">
          <cell r="N59" t="str">
            <v>DOM GBR UKPAG</v>
          </cell>
          <cell r="O59" t="str">
            <v>minute</v>
          </cell>
          <cell r="P59" t="str">
            <v>-</v>
          </cell>
          <cell r="Q59">
            <v>0.25369999999999998</v>
          </cell>
          <cell r="R59" t="str">
            <v>-</v>
          </cell>
          <cell r="S59">
            <v>0.25369999999999998</v>
          </cell>
          <cell r="T59" t="str">
            <v>-</v>
          </cell>
          <cell r="U59">
            <v>0.25369999999999998</v>
          </cell>
          <cell r="V59" t="str">
            <v>-</v>
          </cell>
          <cell r="W59">
            <v>0.25369999999999998</v>
          </cell>
          <cell r="X59" t="str">
            <v>-</v>
          </cell>
          <cell r="Y59">
            <v>0.2157</v>
          </cell>
          <cell r="Z59" t="str">
            <v/>
          </cell>
          <cell r="AA59">
            <v>0.14873827463038397</v>
          </cell>
          <cell r="AE59">
            <v>0.25369999999999998</v>
          </cell>
          <cell r="AG59">
            <v>0.25369999999999998</v>
          </cell>
          <cell r="AI59">
            <v>0.25369999999999998</v>
          </cell>
          <cell r="AK59">
            <v>0.25369999999999998</v>
          </cell>
          <cell r="AL59" t="str">
            <v>United Kingdom Radiopaging</v>
          </cell>
        </row>
        <row r="60">
          <cell r="N60" t="str">
            <v>DOM GBR ZF</v>
          </cell>
          <cell r="O60" t="str">
            <v>minute</v>
          </cell>
          <cell r="P60" t="str">
            <v>-</v>
          </cell>
          <cell r="Q60">
            <v>0.25119999999999998</v>
          </cell>
          <cell r="R60" t="str">
            <v>-</v>
          </cell>
          <cell r="S60">
            <v>0.2437</v>
          </cell>
          <cell r="T60" t="str">
            <v>-</v>
          </cell>
          <cell r="U60">
            <v>0.2336</v>
          </cell>
          <cell r="V60" t="str">
            <v>-</v>
          </cell>
          <cell r="W60">
            <v>0.2261</v>
          </cell>
          <cell r="X60" t="str">
            <v>-</v>
          </cell>
          <cell r="Y60">
            <v>0.17949999999999999</v>
          </cell>
          <cell r="Z60" t="str">
            <v/>
          </cell>
          <cell r="AA60">
            <v>0.30618434707508985</v>
          </cell>
          <cell r="AE60">
            <v>0.61236869415017969</v>
          </cell>
          <cell r="AG60">
            <v>0.5613379696376648</v>
          </cell>
          <cell r="AI60">
            <v>0.5103072451251498</v>
          </cell>
          <cell r="AK60">
            <v>0.4592765206126348</v>
          </cell>
          <cell r="AL60" t="str">
            <v>United Kingdom Personal</v>
          </cell>
        </row>
        <row r="61">
          <cell r="N61" t="str">
            <v>DOM GBR LDN1</v>
          </cell>
          <cell r="O61" t="str">
            <v>minute</v>
          </cell>
          <cell r="P61" t="str">
            <v>-</v>
          </cell>
          <cell r="Q61">
            <v>8.2000000000000007E-3</v>
          </cell>
          <cell r="R61" t="str">
            <v>-</v>
          </cell>
          <cell r="S61">
            <v>8.0000000000000002E-3</v>
          </cell>
          <cell r="T61" t="str">
            <v>-</v>
          </cell>
          <cell r="U61">
            <v>7.6E-3</v>
          </cell>
          <cell r="V61" t="str">
            <v>-</v>
          </cell>
          <cell r="W61">
            <v>7.4000000000000003E-3</v>
          </cell>
          <cell r="X61" t="str">
            <v>-</v>
          </cell>
          <cell r="Y61">
            <v>6.4000000000000003E-3</v>
          </cell>
          <cell r="Z61" t="str">
            <v/>
          </cell>
          <cell r="AA61">
            <v>7.0511896915604576E-3</v>
          </cell>
          <cell r="AE61">
            <v>9.1665465990285952E-3</v>
          </cell>
          <cell r="AG61">
            <v>8.8139871144505728E-3</v>
          </cell>
          <cell r="AI61">
            <v>8.4614276298725505E-3</v>
          </cell>
          <cell r="AK61">
            <v>8.1088681452945264E-3</v>
          </cell>
          <cell r="AL61" t="str">
            <v>United Kingdom National</v>
          </cell>
        </row>
        <row r="62">
          <cell r="N62" t="str">
            <v>DOM GBR ZN</v>
          </cell>
          <cell r="O62" t="str">
            <v>minute</v>
          </cell>
          <cell r="P62">
            <v>0</v>
          </cell>
          <cell r="Q62">
            <v>1.7056799999999999</v>
          </cell>
          <cell r="R62">
            <v>0</v>
          </cell>
          <cell r="S62">
            <v>1.7056799999999999</v>
          </cell>
          <cell r="T62">
            <v>0</v>
          </cell>
          <cell r="U62">
            <v>1.7056799999999999</v>
          </cell>
          <cell r="V62">
            <v>0</v>
          </cell>
          <cell r="W62">
            <v>1.7056799999999999</v>
          </cell>
          <cell r="X62">
            <v>0</v>
          </cell>
          <cell r="Y62">
            <v>1.4214</v>
          </cell>
          <cell r="Z62" t="str">
            <v/>
          </cell>
          <cell r="AA62">
            <v>1.4631689272478385</v>
          </cell>
          <cell r="AE62">
            <v>1.9021196054221901</v>
          </cell>
          <cell r="AG62">
            <v>1.9021196054221903</v>
          </cell>
          <cell r="AI62">
            <v>1.9021196054221903</v>
          </cell>
          <cell r="AK62">
            <v>1.9021196054221901</v>
          </cell>
          <cell r="AL62" t="str">
            <v>United Kingdom Premium Rate</v>
          </cell>
        </row>
        <row r="63">
          <cell r="N63" t="str">
            <v>DOM GBR ZNC1</v>
          </cell>
          <cell r="O63" t="str">
            <v>call</v>
          </cell>
          <cell r="P63">
            <v>9.9199999999999997E-2</v>
          </cell>
          <cell r="Q63" t="str">
            <v>-</v>
          </cell>
          <cell r="R63">
            <v>9.9199999999999997E-2</v>
          </cell>
          <cell r="S63" t="str">
            <v>-</v>
          </cell>
          <cell r="T63">
            <v>9.9199999999999997E-2</v>
          </cell>
          <cell r="U63" t="str">
            <v>-</v>
          </cell>
          <cell r="V63">
            <v>9.9199999999999997E-2</v>
          </cell>
          <cell r="W63" t="str">
            <v>-</v>
          </cell>
          <cell r="X63">
            <v>8.7496000000000018E-2</v>
          </cell>
          <cell r="Y63" t="str">
            <v>-</v>
          </cell>
          <cell r="Z63">
            <v>0.11919910688163807</v>
          </cell>
          <cell r="AA63" t="str">
            <v/>
          </cell>
          <cell r="AD63">
            <v>0.1549588389461295</v>
          </cell>
          <cell r="AF63">
            <v>0.1549588389461295</v>
          </cell>
          <cell r="AH63">
            <v>0.1549588389461295</v>
          </cell>
          <cell r="AJ63">
            <v>0.1549588389461295</v>
          </cell>
          <cell r="AL63" t="str">
            <v>United Kingdom Prs C1</v>
          </cell>
        </row>
        <row r="64">
          <cell r="N64" t="str">
            <v>DOM GBR ZNC0</v>
          </cell>
          <cell r="O64" t="str">
            <v>call</v>
          </cell>
          <cell r="P64">
            <v>1.45</v>
          </cell>
          <cell r="Q64" t="str">
            <v>-</v>
          </cell>
          <cell r="R64">
            <v>1.45</v>
          </cell>
          <cell r="S64" t="str">
            <v>-</v>
          </cell>
          <cell r="T64">
            <v>1.45</v>
          </cell>
          <cell r="U64" t="str">
            <v>-</v>
          </cell>
          <cell r="V64">
            <v>1.45</v>
          </cell>
          <cell r="W64" t="str">
            <v>-</v>
          </cell>
          <cell r="X64">
            <v>1.4073954285714287</v>
          </cell>
          <cell r="Y64" t="str">
            <v>-</v>
          </cell>
          <cell r="Z64">
            <v>1.4760308715875203</v>
          </cell>
          <cell r="AA64" t="str">
            <v/>
          </cell>
          <cell r="AD64">
            <v>1.9188401330637765</v>
          </cell>
          <cell r="AF64">
            <v>1.9188401330637765</v>
          </cell>
          <cell r="AH64">
            <v>1.9188401330637765</v>
          </cell>
          <cell r="AJ64">
            <v>1.9188401330637765</v>
          </cell>
          <cell r="AL64" t="str">
            <v>United Kingdom Prs C10</v>
          </cell>
        </row>
        <row r="65">
          <cell r="N65" t="str">
            <v>DOM GBR ZNC2</v>
          </cell>
          <cell r="O65" t="str">
            <v>call</v>
          </cell>
          <cell r="P65">
            <v>0.19450000000000001</v>
          </cell>
          <cell r="Q65" t="str">
            <v>-</v>
          </cell>
          <cell r="R65">
            <v>0.19450000000000001</v>
          </cell>
          <cell r="S65" t="str">
            <v>-</v>
          </cell>
          <cell r="T65">
            <v>0.19450000000000001</v>
          </cell>
          <cell r="U65" t="str">
            <v>-</v>
          </cell>
          <cell r="V65">
            <v>0.19450000000000001</v>
          </cell>
          <cell r="W65" t="str">
            <v>-</v>
          </cell>
          <cell r="X65">
            <v>0.18058742857142859</v>
          </cell>
          <cell r="Y65" t="str">
            <v>-</v>
          </cell>
          <cell r="Z65">
            <v>0.21313910688163806</v>
          </cell>
          <cell r="AA65" t="str">
            <v/>
          </cell>
          <cell r="AD65">
            <v>0.2770808389461295</v>
          </cell>
          <cell r="AF65">
            <v>0.2770808389461295</v>
          </cell>
          <cell r="AH65">
            <v>0.2770808389461295</v>
          </cell>
          <cell r="AJ65">
            <v>0.2770808389461295</v>
          </cell>
          <cell r="AL65" t="str">
            <v>United Kingdom Prs C2</v>
          </cell>
        </row>
        <row r="66">
          <cell r="N66" t="str">
            <v>DOM GBR ZNC3</v>
          </cell>
          <cell r="O66" t="str">
            <v>call</v>
          </cell>
          <cell r="P66">
            <v>0.33939999999999998</v>
          </cell>
          <cell r="Q66" t="str">
            <v>-</v>
          </cell>
          <cell r="R66">
            <v>0.33939999999999998</v>
          </cell>
          <cell r="S66" t="str">
            <v>-</v>
          </cell>
          <cell r="T66">
            <v>0.33939999999999998</v>
          </cell>
          <cell r="U66" t="str">
            <v>-</v>
          </cell>
          <cell r="V66">
            <v>0.33939999999999998</v>
          </cell>
          <cell r="W66" t="str">
            <v>-</v>
          </cell>
          <cell r="X66">
            <v>0.3213314285714286</v>
          </cell>
          <cell r="Y66" t="str">
            <v>-</v>
          </cell>
          <cell r="Z66">
            <v>0.35802381276399098</v>
          </cell>
          <cell r="AA66" t="str">
            <v/>
          </cell>
          <cell r="AD66">
            <v>0.46543095659318828</v>
          </cell>
          <cell r="AF66">
            <v>0.46543095659318828</v>
          </cell>
          <cell r="AH66">
            <v>0.46543095659318828</v>
          </cell>
          <cell r="AJ66">
            <v>0.46543095659318828</v>
          </cell>
          <cell r="AL66" t="str">
            <v>United Kingdom Prs C3</v>
          </cell>
        </row>
        <row r="67">
          <cell r="N67" t="str">
            <v>DOM GBR ZNC4</v>
          </cell>
          <cell r="O67" t="str">
            <v>call</v>
          </cell>
          <cell r="P67">
            <v>0.43669999999999998</v>
          </cell>
          <cell r="Q67" t="str">
            <v>-</v>
          </cell>
          <cell r="R67">
            <v>0.43669999999999998</v>
          </cell>
          <cell r="S67" t="str">
            <v>-</v>
          </cell>
          <cell r="T67">
            <v>0.43669999999999998</v>
          </cell>
          <cell r="U67" t="str">
            <v>-</v>
          </cell>
          <cell r="V67">
            <v>0.43669999999999998</v>
          </cell>
          <cell r="W67" t="str">
            <v>-</v>
          </cell>
          <cell r="X67">
            <v>0.41553142857142866</v>
          </cell>
          <cell r="Y67" t="str">
            <v>-</v>
          </cell>
          <cell r="Z67">
            <v>0.45499440099928512</v>
          </cell>
          <cell r="AA67" t="str">
            <v/>
          </cell>
          <cell r="AD67">
            <v>0.59149272129907071</v>
          </cell>
          <cell r="AF67">
            <v>0.59149272129907071</v>
          </cell>
          <cell r="AH67">
            <v>0.59149272129907071</v>
          </cell>
          <cell r="AJ67">
            <v>0.59149272129907071</v>
          </cell>
          <cell r="AL67" t="str">
            <v>United Kingdom Prs C4</v>
          </cell>
        </row>
        <row r="68">
          <cell r="N68" t="str">
            <v>DOM GBR ZNC5</v>
          </cell>
          <cell r="O68" t="str">
            <v>call</v>
          </cell>
          <cell r="P68">
            <v>0.48049999999999998</v>
          </cell>
          <cell r="Q68" t="str">
            <v>-</v>
          </cell>
          <cell r="R68">
            <v>0.48049999999999998</v>
          </cell>
          <cell r="S68" t="str">
            <v>-</v>
          </cell>
          <cell r="T68">
            <v>0.48049999999999998</v>
          </cell>
          <cell r="U68" t="str">
            <v>-</v>
          </cell>
          <cell r="V68">
            <v>0.48049999999999998</v>
          </cell>
          <cell r="W68" t="str">
            <v>-</v>
          </cell>
          <cell r="X68">
            <v>0.45764457142857146</v>
          </cell>
          <cell r="Y68" t="str">
            <v>-</v>
          </cell>
          <cell r="Z68">
            <v>0.49834498923457932</v>
          </cell>
          <cell r="AA68" t="str">
            <v/>
          </cell>
          <cell r="AD68">
            <v>0.64784848600495315</v>
          </cell>
          <cell r="AF68">
            <v>0.64784848600495315</v>
          </cell>
          <cell r="AH68">
            <v>0.64784848600495315</v>
          </cell>
          <cell r="AJ68">
            <v>0.64784848600495315</v>
          </cell>
          <cell r="AL68" t="str">
            <v>United Kingdom Prs C5</v>
          </cell>
        </row>
        <row r="69">
          <cell r="N69" t="str">
            <v>DOM GBR ZNC6</v>
          </cell>
          <cell r="O69" t="str">
            <v>call</v>
          </cell>
          <cell r="P69">
            <v>0.63219999999999998</v>
          </cell>
          <cell r="Q69" t="str">
            <v>-</v>
          </cell>
          <cell r="R69">
            <v>0.63219999999999998</v>
          </cell>
          <cell r="S69" t="str">
            <v>-</v>
          </cell>
          <cell r="T69">
            <v>0.63219999999999998</v>
          </cell>
          <cell r="U69" t="str">
            <v>-</v>
          </cell>
          <cell r="V69">
            <v>0.63219999999999998</v>
          </cell>
          <cell r="W69" t="str">
            <v>-</v>
          </cell>
          <cell r="X69">
            <v>0.55849257142857145</v>
          </cell>
          <cell r="Y69" t="str">
            <v>-</v>
          </cell>
          <cell r="Z69">
            <v>0.65007440099928526</v>
          </cell>
          <cell r="AA69" t="str">
            <v/>
          </cell>
          <cell r="AD69">
            <v>0.84509672129907087</v>
          </cell>
          <cell r="AF69">
            <v>0.84509672129907087</v>
          </cell>
          <cell r="AH69">
            <v>0.84509672129907087</v>
          </cell>
          <cell r="AJ69">
            <v>0.84509672129907087</v>
          </cell>
          <cell r="AL69" t="str">
            <v>United Kingdom Prs C6</v>
          </cell>
        </row>
        <row r="70">
          <cell r="N70" t="str">
            <v>DOM GBR ZNC7</v>
          </cell>
          <cell r="O70" t="str">
            <v>call</v>
          </cell>
          <cell r="P70">
            <v>0.77910000000000001</v>
          </cell>
          <cell r="Q70" t="str">
            <v>-</v>
          </cell>
          <cell r="R70">
            <v>0.77910000000000001</v>
          </cell>
          <cell r="S70" t="str">
            <v>-</v>
          </cell>
          <cell r="T70">
            <v>0.77910000000000001</v>
          </cell>
          <cell r="U70" t="str">
            <v>-</v>
          </cell>
          <cell r="V70">
            <v>0.77910000000000001</v>
          </cell>
          <cell r="W70" t="str">
            <v>-</v>
          </cell>
          <cell r="X70">
            <v>0.70034628571428581</v>
          </cell>
          <cell r="Y70" t="str">
            <v>-</v>
          </cell>
          <cell r="Z70">
            <v>0.79610028335222638</v>
          </cell>
          <cell r="AA70" t="str">
            <v/>
          </cell>
          <cell r="AD70">
            <v>1.0349303683578943</v>
          </cell>
          <cell r="AF70">
            <v>1.0349303683578943</v>
          </cell>
          <cell r="AH70">
            <v>1.0349303683578943</v>
          </cell>
          <cell r="AJ70">
            <v>1.0349303683578943</v>
          </cell>
          <cell r="AL70" t="str">
            <v>United Kingdom Prs C7</v>
          </cell>
        </row>
        <row r="71">
          <cell r="N71" t="str">
            <v>DOM GBR ZNC8</v>
          </cell>
          <cell r="O71" t="str">
            <v>call</v>
          </cell>
          <cell r="P71">
            <v>0.87629999999999997</v>
          </cell>
          <cell r="Q71" t="str">
            <v>-</v>
          </cell>
          <cell r="R71">
            <v>0.87629999999999997</v>
          </cell>
          <cell r="S71" t="str">
            <v>-</v>
          </cell>
          <cell r="T71">
            <v>0.87629999999999997</v>
          </cell>
          <cell r="U71" t="str">
            <v>-</v>
          </cell>
          <cell r="V71">
            <v>0.87629999999999997</v>
          </cell>
          <cell r="W71" t="str">
            <v>-</v>
          </cell>
          <cell r="X71">
            <v>0.84109142857142871</v>
          </cell>
          <cell r="Y71" t="str">
            <v>-</v>
          </cell>
          <cell r="Z71">
            <v>0.89307087158752041</v>
          </cell>
          <cell r="AA71" t="str">
            <v/>
          </cell>
          <cell r="AD71">
            <v>1.1609921330637765</v>
          </cell>
          <cell r="AF71">
            <v>1.1609921330637765</v>
          </cell>
          <cell r="AH71">
            <v>1.1609921330637765</v>
          </cell>
          <cell r="AJ71">
            <v>1.1609921330637765</v>
          </cell>
          <cell r="AL71" t="str">
            <v>United Kingdom Prs C8</v>
          </cell>
        </row>
        <row r="72">
          <cell r="N72" t="str">
            <v>DOM GBR ZNC9</v>
          </cell>
          <cell r="O72" t="str">
            <v>call</v>
          </cell>
          <cell r="P72">
            <v>0.97460000000000002</v>
          </cell>
          <cell r="Q72" t="str">
            <v>-</v>
          </cell>
          <cell r="R72">
            <v>0.97460000000000002</v>
          </cell>
          <cell r="S72" t="str">
            <v>-</v>
          </cell>
          <cell r="T72">
            <v>0.97460000000000002</v>
          </cell>
          <cell r="U72" t="str">
            <v>-</v>
          </cell>
          <cell r="V72">
            <v>0.97460000000000002</v>
          </cell>
          <cell r="W72" t="str">
            <v>-</v>
          </cell>
          <cell r="X72">
            <v>0.93639885714285731</v>
          </cell>
          <cell r="Y72" t="str">
            <v>-</v>
          </cell>
          <cell r="Z72">
            <v>0.99118145982281469</v>
          </cell>
          <cell r="AA72" t="str">
            <v/>
          </cell>
          <cell r="AD72">
            <v>1.288535897769659</v>
          </cell>
          <cell r="AF72">
            <v>1.288535897769659</v>
          </cell>
          <cell r="AH72">
            <v>1.288535897769659</v>
          </cell>
          <cell r="AJ72">
            <v>1.288535897769659</v>
          </cell>
          <cell r="AL72" t="str">
            <v>United Kingdom Prs C9</v>
          </cell>
        </row>
        <row r="73">
          <cell r="N73" t="str">
            <v>DOM GBR ZNCM1</v>
          </cell>
          <cell r="O73" t="str">
            <v>minute &amp; call</v>
          </cell>
          <cell r="P73">
            <v>0.58289999999999997</v>
          </cell>
          <cell r="Q73">
            <v>0.58360000000000001</v>
          </cell>
          <cell r="R73">
            <v>0.58289999999999997</v>
          </cell>
          <cell r="S73">
            <v>0.58360000000000001</v>
          </cell>
          <cell r="T73">
            <v>0.58289999999999997</v>
          </cell>
          <cell r="U73">
            <v>0.58360000000000001</v>
          </cell>
          <cell r="V73">
            <v>0.58289999999999997</v>
          </cell>
          <cell r="W73">
            <v>0.58360000000000001</v>
          </cell>
          <cell r="X73">
            <v>0.55738514285714291</v>
          </cell>
          <cell r="Y73">
            <v>0.5544</v>
          </cell>
          <cell r="Z73">
            <v>0.58926381276399109</v>
          </cell>
          <cell r="AA73">
            <v>0.59435974482332521</v>
          </cell>
          <cell r="AD73">
            <v>0.76604295659318844</v>
          </cell>
          <cell r="AE73">
            <v>0.77266766827032285</v>
          </cell>
          <cell r="AF73">
            <v>0.76604295659318855</v>
          </cell>
          <cell r="AG73">
            <v>0.77266766827032285</v>
          </cell>
          <cell r="AH73">
            <v>0.76604295659318855</v>
          </cell>
          <cell r="AI73">
            <v>0.77266766827032285</v>
          </cell>
          <cell r="AJ73">
            <v>0.76604295659318844</v>
          </cell>
          <cell r="AK73">
            <v>0.77266766827032285</v>
          </cell>
          <cell r="AL73" t="str">
            <v>United Kingdom Prs Cm1</v>
          </cell>
        </row>
        <row r="74">
          <cell r="N74" t="str">
            <v>DOM GBR ZNCM2</v>
          </cell>
          <cell r="O74" t="str">
            <v>minute &amp; call</v>
          </cell>
          <cell r="P74">
            <v>0.48570000000000002</v>
          </cell>
          <cell r="Q74">
            <v>0.48630000000000001</v>
          </cell>
          <cell r="R74">
            <v>0.48570000000000002</v>
          </cell>
          <cell r="S74">
            <v>0.48630000000000001</v>
          </cell>
          <cell r="T74">
            <v>0.48570000000000002</v>
          </cell>
          <cell r="U74">
            <v>0.48630000000000001</v>
          </cell>
          <cell r="V74">
            <v>0.48570000000000002</v>
          </cell>
          <cell r="W74">
            <v>0.48630000000000001</v>
          </cell>
          <cell r="X74">
            <v>0.46318514285714291</v>
          </cell>
          <cell r="Y74">
            <v>0.46200000000000002</v>
          </cell>
          <cell r="Z74">
            <v>0.49229322452869689</v>
          </cell>
          <cell r="AA74">
            <v>0.4972750389409723</v>
          </cell>
          <cell r="AD74">
            <v>0.63998119188730596</v>
          </cell>
          <cell r="AE74">
            <v>0.64645755062326404</v>
          </cell>
          <cell r="AF74">
            <v>0.63998119188730596</v>
          </cell>
          <cell r="AG74">
            <v>0.64645755062326415</v>
          </cell>
          <cell r="AH74">
            <v>0.63998119188730596</v>
          </cell>
          <cell r="AI74">
            <v>0.64645755062326415</v>
          </cell>
          <cell r="AJ74">
            <v>0.63998119188730596</v>
          </cell>
          <cell r="AK74">
            <v>0.64645755062326404</v>
          </cell>
          <cell r="AL74" t="str">
            <v>United Kingdom Prs Cm2</v>
          </cell>
        </row>
        <row r="75">
          <cell r="N75" t="str">
            <v>DOM GBR ZNCM3</v>
          </cell>
          <cell r="O75" t="str">
            <v>minute &amp; call</v>
          </cell>
          <cell r="P75">
            <v>0.43769999999999998</v>
          </cell>
          <cell r="Q75">
            <v>0.43769999999999998</v>
          </cell>
          <cell r="R75">
            <v>0.43769999999999998</v>
          </cell>
          <cell r="S75">
            <v>0.43769999999999998</v>
          </cell>
          <cell r="T75">
            <v>0.43769999999999998</v>
          </cell>
          <cell r="U75">
            <v>0.43769999999999998</v>
          </cell>
          <cell r="V75">
            <v>0.43769999999999998</v>
          </cell>
          <cell r="W75">
            <v>0.43769999999999998</v>
          </cell>
          <cell r="X75">
            <v>0.41664000000000012</v>
          </cell>
          <cell r="Y75">
            <v>0.4158</v>
          </cell>
          <cell r="Z75">
            <v>0.44437910688163801</v>
          </cell>
          <cell r="AA75">
            <v>0.44872209776450167</v>
          </cell>
          <cell r="AD75">
            <v>0.57769283894612944</v>
          </cell>
          <cell r="AE75">
            <v>0.58333872709385215</v>
          </cell>
          <cell r="AF75">
            <v>0.57769283894612955</v>
          </cell>
          <cell r="AG75">
            <v>0.58333872709385215</v>
          </cell>
          <cell r="AH75">
            <v>0.57769283894612955</v>
          </cell>
          <cell r="AI75">
            <v>0.58333872709385215</v>
          </cell>
          <cell r="AJ75">
            <v>0.57769283894612944</v>
          </cell>
          <cell r="AK75">
            <v>0.58333872709385215</v>
          </cell>
          <cell r="AL75" t="str">
            <v>United Kingdom Prs Cm3</v>
          </cell>
        </row>
        <row r="76">
          <cell r="N76" t="str">
            <v>DOM GBR ZNCM4</v>
          </cell>
          <cell r="O76" t="str">
            <v>minute &amp; call</v>
          </cell>
          <cell r="P76">
            <v>0.10059999999999999</v>
          </cell>
          <cell r="Q76">
            <v>0.1002</v>
          </cell>
          <cell r="R76">
            <v>0.10059999999999999</v>
          </cell>
          <cell r="S76">
            <v>0.1002</v>
          </cell>
          <cell r="T76">
            <v>0.10059999999999999</v>
          </cell>
          <cell r="U76">
            <v>0.1002</v>
          </cell>
          <cell r="V76">
            <v>0.10059999999999999</v>
          </cell>
          <cell r="W76">
            <v>0.1002</v>
          </cell>
          <cell r="X76">
            <v>9.5542857142857152E-2</v>
          </cell>
          <cell r="Y76">
            <v>9.5200000000000007E-2</v>
          </cell>
          <cell r="Z76">
            <v>0.10783557746987336</v>
          </cell>
          <cell r="AA76">
            <v>0.11182562717626635</v>
          </cell>
          <cell r="AD76">
            <v>0.14018625071083538</v>
          </cell>
          <cell r="AE76">
            <v>0.14537331532914624</v>
          </cell>
          <cell r="AF76">
            <v>0.14018625071083538</v>
          </cell>
          <cell r="AG76">
            <v>0.14537331532914627</v>
          </cell>
          <cell r="AH76">
            <v>0.14018625071083538</v>
          </cell>
          <cell r="AI76">
            <v>0.14537331532914627</v>
          </cell>
          <cell r="AJ76">
            <v>0.14018625071083538</v>
          </cell>
          <cell r="AK76">
            <v>0.14537331532914624</v>
          </cell>
          <cell r="AL76" t="str">
            <v>United Kingdom Prs Cm4</v>
          </cell>
        </row>
        <row r="77">
          <cell r="N77" t="str">
            <v>DOM GBR ZNCM5</v>
          </cell>
          <cell r="O77" t="str">
            <v>minute &amp; call</v>
          </cell>
          <cell r="P77">
            <v>1.4595</v>
          </cell>
          <cell r="Q77">
            <v>1.4589000000000001</v>
          </cell>
          <cell r="R77">
            <v>1.4595</v>
          </cell>
          <cell r="S77">
            <v>1.4589000000000001</v>
          </cell>
          <cell r="T77">
            <v>1.4595</v>
          </cell>
          <cell r="U77">
            <v>1.4589000000000001</v>
          </cell>
          <cell r="V77">
            <v>1.4595</v>
          </cell>
          <cell r="W77">
            <v>1.4589000000000001</v>
          </cell>
          <cell r="X77">
            <v>1.3864802431610943</v>
          </cell>
          <cell r="Y77">
            <v>1.3858999999999999</v>
          </cell>
          <cell r="Z77">
            <v>1.4642661657051674</v>
          </cell>
          <cell r="AA77">
            <v>1.4680726859997957</v>
          </cell>
          <cell r="AD77">
            <v>1.9035460154167176</v>
          </cell>
          <cell r="AE77">
            <v>1.9084944917997344</v>
          </cell>
          <cell r="AF77">
            <v>1.9035460154167176</v>
          </cell>
          <cell r="AG77">
            <v>1.9084944917997346</v>
          </cell>
          <cell r="AH77">
            <v>1.9035460154167176</v>
          </cell>
          <cell r="AI77">
            <v>1.9084944917997346</v>
          </cell>
          <cell r="AJ77">
            <v>1.9035460154167176</v>
          </cell>
          <cell r="AK77">
            <v>1.9084944917997344</v>
          </cell>
          <cell r="AL77" t="str">
            <v>United Kingdom Prs Cm5</v>
          </cell>
        </row>
        <row r="78">
          <cell r="N78" t="str">
            <v>DOM GBR ZNCM6</v>
          </cell>
          <cell r="O78" t="str">
            <v>minute &amp; call</v>
          </cell>
          <cell r="P78">
            <v>0.97260000000000002</v>
          </cell>
          <cell r="Q78">
            <v>0.97260000000000002</v>
          </cell>
          <cell r="R78">
            <v>0.97260000000000002</v>
          </cell>
          <cell r="S78">
            <v>0.97260000000000002</v>
          </cell>
          <cell r="T78">
            <v>0.97260000000000002</v>
          </cell>
          <cell r="U78">
            <v>0.97260000000000002</v>
          </cell>
          <cell r="V78">
            <v>0.97260000000000002</v>
          </cell>
          <cell r="W78">
            <v>0.97260000000000002</v>
          </cell>
          <cell r="X78">
            <v>0.92401215805471115</v>
          </cell>
          <cell r="Y78">
            <v>0.92400000000000004</v>
          </cell>
          <cell r="Z78">
            <v>0.9783896951169323</v>
          </cell>
          <cell r="AA78">
            <v>0.98237974482332513</v>
          </cell>
          <cell r="AD78">
            <v>1.2719066036520121</v>
          </cell>
          <cell r="AE78">
            <v>1.2770936682703227</v>
          </cell>
          <cell r="AF78">
            <v>1.2719066036520124</v>
          </cell>
          <cell r="AG78">
            <v>1.2770936682703229</v>
          </cell>
          <cell r="AH78">
            <v>1.2719066036520124</v>
          </cell>
          <cell r="AI78">
            <v>1.2770936682703229</v>
          </cell>
          <cell r="AJ78">
            <v>1.2719066036520121</v>
          </cell>
          <cell r="AK78">
            <v>1.2770936682703227</v>
          </cell>
          <cell r="AL78" t="str">
            <v>United Kingdom Prs Cm6</v>
          </cell>
        </row>
        <row r="79">
          <cell r="N79" t="str">
            <v>DOM GBR ZNCM7</v>
          </cell>
          <cell r="O79" t="str">
            <v>minute &amp; call</v>
          </cell>
          <cell r="P79">
            <v>0.19450000000000001</v>
          </cell>
          <cell r="Q79">
            <v>3.8399999999999997E-2</v>
          </cell>
          <cell r="R79">
            <v>0.19450000000000001</v>
          </cell>
          <cell r="S79">
            <v>3.8399999999999997E-2</v>
          </cell>
          <cell r="T79">
            <v>0.19450000000000001</v>
          </cell>
          <cell r="U79">
            <v>3.8399999999999997E-2</v>
          </cell>
          <cell r="V79">
            <v>0.19450000000000001</v>
          </cell>
          <cell r="W79">
            <v>3.8399999999999997E-2</v>
          </cell>
          <cell r="X79">
            <v>0.18480243161094226</v>
          </cell>
          <cell r="Y79">
            <v>3.6499999999999998E-2</v>
          </cell>
          <cell r="Z79">
            <v>0.20798969511693222</v>
          </cell>
          <cell r="AA79">
            <v>4.9452685999795756E-2</v>
          </cell>
          <cell r="AD79">
            <v>0.27038660365201189</v>
          </cell>
          <cell r="AE79">
            <v>6.428849179973449E-2</v>
          </cell>
          <cell r="AF79">
            <v>0.27038660365201189</v>
          </cell>
          <cell r="AG79">
            <v>6.428849179973449E-2</v>
          </cell>
          <cell r="AH79">
            <v>0.27038660365201189</v>
          </cell>
          <cell r="AI79">
            <v>6.428849179973449E-2</v>
          </cell>
          <cell r="AJ79">
            <v>0.27038660365201189</v>
          </cell>
          <cell r="AK79">
            <v>6.428849179973449E-2</v>
          </cell>
          <cell r="AL79" t="str">
            <v>United Kingdom Prs Cm7</v>
          </cell>
        </row>
        <row r="80">
          <cell r="N80" t="str">
            <v>DOM GBR ZNCM8</v>
          </cell>
          <cell r="O80" t="str">
            <v>minute &amp; call</v>
          </cell>
          <cell r="P80">
            <v>0.2432</v>
          </cell>
          <cell r="Q80">
            <v>4.8099999999999997E-2</v>
          </cell>
          <cell r="R80">
            <v>0.2432</v>
          </cell>
          <cell r="S80">
            <v>4.8099999999999997E-2</v>
          </cell>
          <cell r="T80">
            <v>0.2432</v>
          </cell>
          <cell r="U80">
            <v>4.8099999999999997E-2</v>
          </cell>
          <cell r="V80">
            <v>0.2432</v>
          </cell>
          <cell r="W80">
            <v>4.8099999999999997E-2</v>
          </cell>
          <cell r="X80">
            <v>0.23100303951367779</v>
          </cell>
          <cell r="Y80">
            <v>4.5699999999999998E-2</v>
          </cell>
          <cell r="Z80">
            <v>0.25740145982281454</v>
          </cell>
          <cell r="AA80">
            <v>3.9475038940972228E-2</v>
          </cell>
          <cell r="AD80">
            <v>0.33462189776965889</v>
          </cell>
          <cell r="AE80">
            <v>5.1317550623263895E-2</v>
          </cell>
          <cell r="AF80">
            <v>0.33462189776965889</v>
          </cell>
          <cell r="AG80">
            <v>5.1317550623263902E-2</v>
          </cell>
          <cell r="AH80">
            <v>0.33462189776965889</v>
          </cell>
          <cell r="AI80">
            <v>5.1317550623263902E-2</v>
          </cell>
          <cell r="AJ80">
            <v>0.33462189776965889</v>
          </cell>
          <cell r="AK80">
            <v>5.1317550623263895E-2</v>
          </cell>
          <cell r="AL80" t="str">
            <v>United Kingdom Prs Cm8</v>
          </cell>
        </row>
        <row r="81">
          <cell r="N81" t="str">
            <v>DOM GBR ZNCM9</v>
          </cell>
          <cell r="O81" t="str">
            <v>minute &amp; call</v>
          </cell>
          <cell r="P81">
            <v>0.48630000000000001</v>
          </cell>
          <cell r="Q81">
            <v>3.8399999999999997E-2</v>
          </cell>
          <cell r="R81">
            <v>0.48630000000000001</v>
          </cell>
          <cell r="S81">
            <v>3.8399999999999997E-2</v>
          </cell>
          <cell r="T81">
            <v>0.48630000000000001</v>
          </cell>
          <cell r="U81">
            <v>3.8399999999999997E-2</v>
          </cell>
          <cell r="V81">
            <v>0.48630000000000001</v>
          </cell>
          <cell r="W81">
            <v>3.8399999999999997E-2</v>
          </cell>
          <cell r="X81">
            <v>0.46200607902735558</v>
          </cell>
          <cell r="Y81">
            <v>3.6499999999999998E-2</v>
          </cell>
          <cell r="Z81">
            <v>0.50446028335222637</v>
          </cell>
          <cell r="AA81">
            <v>2.6905627176266343E-2</v>
          </cell>
          <cell r="AD81">
            <v>0.65579836835789429</v>
          </cell>
          <cell r="AE81">
            <v>3.4977315329146247E-2</v>
          </cell>
          <cell r="AF81">
            <v>0.65579836835789429</v>
          </cell>
          <cell r="AG81">
            <v>3.4977315329146247E-2</v>
          </cell>
          <cell r="AH81">
            <v>0.65579836835789429</v>
          </cell>
          <cell r="AI81">
            <v>3.4977315329146247E-2</v>
          </cell>
          <cell r="AJ81">
            <v>0.65579836835789429</v>
          </cell>
          <cell r="AK81">
            <v>3.4977315329146247E-2</v>
          </cell>
          <cell r="AL81" t="str">
            <v>United Kingdom Prs Cm9</v>
          </cell>
        </row>
        <row r="82">
          <cell r="N82" t="str">
            <v>DOM GBR ZNM1</v>
          </cell>
          <cell r="O82" t="str">
            <v>minute</v>
          </cell>
          <cell r="P82" t="str">
            <v>-</v>
          </cell>
          <cell r="Q82">
            <v>9.7299999999999998E-2</v>
          </cell>
          <cell r="R82" t="str">
            <v>-</v>
          </cell>
          <cell r="S82">
            <v>9.7299999999999998E-2</v>
          </cell>
          <cell r="T82" t="str">
            <v>-</v>
          </cell>
          <cell r="U82">
            <v>9.7299999999999998E-2</v>
          </cell>
          <cell r="V82" t="str">
            <v>-</v>
          </cell>
          <cell r="W82">
            <v>9.7299999999999998E-2</v>
          </cell>
          <cell r="X82" t="str">
            <v>-</v>
          </cell>
          <cell r="Y82">
            <v>8.5000000000000006E-2</v>
          </cell>
          <cell r="Z82" t="str">
            <v/>
          </cell>
          <cell r="AA82">
            <v>0.12201974482332517</v>
          </cell>
          <cell r="AE82">
            <v>0.15862566827032273</v>
          </cell>
          <cell r="AG82">
            <v>0.15862566827032276</v>
          </cell>
          <cell r="AI82">
            <v>0.15862566827032276</v>
          </cell>
          <cell r="AK82">
            <v>0.15862566827032273</v>
          </cell>
          <cell r="AL82" t="str">
            <v>United Kingdom Prs M1</v>
          </cell>
        </row>
        <row r="83">
          <cell r="N83" t="str">
            <v>DOM GBR ZNM0</v>
          </cell>
          <cell r="O83" t="str">
            <v>minute</v>
          </cell>
          <cell r="P83" t="str">
            <v>-</v>
          </cell>
          <cell r="Q83">
            <v>0.19450000000000001</v>
          </cell>
          <cell r="R83" t="str">
            <v>-</v>
          </cell>
          <cell r="S83">
            <v>0.19450000000000001</v>
          </cell>
          <cell r="T83" t="str">
            <v>-</v>
          </cell>
          <cell r="U83">
            <v>0.19450000000000001</v>
          </cell>
          <cell r="V83" t="str">
            <v>-</v>
          </cell>
          <cell r="W83">
            <v>0.19450000000000001</v>
          </cell>
          <cell r="X83" t="str">
            <v>-</v>
          </cell>
          <cell r="Y83">
            <v>0.1749</v>
          </cell>
          <cell r="Z83" t="str">
            <v/>
          </cell>
          <cell r="AA83">
            <v>1.4885115095292076</v>
          </cell>
          <cell r="AE83">
            <v>1.9350649623879699</v>
          </cell>
          <cell r="AG83">
            <v>1.9350649623879699</v>
          </cell>
          <cell r="AI83">
            <v>1.9350649623879699</v>
          </cell>
          <cell r="AK83">
            <v>1.9350649623879699</v>
          </cell>
          <cell r="AL83" t="str">
            <v>United Kingdom Prs M10</v>
          </cell>
        </row>
        <row r="84">
          <cell r="N84" t="str">
            <v>DOM GBR ZNM2</v>
          </cell>
          <cell r="O84" t="str">
            <v>minute</v>
          </cell>
          <cell r="P84" t="str">
            <v>-</v>
          </cell>
          <cell r="Q84">
            <v>0.34039999999999998</v>
          </cell>
          <cell r="R84" t="str">
            <v>-</v>
          </cell>
          <cell r="S84">
            <v>0.34039999999999998</v>
          </cell>
          <cell r="T84" t="str">
            <v>-</v>
          </cell>
          <cell r="U84">
            <v>0.34039999999999998</v>
          </cell>
          <cell r="V84" t="str">
            <v>-</v>
          </cell>
          <cell r="W84">
            <v>0.34039999999999998</v>
          </cell>
          <cell r="X84" t="str">
            <v>-</v>
          </cell>
          <cell r="Y84">
            <v>0.29060000000000002</v>
          </cell>
          <cell r="Z84" t="str">
            <v/>
          </cell>
          <cell r="AA84">
            <v>0.225133862470384</v>
          </cell>
          <cell r="AE84">
            <v>0.29267402121149921</v>
          </cell>
          <cell r="AG84">
            <v>0.29267402121149921</v>
          </cell>
          <cell r="AI84">
            <v>0.29267402121149921</v>
          </cell>
          <cell r="AK84">
            <v>0.29267402121149921</v>
          </cell>
          <cell r="AL84" t="str">
            <v>United Kingdom Prs M2</v>
          </cell>
        </row>
        <row r="85">
          <cell r="N85" t="str">
            <v>DOM GBR ZNM3</v>
          </cell>
          <cell r="O85" t="str">
            <v>minute</v>
          </cell>
          <cell r="P85" t="str">
            <v>-</v>
          </cell>
          <cell r="Q85">
            <v>0.34039999999999998</v>
          </cell>
          <cell r="R85" t="str">
            <v>-</v>
          </cell>
          <cell r="S85">
            <v>0.34039999999999998</v>
          </cell>
          <cell r="T85" t="str">
            <v>-</v>
          </cell>
          <cell r="U85">
            <v>0.34039999999999998</v>
          </cell>
          <cell r="V85" t="str">
            <v>-</v>
          </cell>
          <cell r="W85">
            <v>0.34039999999999998</v>
          </cell>
          <cell r="X85" t="str">
            <v>-</v>
          </cell>
          <cell r="Y85">
            <v>0.29060000000000002</v>
          </cell>
          <cell r="Z85" t="str">
            <v/>
          </cell>
          <cell r="AA85">
            <v>0.225133862470384</v>
          </cell>
          <cell r="AE85">
            <v>0.29267402121149921</v>
          </cell>
          <cell r="AG85">
            <v>0.29267402121149921</v>
          </cell>
          <cell r="AI85">
            <v>0.29267402121149921</v>
          </cell>
          <cell r="AK85">
            <v>0.29267402121149921</v>
          </cell>
          <cell r="AL85" t="str">
            <v>United Kingdom Prs M3</v>
          </cell>
        </row>
        <row r="86">
          <cell r="N86" t="str">
            <v>DOM GBR ZNM4</v>
          </cell>
          <cell r="O86" t="str">
            <v>minute</v>
          </cell>
          <cell r="P86" t="str">
            <v>-</v>
          </cell>
          <cell r="Q86">
            <v>0.43769999999999998</v>
          </cell>
          <cell r="R86" t="str">
            <v>-</v>
          </cell>
          <cell r="S86">
            <v>0.43769999999999998</v>
          </cell>
          <cell r="T86" t="str">
            <v>-</v>
          </cell>
          <cell r="U86">
            <v>0.43769999999999998</v>
          </cell>
          <cell r="V86" t="str">
            <v>-</v>
          </cell>
          <cell r="W86">
            <v>0.43769999999999998</v>
          </cell>
          <cell r="X86" t="str">
            <v>-</v>
          </cell>
          <cell r="Y86">
            <v>0.40789999999999998</v>
          </cell>
          <cell r="Z86" t="str">
            <v/>
          </cell>
          <cell r="AA86">
            <v>0.46105739188214867</v>
          </cell>
          <cell r="AE86">
            <v>0.59937460944679333</v>
          </cell>
          <cell r="AG86">
            <v>0.59937460944679333</v>
          </cell>
          <cell r="AI86">
            <v>0.59937460944679333</v>
          </cell>
          <cell r="AK86">
            <v>0.59937460944679333</v>
          </cell>
          <cell r="AL86" t="str">
            <v>United Kingdom Prs M4</v>
          </cell>
        </row>
        <row r="87">
          <cell r="N87" t="str">
            <v>DOM GBR ZNM5</v>
          </cell>
          <cell r="O87" t="str">
            <v>minute</v>
          </cell>
          <cell r="P87" t="str">
            <v>-</v>
          </cell>
          <cell r="Q87">
            <v>0.53500000000000003</v>
          </cell>
          <cell r="R87" t="str">
            <v>-</v>
          </cell>
          <cell r="S87">
            <v>0.53500000000000003</v>
          </cell>
          <cell r="T87" t="str">
            <v>-</v>
          </cell>
          <cell r="U87">
            <v>0.53500000000000003</v>
          </cell>
          <cell r="V87" t="str">
            <v>-</v>
          </cell>
          <cell r="W87">
            <v>0.53500000000000003</v>
          </cell>
          <cell r="X87" t="str">
            <v>-</v>
          </cell>
          <cell r="Y87">
            <v>0.50139999999999996</v>
          </cell>
          <cell r="Z87" t="str">
            <v/>
          </cell>
          <cell r="AA87">
            <v>0.56162327423508995</v>
          </cell>
          <cell r="AE87">
            <v>0.73011025650561701</v>
          </cell>
          <cell r="AG87">
            <v>0.73011025650561701</v>
          </cell>
          <cell r="AI87">
            <v>0.73011025650561701</v>
          </cell>
          <cell r="AK87">
            <v>0.73011025650561701</v>
          </cell>
          <cell r="AL87" t="str">
            <v>United Kingdom Prs M5</v>
          </cell>
        </row>
        <row r="88">
          <cell r="N88" t="str">
            <v>DOM GBR ZNM6</v>
          </cell>
          <cell r="O88" t="str">
            <v>minute</v>
          </cell>
          <cell r="P88" t="str">
            <v>-</v>
          </cell>
          <cell r="Q88">
            <v>0.68089999999999995</v>
          </cell>
          <cell r="R88" t="str">
            <v>-</v>
          </cell>
          <cell r="S88">
            <v>0.68089999999999995</v>
          </cell>
          <cell r="T88" t="str">
            <v>-</v>
          </cell>
          <cell r="U88">
            <v>0.68089999999999995</v>
          </cell>
          <cell r="V88" t="str">
            <v>-</v>
          </cell>
          <cell r="W88">
            <v>0.68089999999999995</v>
          </cell>
          <cell r="X88" t="str">
            <v>-</v>
          </cell>
          <cell r="Y88">
            <v>0.63460000000000005</v>
          </cell>
          <cell r="Z88" t="str">
            <v/>
          </cell>
          <cell r="AA88">
            <v>0.71378092129391346</v>
          </cell>
          <cell r="AE88">
            <v>0.92791519768208752</v>
          </cell>
          <cell r="AG88">
            <v>0.92791519768208763</v>
          </cell>
          <cell r="AI88">
            <v>0.92791519768208763</v>
          </cell>
          <cell r="AK88">
            <v>0.92791519768208752</v>
          </cell>
          <cell r="AL88" t="str">
            <v>United Kingdom Prs M6</v>
          </cell>
        </row>
        <row r="89">
          <cell r="N89" t="str">
            <v>DOM GBR ZNM7</v>
          </cell>
          <cell r="O89" t="str">
            <v>minute</v>
          </cell>
          <cell r="P89" t="str">
            <v>-</v>
          </cell>
          <cell r="Q89">
            <v>0.77810000000000001</v>
          </cell>
          <cell r="R89" t="str">
            <v>-</v>
          </cell>
          <cell r="S89">
            <v>0.77810000000000001</v>
          </cell>
          <cell r="T89" t="str">
            <v>-</v>
          </cell>
          <cell r="U89">
            <v>0.77810000000000001</v>
          </cell>
          <cell r="V89" t="str">
            <v>-</v>
          </cell>
          <cell r="W89">
            <v>0.77810000000000001</v>
          </cell>
          <cell r="X89" t="str">
            <v>-</v>
          </cell>
          <cell r="Y89">
            <v>0.73560000000000003</v>
          </cell>
          <cell r="Z89" t="str">
            <v/>
          </cell>
          <cell r="AA89">
            <v>0.91662445070567822</v>
          </cell>
          <cell r="AE89">
            <v>1.1916117859173818</v>
          </cell>
          <cell r="AG89">
            <v>1.1916117859173818</v>
          </cell>
          <cell r="AI89">
            <v>1.1916117859173818</v>
          </cell>
          <cell r="AK89">
            <v>1.1916117859173818</v>
          </cell>
          <cell r="AL89" t="str">
            <v>United Kingdom Prs M7</v>
          </cell>
        </row>
        <row r="90">
          <cell r="N90" t="str">
            <v>DOM GBR ZNM8</v>
          </cell>
          <cell r="O90" t="str">
            <v>minute</v>
          </cell>
          <cell r="P90" t="str">
            <v>-</v>
          </cell>
          <cell r="Q90">
            <v>0.87539999999999996</v>
          </cell>
          <cell r="R90" t="str">
            <v>-</v>
          </cell>
          <cell r="S90">
            <v>0.87539999999999996</v>
          </cell>
          <cell r="T90" t="str">
            <v>-</v>
          </cell>
          <cell r="U90">
            <v>0.87539999999999996</v>
          </cell>
          <cell r="V90" t="str">
            <v>-</v>
          </cell>
          <cell r="W90">
            <v>0.87539999999999996</v>
          </cell>
          <cell r="X90" t="str">
            <v>-</v>
          </cell>
          <cell r="Y90">
            <v>0.83209999999999995</v>
          </cell>
          <cell r="Z90" t="str">
            <v/>
          </cell>
          <cell r="AA90">
            <v>0.9579150389409723</v>
          </cell>
          <cell r="AE90">
            <v>1.245289550623264</v>
          </cell>
          <cell r="AG90">
            <v>1.245289550623264</v>
          </cell>
          <cell r="AI90">
            <v>1.245289550623264</v>
          </cell>
          <cell r="AK90">
            <v>1.245289550623264</v>
          </cell>
          <cell r="AL90" t="str">
            <v>United Kingdom Prs M8</v>
          </cell>
        </row>
        <row r="91">
          <cell r="N91" t="str">
            <v>DOM GBR ZNM9</v>
          </cell>
          <cell r="O91" t="str">
            <v>minute</v>
          </cell>
          <cell r="P91" t="str">
            <v>-</v>
          </cell>
          <cell r="Q91">
            <v>1.0699000000000001</v>
          </cell>
          <cell r="R91" t="str">
            <v>-</v>
          </cell>
          <cell r="S91">
            <v>1.0699000000000001</v>
          </cell>
          <cell r="T91" t="str">
            <v>-</v>
          </cell>
          <cell r="U91">
            <v>1.0699000000000001</v>
          </cell>
          <cell r="V91" t="str">
            <v>-</v>
          </cell>
          <cell r="W91">
            <v>1.0699000000000001</v>
          </cell>
          <cell r="X91" t="str">
            <v>-</v>
          </cell>
          <cell r="Y91">
            <v>0.97450000000000003</v>
          </cell>
          <cell r="Z91" t="str">
            <v/>
          </cell>
          <cell r="AA91">
            <v>1.1020279801174429</v>
          </cell>
          <cell r="AE91">
            <v>1.4326363741526758</v>
          </cell>
          <cell r="AG91">
            <v>1.432636374152676</v>
          </cell>
          <cell r="AI91">
            <v>1.432636374152676</v>
          </cell>
          <cell r="AK91">
            <v>1.4326363741526758</v>
          </cell>
          <cell r="AL91" t="str">
            <v>United Kingdom Prs M9</v>
          </cell>
        </row>
        <row r="92">
          <cell r="N92" t="str">
            <v>DOM GBR ZB</v>
          </cell>
          <cell r="O92" t="str">
            <v>minute</v>
          </cell>
          <cell r="P92" t="str">
            <v>-</v>
          </cell>
          <cell r="Q92">
            <v>2.29E-2</v>
          </cell>
          <cell r="R92" t="str">
            <v>-</v>
          </cell>
          <cell r="S92">
            <v>2.29E-2</v>
          </cell>
          <cell r="T92" t="str">
            <v>-</v>
          </cell>
          <cell r="U92">
            <v>2.29E-2</v>
          </cell>
          <cell r="V92" t="str">
            <v>-</v>
          </cell>
          <cell r="W92">
            <v>2.29E-2</v>
          </cell>
          <cell r="X92" t="str">
            <v>-</v>
          </cell>
          <cell r="Y92">
            <v>2.69E-2</v>
          </cell>
          <cell r="Z92" t="str">
            <v/>
          </cell>
          <cell r="AA92">
            <v>4.0391899899795754E-2</v>
          </cell>
          <cell r="AE92">
            <v>5.2509469869734482E-2</v>
          </cell>
          <cell r="AG92">
            <v>5.2509469869734482E-2</v>
          </cell>
          <cell r="AI92">
            <v>5.2509469869734482E-2</v>
          </cell>
          <cell r="AK92">
            <v>5.2509469869734482E-2</v>
          </cell>
          <cell r="AL92" t="str">
            <v>United Kingdom Special Basic</v>
          </cell>
        </row>
        <row r="93">
          <cell r="N93" t="str">
            <v>DOM GBR ZD</v>
          </cell>
          <cell r="O93" t="str">
            <v>minute</v>
          </cell>
          <cell r="P93" t="str">
            <v>-</v>
          </cell>
          <cell r="Q93">
            <v>4.2200000000000001E-2</v>
          </cell>
          <cell r="R93" t="str">
            <v>-</v>
          </cell>
          <cell r="S93">
            <v>4.2200000000000001E-2</v>
          </cell>
          <cell r="T93" t="str">
            <v>-</v>
          </cell>
          <cell r="U93">
            <v>4.2200000000000001E-2</v>
          </cell>
          <cell r="V93" t="str">
            <v>-</v>
          </cell>
          <cell r="W93">
            <v>4.2200000000000001E-2</v>
          </cell>
          <cell r="X93" t="str">
            <v>-</v>
          </cell>
          <cell r="Y93">
            <v>3.0700000000000002E-2</v>
          </cell>
          <cell r="Z93" t="str">
            <v/>
          </cell>
          <cell r="AA93">
            <v>7.1764589796266348E-2</v>
          </cell>
          <cell r="AE93">
            <v>0.10764688469439952</v>
          </cell>
          <cell r="AG93">
            <v>0.1004704257147729</v>
          </cell>
          <cell r="AI93">
            <v>9.3293966735146255E-2</v>
          </cell>
          <cell r="AK93">
            <v>8.6117507755519615E-2</v>
          </cell>
          <cell r="AL93" t="str">
            <v>United Kingdom Special Higher</v>
          </cell>
        </row>
        <row r="94">
          <cell r="N94" t="str">
            <v>DOM GBR ZD2</v>
          </cell>
          <cell r="O94" t="str">
            <v>minute</v>
          </cell>
          <cell r="P94" t="str">
            <v>-</v>
          </cell>
          <cell r="Q94">
            <v>7.3099999999999998E-2</v>
          </cell>
          <cell r="R94" t="str">
            <v>-</v>
          </cell>
          <cell r="S94">
            <v>7.3099999999999998E-2</v>
          </cell>
          <cell r="T94" t="str">
            <v>-</v>
          </cell>
          <cell r="U94">
            <v>7.3099999999999998E-2</v>
          </cell>
          <cell r="V94" t="str">
            <v>-</v>
          </cell>
          <cell r="W94">
            <v>7.3099999999999998E-2</v>
          </cell>
          <cell r="X94" t="str">
            <v>-</v>
          </cell>
          <cell r="Y94">
            <v>7.0400000000000004E-2</v>
          </cell>
          <cell r="Z94" t="str">
            <v/>
          </cell>
          <cell r="AA94">
            <v>1.8000202130383988E-2</v>
          </cell>
          <cell r="AE94">
            <v>2.7000303195575982E-2</v>
          </cell>
          <cell r="AG94">
            <v>2.5200282982537587E-2</v>
          </cell>
          <cell r="AI94">
            <v>2.3400262769499185E-2</v>
          </cell>
          <cell r="AK94">
            <v>2.1600242556460786E-2</v>
          </cell>
          <cell r="AL94" t="str">
            <v>United Kingdom Special (870)</v>
          </cell>
        </row>
        <row r="95">
          <cell r="N95" t="str">
            <v>DOM GBR ZA</v>
          </cell>
          <cell r="O95" t="str">
            <v>minute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/>
          </cell>
          <cell r="AA95">
            <v>2.9550389409722221E-3</v>
          </cell>
          <cell r="AE95">
            <v>0</v>
          </cell>
          <cell r="AG95">
            <v>0</v>
          </cell>
          <cell r="AI95">
            <v>0</v>
          </cell>
          <cell r="AK95">
            <v>0</v>
          </cell>
          <cell r="AL95" t="str">
            <v>United Kingdom Free Call</v>
          </cell>
        </row>
        <row r="96">
          <cell r="N96" t="str">
            <v>DOM GBR UKSOS</v>
          </cell>
          <cell r="O96" t="str">
            <v>minute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-</v>
          </cell>
          <cell r="Z96" t="str">
            <v/>
          </cell>
          <cell r="AA96">
            <v>0</v>
          </cell>
          <cell r="AE96">
            <v>0</v>
          </cell>
          <cell r="AG96">
            <v>0</v>
          </cell>
          <cell r="AI96">
            <v>0</v>
          </cell>
          <cell r="AK96">
            <v>0</v>
          </cell>
          <cell r="AL96" t="str">
            <v>United Kingdom Emergency</v>
          </cell>
        </row>
        <row r="97">
          <cell r="N97" t="str">
            <v>DOM GBR UKDQ1</v>
          </cell>
          <cell r="O97" t="str">
            <v>minute &amp; call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e">
            <v>#N/A</v>
          </cell>
          <cell r="U97" t="e">
            <v>#N/A</v>
          </cell>
          <cell r="V97" t="e">
            <v>#N/A</v>
          </cell>
          <cell r="W97" t="e">
            <v>#N/A</v>
          </cell>
          <cell r="X97" t="e">
            <v>#N/A</v>
          </cell>
          <cell r="Y97" t="e">
            <v>#N/A</v>
          </cell>
          <cell r="Z97">
            <v>1.3806955774698744</v>
          </cell>
          <cell r="AA97">
            <v>0.7973479801174429</v>
          </cell>
          <cell r="AD97">
            <v>1.7949042507108368</v>
          </cell>
          <cell r="AE97">
            <v>1.0365523741526759</v>
          </cell>
          <cell r="AF97">
            <v>1.794904250710837</v>
          </cell>
          <cell r="AG97">
            <v>1.0365523741526759</v>
          </cell>
          <cell r="AH97">
            <v>1.794904250710837</v>
          </cell>
          <cell r="AI97">
            <v>1.0365523741526759</v>
          </cell>
          <cell r="AJ97">
            <v>1.7949042507108368</v>
          </cell>
          <cell r="AK97">
            <v>1.0365523741526759</v>
          </cell>
          <cell r="AL97" t="str">
            <v>United Kingdom Directory (Ppm&amp;Call)</v>
          </cell>
        </row>
        <row r="98">
          <cell r="N98" t="str">
            <v>DOM GBR UKDQ2</v>
          </cell>
          <cell r="O98" t="str">
            <v>minute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X98" t="e">
            <v>#N/A</v>
          </cell>
          <cell r="Y98" t="e">
            <v>#N/A</v>
          </cell>
          <cell r="Z98" t="str">
            <v/>
          </cell>
          <cell r="AA98">
            <v>1.2268020977645018</v>
          </cell>
          <cell r="AE98">
            <v>1.5948427270938523</v>
          </cell>
          <cell r="AG98">
            <v>1.5948427270938526</v>
          </cell>
          <cell r="AI98">
            <v>1.5948427270938526</v>
          </cell>
          <cell r="AK98">
            <v>1.5948427270938523</v>
          </cell>
          <cell r="AL98" t="str">
            <v>United Kingdom Directory (Ppm)</v>
          </cell>
        </row>
        <row r="99">
          <cell r="N99" t="str">
            <v>DOM GBR UKDQ3</v>
          </cell>
          <cell r="O99" t="str">
            <v>call</v>
          </cell>
          <cell r="P99" t="e">
            <v>#N/A</v>
          </cell>
          <cell r="Q99" t="e">
            <v>#N/A</v>
          </cell>
          <cell r="R99" t="e">
            <v>#N/A</v>
          </cell>
          <cell r="S99" t="e">
            <v>#N/A</v>
          </cell>
          <cell r="T99" t="e">
            <v>#N/A</v>
          </cell>
          <cell r="U99" t="e">
            <v>#N/A</v>
          </cell>
          <cell r="V99" t="e">
            <v>#N/A</v>
          </cell>
          <cell r="W99" t="e">
            <v>#N/A</v>
          </cell>
          <cell r="X99" t="e">
            <v>#N/A</v>
          </cell>
          <cell r="Y99" t="e">
            <v>#N/A</v>
          </cell>
          <cell r="Z99">
            <v>1.7079896951169322</v>
          </cell>
          <cell r="AA99" t="str">
            <v/>
          </cell>
          <cell r="AD99">
            <v>2.2203866036520119</v>
          </cell>
          <cell r="AF99">
            <v>2.2203866036520119</v>
          </cell>
          <cell r="AH99">
            <v>2.2203866036520119</v>
          </cell>
          <cell r="AJ99">
            <v>2.2203866036520119</v>
          </cell>
          <cell r="AL99" t="str">
            <v>United Kingdom Directory (Ppc)</v>
          </cell>
        </row>
        <row r="100">
          <cell r="N100" t="str">
            <v>DOM GBR ZC</v>
          </cell>
          <cell r="O100" t="str">
            <v>minute</v>
          </cell>
          <cell r="P100" t="str">
            <v>-</v>
          </cell>
          <cell r="Q100">
            <v>4.7500000000000001E-2</v>
          </cell>
          <cell r="R100" t="str">
            <v>-</v>
          </cell>
          <cell r="S100">
            <v>4.6030000000000001E-2</v>
          </cell>
          <cell r="T100" t="str">
            <v>-</v>
          </cell>
          <cell r="U100">
            <v>4.41E-2</v>
          </cell>
          <cell r="V100" t="str">
            <v>-</v>
          </cell>
          <cell r="W100">
            <v>4.2799999999999998E-2</v>
          </cell>
          <cell r="X100" t="str">
            <v>-</v>
          </cell>
          <cell r="Y100">
            <v>6.8999999999999999E-3</v>
          </cell>
          <cell r="Z100" t="str">
            <v/>
          </cell>
          <cell r="AA100">
            <v>2.4114809600779545E-2</v>
          </cell>
          <cell r="AE100">
            <v>5.3052581121715001E-2</v>
          </cell>
          <cell r="AG100">
            <v>4.5818138241481135E-2</v>
          </cell>
          <cell r="AI100">
            <v>3.8583695361247269E-2</v>
          </cell>
          <cell r="AK100">
            <v>3.1349252481013411E-2</v>
          </cell>
          <cell r="AL100" t="str">
            <v>United Kingdom Corporate</v>
          </cell>
        </row>
        <row r="101">
          <cell r="N101" t="str">
            <v>DOM GBR GBRAC</v>
          </cell>
          <cell r="O101" t="str">
            <v>minute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e">
            <v>#N/A</v>
          </cell>
          <cell r="U101" t="e">
            <v>#N/A</v>
          </cell>
          <cell r="V101" t="e">
            <v>#N/A</v>
          </cell>
          <cell r="W101" t="e">
            <v>#N/A</v>
          </cell>
          <cell r="X101" t="e">
            <v>#N/A</v>
          </cell>
          <cell r="Y101" t="e">
            <v>#N/A</v>
          </cell>
          <cell r="Z101" t="e">
            <v>#N/A</v>
          </cell>
          <cell r="AA101" t="e">
            <v>#N/A</v>
          </cell>
          <cell r="AL101" t="str">
            <v>United Kingdom Audioconf</v>
          </cell>
        </row>
        <row r="102">
          <cell r="N102" t="str">
            <v>DOM GBR UKHLP</v>
          </cell>
          <cell r="O102" t="str">
            <v>call</v>
          </cell>
          <cell r="P102">
            <v>0</v>
          </cell>
          <cell r="R102">
            <v>0</v>
          </cell>
          <cell r="T102">
            <v>0</v>
          </cell>
          <cell r="V102">
            <v>0</v>
          </cell>
          <cell r="X102" t="e">
            <v>#N/A</v>
          </cell>
          <cell r="Y102" t="e">
            <v>#N/A</v>
          </cell>
          <cell r="Z102" t="str">
            <v/>
          </cell>
          <cell r="AA102">
            <v>2.9550389409722221E-3</v>
          </cell>
          <cell r="AD102">
            <v>0</v>
          </cell>
          <cell r="AF102">
            <v>0</v>
          </cell>
          <cell r="AH102">
            <v>0</v>
          </cell>
          <cell r="AJ102">
            <v>0</v>
          </cell>
          <cell r="AL102" t="str">
            <v>United Kingdom Eu Helpline Services</v>
          </cell>
        </row>
        <row r="103">
          <cell r="N103" t="str">
            <v>DOM GBR UKNEC</v>
          </cell>
          <cell r="O103" t="str">
            <v>call</v>
          </cell>
          <cell r="P103">
            <v>0.14705882352941177</v>
          </cell>
          <cell r="R103">
            <v>0.14705882352941177</v>
          </cell>
          <cell r="T103">
            <v>0.14705882352941177</v>
          </cell>
          <cell r="V103">
            <v>0.14705882352941177</v>
          </cell>
          <cell r="X103">
            <v>0.15163440099928516</v>
          </cell>
          <cell r="Z103">
            <v>0.14920851864634394</v>
          </cell>
          <cell r="AA103" t="str">
            <v/>
          </cell>
          <cell r="AD103">
            <v>0.15018773466833543</v>
          </cell>
          <cell r="AF103">
            <v>0.15018773466833543</v>
          </cell>
          <cell r="AH103">
            <v>0.15018773466833543</v>
          </cell>
          <cell r="AJ103">
            <v>0.15018773466833543</v>
          </cell>
          <cell r="AL103" t="str">
            <v>United Kingdom National Non Emergency</v>
          </cell>
        </row>
        <row r="104">
          <cell r="N104" t="str">
            <v>DOM GBR UKNEH</v>
          </cell>
          <cell r="O104" t="str">
            <v>minute</v>
          </cell>
          <cell r="Q104">
            <v>0</v>
          </cell>
          <cell r="S104">
            <v>0</v>
          </cell>
          <cell r="U104">
            <v>0</v>
          </cell>
          <cell r="W104">
            <v>0</v>
          </cell>
          <cell r="Y104">
            <v>-0.27280966694138076</v>
          </cell>
          <cell r="Z104" t="str">
            <v/>
          </cell>
          <cell r="AA104">
            <v>-4.6931963531454245E-3</v>
          </cell>
          <cell r="AE104">
            <v>0</v>
          </cell>
          <cell r="AG104">
            <v>0</v>
          </cell>
          <cell r="AI104">
            <v>0</v>
          </cell>
          <cell r="AK104">
            <v>0</v>
          </cell>
          <cell r="AL104" t="str">
            <v>United Kingdom National Non Emergency Healthcare</v>
          </cell>
        </row>
        <row r="105">
          <cell r="N105" t="str">
            <v>DOM GBR UKCLK</v>
          </cell>
          <cell r="O105" t="str">
            <v>minute &amp; call</v>
          </cell>
          <cell r="P105">
            <v>7.6470588235294124E-2</v>
          </cell>
          <cell r="R105">
            <v>7.6470588235294124E-2</v>
          </cell>
          <cell r="T105">
            <v>7.6470588235294124E-2</v>
          </cell>
          <cell r="V105">
            <v>7.6470588235294124E-2</v>
          </cell>
          <cell r="X105">
            <v>6.9166165705167482E-2</v>
          </cell>
          <cell r="Z105">
            <v>1.3806955774698744</v>
          </cell>
          <cell r="AA105">
            <v>0.7973479801174429</v>
          </cell>
          <cell r="AD105">
            <v>1.7949042507108368</v>
          </cell>
          <cell r="AE105">
            <v>1.0365523741526759</v>
          </cell>
          <cell r="AF105">
            <v>1.794904250710837</v>
          </cell>
          <cell r="AG105">
            <v>1.0365523741526759</v>
          </cell>
          <cell r="AH105">
            <v>1.794904250710837</v>
          </cell>
          <cell r="AI105">
            <v>1.0365523741526759</v>
          </cell>
          <cell r="AJ105">
            <v>1.7949042507108368</v>
          </cell>
          <cell r="AK105">
            <v>1.0365523741526759</v>
          </cell>
          <cell r="AL105" t="str">
            <v>United Kingdom Speaking Clock</v>
          </cell>
        </row>
        <row r="106">
          <cell r="N106" t="str">
            <v>DOM NDL OPAR</v>
          </cell>
          <cell r="O106" t="str">
            <v>minute</v>
          </cell>
          <cell r="P106" t="str">
            <v>-</v>
          </cell>
          <cell r="Q106">
            <v>1.1299999999999999E-2</v>
          </cell>
          <cell r="R106" t="str">
            <v>-</v>
          </cell>
          <cell r="S106">
            <v>1.0999999999999999E-2</v>
          </cell>
          <cell r="T106" t="str">
            <v>-</v>
          </cell>
          <cell r="U106">
            <v>1.0500000000000001E-2</v>
          </cell>
          <cell r="V106" t="str">
            <v>-</v>
          </cell>
          <cell r="W106">
            <v>1.0200000000000001E-2</v>
          </cell>
          <cell r="X106" t="str">
            <v>-</v>
          </cell>
          <cell r="Y106">
            <v>9.7000000000000003E-3</v>
          </cell>
          <cell r="Z106" t="str">
            <v/>
          </cell>
          <cell r="AA106">
            <v>1.0155038940972222E-2</v>
          </cell>
          <cell r="AE106">
            <v>1.2186046729166665E-2</v>
          </cell>
          <cell r="AG106">
            <v>1.2016796080150462E-2</v>
          </cell>
          <cell r="AI106">
            <v>1.1847545431134259E-2</v>
          </cell>
          <cell r="AK106">
            <v>1.1678294782118055E-2</v>
          </cell>
          <cell r="AL106" t="str">
            <v>Netherlands National</v>
          </cell>
        </row>
        <row r="107">
          <cell r="N107" t="str">
            <v>DOM NDL CNDL3</v>
          </cell>
          <cell r="O107" t="str">
            <v>minute</v>
          </cell>
          <cell r="P107" t="str">
            <v>-</v>
          </cell>
          <cell r="Q107">
            <v>0.1134</v>
          </cell>
          <cell r="R107" t="str">
            <v>-</v>
          </cell>
          <cell r="S107">
            <v>0.11</v>
          </cell>
          <cell r="T107" t="str">
            <v>-</v>
          </cell>
          <cell r="U107">
            <v>0.1055</v>
          </cell>
          <cell r="V107" t="str">
            <v>-</v>
          </cell>
          <cell r="W107">
            <v>0.1021</v>
          </cell>
          <cell r="X107" t="str">
            <v>-</v>
          </cell>
          <cell r="Y107">
            <v>7.4099999999999999E-2</v>
          </cell>
          <cell r="Z107" t="str">
            <v/>
          </cell>
          <cell r="AA107">
            <v>8.3702181798115088E-2</v>
          </cell>
          <cell r="AE107">
            <v>0.1004426181577381</v>
          </cell>
          <cell r="AG107">
            <v>9.9047581794436193E-2</v>
          </cell>
          <cell r="AI107">
            <v>9.7652545431134274E-2</v>
          </cell>
          <cell r="AK107">
            <v>9.6257509067832342E-2</v>
          </cell>
          <cell r="AL107" t="str">
            <v>Netherlands Mobile</v>
          </cell>
        </row>
        <row r="108">
          <cell r="N108" t="str">
            <v>DOM NDL CNDL3</v>
          </cell>
          <cell r="O108" t="str">
            <v>minute</v>
          </cell>
          <cell r="P108" t="str">
            <v>-</v>
          </cell>
          <cell r="Q108">
            <v>0.1134</v>
          </cell>
          <cell r="R108" t="str">
            <v>-</v>
          </cell>
          <cell r="S108">
            <v>0.11</v>
          </cell>
          <cell r="T108" t="str">
            <v>-</v>
          </cell>
          <cell r="U108">
            <v>0.1055</v>
          </cell>
          <cell r="V108" t="str">
            <v>-</v>
          </cell>
          <cell r="W108">
            <v>0.1021</v>
          </cell>
          <cell r="X108" t="str">
            <v>-</v>
          </cell>
          <cell r="Y108">
            <v>8.4400000000000003E-2</v>
          </cell>
          <cell r="Z108" t="str">
            <v/>
          </cell>
          <cell r="AA108">
            <v>8.3702181798115088E-2</v>
          </cell>
          <cell r="AE108">
            <v>0.1004426181577381</v>
          </cell>
          <cell r="AG108">
            <v>9.9047581794436193E-2</v>
          </cell>
          <cell r="AI108">
            <v>9.7652545431134274E-2</v>
          </cell>
          <cell r="AK108">
            <v>9.6257509067832342E-2</v>
          </cell>
          <cell r="AL108" t="str">
            <v>Netherlands Mobile</v>
          </cell>
        </row>
        <row r="109">
          <cell r="N109" t="str">
            <v>DOM NDL CNDL3</v>
          </cell>
          <cell r="O109" t="str">
            <v>minute</v>
          </cell>
          <cell r="P109" t="str">
            <v>-</v>
          </cell>
          <cell r="Q109">
            <v>0.1134</v>
          </cell>
          <cell r="R109" t="str">
            <v>-</v>
          </cell>
          <cell r="S109">
            <v>0.11</v>
          </cell>
          <cell r="T109" t="str">
            <v>-</v>
          </cell>
          <cell r="U109">
            <v>0.1055</v>
          </cell>
          <cell r="V109" t="str">
            <v>-</v>
          </cell>
          <cell r="W109">
            <v>0.1021</v>
          </cell>
          <cell r="X109" t="str">
            <v>-</v>
          </cell>
          <cell r="Y109">
            <v>8.6999999999999994E-2</v>
          </cell>
          <cell r="Z109" t="str">
            <v/>
          </cell>
          <cell r="AA109">
            <v>8.3702181798115088E-2</v>
          </cell>
          <cell r="AE109">
            <v>0.1004426181577381</v>
          </cell>
          <cell r="AG109">
            <v>9.9047581794436193E-2</v>
          </cell>
          <cell r="AI109">
            <v>9.7652545431134274E-2</v>
          </cell>
          <cell r="AK109">
            <v>9.6257509067832342E-2</v>
          </cell>
          <cell r="AL109" t="str">
            <v xml:space="preserve">Netherlands Mobile </v>
          </cell>
        </row>
        <row r="110">
          <cell r="N110" t="str">
            <v>DOM NDL CNDL3</v>
          </cell>
          <cell r="O110" t="str">
            <v>minute</v>
          </cell>
          <cell r="P110" t="str">
            <v>-</v>
          </cell>
          <cell r="Q110">
            <v>0.1134</v>
          </cell>
          <cell r="R110" t="str">
            <v>-</v>
          </cell>
          <cell r="S110">
            <v>0.11</v>
          </cell>
          <cell r="T110" t="str">
            <v>-</v>
          </cell>
          <cell r="U110">
            <v>0.1055</v>
          </cell>
          <cell r="V110" t="str">
            <v>-</v>
          </cell>
          <cell r="W110">
            <v>0.1021</v>
          </cell>
          <cell r="X110" t="str">
            <v>-</v>
          </cell>
          <cell r="Y110">
            <v>7.5200000000000003E-2</v>
          </cell>
          <cell r="Z110" t="str">
            <v/>
          </cell>
          <cell r="AA110">
            <v>8.3702181798115088E-2</v>
          </cell>
          <cell r="AE110">
            <v>0.1004426181577381</v>
          </cell>
          <cell r="AG110">
            <v>9.9047581794436193E-2</v>
          </cell>
          <cell r="AI110">
            <v>9.7652545431134274E-2</v>
          </cell>
          <cell r="AK110">
            <v>9.6257509067832342E-2</v>
          </cell>
          <cell r="AL110" t="str">
            <v>Netherlands Mobile</v>
          </cell>
        </row>
        <row r="111">
          <cell r="N111" t="str">
            <v>DOM NDL NDFRE</v>
          </cell>
          <cell r="O111" t="str">
            <v>minute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/>
          </cell>
          <cell r="AA111">
            <v>0</v>
          </cell>
          <cell r="AE111">
            <v>0</v>
          </cell>
          <cell r="AG111">
            <v>0</v>
          </cell>
          <cell r="AI111">
            <v>0</v>
          </cell>
          <cell r="AK111">
            <v>0</v>
          </cell>
          <cell r="AL111" t="str">
            <v>Netherlands Toll Free</v>
          </cell>
        </row>
        <row r="112">
          <cell r="N112" t="str">
            <v>DOM NDL NDCOR</v>
          </cell>
          <cell r="O112" t="str">
            <v>minute</v>
          </cell>
          <cell r="P112" t="str">
            <v>-</v>
          </cell>
          <cell r="Q112">
            <v>4.2299999999999997E-2</v>
          </cell>
          <cell r="R112" t="str">
            <v>-</v>
          </cell>
          <cell r="S112">
            <v>4.2299999999999997E-2</v>
          </cell>
          <cell r="T112" t="str">
            <v>-</v>
          </cell>
          <cell r="U112">
            <v>4.2299999999999997E-2</v>
          </cell>
          <cell r="V112" t="str">
            <v>-</v>
          </cell>
          <cell r="W112">
            <v>4.2299999999999997E-2</v>
          </cell>
          <cell r="X112" t="str">
            <v>-</v>
          </cell>
          <cell r="Y112">
            <v>1.32E-2</v>
          </cell>
          <cell r="Z112" t="str">
            <v/>
          </cell>
          <cell r="AA112">
            <v>1.0155038940972222E-2</v>
          </cell>
          <cell r="AD112" t="str">
            <v>-</v>
          </cell>
          <cell r="AE112">
            <v>4.2299999999999997E-2</v>
          </cell>
          <cell r="AF112" t="str">
            <v>-</v>
          </cell>
          <cell r="AG112">
            <v>4.2299999999999997E-2</v>
          </cell>
          <cell r="AH112" t="str">
            <v>-</v>
          </cell>
          <cell r="AI112">
            <v>4.2299999999999997E-2</v>
          </cell>
          <cell r="AJ112" t="str">
            <v>-</v>
          </cell>
          <cell r="AK112">
            <v>4.2299999999999997E-2</v>
          </cell>
          <cell r="AL112" t="str">
            <v>Netherlands Corporate</v>
          </cell>
        </row>
        <row r="113">
          <cell r="N113" t="str">
            <v>DOM NDL NDIPN</v>
          </cell>
          <cell r="O113" t="str">
            <v>minute</v>
          </cell>
          <cell r="P113" t="str">
            <v>-</v>
          </cell>
          <cell r="Q113">
            <v>4.2299999999999997E-2</v>
          </cell>
          <cell r="R113" t="str">
            <v>-</v>
          </cell>
          <cell r="S113">
            <v>4.2299999999999997E-2</v>
          </cell>
          <cell r="T113" t="str">
            <v>-</v>
          </cell>
          <cell r="U113">
            <v>4.2299999999999997E-2</v>
          </cell>
          <cell r="V113" t="str">
            <v>-</v>
          </cell>
          <cell r="W113">
            <v>4.2299999999999997E-2</v>
          </cell>
          <cell r="X113" t="str">
            <v>-</v>
          </cell>
          <cell r="Y113">
            <v>1.61E-2</v>
          </cell>
          <cell r="Z113" t="str">
            <v/>
          </cell>
          <cell r="AA113">
            <v>1.3955038940972221E-2</v>
          </cell>
          <cell r="AD113" t="str">
            <v>-</v>
          </cell>
          <cell r="AE113">
            <v>4.2299999999999997E-2</v>
          </cell>
          <cell r="AF113" t="str">
            <v>-</v>
          </cell>
          <cell r="AG113">
            <v>4.2299999999999997E-2</v>
          </cell>
          <cell r="AH113" t="str">
            <v>-</v>
          </cell>
          <cell r="AI113">
            <v>4.2299999999999997E-2</v>
          </cell>
          <cell r="AJ113" t="str">
            <v>-</v>
          </cell>
          <cell r="AK113">
            <v>4.2299999999999997E-2</v>
          </cell>
          <cell r="AL113" t="str">
            <v>Netherlands Ip Nomadic</v>
          </cell>
        </row>
        <row r="114">
          <cell r="N114" t="str">
            <v>DOM NDL NDACC</v>
          </cell>
          <cell r="O114" t="str">
            <v>minute</v>
          </cell>
          <cell r="P114" t="str">
            <v>-</v>
          </cell>
          <cell r="Q114">
            <v>4.2299999999999997E-2</v>
          </cell>
          <cell r="R114" t="str">
            <v>-</v>
          </cell>
          <cell r="S114">
            <v>4.2299999999999997E-2</v>
          </cell>
          <cell r="T114" t="str">
            <v>-</v>
          </cell>
          <cell r="U114">
            <v>4.2299999999999997E-2</v>
          </cell>
          <cell r="V114" t="str">
            <v>-</v>
          </cell>
          <cell r="W114">
            <v>4.2299999999999997E-2</v>
          </cell>
          <cell r="X114" t="str">
            <v>-</v>
          </cell>
          <cell r="Y114">
            <v>1.32E-2</v>
          </cell>
          <cell r="Z114" t="str">
            <v/>
          </cell>
          <cell r="AA114">
            <v>1.0155038940972222E-2</v>
          </cell>
          <cell r="AD114" t="str">
            <v>-</v>
          </cell>
          <cell r="AE114">
            <v>4.2299999999999997E-2</v>
          </cell>
          <cell r="AF114" t="str">
            <v>-</v>
          </cell>
          <cell r="AG114">
            <v>4.2299999999999997E-2</v>
          </cell>
          <cell r="AH114" t="str">
            <v>-</v>
          </cell>
          <cell r="AI114">
            <v>4.2299999999999997E-2</v>
          </cell>
          <cell r="AJ114" t="str">
            <v>-</v>
          </cell>
          <cell r="AK114">
            <v>4.2299999999999997E-2</v>
          </cell>
          <cell r="AL114" t="str">
            <v>Netherlands Access Services</v>
          </cell>
        </row>
        <row r="115">
          <cell r="N115" t="str">
            <v>DOM NDL NDDIR</v>
          </cell>
          <cell r="O115" t="str">
            <v>call</v>
          </cell>
          <cell r="P115">
            <v>1.2</v>
          </cell>
          <cell r="Q115" t="str">
            <v>-</v>
          </cell>
          <cell r="R115">
            <v>1.2</v>
          </cell>
          <cell r="S115" t="str">
            <v>-</v>
          </cell>
          <cell r="T115">
            <v>1.2</v>
          </cell>
          <cell r="U115" t="str">
            <v>-</v>
          </cell>
          <cell r="V115">
            <v>1.2</v>
          </cell>
          <cell r="W115" t="str">
            <v>-</v>
          </cell>
          <cell r="X115">
            <v>0.89949999999999997</v>
          </cell>
          <cell r="Y115" t="str">
            <v>-</v>
          </cell>
          <cell r="Z115">
            <v>1.0550396110833189</v>
          </cell>
          <cell r="AA115" t="str">
            <v/>
          </cell>
          <cell r="AD115">
            <v>1.2</v>
          </cell>
          <cell r="AF115">
            <v>1.2</v>
          </cell>
          <cell r="AH115">
            <v>1.2</v>
          </cell>
          <cell r="AJ115">
            <v>1.2</v>
          </cell>
          <cell r="AL115" t="str">
            <v>Netherlands Directory</v>
          </cell>
        </row>
        <row r="116">
          <cell r="N116" t="str">
            <v>DOM NDL NDSOS</v>
          </cell>
          <cell r="O116" t="str">
            <v>minute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/>
          </cell>
          <cell r="AA116">
            <v>1.0155038940972222E-2</v>
          </cell>
          <cell r="AD116" t="str">
            <v>-</v>
          </cell>
          <cell r="AE116">
            <v>0</v>
          </cell>
          <cell r="AF116" t="str">
            <v>-</v>
          </cell>
          <cell r="AG116">
            <v>0</v>
          </cell>
          <cell r="AH116" t="str">
            <v>-</v>
          </cell>
          <cell r="AI116">
            <v>0</v>
          </cell>
          <cell r="AJ116" t="str">
            <v>-</v>
          </cell>
          <cell r="AK116">
            <v>0</v>
          </cell>
          <cell r="AL116" t="str">
            <v>Netherlands Emergency</v>
          </cell>
        </row>
        <row r="117">
          <cell r="N117" t="str">
            <v>DOM NDL NDHLP</v>
          </cell>
          <cell r="O117" t="str">
            <v>minute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 t="e">
            <v>#N/A</v>
          </cell>
          <cell r="Y117" t="e">
            <v>#N/A</v>
          </cell>
          <cell r="Z117" t="str">
            <v/>
          </cell>
          <cell r="AA117">
            <v>2.0865038940972219E-2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 t="str">
            <v>Netherlands Eu Helpline Services</v>
          </cell>
        </row>
        <row r="118">
          <cell r="N118" t="str">
            <v>DOM NDL NDVPN</v>
          </cell>
          <cell r="O118" t="str">
            <v>minute</v>
          </cell>
          <cell r="P118">
            <v>7.5378151260504206E-2</v>
          </cell>
          <cell r="Q118">
            <v>2.9411764705882356E-2</v>
          </cell>
          <cell r="R118">
            <v>7.1609243697478994E-2</v>
          </cell>
          <cell r="S118">
            <v>2.7941176470588237E-2</v>
          </cell>
          <cell r="T118">
            <v>6.8028781512605038E-2</v>
          </cell>
          <cell r="U118">
            <v>2.6544117647058822E-2</v>
          </cell>
          <cell r="V118">
            <v>6.462734243697478E-2</v>
          </cell>
          <cell r="W118">
            <v>2.521691176470588E-2</v>
          </cell>
          <cell r="X118" t="e">
            <v>#N/A</v>
          </cell>
          <cell r="Y118" t="e">
            <v>#N/A</v>
          </cell>
          <cell r="Z118" t="str">
            <v/>
          </cell>
          <cell r="AA118">
            <v>1.0155038940972222E-2</v>
          </cell>
          <cell r="AE118">
            <v>2.0310077881944444E-2</v>
          </cell>
          <cell r="AG118">
            <v>1.8617571391782408E-2</v>
          </cell>
          <cell r="AI118">
            <v>1.6925064901620372E-2</v>
          </cell>
          <cell r="AK118">
            <v>1.5232558411458333E-2</v>
          </cell>
          <cell r="AL118" t="str">
            <v>Netherlands Virtual Private Network</v>
          </cell>
        </row>
        <row r="119">
          <cell r="N119" t="str">
            <v>DOM NDL NDPGC</v>
          </cell>
          <cell r="O119" t="str">
            <v>call</v>
          </cell>
          <cell r="P119">
            <v>1.4304454271814238</v>
          </cell>
          <cell r="Q119" t="str">
            <v>-</v>
          </cell>
          <cell r="R119">
            <v>1.4304454271814238</v>
          </cell>
          <cell r="S119" t="str">
            <v>-</v>
          </cell>
          <cell r="T119">
            <v>1.4304454271814238</v>
          </cell>
          <cell r="U119" t="str">
            <v>-</v>
          </cell>
          <cell r="V119">
            <v>1.4304454271814238</v>
          </cell>
          <cell r="W119" t="str">
            <v>-</v>
          </cell>
          <cell r="X119" t="e">
            <v>#N/A</v>
          </cell>
          <cell r="Y119" t="e">
            <v>#N/A</v>
          </cell>
          <cell r="Z119">
            <v>1.1106852725868055</v>
          </cell>
          <cell r="AA119" t="str">
            <v/>
          </cell>
          <cell r="AD119">
            <v>1.4304454271814238</v>
          </cell>
          <cell r="AF119">
            <v>1.4304454271814238</v>
          </cell>
          <cell r="AH119">
            <v>1.4304454271814238</v>
          </cell>
          <cell r="AJ119">
            <v>1.4304454271814238</v>
          </cell>
          <cell r="AL119" t="str">
            <v>Netherlands Pagers Per Call</v>
          </cell>
        </row>
        <row r="120">
          <cell r="N120" t="str">
            <v>DOM NDL NDPGM</v>
          </cell>
          <cell r="O120" t="str">
            <v>minute</v>
          </cell>
          <cell r="P120" t="str">
            <v>-</v>
          </cell>
          <cell r="Q120">
            <v>0.87394957983193289</v>
          </cell>
          <cell r="R120" t="str">
            <v>-</v>
          </cell>
          <cell r="S120">
            <v>0.87394957983193289</v>
          </cell>
          <cell r="T120" t="str">
            <v>-</v>
          </cell>
          <cell r="U120">
            <v>0.87394957983193289</v>
          </cell>
          <cell r="V120" t="str">
            <v>-</v>
          </cell>
          <cell r="W120">
            <v>0.87394957983193289</v>
          </cell>
          <cell r="X120" t="e">
            <v>#N/A</v>
          </cell>
          <cell r="Y120" t="e">
            <v>#N/A</v>
          </cell>
          <cell r="Z120" t="str">
            <v/>
          </cell>
          <cell r="AA120">
            <v>0.30591007788194441</v>
          </cell>
          <cell r="AD120" t="str">
            <v>-</v>
          </cell>
          <cell r="AE120">
            <v>0.87394957983193289</v>
          </cell>
          <cell r="AF120" t="str">
            <v>-</v>
          </cell>
          <cell r="AG120">
            <v>0.87394957983193289</v>
          </cell>
          <cell r="AH120" t="str">
            <v>-</v>
          </cell>
          <cell r="AI120">
            <v>0.87394957983193289</v>
          </cell>
          <cell r="AJ120" t="str">
            <v>-</v>
          </cell>
          <cell r="AK120">
            <v>0.87394957983193289</v>
          </cell>
          <cell r="AL120" t="str">
            <v>Netherlands Pagers Per Min</v>
          </cell>
        </row>
        <row r="121">
          <cell r="N121" t="str">
            <v>DOM NDL NDI10</v>
          </cell>
          <cell r="O121" t="str">
            <v>minute</v>
          </cell>
          <cell r="P121" t="str">
            <v>-</v>
          </cell>
          <cell r="Q121">
            <v>3.0800000000000001E-2</v>
          </cell>
          <cell r="R121" t="str">
            <v>-</v>
          </cell>
          <cell r="S121">
            <v>3.0800000000000001E-2</v>
          </cell>
          <cell r="T121" t="str">
            <v>-</v>
          </cell>
          <cell r="U121">
            <v>3.0800000000000001E-2</v>
          </cell>
          <cell r="V121" t="str">
            <v>-</v>
          </cell>
          <cell r="W121">
            <v>3.0800000000000001E-2</v>
          </cell>
          <cell r="X121" t="str">
            <v>-</v>
          </cell>
          <cell r="Y121">
            <v>1.2200000000000001E-2</v>
          </cell>
          <cell r="Z121" t="str">
            <v/>
          </cell>
          <cell r="AA121">
            <v>1.683503894097222E-2</v>
          </cell>
          <cell r="AD121" t="str">
            <v>-</v>
          </cell>
          <cell r="AE121">
            <v>3.0800000000000001E-2</v>
          </cell>
          <cell r="AF121" t="str">
            <v>-</v>
          </cell>
          <cell r="AG121">
            <v>3.0800000000000001E-2</v>
          </cell>
          <cell r="AH121" t="str">
            <v>-</v>
          </cell>
          <cell r="AI121">
            <v>3.0800000000000001E-2</v>
          </cell>
          <cell r="AJ121" t="str">
            <v>-</v>
          </cell>
          <cell r="AK121">
            <v>3.0800000000000001E-2</v>
          </cell>
          <cell r="AL121" t="str">
            <v>Netherlands Internet Prov 10</v>
          </cell>
        </row>
        <row r="122">
          <cell r="N122" t="str">
            <v>DOM NDL NDI11</v>
          </cell>
          <cell r="O122" t="str">
            <v>minute</v>
          </cell>
          <cell r="P122" t="str">
            <v>-</v>
          </cell>
          <cell r="Q122">
            <v>3.4099999999999998E-2</v>
          </cell>
          <cell r="R122" t="str">
            <v>-</v>
          </cell>
          <cell r="S122">
            <v>3.4099999999999998E-2</v>
          </cell>
          <cell r="T122" t="str">
            <v>-</v>
          </cell>
          <cell r="U122">
            <v>3.4099999999999998E-2</v>
          </cell>
          <cell r="V122" t="str">
            <v>-</v>
          </cell>
          <cell r="W122">
            <v>3.4099999999999998E-2</v>
          </cell>
          <cell r="X122" t="str">
            <v>-</v>
          </cell>
          <cell r="Y122">
            <v>2.1100000000000001E-2</v>
          </cell>
          <cell r="Z122" t="str">
            <v/>
          </cell>
          <cell r="AA122">
            <v>2.1535038940972223E-2</v>
          </cell>
          <cell r="AD122" t="str">
            <v>-</v>
          </cell>
          <cell r="AE122">
            <v>3.4099999999999998E-2</v>
          </cell>
          <cell r="AF122" t="str">
            <v>-</v>
          </cell>
          <cell r="AG122">
            <v>3.4099999999999998E-2</v>
          </cell>
          <cell r="AH122" t="str">
            <v>-</v>
          </cell>
          <cell r="AI122">
            <v>3.4099999999999998E-2</v>
          </cell>
          <cell r="AJ122" t="str">
            <v>-</v>
          </cell>
          <cell r="AK122">
            <v>3.4099999999999998E-2</v>
          </cell>
          <cell r="AL122" t="str">
            <v>Netherlands Internet Prov 11</v>
          </cell>
        </row>
        <row r="123">
          <cell r="N123" t="str">
            <v>DOM NDL NDI12</v>
          </cell>
          <cell r="O123" t="str">
            <v>minute</v>
          </cell>
          <cell r="P123" t="str">
            <v>-</v>
          </cell>
          <cell r="Q123">
            <v>4.0800000000000003E-2</v>
          </cell>
          <cell r="R123" t="str">
            <v>-</v>
          </cell>
          <cell r="S123">
            <v>4.0800000000000003E-2</v>
          </cell>
          <cell r="T123" t="str">
            <v>-</v>
          </cell>
          <cell r="U123">
            <v>4.0800000000000003E-2</v>
          </cell>
          <cell r="V123" t="str">
            <v>-</v>
          </cell>
          <cell r="W123">
            <v>4.0800000000000003E-2</v>
          </cell>
          <cell r="X123" t="str">
            <v>-</v>
          </cell>
          <cell r="Y123">
            <v>2.5499999999999998E-2</v>
          </cell>
          <cell r="Z123" t="str">
            <v/>
          </cell>
          <cell r="AA123">
            <v>3.1135038940972221E-2</v>
          </cell>
          <cell r="AD123" t="str">
            <v>-</v>
          </cell>
          <cell r="AE123">
            <v>4.0800000000000003E-2</v>
          </cell>
          <cell r="AF123" t="str">
            <v>-</v>
          </cell>
          <cell r="AG123">
            <v>4.0800000000000003E-2</v>
          </cell>
          <cell r="AH123" t="str">
            <v>-</v>
          </cell>
          <cell r="AI123">
            <v>4.0800000000000003E-2</v>
          </cell>
          <cell r="AJ123" t="str">
            <v>-</v>
          </cell>
          <cell r="AK123">
            <v>4.0800000000000003E-2</v>
          </cell>
          <cell r="AL123" t="str">
            <v>Netherlands Internet Prov 12</v>
          </cell>
        </row>
        <row r="124">
          <cell r="N124" t="str">
            <v>DOM NDL NDI13</v>
          </cell>
          <cell r="O124" t="str">
            <v>minute</v>
          </cell>
          <cell r="P124" t="str">
            <v>-</v>
          </cell>
          <cell r="Q124">
            <v>2.87E-2</v>
          </cell>
          <cell r="R124" t="str">
            <v>-</v>
          </cell>
          <cell r="S124">
            <v>2.87E-2</v>
          </cell>
          <cell r="T124" t="str">
            <v>-</v>
          </cell>
          <cell r="U124">
            <v>2.87E-2</v>
          </cell>
          <cell r="V124" t="str">
            <v>-</v>
          </cell>
          <cell r="W124">
            <v>2.87E-2</v>
          </cell>
          <cell r="X124" t="str">
            <v>-</v>
          </cell>
          <cell r="Y124">
            <v>3.3700000000000001E-2</v>
          </cell>
          <cell r="Z124" t="str">
            <v/>
          </cell>
          <cell r="AA124">
            <v>1.3935038940972222E-2</v>
          </cell>
          <cell r="AD124" t="str">
            <v>-</v>
          </cell>
          <cell r="AE124">
            <v>2.87E-2</v>
          </cell>
          <cell r="AF124" t="str">
            <v>-</v>
          </cell>
          <cell r="AG124">
            <v>2.87E-2</v>
          </cell>
          <cell r="AH124" t="str">
            <v>-</v>
          </cell>
          <cell r="AI124">
            <v>2.87E-2</v>
          </cell>
          <cell r="AJ124" t="str">
            <v>-</v>
          </cell>
          <cell r="AK124">
            <v>2.87E-2</v>
          </cell>
          <cell r="AL124" t="str">
            <v>Netherlands Internet Prov 13</v>
          </cell>
        </row>
        <row r="125">
          <cell r="N125" t="str">
            <v>DOM NDL NDI14</v>
          </cell>
          <cell r="O125" t="str">
            <v>minute</v>
          </cell>
          <cell r="P125" t="str">
            <v>-</v>
          </cell>
          <cell r="Q125">
            <v>2.7699999999999999E-2</v>
          </cell>
          <cell r="R125" t="str">
            <v>-</v>
          </cell>
          <cell r="S125">
            <v>2.7699999999999999E-2</v>
          </cell>
          <cell r="T125" t="str">
            <v>-</v>
          </cell>
          <cell r="U125">
            <v>2.7699999999999999E-2</v>
          </cell>
          <cell r="V125" t="str">
            <v>-</v>
          </cell>
          <cell r="W125">
            <v>2.7699999999999999E-2</v>
          </cell>
          <cell r="X125" t="str">
            <v>-</v>
          </cell>
          <cell r="Y125">
            <v>1.8200000000000001E-2</v>
          </cell>
          <cell r="Z125" t="str">
            <v/>
          </cell>
          <cell r="AA125">
            <v>1.3935038940972222E-2</v>
          </cell>
          <cell r="AD125" t="str">
            <v>-</v>
          </cell>
          <cell r="AE125">
            <v>2.7699999999999999E-2</v>
          </cell>
          <cell r="AF125" t="str">
            <v>-</v>
          </cell>
          <cell r="AG125">
            <v>2.7699999999999999E-2</v>
          </cell>
          <cell r="AH125" t="str">
            <v>-</v>
          </cell>
          <cell r="AI125">
            <v>2.7699999999999999E-2</v>
          </cell>
          <cell r="AJ125" t="str">
            <v>-</v>
          </cell>
          <cell r="AK125">
            <v>2.7699999999999999E-2</v>
          </cell>
          <cell r="AL125" t="str">
            <v>Netherlands Internet Prov 14</v>
          </cell>
        </row>
        <row r="126">
          <cell r="N126" t="str">
            <v>DOM NDL NDI15</v>
          </cell>
          <cell r="O126" t="str">
            <v>minute</v>
          </cell>
          <cell r="P126" t="str">
            <v>-</v>
          </cell>
          <cell r="Q126">
            <v>2.98E-2</v>
          </cell>
          <cell r="R126" t="str">
            <v>-</v>
          </cell>
          <cell r="S126">
            <v>2.98E-2</v>
          </cell>
          <cell r="T126" t="str">
            <v>-</v>
          </cell>
          <cell r="U126">
            <v>2.98E-2</v>
          </cell>
          <cell r="V126" t="str">
            <v>-</v>
          </cell>
          <cell r="W126">
            <v>2.98E-2</v>
          </cell>
          <cell r="X126" t="str">
            <v>-</v>
          </cell>
          <cell r="Y126">
            <v>1.6799999999999999E-2</v>
          </cell>
          <cell r="Z126" t="str">
            <v/>
          </cell>
          <cell r="AA126">
            <v>1.0935038940972221E-2</v>
          </cell>
          <cell r="AD126" t="str">
            <v>-</v>
          </cell>
          <cell r="AE126">
            <v>2.98E-2</v>
          </cell>
          <cell r="AF126" t="str">
            <v>-</v>
          </cell>
          <cell r="AG126">
            <v>2.98E-2</v>
          </cell>
          <cell r="AH126" t="str">
            <v>-</v>
          </cell>
          <cell r="AI126">
            <v>2.98E-2</v>
          </cell>
          <cell r="AJ126" t="str">
            <v>-</v>
          </cell>
          <cell r="AK126">
            <v>2.98E-2</v>
          </cell>
          <cell r="AL126" t="str">
            <v>Netherlands Internet Prov 15</v>
          </cell>
        </row>
        <row r="127">
          <cell r="N127" t="str">
            <v>DOM NDL NDI16</v>
          </cell>
          <cell r="O127" t="str">
            <v>minute</v>
          </cell>
          <cell r="P127" t="str">
            <v>-</v>
          </cell>
          <cell r="Q127">
            <v>2.1600000000000001E-2</v>
          </cell>
          <cell r="R127" t="str">
            <v>-</v>
          </cell>
          <cell r="S127">
            <v>2.1600000000000001E-2</v>
          </cell>
          <cell r="T127" t="str">
            <v>-</v>
          </cell>
          <cell r="U127">
            <v>2.1600000000000001E-2</v>
          </cell>
          <cell r="V127" t="str">
            <v>-</v>
          </cell>
          <cell r="W127">
            <v>2.1600000000000001E-2</v>
          </cell>
          <cell r="X127" t="str">
            <v>-</v>
          </cell>
          <cell r="Y127">
            <v>1.9599999999999999E-2</v>
          </cell>
          <cell r="Z127" t="str">
            <v/>
          </cell>
          <cell r="AA127">
            <v>8.0350389409722216E-3</v>
          </cell>
          <cell r="AD127" t="str">
            <v>-</v>
          </cell>
          <cell r="AE127">
            <v>2.1600000000000001E-2</v>
          </cell>
          <cell r="AF127" t="str">
            <v>-</v>
          </cell>
          <cell r="AG127">
            <v>2.1600000000000001E-2</v>
          </cell>
          <cell r="AH127" t="str">
            <v>-</v>
          </cell>
          <cell r="AI127">
            <v>2.1600000000000001E-2</v>
          </cell>
          <cell r="AJ127" t="str">
            <v>-</v>
          </cell>
          <cell r="AK127">
            <v>2.1600000000000001E-2</v>
          </cell>
          <cell r="AL127" t="str">
            <v>Netherlands Internet Prov 16</v>
          </cell>
        </row>
        <row r="128">
          <cell r="N128" t="str">
            <v>DOM NDL NDI17</v>
          </cell>
          <cell r="O128" t="str">
            <v>minute</v>
          </cell>
          <cell r="P128" t="str">
            <v>-</v>
          </cell>
          <cell r="Q128">
            <v>1.8499999999999999E-2</v>
          </cell>
          <cell r="R128" t="str">
            <v>-</v>
          </cell>
          <cell r="S128">
            <v>1.8499999999999999E-2</v>
          </cell>
          <cell r="T128" t="str">
            <v>-</v>
          </cell>
          <cell r="U128">
            <v>1.8499999999999999E-2</v>
          </cell>
          <cell r="V128" t="str">
            <v>-</v>
          </cell>
          <cell r="W128">
            <v>1.8499999999999999E-2</v>
          </cell>
          <cell r="X128" t="str">
            <v>-</v>
          </cell>
          <cell r="Y128">
            <v>8.3999999999999995E-3</v>
          </cell>
          <cell r="Z128" t="str">
            <v/>
          </cell>
          <cell r="AA128">
            <v>5.0350389409722224E-3</v>
          </cell>
          <cell r="AD128" t="str">
            <v>-</v>
          </cell>
          <cell r="AE128">
            <v>1.8499999999999999E-2</v>
          </cell>
          <cell r="AF128" t="str">
            <v>-</v>
          </cell>
          <cell r="AG128">
            <v>1.8499999999999999E-2</v>
          </cell>
          <cell r="AH128" t="str">
            <v>-</v>
          </cell>
          <cell r="AI128">
            <v>1.8499999999999999E-2</v>
          </cell>
          <cell r="AJ128" t="str">
            <v>-</v>
          </cell>
          <cell r="AK128">
            <v>1.8499999999999999E-2</v>
          </cell>
          <cell r="AL128" t="str">
            <v>Netherlands Internet Prov 17</v>
          </cell>
        </row>
        <row r="129">
          <cell r="N129" t="str">
            <v>DOM NDL NDI18</v>
          </cell>
          <cell r="O129" t="str">
            <v>minute</v>
          </cell>
          <cell r="P129" t="str">
            <v>-</v>
          </cell>
          <cell r="Q129">
            <v>2.01E-2</v>
          </cell>
          <cell r="R129" t="str">
            <v>-</v>
          </cell>
          <cell r="S129">
            <v>2.01E-2</v>
          </cell>
          <cell r="T129" t="str">
            <v>-</v>
          </cell>
          <cell r="U129">
            <v>2.01E-2</v>
          </cell>
          <cell r="V129" t="str">
            <v>-</v>
          </cell>
          <cell r="W129">
            <v>2.01E-2</v>
          </cell>
          <cell r="X129" t="str">
            <v>-</v>
          </cell>
          <cell r="Y129">
            <v>4.1999999999999997E-3</v>
          </cell>
          <cell r="Z129" t="str">
            <v/>
          </cell>
          <cell r="AA129">
            <v>6.6350389409722222E-3</v>
          </cell>
          <cell r="AD129" t="str">
            <v>-</v>
          </cell>
          <cell r="AE129">
            <v>2.01E-2</v>
          </cell>
          <cell r="AF129" t="str">
            <v>-</v>
          </cell>
          <cell r="AG129">
            <v>2.01E-2</v>
          </cell>
          <cell r="AH129" t="str">
            <v>-</v>
          </cell>
          <cell r="AI129">
            <v>2.01E-2</v>
          </cell>
          <cell r="AJ129" t="str">
            <v>-</v>
          </cell>
          <cell r="AK129">
            <v>2.01E-2</v>
          </cell>
          <cell r="AL129" t="str">
            <v>Netherlands Internet Prov 18</v>
          </cell>
        </row>
        <row r="130">
          <cell r="N130" t="str">
            <v>DOM NDL NDI19</v>
          </cell>
          <cell r="O130" t="str">
            <v>minute</v>
          </cell>
          <cell r="P130" t="str">
            <v>-</v>
          </cell>
          <cell r="Q130">
            <v>3.39E-2</v>
          </cell>
          <cell r="R130" t="str">
            <v>-</v>
          </cell>
          <cell r="S130">
            <v>3.39E-2</v>
          </cell>
          <cell r="T130" t="str">
            <v>-</v>
          </cell>
          <cell r="U130">
            <v>3.39E-2</v>
          </cell>
          <cell r="V130" t="str">
            <v>-</v>
          </cell>
          <cell r="W130">
            <v>3.39E-2</v>
          </cell>
          <cell r="X130" t="str">
            <v>-</v>
          </cell>
          <cell r="Y130">
            <v>6.3E-3</v>
          </cell>
          <cell r="Z130" t="str">
            <v/>
          </cell>
          <cell r="AA130">
            <v>8.4350389409722226E-3</v>
          </cell>
          <cell r="AD130" t="str">
            <v>-</v>
          </cell>
          <cell r="AE130">
            <v>3.39E-2</v>
          </cell>
          <cell r="AF130" t="str">
            <v>-</v>
          </cell>
          <cell r="AG130">
            <v>3.39E-2</v>
          </cell>
          <cell r="AH130" t="str">
            <v>-</v>
          </cell>
          <cell r="AI130">
            <v>3.39E-2</v>
          </cell>
          <cell r="AJ130" t="str">
            <v>-</v>
          </cell>
          <cell r="AK130">
            <v>3.39E-2</v>
          </cell>
          <cell r="AL130" t="str">
            <v>Netherlands Internet Prov 19</v>
          </cell>
        </row>
        <row r="131">
          <cell r="N131" t="str">
            <v>DOM NDL NDI20</v>
          </cell>
          <cell r="O131" t="str">
            <v>minute</v>
          </cell>
          <cell r="P131" t="str">
            <v>-</v>
          </cell>
          <cell r="Q131">
            <v>2.6700000000000002E-2</v>
          </cell>
          <cell r="R131" t="str">
            <v>-</v>
          </cell>
          <cell r="S131">
            <v>2.6700000000000002E-2</v>
          </cell>
          <cell r="T131" t="str">
            <v>-</v>
          </cell>
          <cell r="U131">
            <v>2.6700000000000002E-2</v>
          </cell>
          <cell r="V131" t="str">
            <v>-</v>
          </cell>
          <cell r="W131">
            <v>2.6700000000000002E-2</v>
          </cell>
          <cell r="X131" t="str">
            <v>-</v>
          </cell>
          <cell r="Y131">
            <v>2.52E-2</v>
          </cell>
          <cell r="Z131" t="str">
            <v/>
          </cell>
          <cell r="AA131">
            <v>1.0935038940972221E-2</v>
          </cell>
          <cell r="AD131" t="str">
            <v>-</v>
          </cell>
          <cell r="AE131">
            <v>2.6700000000000002E-2</v>
          </cell>
          <cell r="AF131" t="str">
            <v>-</v>
          </cell>
          <cell r="AG131">
            <v>2.6700000000000002E-2</v>
          </cell>
          <cell r="AH131" t="str">
            <v>-</v>
          </cell>
          <cell r="AI131">
            <v>2.6700000000000002E-2</v>
          </cell>
          <cell r="AJ131" t="str">
            <v>-</v>
          </cell>
          <cell r="AK131">
            <v>2.6700000000000002E-2</v>
          </cell>
          <cell r="AL131" t="str">
            <v>Netherlands Internet Prov 20</v>
          </cell>
        </row>
        <row r="132">
          <cell r="N132" t="str">
            <v>DOM NDL NDI21</v>
          </cell>
          <cell r="O132" t="str">
            <v>minute</v>
          </cell>
          <cell r="P132" t="str">
            <v>-</v>
          </cell>
          <cell r="Q132">
            <v>3.2899999999999999E-2</v>
          </cell>
          <cell r="R132" t="str">
            <v>-</v>
          </cell>
          <cell r="S132">
            <v>3.2899999999999999E-2</v>
          </cell>
          <cell r="T132" t="str">
            <v>-</v>
          </cell>
          <cell r="U132">
            <v>3.2899999999999999E-2</v>
          </cell>
          <cell r="V132" t="str">
            <v>-</v>
          </cell>
          <cell r="W132">
            <v>3.2899999999999999E-2</v>
          </cell>
          <cell r="X132" t="str">
            <v>-</v>
          </cell>
          <cell r="Y132">
            <v>1.54E-2</v>
          </cell>
          <cell r="Z132" t="str">
            <v/>
          </cell>
          <cell r="AA132">
            <v>1.973503894097222E-2</v>
          </cell>
          <cell r="AD132" t="str">
            <v>-</v>
          </cell>
          <cell r="AE132">
            <v>3.2899999999999999E-2</v>
          </cell>
          <cell r="AF132" t="str">
            <v>-</v>
          </cell>
          <cell r="AG132">
            <v>3.2899999999999999E-2</v>
          </cell>
          <cell r="AH132" t="str">
            <v>-</v>
          </cell>
          <cell r="AI132">
            <v>3.2899999999999999E-2</v>
          </cell>
          <cell r="AJ132" t="str">
            <v>-</v>
          </cell>
          <cell r="AK132">
            <v>3.2899999999999999E-2</v>
          </cell>
          <cell r="AL132" t="str">
            <v>Netherlands Internet Prov 21</v>
          </cell>
        </row>
        <row r="133">
          <cell r="N133" t="str">
            <v>DOM NDL NDI22</v>
          </cell>
          <cell r="O133" t="str">
            <v>minute</v>
          </cell>
          <cell r="P133" t="str">
            <v>-</v>
          </cell>
          <cell r="Q133">
            <v>3.5499999999999997E-2</v>
          </cell>
          <cell r="R133" t="str">
            <v>-</v>
          </cell>
          <cell r="S133">
            <v>3.5499999999999997E-2</v>
          </cell>
          <cell r="T133" t="str">
            <v>-</v>
          </cell>
          <cell r="U133">
            <v>3.5499999999999997E-2</v>
          </cell>
          <cell r="V133" t="str">
            <v>-</v>
          </cell>
          <cell r="W133">
            <v>3.5499999999999997E-2</v>
          </cell>
          <cell r="X133" t="str">
            <v>-</v>
          </cell>
          <cell r="Y133">
            <v>2.3900000000000001E-2</v>
          </cell>
          <cell r="Z133" t="str">
            <v/>
          </cell>
          <cell r="AA133">
            <v>2.1235038940972221E-2</v>
          </cell>
          <cell r="AD133" t="str">
            <v>-</v>
          </cell>
          <cell r="AE133">
            <v>3.5499999999999997E-2</v>
          </cell>
          <cell r="AF133" t="str">
            <v>-</v>
          </cell>
          <cell r="AG133">
            <v>3.5499999999999997E-2</v>
          </cell>
          <cell r="AH133" t="str">
            <v>-</v>
          </cell>
          <cell r="AI133">
            <v>3.5499999999999997E-2</v>
          </cell>
          <cell r="AJ133" t="str">
            <v>-</v>
          </cell>
          <cell r="AK133">
            <v>3.5499999999999997E-2</v>
          </cell>
          <cell r="AL133" t="str">
            <v>Netherlands Internet Prov 22</v>
          </cell>
        </row>
        <row r="134">
          <cell r="N134" t="str">
            <v>DOM NDL NDI23</v>
          </cell>
          <cell r="O134" t="str">
            <v>minute</v>
          </cell>
          <cell r="P134" t="str">
            <v>-</v>
          </cell>
          <cell r="Q134">
            <v>2.7699999999999999E-2</v>
          </cell>
          <cell r="R134" t="str">
            <v>-</v>
          </cell>
          <cell r="S134">
            <v>2.7699999999999999E-2</v>
          </cell>
          <cell r="T134" t="str">
            <v>-</v>
          </cell>
          <cell r="U134">
            <v>2.7699999999999999E-2</v>
          </cell>
          <cell r="V134" t="str">
            <v>-</v>
          </cell>
          <cell r="W134">
            <v>2.7699999999999999E-2</v>
          </cell>
          <cell r="X134" t="str">
            <v>-</v>
          </cell>
          <cell r="Y134">
            <v>2.7300000000000001E-2</v>
          </cell>
          <cell r="Z134" t="str">
            <v/>
          </cell>
          <cell r="AA134">
            <v>1.2435038940972223E-2</v>
          </cell>
          <cell r="AD134" t="str">
            <v>-</v>
          </cell>
          <cell r="AE134">
            <v>2.7699999999999999E-2</v>
          </cell>
          <cell r="AF134" t="str">
            <v>-</v>
          </cell>
          <cell r="AG134">
            <v>2.7699999999999999E-2</v>
          </cell>
          <cell r="AH134" t="str">
            <v>-</v>
          </cell>
          <cell r="AI134">
            <v>2.7699999999999999E-2</v>
          </cell>
          <cell r="AJ134" t="str">
            <v>-</v>
          </cell>
          <cell r="AK134">
            <v>2.7699999999999999E-2</v>
          </cell>
          <cell r="AL134" t="str">
            <v>Netherlands Internet Prov 23</v>
          </cell>
        </row>
        <row r="135">
          <cell r="N135" t="str">
            <v>DOM NDL NDI24</v>
          </cell>
          <cell r="O135" t="str">
            <v>minute</v>
          </cell>
          <cell r="P135" t="str">
            <v>-</v>
          </cell>
          <cell r="Q135">
            <v>3.6600000000000001E-2</v>
          </cell>
          <cell r="R135" t="str">
            <v>-</v>
          </cell>
          <cell r="S135">
            <v>3.6600000000000001E-2</v>
          </cell>
          <cell r="T135" t="str">
            <v>-</v>
          </cell>
          <cell r="U135">
            <v>3.6600000000000001E-2</v>
          </cell>
          <cell r="V135" t="str">
            <v>-</v>
          </cell>
          <cell r="W135">
            <v>3.6600000000000001E-2</v>
          </cell>
          <cell r="X135" t="str">
            <v>-</v>
          </cell>
          <cell r="Y135">
            <v>1.6799999999999999E-2</v>
          </cell>
          <cell r="Z135" t="str">
            <v/>
          </cell>
          <cell r="AA135">
            <v>1.7568372274305553E-2</v>
          </cell>
          <cell r="AD135" t="str">
            <v>-</v>
          </cell>
          <cell r="AE135">
            <v>3.6600000000000001E-2</v>
          </cell>
          <cell r="AF135" t="str">
            <v>-</v>
          </cell>
          <cell r="AG135">
            <v>3.6600000000000001E-2</v>
          </cell>
          <cell r="AH135" t="str">
            <v>-</v>
          </cell>
          <cell r="AI135">
            <v>3.6600000000000001E-2</v>
          </cell>
          <cell r="AJ135" t="str">
            <v>-</v>
          </cell>
          <cell r="AK135">
            <v>3.6600000000000001E-2</v>
          </cell>
          <cell r="AL135" t="str">
            <v>Netherlands Internet Prov 24</v>
          </cell>
        </row>
        <row r="136">
          <cell r="N136" t="str">
            <v>DOM NDL NDI25</v>
          </cell>
          <cell r="O136" t="str">
            <v>minute</v>
          </cell>
          <cell r="P136" t="str">
            <v>-</v>
          </cell>
          <cell r="Q136">
            <v>3.6600000000000001E-2</v>
          </cell>
          <cell r="R136" t="str">
            <v>-</v>
          </cell>
          <cell r="S136">
            <v>3.6600000000000001E-2</v>
          </cell>
          <cell r="T136" t="str">
            <v>-</v>
          </cell>
          <cell r="U136">
            <v>3.6600000000000001E-2</v>
          </cell>
          <cell r="V136" t="str">
            <v>-</v>
          </cell>
          <cell r="W136">
            <v>3.6600000000000001E-2</v>
          </cell>
          <cell r="X136" t="str">
            <v>-</v>
          </cell>
          <cell r="Y136">
            <v>1.6799999999999999E-2</v>
          </cell>
          <cell r="Z136" t="str">
            <v/>
          </cell>
          <cell r="AA136">
            <v>2.6635038940972224E-2</v>
          </cell>
          <cell r="AD136" t="str">
            <v>-</v>
          </cell>
          <cell r="AE136">
            <v>3.6600000000000001E-2</v>
          </cell>
          <cell r="AF136" t="str">
            <v>-</v>
          </cell>
          <cell r="AG136">
            <v>3.6600000000000001E-2</v>
          </cell>
          <cell r="AH136" t="str">
            <v>-</v>
          </cell>
          <cell r="AI136">
            <v>3.6600000000000001E-2</v>
          </cell>
          <cell r="AJ136" t="str">
            <v>-</v>
          </cell>
          <cell r="AK136">
            <v>3.6600000000000001E-2</v>
          </cell>
          <cell r="AL136" t="str">
            <v>Netherlands Internet Prov 25</v>
          </cell>
        </row>
        <row r="137">
          <cell r="N137" t="str">
            <v>DOM NDL NDI26</v>
          </cell>
          <cell r="O137" t="str">
            <v>minute</v>
          </cell>
          <cell r="P137" t="str">
            <v>-</v>
          </cell>
          <cell r="Q137">
            <v>3.8899999999999997E-2</v>
          </cell>
          <cell r="R137" t="str">
            <v>-</v>
          </cell>
          <cell r="S137">
            <v>3.8899999999999997E-2</v>
          </cell>
          <cell r="T137" t="str">
            <v>-</v>
          </cell>
          <cell r="U137">
            <v>3.8899999999999997E-2</v>
          </cell>
          <cell r="V137" t="str">
            <v>-</v>
          </cell>
          <cell r="W137">
            <v>3.8899999999999997E-2</v>
          </cell>
          <cell r="X137" t="str">
            <v>-</v>
          </cell>
          <cell r="Y137">
            <v>0.03</v>
          </cell>
          <cell r="Z137" t="str">
            <v/>
          </cell>
          <cell r="AA137">
            <v>2.8335038940972224E-2</v>
          </cell>
          <cell r="AD137" t="str">
            <v>-</v>
          </cell>
          <cell r="AE137">
            <v>3.8899999999999997E-2</v>
          </cell>
          <cell r="AF137" t="str">
            <v>-</v>
          </cell>
          <cell r="AG137">
            <v>3.8899999999999997E-2</v>
          </cell>
          <cell r="AH137" t="str">
            <v>-</v>
          </cell>
          <cell r="AI137">
            <v>3.8899999999999997E-2</v>
          </cell>
          <cell r="AJ137" t="str">
            <v>-</v>
          </cell>
          <cell r="AK137">
            <v>3.8899999999999997E-2</v>
          </cell>
          <cell r="AL137" t="str">
            <v>Netherlands Internet Prov 26</v>
          </cell>
        </row>
        <row r="138">
          <cell r="N138" t="str">
            <v>DOM NDL NDI27</v>
          </cell>
          <cell r="O138" t="str">
            <v>minute</v>
          </cell>
          <cell r="P138" t="str">
            <v>-</v>
          </cell>
          <cell r="Q138">
            <v>2.9700000000000001E-2</v>
          </cell>
          <cell r="R138" t="str">
            <v>-</v>
          </cell>
          <cell r="S138">
            <v>2.9700000000000001E-2</v>
          </cell>
          <cell r="T138" t="str">
            <v>-</v>
          </cell>
          <cell r="U138">
            <v>2.9700000000000001E-2</v>
          </cell>
          <cell r="V138" t="str">
            <v>-</v>
          </cell>
          <cell r="W138">
            <v>2.9700000000000001E-2</v>
          </cell>
          <cell r="X138" t="str">
            <v>-</v>
          </cell>
          <cell r="Y138">
            <v>3.1399999999999997E-2</v>
          </cell>
          <cell r="Z138" t="str">
            <v/>
          </cell>
          <cell r="AA138">
            <v>1.7635038940972222E-2</v>
          </cell>
          <cell r="AD138" t="str">
            <v>-</v>
          </cell>
          <cell r="AE138">
            <v>2.9700000000000001E-2</v>
          </cell>
          <cell r="AF138" t="str">
            <v>-</v>
          </cell>
          <cell r="AG138">
            <v>2.9700000000000001E-2</v>
          </cell>
          <cell r="AH138" t="str">
            <v>-</v>
          </cell>
          <cell r="AI138">
            <v>2.9700000000000001E-2</v>
          </cell>
          <cell r="AJ138" t="str">
            <v>-</v>
          </cell>
          <cell r="AK138">
            <v>2.9700000000000001E-2</v>
          </cell>
          <cell r="AL138" t="str">
            <v>Netherlands Internet Prov 27</v>
          </cell>
        </row>
        <row r="139">
          <cell r="N139" t="str">
            <v>DOM NDL NDI28</v>
          </cell>
          <cell r="O139" t="str">
            <v>minute</v>
          </cell>
          <cell r="P139" t="str">
            <v>-</v>
          </cell>
          <cell r="Q139">
            <v>4.02E-2</v>
          </cell>
          <cell r="R139" t="str">
            <v>-</v>
          </cell>
          <cell r="S139">
            <v>4.02E-2</v>
          </cell>
          <cell r="T139" t="str">
            <v>-</v>
          </cell>
          <cell r="U139">
            <v>4.02E-2</v>
          </cell>
          <cell r="V139" t="str">
            <v>-</v>
          </cell>
          <cell r="W139">
            <v>4.02E-2</v>
          </cell>
          <cell r="X139" t="str">
            <v>-</v>
          </cell>
          <cell r="Y139">
            <v>1.9599999999999999E-2</v>
          </cell>
          <cell r="Z139" t="str">
            <v/>
          </cell>
          <cell r="AA139">
            <v>3.2368372274305557E-2</v>
          </cell>
          <cell r="AD139" t="str">
            <v>-</v>
          </cell>
          <cell r="AE139">
            <v>4.02E-2</v>
          </cell>
          <cell r="AF139" t="str">
            <v>-</v>
          </cell>
          <cell r="AG139">
            <v>4.02E-2</v>
          </cell>
          <cell r="AH139" t="str">
            <v>-</v>
          </cell>
          <cell r="AI139">
            <v>4.02E-2</v>
          </cell>
          <cell r="AJ139" t="str">
            <v>-</v>
          </cell>
          <cell r="AK139">
            <v>4.02E-2</v>
          </cell>
          <cell r="AL139" t="str">
            <v>Netherlands Internet Prov 28</v>
          </cell>
        </row>
        <row r="140">
          <cell r="N140" t="str">
            <v>DOM NDL NDI29</v>
          </cell>
          <cell r="O140" t="str">
            <v>minute</v>
          </cell>
          <cell r="P140" t="str">
            <v>-</v>
          </cell>
          <cell r="Q140">
            <v>3.8100000000000002E-2</v>
          </cell>
          <cell r="R140" t="str">
            <v>-</v>
          </cell>
          <cell r="S140">
            <v>3.8100000000000002E-2</v>
          </cell>
          <cell r="T140" t="str">
            <v>-</v>
          </cell>
          <cell r="U140">
            <v>3.8100000000000002E-2</v>
          </cell>
          <cell r="V140" t="str">
            <v>-</v>
          </cell>
          <cell r="W140">
            <v>3.8100000000000002E-2</v>
          </cell>
          <cell r="X140" t="str">
            <v>-</v>
          </cell>
          <cell r="Y140">
            <v>3.2899999999999999E-2</v>
          </cell>
          <cell r="Z140" t="str">
            <v/>
          </cell>
          <cell r="AA140">
            <v>2.9901705607638891E-2</v>
          </cell>
          <cell r="AD140" t="str">
            <v>-</v>
          </cell>
          <cell r="AE140">
            <v>3.8100000000000002E-2</v>
          </cell>
          <cell r="AF140" t="str">
            <v>-</v>
          </cell>
          <cell r="AG140">
            <v>3.8100000000000002E-2</v>
          </cell>
          <cell r="AH140" t="str">
            <v>-</v>
          </cell>
          <cell r="AI140">
            <v>3.8100000000000002E-2</v>
          </cell>
          <cell r="AJ140" t="str">
            <v>-</v>
          </cell>
          <cell r="AK140">
            <v>3.8100000000000002E-2</v>
          </cell>
          <cell r="AL140" t="str">
            <v>Netherlands Internet Prov 29</v>
          </cell>
        </row>
        <row r="141">
          <cell r="N141" t="str">
            <v>DOM NDL NDI30</v>
          </cell>
          <cell r="O141" t="str">
            <v>minute</v>
          </cell>
          <cell r="P141" t="str">
            <v>-</v>
          </cell>
          <cell r="Q141">
            <v>4.0399999999999998E-2</v>
          </cell>
          <cell r="R141" t="str">
            <v>-</v>
          </cell>
          <cell r="S141">
            <v>4.0399999999999998E-2</v>
          </cell>
          <cell r="T141" t="str">
            <v>-</v>
          </cell>
          <cell r="U141">
            <v>4.0399999999999998E-2</v>
          </cell>
          <cell r="V141" t="str">
            <v>-</v>
          </cell>
          <cell r="W141">
            <v>4.0399999999999998E-2</v>
          </cell>
          <cell r="X141" t="str">
            <v>-</v>
          </cell>
          <cell r="Y141">
            <v>3.04E-2</v>
          </cell>
          <cell r="Z141" t="str">
            <v/>
          </cell>
          <cell r="AA141">
            <v>2.9901705607638891E-2</v>
          </cell>
          <cell r="AD141" t="str">
            <v>-</v>
          </cell>
          <cell r="AE141">
            <v>4.0399999999999998E-2</v>
          </cell>
          <cell r="AF141" t="str">
            <v>-</v>
          </cell>
          <cell r="AG141">
            <v>4.0399999999999998E-2</v>
          </cell>
          <cell r="AH141" t="str">
            <v>-</v>
          </cell>
          <cell r="AI141">
            <v>4.0399999999999998E-2</v>
          </cell>
          <cell r="AJ141" t="str">
            <v>-</v>
          </cell>
          <cell r="AK141">
            <v>4.0399999999999998E-2</v>
          </cell>
          <cell r="AL141" t="str">
            <v>Netherlands Internet Prov 30</v>
          </cell>
        </row>
        <row r="142">
          <cell r="N142" t="str">
            <v>DOM NDL NDI31</v>
          </cell>
          <cell r="O142" t="str">
            <v>minute</v>
          </cell>
          <cell r="P142" t="str">
            <v>-</v>
          </cell>
          <cell r="Q142">
            <v>4.02E-2</v>
          </cell>
          <cell r="R142" t="str">
            <v>-</v>
          </cell>
          <cell r="S142">
            <v>4.02E-2</v>
          </cell>
          <cell r="T142" t="str">
            <v>-</v>
          </cell>
          <cell r="U142">
            <v>4.02E-2</v>
          </cell>
          <cell r="V142" t="str">
            <v>-</v>
          </cell>
          <cell r="W142">
            <v>4.02E-2</v>
          </cell>
          <cell r="X142" t="str">
            <v>-</v>
          </cell>
          <cell r="Y142">
            <v>3.32E-2</v>
          </cell>
          <cell r="Z142" t="str">
            <v/>
          </cell>
          <cell r="AA142">
            <v>3.013503894097222E-2</v>
          </cell>
          <cell r="AD142" t="str">
            <v>-</v>
          </cell>
          <cell r="AE142">
            <v>4.02E-2</v>
          </cell>
          <cell r="AF142" t="str">
            <v>-</v>
          </cell>
          <cell r="AG142">
            <v>4.02E-2</v>
          </cell>
          <cell r="AH142" t="str">
            <v>-</v>
          </cell>
          <cell r="AI142">
            <v>4.02E-2</v>
          </cell>
          <cell r="AJ142" t="str">
            <v>-</v>
          </cell>
          <cell r="AK142">
            <v>4.02E-2</v>
          </cell>
          <cell r="AL142" t="str">
            <v>Netherlands Internet Prov 31</v>
          </cell>
        </row>
        <row r="143">
          <cell r="N143" t="str">
            <v>DOM NDL NDI32</v>
          </cell>
          <cell r="O143" t="str">
            <v>minute</v>
          </cell>
          <cell r="P143" t="str">
            <v>-</v>
          </cell>
          <cell r="Q143">
            <v>4.1399999999999999E-2</v>
          </cell>
          <cell r="R143" t="str">
            <v>-</v>
          </cell>
          <cell r="S143">
            <v>4.1399999999999999E-2</v>
          </cell>
          <cell r="T143" t="str">
            <v>-</v>
          </cell>
          <cell r="U143">
            <v>4.1399999999999999E-2</v>
          </cell>
          <cell r="V143" t="str">
            <v>-</v>
          </cell>
          <cell r="W143">
            <v>4.1399999999999999E-2</v>
          </cell>
          <cell r="X143" t="str">
            <v>-</v>
          </cell>
          <cell r="Y143">
            <v>3.2899999999999999E-2</v>
          </cell>
          <cell r="Z143" t="str">
            <v/>
          </cell>
          <cell r="AA143">
            <v>3.2368372274305557E-2</v>
          </cell>
          <cell r="AD143" t="str">
            <v>-</v>
          </cell>
          <cell r="AE143">
            <v>4.1399999999999999E-2</v>
          </cell>
          <cell r="AF143" t="str">
            <v>-</v>
          </cell>
          <cell r="AG143">
            <v>4.1399999999999999E-2</v>
          </cell>
          <cell r="AH143" t="str">
            <v>-</v>
          </cell>
          <cell r="AI143">
            <v>4.1399999999999999E-2</v>
          </cell>
          <cell r="AJ143" t="str">
            <v>-</v>
          </cell>
          <cell r="AK143">
            <v>4.1399999999999999E-2</v>
          </cell>
          <cell r="AL143" t="str">
            <v>Netherlands Internet Prov 32</v>
          </cell>
        </row>
        <row r="144">
          <cell r="N144" t="str">
            <v>DOM NDL NDI33</v>
          </cell>
          <cell r="O144" t="str">
            <v>minute</v>
          </cell>
          <cell r="P144" t="str">
            <v>-</v>
          </cell>
          <cell r="Q144">
            <v>4.2700000000000002E-2</v>
          </cell>
          <cell r="R144" t="str">
            <v>-</v>
          </cell>
          <cell r="S144">
            <v>4.2700000000000002E-2</v>
          </cell>
          <cell r="T144" t="str">
            <v>-</v>
          </cell>
          <cell r="U144">
            <v>4.2700000000000002E-2</v>
          </cell>
          <cell r="V144" t="str">
            <v>-</v>
          </cell>
          <cell r="W144">
            <v>4.2700000000000002E-2</v>
          </cell>
          <cell r="X144" t="str">
            <v>-</v>
          </cell>
          <cell r="Y144">
            <v>3.44E-2</v>
          </cell>
          <cell r="Z144" t="str">
            <v/>
          </cell>
          <cell r="AA144">
            <v>3.3868372274305558E-2</v>
          </cell>
          <cell r="AD144" t="str">
            <v>-</v>
          </cell>
          <cell r="AE144">
            <v>4.2700000000000002E-2</v>
          </cell>
          <cell r="AF144" t="str">
            <v>-</v>
          </cell>
          <cell r="AG144">
            <v>4.2700000000000002E-2</v>
          </cell>
          <cell r="AH144" t="str">
            <v>-</v>
          </cell>
          <cell r="AI144">
            <v>4.2700000000000002E-2</v>
          </cell>
          <cell r="AJ144" t="str">
            <v>-</v>
          </cell>
          <cell r="AK144">
            <v>4.2700000000000002E-2</v>
          </cell>
          <cell r="AL144" t="str">
            <v>Netherlands Internet Prov 33</v>
          </cell>
        </row>
        <row r="145">
          <cell r="N145" t="str">
            <v>DOM NDL NDI34</v>
          </cell>
          <cell r="O145" t="str">
            <v>minute</v>
          </cell>
          <cell r="P145" t="str">
            <v>-</v>
          </cell>
          <cell r="Q145">
            <v>3.2399999999999998E-2</v>
          </cell>
          <cell r="R145" t="str">
            <v>-</v>
          </cell>
          <cell r="S145">
            <v>3.2399999999999998E-2</v>
          </cell>
          <cell r="T145" t="str">
            <v>-</v>
          </cell>
          <cell r="U145">
            <v>3.2399999999999998E-2</v>
          </cell>
          <cell r="V145" t="str">
            <v>-</v>
          </cell>
          <cell r="W145">
            <v>3.2399999999999998E-2</v>
          </cell>
          <cell r="X145" t="str">
            <v>-</v>
          </cell>
          <cell r="Y145">
            <v>3.5900000000000001E-2</v>
          </cell>
          <cell r="Z145" t="str">
            <v/>
          </cell>
          <cell r="AA145">
            <v>3.5401705607638889E-2</v>
          </cell>
          <cell r="AD145" t="str">
            <v>-</v>
          </cell>
          <cell r="AE145">
            <v>3.2399999999999998E-2</v>
          </cell>
          <cell r="AF145" t="str">
            <v>-</v>
          </cell>
          <cell r="AG145">
            <v>3.2399999999999998E-2</v>
          </cell>
          <cell r="AH145" t="str">
            <v>-</v>
          </cell>
          <cell r="AI145">
            <v>3.2399999999999998E-2</v>
          </cell>
          <cell r="AJ145" t="str">
            <v>-</v>
          </cell>
          <cell r="AK145">
            <v>3.2399999999999998E-2</v>
          </cell>
          <cell r="AL145" t="str">
            <v>Netherlands Internet Prov 34</v>
          </cell>
        </row>
        <row r="146">
          <cell r="N146" t="str">
            <v>DOM NDL NDI35</v>
          </cell>
          <cell r="O146" t="str">
            <v>minute</v>
          </cell>
          <cell r="P146" t="str">
            <v>-</v>
          </cell>
          <cell r="Q146">
            <v>3.5799999999999998E-2</v>
          </cell>
          <cell r="R146" t="str">
            <v>-</v>
          </cell>
          <cell r="S146">
            <v>3.5799999999999998E-2</v>
          </cell>
          <cell r="T146" t="str">
            <v>-</v>
          </cell>
          <cell r="U146">
            <v>3.5799999999999998E-2</v>
          </cell>
          <cell r="V146" t="str">
            <v>-</v>
          </cell>
          <cell r="W146">
            <v>3.5799999999999998E-2</v>
          </cell>
          <cell r="X146" t="str">
            <v>-</v>
          </cell>
          <cell r="Y146">
            <v>2.3199999999999998E-2</v>
          </cell>
          <cell r="Z146" t="str">
            <v/>
          </cell>
          <cell r="AA146">
            <v>2.3135038940972227E-2</v>
          </cell>
          <cell r="AD146" t="str">
            <v>-</v>
          </cell>
          <cell r="AE146">
            <v>3.5799999999999998E-2</v>
          </cell>
          <cell r="AF146" t="str">
            <v>-</v>
          </cell>
          <cell r="AG146">
            <v>3.5799999999999998E-2</v>
          </cell>
          <cell r="AH146" t="str">
            <v>-</v>
          </cell>
          <cell r="AI146">
            <v>3.5799999999999998E-2</v>
          </cell>
          <cell r="AJ146" t="str">
            <v>-</v>
          </cell>
          <cell r="AK146">
            <v>3.5799999999999998E-2</v>
          </cell>
          <cell r="AL146" t="str">
            <v>Netherlands Internet Prov 35</v>
          </cell>
        </row>
        <row r="147">
          <cell r="N147" t="str">
            <v>DOM NDL NDI36</v>
          </cell>
          <cell r="O147" t="str">
            <v>minute</v>
          </cell>
          <cell r="P147" t="str">
            <v>-</v>
          </cell>
          <cell r="Q147">
            <v>4.2500000000000003E-2</v>
          </cell>
          <cell r="R147" t="str">
            <v>-</v>
          </cell>
          <cell r="S147">
            <v>4.2500000000000003E-2</v>
          </cell>
          <cell r="T147" t="str">
            <v>-</v>
          </cell>
          <cell r="U147">
            <v>4.2500000000000003E-2</v>
          </cell>
          <cell r="V147" t="str">
            <v>-</v>
          </cell>
          <cell r="W147">
            <v>4.2500000000000003E-2</v>
          </cell>
          <cell r="X147" t="str">
            <v>-</v>
          </cell>
          <cell r="Y147">
            <v>2.76E-2</v>
          </cell>
          <cell r="Z147" t="str">
            <v/>
          </cell>
          <cell r="AA147">
            <v>2.7135038940972224E-2</v>
          </cell>
          <cell r="AD147" t="str">
            <v>-</v>
          </cell>
          <cell r="AE147">
            <v>4.2500000000000003E-2</v>
          </cell>
          <cell r="AF147" t="str">
            <v>-</v>
          </cell>
          <cell r="AG147">
            <v>4.2500000000000003E-2</v>
          </cell>
          <cell r="AH147" t="str">
            <v>-</v>
          </cell>
          <cell r="AI147">
            <v>4.2500000000000003E-2</v>
          </cell>
          <cell r="AJ147" t="str">
            <v>-</v>
          </cell>
          <cell r="AK147">
            <v>4.2500000000000003E-2</v>
          </cell>
          <cell r="AL147" t="str">
            <v>Netherlands Internet Prov 36</v>
          </cell>
        </row>
        <row r="148">
          <cell r="N148" t="str">
            <v>DOM NDL NDI37</v>
          </cell>
          <cell r="O148" t="str">
            <v>minute</v>
          </cell>
          <cell r="P148" t="str">
            <v>-</v>
          </cell>
          <cell r="Q148">
            <v>3.04E-2</v>
          </cell>
          <cell r="R148" t="str">
            <v>-</v>
          </cell>
          <cell r="S148">
            <v>3.04E-2</v>
          </cell>
          <cell r="T148" t="str">
            <v>-</v>
          </cell>
          <cell r="U148">
            <v>3.04E-2</v>
          </cell>
          <cell r="V148" t="str">
            <v>-</v>
          </cell>
          <cell r="W148">
            <v>3.04E-2</v>
          </cell>
          <cell r="X148" t="str">
            <v>-</v>
          </cell>
          <cell r="Y148">
            <v>3.56E-2</v>
          </cell>
          <cell r="Z148" t="str">
            <v/>
          </cell>
          <cell r="AA148">
            <v>3.5135038940972224E-2</v>
          </cell>
          <cell r="AD148" t="str">
            <v>-</v>
          </cell>
          <cell r="AE148">
            <v>3.04E-2</v>
          </cell>
          <cell r="AF148" t="str">
            <v>-</v>
          </cell>
          <cell r="AG148">
            <v>3.04E-2</v>
          </cell>
          <cell r="AH148" t="str">
            <v>-</v>
          </cell>
          <cell r="AI148">
            <v>3.04E-2</v>
          </cell>
          <cell r="AJ148" t="str">
            <v>-</v>
          </cell>
          <cell r="AK148">
            <v>3.04E-2</v>
          </cell>
          <cell r="AL148" t="str">
            <v>Netherlands Internet Prov 37</v>
          </cell>
        </row>
        <row r="149">
          <cell r="N149" t="str">
            <v>DOM NDL NDI38</v>
          </cell>
          <cell r="O149" t="str">
            <v>minute</v>
          </cell>
          <cell r="P149" t="str">
            <v>-</v>
          </cell>
          <cell r="Q149">
            <v>2.3099999999999999E-2</v>
          </cell>
          <cell r="R149" t="str">
            <v>-</v>
          </cell>
          <cell r="S149">
            <v>2.3099999999999999E-2</v>
          </cell>
          <cell r="T149" t="str">
            <v>-</v>
          </cell>
          <cell r="U149">
            <v>2.3099999999999999E-2</v>
          </cell>
          <cell r="V149" t="str">
            <v>-</v>
          </cell>
          <cell r="W149">
            <v>2.3099999999999999E-2</v>
          </cell>
          <cell r="X149" t="str">
            <v>-</v>
          </cell>
          <cell r="Y149">
            <v>2.0400000000000001E-2</v>
          </cell>
          <cell r="Z149" t="str">
            <v/>
          </cell>
          <cell r="AA149">
            <v>2.0735038940972228E-2</v>
          </cell>
          <cell r="AD149" t="str">
            <v>-</v>
          </cell>
          <cell r="AE149">
            <v>2.3099999999999999E-2</v>
          </cell>
          <cell r="AF149" t="str">
            <v>-</v>
          </cell>
          <cell r="AG149">
            <v>2.3099999999999999E-2</v>
          </cell>
          <cell r="AH149" t="str">
            <v>-</v>
          </cell>
          <cell r="AI149">
            <v>2.3099999999999999E-2</v>
          </cell>
          <cell r="AJ149" t="str">
            <v>-</v>
          </cell>
          <cell r="AK149">
            <v>2.3099999999999999E-2</v>
          </cell>
          <cell r="AL149" t="str">
            <v>Netherlands Internet Prov 38</v>
          </cell>
        </row>
        <row r="150">
          <cell r="N150" t="str">
            <v>DOM NDL NDI39</v>
          </cell>
          <cell r="O150" t="str">
            <v>minute</v>
          </cell>
          <cell r="P150" t="str">
            <v>-</v>
          </cell>
          <cell r="Q150">
            <v>2.01E-2</v>
          </cell>
          <cell r="R150" t="str">
            <v>-</v>
          </cell>
          <cell r="S150">
            <v>2.01E-2</v>
          </cell>
          <cell r="T150" t="str">
            <v>-</v>
          </cell>
          <cell r="U150">
            <v>2.01E-2</v>
          </cell>
          <cell r="V150" t="str">
            <v>-</v>
          </cell>
          <cell r="W150">
            <v>2.01E-2</v>
          </cell>
          <cell r="X150" t="str">
            <v>-</v>
          </cell>
          <cell r="Y150">
            <v>1.0500000000000001E-2</v>
          </cell>
          <cell r="Z150" t="str">
            <v/>
          </cell>
          <cell r="AA150">
            <v>1.2068372274305555E-2</v>
          </cell>
          <cell r="AD150" t="str">
            <v>-</v>
          </cell>
          <cell r="AE150">
            <v>2.01E-2</v>
          </cell>
          <cell r="AF150" t="str">
            <v>-</v>
          </cell>
          <cell r="AG150">
            <v>2.01E-2</v>
          </cell>
          <cell r="AH150" t="str">
            <v>-</v>
          </cell>
          <cell r="AI150">
            <v>2.01E-2</v>
          </cell>
          <cell r="AJ150" t="str">
            <v>-</v>
          </cell>
          <cell r="AK150">
            <v>2.01E-2</v>
          </cell>
          <cell r="AL150" t="str">
            <v>Netherlands Internet Prov 39</v>
          </cell>
        </row>
        <row r="151">
          <cell r="N151" t="str">
            <v>DOM NDL NDI40</v>
          </cell>
          <cell r="O151" t="str">
            <v>minute</v>
          </cell>
          <cell r="P151" t="str">
            <v>-</v>
          </cell>
          <cell r="Q151">
            <v>4.3099999999999999E-2</v>
          </cell>
          <cell r="R151" t="str">
            <v>-</v>
          </cell>
          <cell r="S151">
            <v>4.3099999999999999E-2</v>
          </cell>
          <cell r="T151" t="str">
            <v>-</v>
          </cell>
          <cell r="U151">
            <v>4.3099999999999999E-2</v>
          </cell>
          <cell r="V151" t="str">
            <v>-</v>
          </cell>
          <cell r="W151">
            <v>4.3099999999999999E-2</v>
          </cell>
          <cell r="X151" t="str">
            <v>-</v>
          </cell>
          <cell r="Y151">
            <v>6.3E-3</v>
          </cell>
          <cell r="Z151" t="str">
            <v/>
          </cell>
          <cell r="AA151">
            <v>8.4350389409722226E-3</v>
          </cell>
          <cell r="AD151" t="str">
            <v>-</v>
          </cell>
          <cell r="AE151">
            <v>4.3099999999999999E-2</v>
          </cell>
          <cell r="AF151" t="str">
            <v>-</v>
          </cell>
          <cell r="AG151">
            <v>4.3099999999999999E-2</v>
          </cell>
          <cell r="AH151" t="str">
            <v>-</v>
          </cell>
          <cell r="AI151">
            <v>4.3099999999999999E-2</v>
          </cell>
          <cell r="AJ151" t="str">
            <v>-</v>
          </cell>
          <cell r="AK151">
            <v>4.3099999999999999E-2</v>
          </cell>
          <cell r="AL151" t="str">
            <v>Netherlands Internet Prov 40</v>
          </cell>
        </row>
        <row r="152">
          <cell r="N152" t="str">
            <v>DOM NDL NDI60</v>
          </cell>
          <cell r="O152" t="str">
            <v>minute</v>
          </cell>
          <cell r="P152" t="str">
            <v>-</v>
          </cell>
          <cell r="Q152">
            <v>2.8500000000000001E-2</v>
          </cell>
          <cell r="R152" t="str">
            <v>-</v>
          </cell>
          <cell r="S152">
            <v>2.8500000000000001E-2</v>
          </cell>
          <cell r="T152" t="str">
            <v>-</v>
          </cell>
          <cell r="U152">
            <v>2.8500000000000001E-2</v>
          </cell>
          <cell r="V152" t="str">
            <v>-</v>
          </cell>
          <cell r="W152">
            <v>2.8500000000000001E-2</v>
          </cell>
          <cell r="X152" t="str">
            <v>-</v>
          </cell>
          <cell r="Y152">
            <v>3.6299999999999999E-2</v>
          </cell>
          <cell r="Z152" t="str">
            <v/>
          </cell>
          <cell r="AA152">
            <v>3.5845038940972226E-2</v>
          </cell>
          <cell r="AD152" t="str">
            <v>-</v>
          </cell>
          <cell r="AE152">
            <v>2.8500000000000001E-2</v>
          </cell>
          <cell r="AF152" t="str">
            <v>-</v>
          </cell>
          <cell r="AG152">
            <v>2.8500000000000001E-2</v>
          </cell>
          <cell r="AH152" t="str">
            <v>-</v>
          </cell>
          <cell r="AI152">
            <v>2.8500000000000001E-2</v>
          </cell>
          <cell r="AJ152" t="str">
            <v>-</v>
          </cell>
          <cell r="AK152">
            <v>2.8500000000000001E-2</v>
          </cell>
          <cell r="AL152" t="str">
            <v>Netherlands Internet Prov 60</v>
          </cell>
        </row>
        <row r="153">
          <cell r="N153" t="str">
            <v>DOM NDL NDI61</v>
          </cell>
          <cell r="O153" t="str">
            <v>minute</v>
          </cell>
          <cell r="P153" t="str">
            <v>-</v>
          </cell>
          <cell r="Q153">
            <v>3.1699999999999999E-2</v>
          </cell>
          <cell r="R153" t="str">
            <v>-</v>
          </cell>
          <cell r="S153">
            <v>3.1699999999999999E-2</v>
          </cell>
          <cell r="T153" t="str">
            <v>-</v>
          </cell>
          <cell r="U153">
            <v>3.1699999999999999E-2</v>
          </cell>
          <cell r="V153" t="str">
            <v>-</v>
          </cell>
          <cell r="W153">
            <v>3.1699999999999999E-2</v>
          </cell>
          <cell r="X153" t="str">
            <v>-</v>
          </cell>
          <cell r="Y153">
            <v>1.7899999999999999E-2</v>
          </cell>
          <cell r="Z153" t="str">
            <v/>
          </cell>
          <cell r="AA153">
            <v>1.8535038940972224E-2</v>
          </cell>
          <cell r="AD153" t="str">
            <v>-</v>
          </cell>
          <cell r="AE153">
            <v>3.1699999999999999E-2</v>
          </cell>
          <cell r="AF153" t="str">
            <v>-</v>
          </cell>
          <cell r="AG153">
            <v>3.1699999999999999E-2</v>
          </cell>
          <cell r="AH153" t="str">
            <v>-</v>
          </cell>
          <cell r="AI153">
            <v>3.1699999999999999E-2</v>
          </cell>
          <cell r="AJ153" t="str">
            <v>-</v>
          </cell>
          <cell r="AK153">
            <v>3.1699999999999999E-2</v>
          </cell>
          <cell r="AL153" t="str">
            <v>Netherlands Internet Prov 61</v>
          </cell>
        </row>
        <row r="154">
          <cell r="N154" t="str">
            <v>DOM NDL NDI62</v>
          </cell>
          <cell r="O154" t="str">
            <v>minute</v>
          </cell>
          <cell r="P154" t="str">
            <v>-</v>
          </cell>
          <cell r="Q154">
            <v>3.8100000000000002E-2</v>
          </cell>
          <cell r="R154" t="str">
            <v>-</v>
          </cell>
          <cell r="S154">
            <v>3.8100000000000002E-2</v>
          </cell>
          <cell r="T154" t="str">
            <v>-</v>
          </cell>
          <cell r="U154">
            <v>3.8100000000000002E-2</v>
          </cell>
          <cell r="V154" t="str">
            <v>-</v>
          </cell>
          <cell r="W154">
            <v>3.8100000000000002E-2</v>
          </cell>
          <cell r="X154" t="str">
            <v>-</v>
          </cell>
          <cell r="Y154">
            <v>2.2200000000000001E-2</v>
          </cell>
          <cell r="Z154" t="str">
            <v/>
          </cell>
          <cell r="AA154">
            <v>2.5035038940972219E-2</v>
          </cell>
          <cell r="AD154" t="str">
            <v>-</v>
          </cell>
          <cell r="AE154">
            <v>3.8100000000000002E-2</v>
          </cell>
          <cell r="AF154" t="str">
            <v>-</v>
          </cell>
          <cell r="AG154">
            <v>3.8100000000000002E-2</v>
          </cell>
          <cell r="AH154" t="str">
            <v>-</v>
          </cell>
          <cell r="AI154">
            <v>3.8100000000000002E-2</v>
          </cell>
          <cell r="AJ154" t="str">
            <v>-</v>
          </cell>
          <cell r="AK154">
            <v>3.8100000000000002E-2</v>
          </cell>
          <cell r="AL154" t="str">
            <v>Netherlands Internet Prov 62</v>
          </cell>
        </row>
        <row r="155">
          <cell r="N155" t="str">
            <v>DOM NDL NDI63</v>
          </cell>
          <cell r="O155" t="str">
            <v>minute</v>
          </cell>
          <cell r="P155" t="str">
            <v>-</v>
          </cell>
          <cell r="Q155">
            <v>2.64E-2</v>
          </cell>
          <cell r="R155" t="str">
            <v>-</v>
          </cell>
          <cell r="S155">
            <v>2.64E-2</v>
          </cell>
          <cell r="T155" t="str">
            <v>-</v>
          </cell>
          <cell r="U155">
            <v>2.64E-2</v>
          </cell>
          <cell r="V155" t="str">
            <v>-</v>
          </cell>
          <cell r="W155">
            <v>2.64E-2</v>
          </cell>
          <cell r="X155" t="str">
            <v>-</v>
          </cell>
          <cell r="Y155">
            <v>3.04E-2</v>
          </cell>
          <cell r="Z155" t="str">
            <v/>
          </cell>
          <cell r="AA155">
            <v>2.9935038940972221E-2</v>
          </cell>
          <cell r="AD155" t="str">
            <v>-</v>
          </cell>
          <cell r="AE155">
            <v>2.64E-2</v>
          </cell>
          <cell r="AF155" t="str">
            <v>-</v>
          </cell>
          <cell r="AG155">
            <v>2.64E-2</v>
          </cell>
          <cell r="AH155" t="str">
            <v>-</v>
          </cell>
          <cell r="AI155">
            <v>2.64E-2</v>
          </cell>
          <cell r="AJ155" t="str">
            <v>-</v>
          </cell>
          <cell r="AK155">
            <v>2.64E-2</v>
          </cell>
          <cell r="AL155" t="str">
            <v>Netherlands Internet Prov 63</v>
          </cell>
        </row>
        <row r="156">
          <cell r="N156" t="str">
            <v>DOM NDL NDI64</v>
          </cell>
          <cell r="O156" t="str">
            <v>minute</v>
          </cell>
          <cell r="P156" t="str">
            <v>-</v>
          </cell>
          <cell r="Q156">
            <v>2.5600000000000001E-2</v>
          </cell>
          <cell r="R156" t="str">
            <v>-</v>
          </cell>
          <cell r="S156">
            <v>2.5600000000000001E-2</v>
          </cell>
          <cell r="T156" t="str">
            <v>-</v>
          </cell>
          <cell r="U156">
            <v>2.5600000000000001E-2</v>
          </cell>
          <cell r="V156" t="str">
            <v>-</v>
          </cell>
          <cell r="W156">
            <v>2.5600000000000001E-2</v>
          </cell>
          <cell r="X156" t="str">
            <v>-</v>
          </cell>
          <cell r="Y156">
            <v>1.4999999999999999E-2</v>
          </cell>
          <cell r="Z156" t="str">
            <v/>
          </cell>
          <cell r="AA156">
            <v>1.6035038940972222E-2</v>
          </cell>
          <cell r="AD156" t="str">
            <v>-</v>
          </cell>
          <cell r="AE156">
            <v>2.5600000000000001E-2</v>
          </cell>
          <cell r="AF156" t="str">
            <v>-</v>
          </cell>
          <cell r="AG156">
            <v>2.5600000000000001E-2</v>
          </cell>
          <cell r="AH156" t="str">
            <v>-</v>
          </cell>
          <cell r="AI156">
            <v>2.5600000000000001E-2</v>
          </cell>
          <cell r="AJ156" t="str">
            <v>-</v>
          </cell>
          <cell r="AK156">
            <v>2.5600000000000001E-2</v>
          </cell>
          <cell r="AL156" t="str">
            <v>Netherlands Internet Prov 64</v>
          </cell>
        </row>
        <row r="157">
          <cell r="N157" t="str">
            <v>DOM NDL NDI65</v>
          </cell>
          <cell r="O157" t="str">
            <v>minute</v>
          </cell>
          <cell r="P157" t="str">
            <v>-</v>
          </cell>
          <cell r="Q157">
            <v>3.2199999999999999E-2</v>
          </cell>
          <cell r="R157" t="str">
            <v>-</v>
          </cell>
          <cell r="S157">
            <v>3.2199999999999999E-2</v>
          </cell>
          <cell r="T157" t="str">
            <v>-</v>
          </cell>
          <cell r="U157">
            <v>3.2199999999999999E-2</v>
          </cell>
          <cell r="V157" t="str">
            <v>-</v>
          </cell>
          <cell r="W157">
            <v>3.2199999999999999E-2</v>
          </cell>
          <cell r="X157" t="str">
            <v>-</v>
          </cell>
          <cell r="Y157">
            <v>1.3899999999999999E-2</v>
          </cell>
          <cell r="Z157" t="str">
            <v/>
          </cell>
          <cell r="AA157">
            <v>1.5435038940972222E-2</v>
          </cell>
          <cell r="AD157" t="str">
            <v>-</v>
          </cell>
          <cell r="AE157">
            <v>3.2199999999999999E-2</v>
          </cell>
          <cell r="AF157" t="str">
            <v>-</v>
          </cell>
          <cell r="AG157">
            <v>3.2199999999999999E-2</v>
          </cell>
          <cell r="AH157" t="str">
            <v>-</v>
          </cell>
          <cell r="AI157">
            <v>3.2199999999999999E-2</v>
          </cell>
          <cell r="AJ157" t="str">
            <v>-</v>
          </cell>
          <cell r="AK157">
            <v>3.2199999999999999E-2</v>
          </cell>
          <cell r="AL157" t="str">
            <v>Netherlands Internet Prov 65</v>
          </cell>
        </row>
        <row r="158">
          <cell r="N158" t="str">
            <v>DOM NDL NDI66</v>
          </cell>
          <cell r="O158" t="str">
            <v>minute</v>
          </cell>
          <cell r="P158" t="str">
            <v>-</v>
          </cell>
          <cell r="Q158">
            <v>3.5499999999999997E-2</v>
          </cell>
          <cell r="R158" t="str">
            <v>-</v>
          </cell>
          <cell r="S158">
            <v>3.5499999999999997E-2</v>
          </cell>
          <cell r="T158" t="str">
            <v>-</v>
          </cell>
          <cell r="U158">
            <v>3.5499999999999997E-2</v>
          </cell>
          <cell r="V158" t="str">
            <v>-</v>
          </cell>
          <cell r="W158">
            <v>3.5499999999999997E-2</v>
          </cell>
          <cell r="X158" t="str">
            <v>-</v>
          </cell>
          <cell r="Y158">
            <v>2.3E-2</v>
          </cell>
          <cell r="Z158" t="str">
            <v/>
          </cell>
          <cell r="AA158">
            <v>2.2935038940972222E-2</v>
          </cell>
          <cell r="AD158" t="str">
            <v>-</v>
          </cell>
          <cell r="AE158">
            <v>3.5499999999999997E-2</v>
          </cell>
          <cell r="AF158" t="str">
            <v>-</v>
          </cell>
          <cell r="AG158">
            <v>3.5499999999999997E-2</v>
          </cell>
          <cell r="AH158" t="str">
            <v>-</v>
          </cell>
          <cell r="AI158">
            <v>3.5499999999999997E-2</v>
          </cell>
          <cell r="AJ158" t="str">
            <v>-</v>
          </cell>
          <cell r="AK158">
            <v>3.5499999999999997E-2</v>
          </cell>
          <cell r="AL158" t="str">
            <v>Netherlands Internet Prov 66</v>
          </cell>
        </row>
        <row r="159">
          <cell r="N159" t="str">
            <v>DOM NDL NDI67</v>
          </cell>
          <cell r="O159" t="str">
            <v>minute</v>
          </cell>
          <cell r="P159" t="str">
            <v>-</v>
          </cell>
          <cell r="Q159">
            <v>4.2200000000000001E-2</v>
          </cell>
          <cell r="R159" t="str">
            <v>-</v>
          </cell>
          <cell r="S159">
            <v>4.2200000000000001E-2</v>
          </cell>
          <cell r="T159" t="str">
            <v>-</v>
          </cell>
          <cell r="U159">
            <v>4.2200000000000001E-2</v>
          </cell>
          <cell r="V159" t="str">
            <v>-</v>
          </cell>
          <cell r="W159">
            <v>4.2200000000000001E-2</v>
          </cell>
          <cell r="X159" t="str">
            <v>-</v>
          </cell>
          <cell r="Y159">
            <v>2.7300000000000001E-2</v>
          </cell>
          <cell r="Z159" t="str">
            <v/>
          </cell>
          <cell r="AA159">
            <v>2.7335038940972223E-2</v>
          </cell>
          <cell r="AD159" t="str">
            <v>-</v>
          </cell>
          <cell r="AE159">
            <v>4.2200000000000001E-2</v>
          </cell>
          <cell r="AF159" t="str">
            <v>-</v>
          </cell>
          <cell r="AG159">
            <v>4.2200000000000001E-2</v>
          </cell>
          <cell r="AH159" t="str">
            <v>-</v>
          </cell>
          <cell r="AI159">
            <v>4.2200000000000001E-2</v>
          </cell>
          <cell r="AJ159" t="str">
            <v>-</v>
          </cell>
          <cell r="AK159">
            <v>4.2200000000000001E-2</v>
          </cell>
          <cell r="AL159" t="str">
            <v>Netherlands Internet Prov 67</v>
          </cell>
        </row>
        <row r="160">
          <cell r="N160" t="str">
            <v>DOM NDL NDI68</v>
          </cell>
          <cell r="O160" t="str">
            <v>minute</v>
          </cell>
          <cell r="P160" t="str">
            <v>-</v>
          </cell>
          <cell r="Q160">
            <v>3.0200000000000001E-2</v>
          </cell>
          <cell r="R160" t="str">
            <v>-</v>
          </cell>
          <cell r="S160">
            <v>3.0200000000000001E-2</v>
          </cell>
          <cell r="T160" t="str">
            <v>-</v>
          </cell>
          <cell r="U160">
            <v>3.0200000000000001E-2</v>
          </cell>
          <cell r="V160" t="str">
            <v>-</v>
          </cell>
          <cell r="W160">
            <v>3.0200000000000001E-2</v>
          </cell>
          <cell r="X160" t="str">
            <v>-</v>
          </cell>
          <cell r="Y160">
            <v>3.5299999999999998E-2</v>
          </cell>
          <cell r="Z160" t="str">
            <v/>
          </cell>
          <cell r="AA160">
            <v>3.4835038940972222E-2</v>
          </cell>
          <cell r="AD160" t="str">
            <v>-</v>
          </cell>
          <cell r="AE160">
            <v>3.0200000000000001E-2</v>
          </cell>
          <cell r="AF160" t="str">
            <v>-</v>
          </cell>
          <cell r="AG160">
            <v>3.0200000000000001E-2</v>
          </cell>
          <cell r="AH160" t="str">
            <v>-</v>
          </cell>
          <cell r="AI160">
            <v>3.0200000000000001E-2</v>
          </cell>
          <cell r="AJ160" t="str">
            <v>-</v>
          </cell>
          <cell r="AK160">
            <v>3.0200000000000001E-2</v>
          </cell>
          <cell r="AL160" t="str">
            <v>Netherlands Internet Prov 68</v>
          </cell>
        </row>
        <row r="161">
          <cell r="N161" t="str">
            <v>DOM NDL NDI69</v>
          </cell>
          <cell r="O161" t="str">
            <v>minute</v>
          </cell>
          <cell r="P161" t="str">
            <v>-</v>
          </cell>
          <cell r="Q161">
            <v>2.92E-2</v>
          </cell>
          <cell r="R161" t="str">
            <v>-</v>
          </cell>
          <cell r="S161">
            <v>2.92E-2</v>
          </cell>
          <cell r="T161" t="str">
            <v>-</v>
          </cell>
          <cell r="U161">
            <v>2.92E-2</v>
          </cell>
          <cell r="V161" t="str">
            <v>-</v>
          </cell>
          <cell r="W161">
            <v>2.92E-2</v>
          </cell>
          <cell r="X161" t="str">
            <v>-</v>
          </cell>
          <cell r="Y161">
            <v>2.0199999999999999E-2</v>
          </cell>
          <cell r="Z161" t="str">
            <v/>
          </cell>
          <cell r="AA161">
            <v>2.0535038940972222E-2</v>
          </cell>
          <cell r="AD161" t="str">
            <v>-</v>
          </cell>
          <cell r="AE161">
            <v>2.92E-2</v>
          </cell>
          <cell r="AF161" t="str">
            <v>-</v>
          </cell>
          <cell r="AG161">
            <v>2.92E-2</v>
          </cell>
          <cell r="AH161" t="str">
            <v>-</v>
          </cell>
          <cell r="AI161">
            <v>2.92E-2</v>
          </cell>
          <cell r="AJ161" t="str">
            <v>-</v>
          </cell>
          <cell r="AK161">
            <v>2.92E-2</v>
          </cell>
          <cell r="AL161" t="str">
            <v>Netherlands Internet Prov 69</v>
          </cell>
        </row>
        <row r="162">
          <cell r="N162" t="str">
            <v>DOM NDL NDI70</v>
          </cell>
          <cell r="O162" t="str">
            <v>minute</v>
          </cell>
          <cell r="P162" t="str">
            <v>-</v>
          </cell>
          <cell r="Q162">
            <v>3.1099999999999999E-2</v>
          </cell>
          <cell r="R162" t="str">
            <v>-</v>
          </cell>
          <cell r="S162">
            <v>3.1099999999999999E-2</v>
          </cell>
          <cell r="T162" t="str">
            <v>-</v>
          </cell>
          <cell r="U162">
            <v>3.1099999999999999E-2</v>
          </cell>
          <cell r="V162" t="str">
            <v>-</v>
          </cell>
          <cell r="W162">
            <v>3.1099999999999999E-2</v>
          </cell>
          <cell r="X162" t="str">
            <v>-</v>
          </cell>
          <cell r="Y162">
            <v>1.8800000000000001E-2</v>
          </cell>
          <cell r="Z162" t="str">
            <v/>
          </cell>
          <cell r="AA162">
            <v>1.9335038940972223E-2</v>
          </cell>
          <cell r="AD162" t="str">
            <v>-</v>
          </cell>
          <cell r="AE162">
            <v>3.1099999999999999E-2</v>
          </cell>
          <cell r="AF162" t="str">
            <v>-</v>
          </cell>
          <cell r="AG162">
            <v>3.1099999999999999E-2</v>
          </cell>
          <cell r="AH162" t="str">
            <v>-</v>
          </cell>
          <cell r="AI162">
            <v>3.1099999999999999E-2</v>
          </cell>
          <cell r="AJ162" t="str">
            <v>-</v>
          </cell>
          <cell r="AK162">
            <v>3.1099999999999999E-2</v>
          </cell>
          <cell r="AL162" t="str">
            <v>Netherlands Internet Prov 70</v>
          </cell>
        </row>
        <row r="163">
          <cell r="N163" t="str">
            <v>DOM NDL NDI71</v>
          </cell>
          <cell r="O163" t="str">
            <v>minute</v>
          </cell>
          <cell r="P163" t="str">
            <v>-</v>
          </cell>
          <cell r="Q163">
            <v>2.3099999999999999E-2</v>
          </cell>
          <cell r="R163" t="str">
            <v>-</v>
          </cell>
          <cell r="S163">
            <v>2.3099999999999999E-2</v>
          </cell>
          <cell r="T163" t="str">
            <v>-</v>
          </cell>
          <cell r="U163">
            <v>2.3099999999999999E-2</v>
          </cell>
          <cell r="V163" t="str">
            <v>-</v>
          </cell>
          <cell r="W163">
            <v>2.3099999999999999E-2</v>
          </cell>
          <cell r="X163" t="str">
            <v>-</v>
          </cell>
          <cell r="Y163">
            <v>2.1499999999999998E-2</v>
          </cell>
          <cell r="Z163" t="str">
            <v/>
          </cell>
          <cell r="AA163">
            <v>2.1635038940972226E-2</v>
          </cell>
          <cell r="AD163" t="str">
            <v>-</v>
          </cell>
          <cell r="AE163">
            <v>2.3099999999999999E-2</v>
          </cell>
          <cell r="AF163" t="str">
            <v>-</v>
          </cell>
          <cell r="AG163">
            <v>2.3099999999999999E-2</v>
          </cell>
          <cell r="AH163" t="str">
            <v>-</v>
          </cell>
          <cell r="AI163">
            <v>2.3099999999999999E-2</v>
          </cell>
          <cell r="AJ163" t="str">
            <v>-</v>
          </cell>
          <cell r="AK163">
            <v>2.3099999999999999E-2</v>
          </cell>
          <cell r="AL163" t="str">
            <v>Netherlands Internet Prov 71</v>
          </cell>
        </row>
        <row r="164">
          <cell r="N164" t="str">
            <v>DOM NDL NDI72</v>
          </cell>
          <cell r="O164" t="str">
            <v>minute</v>
          </cell>
          <cell r="P164" t="str">
            <v>-</v>
          </cell>
          <cell r="Q164">
            <v>2.01E-2</v>
          </cell>
          <cell r="R164" t="str">
            <v>-</v>
          </cell>
          <cell r="S164">
            <v>2.01E-2</v>
          </cell>
          <cell r="T164" t="str">
            <v>-</v>
          </cell>
          <cell r="U164">
            <v>2.01E-2</v>
          </cell>
          <cell r="V164" t="str">
            <v>-</v>
          </cell>
          <cell r="W164">
            <v>2.01E-2</v>
          </cell>
          <cell r="X164" t="str">
            <v>-</v>
          </cell>
          <cell r="Y164">
            <v>1.04E-2</v>
          </cell>
          <cell r="Z164" t="str">
            <v/>
          </cell>
          <cell r="AA164">
            <v>1.2035038940972222E-2</v>
          </cell>
          <cell r="AD164" t="str">
            <v>-</v>
          </cell>
          <cell r="AE164">
            <v>2.01E-2</v>
          </cell>
          <cell r="AF164" t="str">
            <v>-</v>
          </cell>
          <cell r="AG164">
            <v>2.01E-2</v>
          </cell>
          <cell r="AH164" t="str">
            <v>-</v>
          </cell>
          <cell r="AI164">
            <v>2.01E-2</v>
          </cell>
          <cell r="AJ164" t="str">
            <v>-</v>
          </cell>
          <cell r="AK164">
            <v>2.01E-2</v>
          </cell>
          <cell r="AL164" t="str">
            <v>Netherlands Internet Prov 72</v>
          </cell>
        </row>
        <row r="165">
          <cell r="N165" t="str">
            <v>DOM NDL NDI73</v>
          </cell>
          <cell r="O165" t="str">
            <v>minute</v>
          </cell>
          <cell r="P165" t="str">
            <v>-</v>
          </cell>
          <cell r="Q165">
            <v>2.1600000000000001E-2</v>
          </cell>
          <cell r="R165" t="str">
            <v>-</v>
          </cell>
          <cell r="S165">
            <v>2.1600000000000001E-2</v>
          </cell>
          <cell r="T165" t="str">
            <v>-</v>
          </cell>
          <cell r="U165">
            <v>2.1600000000000001E-2</v>
          </cell>
          <cell r="V165" t="str">
            <v>-</v>
          </cell>
          <cell r="W165">
            <v>2.1600000000000001E-2</v>
          </cell>
          <cell r="X165" t="str">
            <v>-</v>
          </cell>
          <cell r="Y165">
            <v>6.3E-3</v>
          </cell>
          <cell r="Z165" t="str">
            <v/>
          </cell>
          <cell r="AA165">
            <v>8.4350389409722226E-3</v>
          </cell>
          <cell r="AD165" t="str">
            <v>-</v>
          </cell>
          <cell r="AE165">
            <v>2.1600000000000001E-2</v>
          </cell>
          <cell r="AF165" t="str">
            <v>-</v>
          </cell>
          <cell r="AG165">
            <v>2.1600000000000001E-2</v>
          </cell>
          <cell r="AH165" t="str">
            <v>-</v>
          </cell>
          <cell r="AI165">
            <v>2.1600000000000001E-2</v>
          </cell>
          <cell r="AJ165" t="str">
            <v>-</v>
          </cell>
          <cell r="AK165">
            <v>2.1600000000000001E-2</v>
          </cell>
          <cell r="AL165" t="str">
            <v>Netherlands Internet Prov 73</v>
          </cell>
        </row>
        <row r="166">
          <cell r="N166" t="str">
            <v>DOM NDL NDI74</v>
          </cell>
          <cell r="O166" t="str">
            <v>minute</v>
          </cell>
          <cell r="P166" t="str">
            <v>-</v>
          </cell>
          <cell r="Q166">
            <v>3.5299999999999998E-2</v>
          </cell>
          <cell r="R166" t="str">
            <v>-</v>
          </cell>
          <cell r="S166">
            <v>3.5299999999999998E-2</v>
          </cell>
          <cell r="T166" t="str">
            <v>-</v>
          </cell>
          <cell r="U166">
            <v>3.5299999999999998E-2</v>
          </cell>
          <cell r="V166" t="str">
            <v>-</v>
          </cell>
          <cell r="W166">
            <v>3.5299999999999998E-2</v>
          </cell>
          <cell r="X166" t="str">
            <v>-</v>
          </cell>
          <cell r="Y166">
            <v>8.3999999999999995E-3</v>
          </cell>
          <cell r="Z166" t="str">
            <v/>
          </cell>
          <cell r="AA166">
            <v>1.5435038940972222E-2</v>
          </cell>
          <cell r="AD166" t="str">
            <v>-</v>
          </cell>
          <cell r="AE166">
            <v>3.5299999999999998E-2</v>
          </cell>
          <cell r="AF166" t="str">
            <v>-</v>
          </cell>
          <cell r="AG166">
            <v>3.5299999999999998E-2</v>
          </cell>
          <cell r="AH166" t="str">
            <v>-</v>
          </cell>
          <cell r="AI166">
            <v>3.5299999999999998E-2</v>
          </cell>
          <cell r="AJ166" t="str">
            <v>-</v>
          </cell>
          <cell r="AK166">
            <v>3.5299999999999998E-2</v>
          </cell>
          <cell r="AL166" t="str">
            <v>Netherlands Internet Prov 74</v>
          </cell>
        </row>
        <row r="167">
          <cell r="N167" t="str">
            <v>DOM NDL NDI75</v>
          </cell>
          <cell r="O167" t="str">
            <v>minute</v>
          </cell>
          <cell r="P167" t="str">
            <v>-</v>
          </cell>
          <cell r="Q167">
            <v>2.81E-2</v>
          </cell>
          <cell r="R167" t="str">
            <v>-</v>
          </cell>
          <cell r="S167">
            <v>2.81E-2</v>
          </cell>
          <cell r="T167" t="str">
            <v>-</v>
          </cell>
          <cell r="U167">
            <v>2.81E-2</v>
          </cell>
          <cell r="V167" t="str">
            <v>-</v>
          </cell>
          <cell r="W167">
            <v>2.81E-2</v>
          </cell>
          <cell r="X167" t="str">
            <v>-</v>
          </cell>
          <cell r="Y167">
            <v>2.7E-2</v>
          </cell>
          <cell r="Z167" t="str">
            <v/>
          </cell>
          <cell r="AA167">
            <v>2.6535038940972228E-2</v>
          </cell>
          <cell r="AD167" t="str">
            <v>-</v>
          </cell>
          <cell r="AE167">
            <v>2.81E-2</v>
          </cell>
          <cell r="AF167" t="str">
            <v>-</v>
          </cell>
          <cell r="AG167">
            <v>2.81E-2</v>
          </cell>
          <cell r="AH167" t="str">
            <v>-</v>
          </cell>
          <cell r="AI167">
            <v>2.81E-2</v>
          </cell>
          <cell r="AJ167" t="str">
            <v>-</v>
          </cell>
          <cell r="AK167">
            <v>2.81E-2</v>
          </cell>
          <cell r="AL167" t="str">
            <v>Netherlands Internet Prov 75</v>
          </cell>
        </row>
        <row r="168">
          <cell r="N168" t="str">
            <v>DOM NDL NDI76</v>
          </cell>
          <cell r="O168" t="str">
            <v>minute</v>
          </cell>
          <cell r="P168" t="str">
            <v>-</v>
          </cell>
          <cell r="Q168">
            <v>3.4299999999999997E-2</v>
          </cell>
          <cell r="R168" t="str">
            <v>-</v>
          </cell>
          <cell r="S168">
            <v>3.4299999999999997E-2</v>
          </cell>
          <cell r="T168" t="str">
            <v>-</v>
          </cell>
          <cell r="U168">
            <v>3.4299999999999997E-2</v>
          </cell>
          <cell r="V168" t="str">
            <v>-</v>
          </cell>
          <cell r="W168">
            <v>3.4299999999999997E-2</v>
          </cell>
          <cell r="X168" t="str">
            <v>-</v>
          </cell>
          <cell r="Y168">
            <v>1.7299999999999999E-2</v>
          </cell>
          <cell r="Z168" t="str">
            <v/>
          </cell>
          <cell r="AA168">
            <v>1.8035038940972224E-2</v>
          </cell>
          <cell r="AD168" t="str">
            <v>-</v>
          </cell>
          <cell r="AE168">
            <v>3.4299999999999997E-2</v>
          </cell>
          <cell r="AF168" t="str">
            <v>-</v>
          </cell>
          <cell r="AG168">
            <v>3.4299999999999997E-2</v>
          </cell>
          <cell r="AH168" t="str">
            <v>-</v>
          </cell>
          <cell r="AI168">
            <v>3.4299999999999997E-2</v>
          </cell>
          <cell r="AJ168" t="str">
            <v>-</v>
          </cell>
          <cell r="AK168">
            <v>3.4299999999999997E-2</v>
          </cell>
          <cell r="AL168" t="str">
            <v>Netherlands Internet Prov 76</v>
          </cell>
        </row>
        <row r="169">
          <cell r="N169" t="str">
            <v>DOM NDL NDI77</v>
          </cell>
          <cell r="O169" t="str">
            <v>minute</v>
          </cell>
          <cell r="P169" t="str">
            <v>-</v>
          </cell>
          <cell r="Q169">
            <v>3.6799999999999999E-2</v>
          </cell>
          <cell r="R169" t="str">
            <v>-</v>
          </cell>
          <cell r="S169">
            <v>3.6799999999999999E-2</v>
          </cell>
          <cell r="T169" t="str">
            <v>-</v>
          </cell>
          <cell r="U169">
            <v>3.6799999999999999E-2</v>
          </cell>
          <cell r="V169" t="str">
            <v>-</v>
          </cell>
          <cell r="W169">
            <v>3.6799999999999999E-2</v>
          </cell>
          <cell r="X169" t="str">
            <v>-</v>
          </cell>
          <cell r="Y169">
            <v>2.5700000000000001E-2</v>
          </cell>
          <cell r="Z169" t="str">
            <v/>
          </cell>
          <cell r="AA169">
            <v>2.5335038940972228E-2</v>
          </cell>
          <cell r="AD169" t="str">
            <v>-</v>
          </cell>
          <cell r="AE169">
            <v>3.6799999999999999E-2</v>
          </cell>
          <cell r="AF169" t="str">
            <v>-</v>
          </cell>
          <cell r="AG169">
            <v>3.6799999999999999E-2</v>
          </cell>
          <cell r="AH169" t="str">
            <v>-</v>
          </cell>
          <cell r="AI169">
            <v>3.6799999999999999E-2</v>
          </cell>
          <cell r="AJ169" t="str">
            <v>-</v>
          </cell>
          <cell r="AK169">
            <v>3.6799999999999999E-2</v>
          </cell>
          <cell r="AL169" t="str">
            <v>Netherlands Internet Prov 77</v>
          </cell>
        </row>
        <row r="170">
          <cell r="N170" t="str">
            <v>DOM NDL NDI78</v>
          </cell>
          <cell r="O170" t="str">
            <v>minute</v>
          </cell>
          <cell r="P170" t="str">
            <v>-</v>
          </cell>
          <cell r="Q170">
            <v>2.92E-2</v>
          </cell>
          <cell r="R170" t="str">
            <v>-</v>
          </cell>
          <cell r="S170">
            <v>2.92E-2</v>
          </cell>
          <cell r="T170" t="str">
            <v>-</v>
          </cell>
          <cell r="U170">
            <v>2.92E-2</v>
          </cell>
          <cell r="V170" t="str">
            <v>-</v>
          </cell>
          <cell r="W170">
            <v>2.92E-2</v>
          </cell>
          <cell r="X170" t="str">
            <v>-</v>
          </cell>
          <cell r="Y170">
            <v>2.8799999999999999E-2</v>
          </cell>
          <cell r="Z170" t="str">
            <v/>
          </cell>
          <cell r="AA170">
            <v>2.8335038940972224E-2</v>
          </cell>
          <cell r="AD170" t="str">
            <v>-</v>
          </cell>
          <cell r="AE170">
            <v>2.92E-2</v>
          </cell>
          <cell r="AF170" t="str">
            <v>-</v>
          </cell>
          <cell r="AG170">
            <v>2.92E-2</v>
          </cell>
          <cell r="AH170" t="str">
            <v>-</v>
          </cell>
          <cell r="AI170">
            <v>2.92E-2</v>
          </cell>
          <cell r="AJ170" t="str">
            <v>-</v>
          </cell>
          <cell r="AK170">
            <v>2.92E-2</v>
          </cell>
          <cell r="AL170" t="str">
            <v>Netherlands Internet Prov 78</v>
          </cell>
        </row>
        <row r="171">
          <cell r="N171" t="str">
            <v>DOM NDL NDI79</v>
          </cell>
          <cell r="O171" t="str">
            <v>minute</v>
          </cell>
          <cell r="P171" t="str">
            <v>-</v>
          </cell>
          <cell r="Q171">
            <v>3.7900000000000003E-2</v>
          </cell>
          <cell r="R171" t="str">
            <v>-</v>
          </cell>
          <cell r="S171">
            <v>3.7900000000000003E-2</v>
          </cell>
          <cell r="T171" t="str">
            <v>-</v>
          </cell>
          <cell r="U171">
            <v>3.7900000000000003E-2</v>
          </cell>
          <cell r="V171" t="str">
            <v>-</v>
          </cell>
          <cell r="W171">
            <v>3.7900000000000003E-2</v>
          </cell>
          <cell r="X171" t="str">
            <v>-</v>
          </cell>
          <cell r="Y171">
            <v>1.8800000000000001E-2</v>
          </cell>
          <cell r="Z171" t="str">
            <v/>
          </cell>
          <cell r="AA171">
            <v>1.9335038940972223E-2</v>
          </cell>
          <cell r="AD171" t="str">
            <v>-</v>
          </cell>
          <cell r="AE171">
            <v>3.7900000000000003E-2</v>
          </cell>
          <cell r="AF171" t="str">
            <v>-</v>
          </cell>
          <cell r="AG171">
            <v>3.7900000000000003E-2</v>
          </cell>
          <cell r="AH171" t="str">
            <v>-</v>
          </cell>
          <cell r="AI171">
            <v>3.7900000000000003E-2</v>
          </cell>
          <cell r="AJ171" t="str">
            <v>-</v>
          </cell>
          <cell r="AK171">
            <v>3.7900000000000003E-2</v>
          </cell>
          <cell r="AL171" t="str">
            <v>Netherlands Internet Prov 79</v>
          </cell>
        </row>
        <row r="172">
          <cell r="N172" t="str">
            <v>DOM NDL NDI80</v>
          </cell>
          <cell r="O172" t="str">
            <v>minute</v>
          </cell>
          <cell r="P172" t="str">
            <v>-</v>
          </cell>
          <cell r="Q172">
            <v>3.9E-2</v>
          </cell>
          <cell r="R172" t="str">
            <v>-</v>
          </cell>
          <cell r="S172">
            <v>3.9E-2</v>
          </cell>
          <cell r="T172" t="str">
            <v>-</v>
          </cell>
          <cell r="U172">
            <v>3.9E-2</v>
          </cell>
          <cell r="V172" t="str">
            <v>-</v>
          </cell>
          <cell r="W172">
            <v>3.9E-2</v>
          </cell>
          <cell r="X172" t="str">
            <v>-</v>
          </cell>
          <cell r="Y172">
            <v>3.0099999999999998E-2</v>
          </cell>
          <cell r="Z172" t="str">
            <v/>
          </cell>
          <cell r="AA172">
            <v>2.9635038940972226E-2</v>
          </cell>
          <cell r="AD172" t="str">
            <v>-</v>
          </cell>
          <cell r="AE172">
            <v>3.9E-2</v>
          </cell>
          <cell r="AF172" t="str">
            <v>-</v>
          </cell>
          <cell r="AG172">
            <v>3.9E-2</v>
          </cell>
          <cell r="AH172" t="str">
            <v>-</v>
          </cell>
          <cell r="AI172">
            <v>3.9E-2</v>
          </cell>
          <cell r="AJ172" t="str">
            <v>-</v>
          </cell>
          <cell r="AK172">
            <v>3.9E-2</v>
          </cell>
          <cell r="AL172" t="str">
            <v>Netherlands Internet Prov 80</v>
          </cell>
        </row>
        <row r="173">
          <cell r="N173" t="str">
            <v>DOM NDL NDI81</v>
          </cell>
          <cell r="O173" t="str">
            <v>minute</v>
          </cell>
          <cell r="P173" t="str">
            <v>-</v>
          </cell>
          <cell r="Q173">
            <v>4.02E-2</v>
          </cell>
          <cell r="R173" t="str">
            <v>-</v>
          </cell>
          <cell r="S173">
            <v>4.02E-2</v>
          </cell>
          <cell r="T173" t="str">
            <v>-</v>
          </cell>
          <cell r="U173">
            <v>4.02E-2</v>
          </cell>
          <cell r="V173" t="str">
            <v>-</v>
          </cell>
          <cell r="W173">
            <v>4.02E-2</v>
          </cell>
          <cell r="X173" t="str">
            <v>-</v>
          </cell>
          <cell r="Y173">
            <v>3.15E-2</v>
          </cell>
          <cell r="Z173" t="str">
            <v/>
          </cell>
          <cell r="AA173">
            <v>2.4935038940972223E-2</v>
          </cell>
          <cell r="AD173" t="str">
            <v>-</v>
          </cell>
          <cell r="AE173">
            <v>4.02E-2</v>
          </cell>
          <cell r="AF173" t="str">
            <v>-</v>
          </cell>
          <cell r="AG173">
            <v>4.02E-2</v>
          </cell>
          <cell r="AH173" t="str">
            <v>-</v>
          </cell>
          <cell r="AI173">
            <v>4.02E-2</v>
          </cell>
          <cell r="AJ173" t="str">
            <v>-</v>
          </cell>
          <cell r="AK173">
            <v>4.02E-2</v>
          </cell>
          <cell r="AL173" t="str">
            <v>Netherlands Internet Prov 81</v>
          </cell>
        </row>
        <row r="174">
          <cell r="N174" t="str">
            <v>DOM NDL NDI82</v>
          </cell>
          <cell r="O174" t="str">
            <v>minute</v>
          </cell>
          <cell r="P174" t="str">
            <v>-</v>
          </cell>
          <cell r="Q174">
            <v>3.1199999999999999E-2</v>
          </cell>
          <cell r="R174" t="str">
            <v>-</v>
          </cell>
          <cell r="S174">
            <v>3.1199999999999999E-2</v>
          </cell>
          <cell r="T174" t="str">
            <v>-</v>
          </cell>
          <cell r="U174">
            <v>3.1199999999999999E-2</v>
          </cell>
          <cell r="V174" t="str">
            <v>-</v>
          </cell>
          <cell r="W174">
            <v>3.1199999999999999E-2</v>
          </cell>
          <cell r="X174" t="str">
            <v>-</v>
          </cell>
          <cell r="Y174">
            <v>3.2899999999999999E-2</v>
          </cell>
          <cell r="Z174" t="str">
            <v/>
          </cell>
          <cell r="AA174">
            <v>3.2435038940972223E-2</v>
          </cell>
          <cell r="AD174" t="str">
            <v>-</v>
          </cell>
          <cell r="AE174">
            <v>3.1199999999999999E-2</v>
          </cell>
          <cell r="AF174" t="str">
            <v>-</v>
          </cell>
          <cell r="AG174">
            <v>3.1199999999999999E-2</v>
          </cell>
          <cell r="AH174" t="str">
            <v>-</v>
          </cell>
          <cell r="AI174">
            <v>3.1199999999999999E-2</v>
          </cell>
          <cell r="AJ174" t="str">
            <v>-</v>
          </cell>
          <cell r="AK174">
            <v>3.1199999999999999E-2</v>
          </cell>
          <cell r="AL174" t="str">
            <v>Netherlands Internet Prov 82</v>
          </cell>
        </row>
        <row r="175">
          <cell r="N175" t="str">
            <v>DOM NDL NDI83</v>
          </cell>
          <cell r="O175" t="str">
            <v>minute</v>
          </cell>
          <cell r="P175" t="str">
            <v>-</v>
          </cell>
          <cell r="Q175">
            <v>4.1500000000000002E-2</v>
          </cell>
          <cell r="R175" t="str">
            <v>-</v>
          </cell>
          <cell r="S175">
            <v>4.1500000000000002E-2</v>
          </cell>
          <cell r="T175" t="str">
            <v>-</v>
          </cell>
          <cell r="U175">
            <v>4.1500000000000002E-2</v>
          </cell>
          <cell r="V175" t="str">
            <v>-</v>
          </cell>
          <cell r="W175">
            <v>4.1500000000000002E-2</v>
          </cell>
          <cell r="X175" t="str">
            <v>-</v>
          </cell>
          <cell r="Y175">
            <v>2.1499999999999998E-2</v>
          </cell>
          <cell r="Z175" t="str">
            <v/>
          </cell>
          <cell r="AA175">
            <v>2.1668372274305563E-2</v>
          </cell>
          <cell r="AD175" t="str">
            <v>-</v>
          </cell>
          <cell r="AE175">
            <v>4.1500000000000002E-2</v>
          </cell>
          <cell r="AF175" t="str">
            <v>-</v>
          </cell>
          <cell r="AG175">
            <v>4.1500000000000002E-2</v>
          </cell>
          <cell r="AH175" t="str">
            <v>-</v>
          </cell>
          <cell r="AI175">
            <v>4.1500000000000002E-2</v>
          </cell>
          <cell r="AJ175" t="str">
            <v>-</v>
          </cell>
          <cell r="AK175">
            <v>4.1500000000000002E-2</v>
          </cell>
          <cell r="AL175" t="str">
            <v>Netherlands Internet Prov 83</v>
          </cell>
        </row>
        <row r="176">
          <cell r="N176" t="str">
            <v>DOM NDL NDG01</v>
          </cell>
          <cell r="O176" t="str">
            <v>minute</v>
          </cell>
          <cell r="P176" t="str">
            <v>-</v>
          </cell>
          <cell r="Q176">
            <v>4.6600000000000003E-2</v>
          </cell>
          <cell r="R176" t="str">
            <v>-</v>
          </cell>
          <cell r="S176">
            <v>4.6600000000000003E-2</v>
          </cell>
          <cell r="T176" t="str">
            <v>-</v>
          </cell>
          <cell r="U176">
            <v>4.6600000000000003E-2</v>
          </cell>
          <cell r="V176" t="str">
            <v>-</v>
          </cell>
          <cell r="W176">
            <v>4.6600000000000003E-2</v>
          </cell>
          <cell r="X176" t="str">
            <v>-</v>
          </cell>
          <cell r="Y176">
            <v>2.64E-2</v>
          </cell>
          <cell r="Z176">
            <v>3.3351318146701392E-2</v>
          </cell>
          <cell r="AA176">
            <v>1.5047519470486111E-2</v>
          </cell>
          <cell r="AD176" t="str">
            <v>-</v>
          </cell>
          <cell r="AE176">
            <v>4.6600000000000003E-2</v>
          </cell>
          <cell r="AF176" t="str">
            <v>-</v>
          </cell>
          <cell r="AG176">
            <v>4.6600000000000003E-2</v>
          </cell>
          <cell r="AH176" t="str">
            <v>-</v>
          </cell>
          <cell r="AI176">
            <v>4.6600000000000003E-2</v>
          </cell>
          <cell r="AJ176" t="str">
            <v>-</v>
          </cell>
          <cell r="AK176">
            <v>4.6600000000000003E-2</v>
          </cell>
          <cell r="AL176" t="str">
            <v>Netherlands Pers/Pag 1</v>
          </cell>
        </row>
        <row r="177">
          <cell r="N177" t="str">
            <v>DOM NDL NDG02</v>
          </cell>
          <cell r="O177" t="str">
            <v>minute</v>
          </cell>
          <cell r="P177" t="str">
            <v>-</v>
          </cell>
          <cell r="Q177">
            <v>5.5E-2</v>
          </cell>
          <cell r="R177" t="str">
            <v>-</v>
          </cell>
          <cell r="S177">
            <v>5.5E-2</v>
          </cell>
          <cell r="T177" t="str">
            <v>-</v>
          </cell>
          <cell r="U177">
            <v>5.5E-2</v>
          </cell>
          <cell r="V177" t="str">
            <v>-</v>
          </cell>
          <cell r="W177">
            <v>5.5E-2</v>
          </cell>
          <cell r="X177" t="str">
            <v>-</v>
          </cell>
          <cell r="Y177">
            <v>3.4500000000000003E-2</v>
          </cell>
          <cell r="Z177">
            <v>3.3351318146701392E-2</v>
          </cell>
          <cell r="AA177">
            <v>2.3127519470486111E-2</v>
          </cell>
          <cell r="AD177" t="str">
            <v>-</v>
          </cell>
          <cell r="AE177">
            <v>5.5E-2</v>
          </cell>
          <cell r="AF177" t="str">
            <v>-</v>
          </cell>
          <cell r="AG177">
            <v>5.5E-2</v>
          </cell>
          <cell r="AH177" t="str">
            <v>-</v>
          </cell>
          <cell r="AI177">
            <v>5.5E-2</v>
          </cell>
          <cell r="AJ177" t="str">
            <v>-</v>
          </cell>
          <cell r="AK177">
            <v>5.5E-2</v>
          </cell>
          <cell r="AL177" t="str">
            <v>Netherlands Pers/Pag 2</v>
          </cell>
        </row>
        <row r="178">
          <cell r="N178" t="str">
            <v>DOM NDL NDG03</v>
          </cell>
          <cell r="O178" t="str">
            <v>minute</v>
          </cell>
          <cell r="P178" t="str">
            <v>-</v>
          </cell>
          <cell r="Q178">
            <v>5.9200000000000003E-2</v>
          </cell>
          <cell r="R178" t="str">
            <v>-</v>
          </cell>
          <cell r="S178">
            <v>5.9200000000000003E-2</v>
          </cell>
          <cell r="T178" t="str">
            <v>-</v>
          </cell>
          <cell r="U178">
            <v>5.9200000000000003E-2</v>
          </cell>
          <cell r="V178" t="str">
            <v>-</v>
          </cell>
          <cell r="W178">
            <v>5.9200000000000003E-2</v>
          </cell>
          <cell r="X178" t="str">
            <v>-</v>
          </cell>
          <cell r="Y178">
            <v>3.85E-2</v>
          </cell>
          <cell r="Z178">
            <v>3.3351318146701392E-2</v>
          </cell>
          <cell r="AA178">
            <v>2.7167519470486113E-2</v>
          </cell>
          <cell r="AD178" t="str">
            <v>-</v>
          </cell>
          <cell r="AE178">
            <v>5.9200000000000003E-2</v>
          </cell>
          <cell r="AF178" t="str">
            <v>-</v>
          </cell>
          <cell r="AG178">
            <v>5.9200000000000003E-2</v>
          </cell>
          <cell r="AH178" t="str">
            <v>-</v>
          </cell>
          <cell r="AI178">
            <v>5.9200000000000003E-2</v>
          </cell>
          <cell r="AJ178" t="str">
            <v>-</v>
          </cell>
          <cell r="AK178">
            <v>5.9200000000000003E-2</v>
          </cell>
          <cell r="AL178" t="str">
            <v>Netherlands Pers/Pag 3</v>
          </cell>
        </row>
        <row r="179">
          <cell r="N179" t="str">
            <v>DOM NDL NDG04</v>
          </cell>
          <cell r="O179" t="str">
            <v>minute</v>
          </cell>
          <cell r="P179" t="str">
            <v>-</v>
          </cell>
          <cell r="Q179">
            <v>6.3399999999999998E-2</v>
          </cell>
          <cell r="R179" t="str">
            <v>-</v>
          </cell>
          <cell r="S179">
            <v>6.3399999999999998E-2</v>
          </cell>
          <cell r="T179" t="str">
            <v>-</v>
          </cell>
          <cell r="U179">
            <v>6.3399999999999998E-2</v>
          </cell>
          <cell r="V179" t="str">
            <v>-</v>
          </cell>
          <cell r="W179">
            <v>6.3399999999999998E-2</v>
          </cell>
          <cell r="X179" t="str">
            <v>-</v>
          </cell>
          <cell r="Y179">
            <v>4.2599999999999999E-2</v>
          </cell>
          <cell r="Z179">
            <v>3.3351318146701392E-2</v>
          </cell>
          <cell r="AA179">
            <v>3.1207519470486111E-2</v>
          </cell>
          <cell r="AD179" t="str">
            <v>-</v>
          </cell>
          <cell r="AE179">
            <v>6.3399999999999998E-2</v>
          </cell>
          <cell r="AF179" t="str">
            <v>-</v>
          </cell>
          <cell r="AG179">
            <v>6.3399999999999998E-2</v>
          </cell>
          <cell r="AH179" t="str">
            <v>-</v>
          </cell>
          <cell r="AI179">
            <v>6.3399999999999998E-2</v>
          </cell>
          <cell r="AJ179" t="str">
            <v>-</v>
          </cell>
          <cell r="AK179">
            <v>6.3399999999999998E-2</v>
          </cell>
          <cell r="AL179" t="str">
            <v>Netherlands Pers/Pag 4</v>
          </cell>
        </row>
        <row r="180">
          <cell r="N180" t="str">
            <v>DOM NDL NDG05</v>
          </cell>
          <cell r="O180" t="str">
            <v>minute</v>
          </cell>
          <cell r="P180" t="str">
            <v>-</v>
          </cell>
          <cell r="Q180">
            <v>7.1800000000000003E-2</v>
          </cell>
          <cell r="R180" t="str">
            <v>-</v>
          </cell>
          <cell r="S180">
            <v>7.1800000000000003E-2</v>
          </cell>
          <cell r="T180" t="str">
            <v>-</v>
          </cell>
          <cell r="U180">
            <v>7.1800000000000003E-2</v>
          </cell>
          <cell r="V180" t="str">
            <v>-</v>
          </cell>
          <cell r="W180">
            <v>7.1800000000000003E-2</v>
          </cell>
          <cell r="X180" t="str">
            <v>-</v>
          </cell>
          <cell r="Y180">
            <v>5.0599999999999999E-2</v>
          </cell>
          <cell r="Z180">
            <v>3.3351318146701392E-2</v>
          </cell>
          <cell r="AA180">
            <v>3.9287519470486115E-2</v>
          </cell>
          <cell r="AD180" t="str">
            <v>-</v>
          </cell>
          <cell r="AE180">
            <v>7.1800000000000003E-2</v>
          </cell>
          <cell r="AF180" t="str">
            <v>-</v>
          </cell>
          <cell r="AG180">
            <v>7.1800000000000003E-2</v>
          </cell>
          <cell r="AH180" t="str">
            <v>-</v>
          </cell>
          <cell r="AI180">
            <v>7.1800000000000003E-2</v>
          </cell>
          <cell r="AJ180" t="str">
            <v>-</v>
          </cell>
          <cell r="AK180">
            <v>7.1800000000000003E-2</v>
          </cell>
          <cell r="AL180" t="str">
            <v>Netherlands Pers/Pag 5</v>
          </cell>
        </row>
        <row r="181">
          <cell r="N181" t="str">
            <v>DOM NDL NDG06</v>
          </cell>
          <cell r="O181" t="str">
            <v>minute</v>
          </cell>
          <cell r="P181" t="str">
            <v>-</v>
          </cell>
          <cell r="Q181">
            <v>7.5999999999999998E-2</v>
          </cell>
          <cell r="R181" t="str">
            <v>-</v>
          </cell>
          <cell r="S181">
            <v>7.5999999999999998E-2</v>
          </cell>
          <cell r="T181" t="str">
            <v>-</v>
          </cell>
          <cell r="U181">
            <v>7.5999999999999998E-2</v>
          </cell>
          <cell r="V181" t="str">
            <v>-</v>
          </cell>
          <cell r="W181">
            <v>7.5999999999999998E-2</v>
          </cell>
          <cell r="X181" t="str">
            <v>-</v>
          </cell>
          <cell r="Y181">
            <v>5.4699999999999999E-2</v>
          </cell>
          <cell r="Z181">
            <v>3.3351318146701392E-2</v>
          </cell>
          <cell r="AA181">
            <v>4.332751947048611E-2</v>
          </cell>
          <cell r="AD181" t="str">
            <v>-</v>
          </cell>
          <cell r="AE181">
            <v>7.5999999999999998E-2</v>
          </cell>
          <cell r="AF181" t="str">
            <v>-</v>
          </cell>
          <cell r="AG181">
            <v>7.5999999999999998E-2</v>
          </cell>
          <cell r="AH181" t="str">
            <v>-</v>
          </cell>
          <cell r="AI181">
            <v>7.5999999999999998E-2</v>
          </cell>
          <cell r="AJ181" t="str">
            <v>-</v>
          </cell>
          <cell r="AK181">
            <v>7.5999999999999998E-2</v>
          </cell>
          <cell r="AL181" t="str">
            <v>Netherlands Pers/Pag 6</v>
          </cell>
        </row>
        <row r="182">
          <cell r="N182" t="str">
            <v>DOM NDL NDG07</v>
          </cell>
          <cell r="O182" t="str">
            <v>minute</v>
          </cell>
          <cell r="P182" t="str">
            <v>-</v>
          </cell>
          <cell r="Q182">
            <v>8.0199999999999994E-2</v>
          </cell>
          <cell r="R182" t="str">
            <v>-</v>
          </cell>
          <cell r="S182">
            <v>8.0199999999999994E-2</v>
          </cell>
          <cell r="T182" t="str">
            <v>-</v>
          </cell>
          <cell r="U182">
            <v>8.0199999999999994E-2</v>
          </cell>
          <cell r="V182" t="str">
            <v>-</v>
          </cell>
          <cell r="W182">
            <v>8.0199999999999994E-2</v>
          </cell>
          <cell r="X182" t="str">
            <v>-</v>
          </cell>
          <cell r="Y182">
            <v>5.8700000000000002E-2</v>
          </cell>
          <cell r="Z182">
            <v>3.3351318146701392E-2</v>
          </cell>
          <cell r="AA182">
            <v>4.7367519470486112E-2</v>
          </cell>
          <cell r="AD182" t="str">
            <v>-</v>
          </cell>
          <cell r="AE182">
            <v>8.0199999999999994E-2</v>
          </cell>
          <cell r="AF182" t="str">
            <v>-</v>
          </cell>
          <cell r="AG182">
            <v>8.0199999999999994E-2</v>
          </cell>
          <cell r="AH182" t="str">
            <v>-</v>
          </cell>
          <cell r="AI182">
            <v>8.0199999999999994E-2</v>
          </cell>
          <cell r="AJ182" t="str">
            <v>-</v>
          </cell>
          <cell r="AK182">
            <v>8.0199999999999994E-2</v>
          </cell>
          <cell r="AL182" t="str">
            <v>Netherlands Pers/Pag 7</v>
          </cell>
        </row>
        <row r="183">
          <cell r="N183" t="str">
            <v>DOM NDL NDG08</v>
          </cell>
          <cell r="O183" t="str">
            <v>minute</v>
          </cell>
          <cell r="P183" t="str">
            <v>-</v>
          </cell>
          <cell r="Q183">
            <v>8.8599999999999998E-2</v>
          </cell>
          <cell r="R183" t="str">
            <v>-</v>
          </cell>
          <cell r="S183">
            <v>8.8599999999999998E-2</v>
          </cell>
          <cell r="T183" t="str">
            <v>-</v>
          </cell>
          <cell r="U183">
            <v>8.8599999999999998E-2</v>
          </cell>
          <cell r="V183" t="str">
            <v>-</v>
          </cell>
          <cell r="W183">
            <v>8.8599999999999998E-2</v>
          </cell>
          <cell r="X183" t="str">
            <v>-</v>
          </cell>
          <cell r="Y183">
            <v>6.6799999999999998E-2</v>
          </cell>
          <cell r="Z183">
            <v>3.3351318146701392E-2</v>
          </cell>
          <cell r="AA183">
            <v>5.5447519470486109E-2</v>
          </cell>
          <cell r="AD183" t="str">
            <v>-</v>
          </cell>
          <cell r="AE183">
            <v>8.8599999999999998E-2</v>
          </cell>
          <cell r="AF183" t="str">
            <v>-</v>
          </cell>
          <cell r="AG183">
            <v>8.8599999999999998E-2</v>
          </cell>
          <cell r="AH183" t="str">
            <v>-</v>
          </cell>
          <cell r="AI183">
            <v>8.8599999999999998E-2</v>
          </cell>
          <cell r="AJ183" t="str">
            <v>-</v>
          </cell>
          <cell r="AK183">
            <v>8.8599999999999998E-2</v>
          </cell>
          <cell r="AL183" t="str">
            <v>Netherlands Pers/Pag 8</v>
          </cell>
        </row>
        <row r="184">
          <cell r="N184" t="str">
            <v>DOM NDL NDG09</v>
          </cell>
          <cell r="O184" t="str">
            <v>minute</v>
          </cell>
          <cell r="P184" t="str">
            <v>-</v>
          </cell>
          <cell r="Q184">
            <v>9.7000000000000003E-2</v>
          </cell>
          <cell r="R184" t="str">
            <v>-</v>
          </cell>
          <cell r="S184">
            <v>9.7000000000000003E-2</v>
          </cell>
          <cell r="T184" t="str">
            <v>-</v>
          </cell>
          <cell r="U184">
            <v>9.7000000000000003E-2</v>
          </cell>
          <cell r="V184" t="str">
            <v>-</v>
          </cell>
          <cell r="W184">
            <v>9.7000000000000003E-2</v>
          </cell>
          <cell r="X184" t="str">
            <v>-</v>
          </cell>
          <cell r="Y184">
            <v>7.4899999999999994E-2</v>
          </cell>
          <cell r="Z184">
            <v>3.3351318146701392E-2</v>
          </cell>
          <cell r="AA184">
            <v>6.3527519470486113E-2</v>
          </cell>
          <cell r="AD184" t="str">
            <v>-</v>
          </cell>
          <cell r="AE184">
            <v>9.7000000000000003E-2</v>
          </cell>
          <cell r="AF184" t="str">
            <v>-</v>
          </cell>
          <cell r="AG184">
            <v>9.7000000000000003E-2</v>
          </cell>
          <cell r="AH184" t="str">
            <v>-</v>
          </cell>
          <cell r="AI184">
            <v>9.7000000000000003E-2</v>
          </cell>
          <cell r="AJ184" t="str">
            <v>-</v>
          </cell>
          <cell r="AK184">
            <v>9.7000000000000003E-2</v>
          </cell>
          <cell r="AL184" t="str">
            <v>Netherlands Pers/Pag 9</v>
          </cell>
        </row>
        <row r="185">
          <cell r="N185" t="str">
            <v>DOM NDL NDG10</v>
          </cell>
          <cell r="O185" t="str">
            <v>minute</v>
          </cell>
          <cell r="P185" t="str">
            <v>-</v>
          </cell>
          <cell r="Q185">
            <v>0.10539999999999999</v>
          </cell>
          <cell r="R185" t="str">
            <v>-</v>
          </cell>
          <cell r="S185">
            <v>0.10539999999999999</v>
          </cell>
          <cell r="T185" t="str">
            <v>-</v>
          </cell>
          <cell r="U185">
            <v>0.10539999999999999</v>
          </cell>
          <cell r="V185" t="str">
            <v>-</v>
          </cell>
          <cell r="W185">
            <v>0.10539999999999999</v>
          </cell>
          <cell r="X185" t="str">
            <v>-</v>
          </cell>
          <cell r="Y185">
            <v>8.3000000000000004E-2</v>
          </cell>
          <cell r="Z185">
            <v>3.3351318146701392E-2</v>
          </cell>
          <cell r="AA185">
            <v>7.1607519470486103E-2</v>
          </cell>
          <cell r="AD185" t="str">
            <v>-</v>
          </cell>
          <cell r="AE185">
            <v>0.10539999999999999</v>
          </cell>
          <cell r="AF185" t="str">
            <v>-</v>
          </cell>
          <cell r="AG185">
            <v>0.10539999999999999</v>
          </cell>
          <cell r="AH185" t="str">
            <v>-</v>
          </cell>
          <cell r="AI185">
            <v>0.10539999999999999</v>
          </cell>
          <cell r="AJ185" t="str">
            <v>-</v>
          </cell>
          <cell r="AK185">
            <v>0.10539999999999999</v>
          </cell>
          <cell r="AL185" t="str">
            <v>Netherlands Pers/Pag 10</v>
          </cell>
        </row>
        <row r="186">
          <cell r="N186" t="str">
            <v>DOM NDL NDG11</v>
          </cell>
          <cell r="O186" t="str">
            <v>minute</v>
          </cell>
          <cell r="P186" t="str">
            <v>-</v>
          </cell>
          <cell r="Q186">
            <v>0.1138</v>
          </cell>
          <cell r="R186" t="str">
            <v>-</v>
          </cell>
          <cell r="S186">
            <v>0.1138</v>
          </cell>
          <cell r="T186" t="str">
            <v>-</v>
          </cell>
          <cell r="U186">
            <v>0.1138</v>
          </cell>
          <cell r="V186" t="str">
            <v>-</v>
          </cell>
          <cell r="W186">
            <v>0.1138</v>
          </cell>
          <cell r="X186" t="str">
            <v>-</v>
          </cell>
          <cell r="Y186">
            <v>9.0999999999999998E-2</v>
          </cell>
          <cell r="Z186">
            <v>3.3351318146701392E-2</v>
          </cell>
          <cell r="AA186">
            <v>7.9687519470486107E-2</v>
          </cell>
          <cell r="AD186" t="str">
            <v>-</v>
          </cell>
          <cell r="AE186">
            <v>0.1138</v>
          </cell>
          <cell r="AF186" t="str">
            <v>-</v>
          </cell>
          <cell r="AG186">
            <v>0.1138</v>
          </cell>
          <cell r="AH186" t="str">
            <v>-</v>
          </cell>
          <cell r="AI186">
            <v>0.1138</v>
          </cell>
          <cell r="AJ186" t="str">
            <v>-</v>
          </cell>
          <cell r="AK186">
            <v>0.1138</v>
          </cell>
          <cell r="AL186" t="str">
            <v>Netherlands Pers/Pag 11</v>
          </cell>
        </row>
        <row r="187">
          <cell r="N187" t="str">
            <v>DOM NDL NDG12</v>
          </cell>
          <cell r="O187" t="str">
            <v>minute</v>
          </cell>
          <cell r="P187" t="str">
            <v>-</v>
          </cell>
          <cell r="Q187">
            <v>0.1222</v>
          </cell>
          <cell r="R187" t="str">
            <v>-</v>
          </cell>
          <cell r="S187">
            <v>0.1222</v>
          </cell>
          <cell r="T187" t="str">
            <v>-</v>
          </cell>
          <cell r="U187">
            <v>0.1222</v>
          </cell>
          <cell r="V187" t="str">
            <v>-</v>
          </cell>
          <cell r="W187">
            <v>0.1222</v>
          </cell>
          <cell r="X187" t="str">
            <v>-</v>
          </cell>
          <cell r="Y187">
            <v>9.9099999999999994E-2</v>
          </cell>
          <cell r="Z187">
            <v>3.3351318146701392E-2</v>
          </cell>
          <cell r="AA187">
            <v>8.7767519470486111E-2</v>
          </cell>
          <cell r="AD187" t="str">
            <v>-</v>
          </cell>
          <cell r="AE187">
            <v>0.1222</v>
          </cell>
          <cell r="AF187" t="str">
            <v>-</v>
          </cell>
          <cell r="AG187">
            <v>0.1222</v>
          </cell>
          <cell r="AH187" t="str">
            <v>-</v>
          </cell>
          <cell r="AI187">
            <v>0.1222</v>
          </cell>
          <cell r="AJ187" t="str">
            <v>-</v>
          </cell>
          <cell r="AK187">
            <v>0.1222</v>
          </cell>
          <cell r="AL187" t="str">
            <v>Netherlands Pers/Pag 12</v>
          </cell>
        </row>
        <row r="188">
          <cell r="N188" t="str">
            <v>DOM NDL NDG13</v>
          </cell>
          <cell r="O188" t="str">
            <v>minute</v>
          </cell>
          <cell r="P188" t="str">
            <v>-</v>
          </cell>
          <cell r="Q188">
            <v>0.1474</v>
          </cell>
          <cell r="R188" t="str">
            <v>-</v>
          </cell>
          <cell r="S188">
            <v>0.1474</v>
          </cell>
          <cell r="T188" t="str">
            <v>-</v>
          </cell>
          <cell r="U188">
            <v>0.1474</v>
          </cell>
          <cell r="V188" t="str">
            <v>-</v>
          </cell>
          <cell r="W188">
            <v>0.1474</v>
          </cell>
          <cell r="X188" t="str">
            <v>-</v>
          </cell>
          <cell r="Y188">
            <v>0.1234</v>
          </cell>
          <cell r="Z188">
            <v>3.3351318146701392E-2</v>
          </cell>
          <cell r="AA188">
            <v>0.11200751947048611</v>
          </cell>
          <cell r="AD188" t="str">
            <v>-</v>
          </cell>
          <cell r="AE188">
            <v>0.1474</v>
          </cell>
          <cell r="AF188" t="str">
            <v>-</v>
          </cell>
          <cell r="AG188">
            <v>0.1474</v>
          </cell>
          <cell r="AH188" t="str">
            <v>-</v>
          </cell>
          <cell r="AI188">
            <v>0.1474</v>
          </cell>
          <cell r="AJ188" t="str">
            <v>-</v>
          </cell>
          <cell r="AK188">
            <v>0.1474</v>
          </cell>
          <cell r="AL188" t="str">
            <v>Netherlands Pers/Pag 13</v>
          </cell>
        </row>
        <row r="189">
          <cell r="N189" t="str">
            <v>DOM NDL NDG14</v>
          </cell>
          <cell r="O189" t="str">
            <v>minute</v>
          </cell>
          <cell r="P189" t="str">
            <v>-</v>
          </cell>
          <cell r="Q189">
            <v>0.16420000000000001</v>
          </cell>
          <cell r="R189" t="str">
            <v>-</v>
          </cell>
          <cell r="S189">
            <v>0.16420000000000001</v>
          </cell>
          <cell r="T189" t="str">
            <v>-</v>
          </cell>
          <cell r="U189">
            <v>0.16420000000000001</v>
          </cell>
          <cell r="V189" t="str">
            <v>-</v>
          </cell>
          <cell r="W189">
            <v>0.16420000000000001</v>
          </cell>
          <cell r="X189" t="str">
            <v>-</v>
          </cell>
          <cell r="Y189">
            <v>0.13950000000000001</v>
          </cell>
          <cell r="Z189">
            <v>3.3351318146701392E-2</v>
          </cell>
          <cell r="AA189">
            <v>0.1281675194704861</v>
          </cell>
          <cell r="AD189" t="str">
            <v>-</v>
          </cell>
          <cell r="AE189">
            <v>0.16420000000000001</v>
          </cell>
          <cell r="AF189" t="str">
            <v>-</v>
          </cell>
          <cell r="AG189">
            <v>0.16420000000000001</v>
          </cell>
          <cell r="AH189" t="str">
            <v>-</v>
          </cell>
          <cell r="AI189">
            <v>0.16420000000000001</v>
          </cell>
          <cell r="AJ189" t="str">
            <v>-</v>
          </cell>
          <cell r="AK189">
            <v>0.16420000000000001</v>
          </cell>
          <cell r="AL189" t="str">
            <v>Netherlands Pers/Pag 14</v>
          </cell>
        </row>
        <row r="190">
          <cell r="N190" t="str">
            <v>DOM NDL NDG15</v>
          </cell>
          <cell r="O190" t="str">
            <v>minute</v>
          </cell>
          <cell r="P190" t="str">
            <v>-</v>
          </cell>
          <cell r="Q190">
            <v>0.18940000000000001</v>
          </cell>
          <cell r="R190" t="str">
            <v>-</v>
          </cell>
          <cell r="S190">
            <v>0.18940000000000001</v>
          </cell>
          <cell r="T190" t="str">
            <v>-</v>
          </cell>
          <cell r="U190">
            <v>0.18940000000000001</v>
          </cell>
          <cell r="V190" t="str">
            <v>-</v>
          </cell>
          <cell r="W190">
            <v>0.18940000000000001</v>
          </cell>
          <cell r="X190" t="str">
            <v>-</v>
          </cell>
          <cell r="Y190">
            <v>0.1638</v>
          </cell>
          <cell r="Z190">
            <v>3.3351318146701392E-2</v>
          </cell>
          <cell r="AA190">
            <v>0.15240751947048611</v>
          </cell>
          <cell r="AD190" t="str">
            <v>-</v>
          </cell>
          <cell r="AE190">
            <v>0.18940000000000001</v>
          </cell>
          <cell r="AF190" t="str">
            <v>-</v>
          </cell>
          <cell r="AG190">
            <v>0.18940000000000001</v>
          </cell>
          <cell r="AH190" t="str">
            <v>-</v>
          </cell>
          <cell r="AI190">
            <v>0.18940000000000001</v>
          </cell>
          <cell r="AJ190" t="str">
            <v>-</v>
          </cell>
          <cell r="AK190">
            <v>0.18940000000000001</v>
          </cell>
          <cell r="AL190" t="str">
            <v>Netherlands Pers/Pag 15</v>
          </cell>
        </row>
        <row r="191">
          <cell r="N191" t="str">
            <v>DOM NDL NDG16</v>
          </cell>
          <cell r="O191" t="str">
            <v>minute</v>
          </cell>
          <cell r="P191" t="str">
            <v>-</v>
          </cell>
          <cell r="Q191">
            <v>0.20619999999999999</v>
          </cell>
          <cell r="R191" t="str">
            <v>-</v>
          </cell>
          <cell r="S191">
            <v>0.20619999999999999</v>
          </cell>
          <cell r="T191" t="str">
            <v>-</v>
          </cell>
          <cell r="U191">
            <v>0.20619999999999999</v>
          </cell>
          <cell r="V191" t="str">
            <v>-</v>
          </cell>
          <cell r="W191">
            <v>0.20619999999999999</v>
          </cell>
          <cell r="X191" t="str">
            <v>-</v>
          </cell>
          <cell r="Y191">
            <v>0.1799</v>
          </cell>
          <cell r="Z191">
            <v>3.3351318146701392E-2</v>
          </cell>
          <cell r="AA191">
            <v>0.16856751947048609</v>
          </cell>
          <cell r="AD191" t="str">
            <v>-</v>
          </cell>
          <cell r="AE191">
            <v>0.20619999999999999</v>
          </cell>
          <cell r="AF191" t="str">
            <v>-</v>
          </cell>
          <cell r="AG191">
            <v>0.20619999999999999</v>
          </cell>
          <cell r="AH191" t="str">
            <v>-</v>
          </cell>
          <cell r="AI191">
            <v>0.20619999999999999</v>
          </cell>
          <cell r="AJ191" t="str">
            <v>-</v>
          </cell>
          <cell r="AK191">
            <v>0.20619999999999999</v>
          </cell>
          <cell r="AL191" t="str">
            <v>Netherlands Pers/Pag 16</v>
          </cell>
        </row>
        <row r="192">
          <cell r="N192" t="str">
            <v>DOM NDL NDG17</v>
          </cell>
          <cell r="O192" t="str">
            <v>minute</v>
          </cell>
          <cell r="P192" t="str">
            <v>-</v>
          </cell>
          <cell r="Q192">
            <v>0.2482</v>
          </cell>
          <cell r="R192" t="str">
            <v>-</v>
          </cell>
          <cell r="S192">
            <v>0.2482</v>
          </cell>
          <cell r="T192" t="str">
            <v>-</v>
          </cell>
          <cell r="U192">
            <v>0.2482</v>
          </cell>
          <cell r="V192" t="str">
            <v>-</v>
          </cell>
          <cell r="W192">
            <v>0.2482</v>
          </cell>
          <cell r="X192" t="str">
            <v>-</v>
          </cell>
          <cell r="Y192">
            <v>0.2203</v>
          </cell>
          <cell r="Z192">
            <v>3.3351318146701392E-2</v>
          </cell>
          <cell r="AA192">
            <v>0.20896751947048611</v>
          </cell>
          <cell r="AD192" t="str">
            <v>-</v>
          </cell>
          <cell r="AE192">
            <v>0.2482</v>
          </cell>
          <cell r="AF192" t="str">
            <v>-</v>
          </cell>
          <cell r="AG192">
            <v>0.2482</v>
          </cell>
          <cell r="AH192" t="str">
            <v>-</v>
          </cell>
          <cell r="AI192">
            <v>0.2482</v>
          </cell>
          <cell r="AJ192" t="str">
            <v>-</v>
          </cell>
          <cell r="AK192">
            <v>0.2482</v>
          </cell>
          <cell r="AL192" t="str">
            <v>Netherlands Pers/Pag 17</v>
          </cell>
        </row>
        <row r="193">
          <cell r="N193" t="str">
            <v>DOM NDL NDG18</v>
          </cell>
          <cell r="O193" t="str">
            <v>minute</v>
          </cell>
          <cell r="P193" t="str">
            <v>-</v>
          </cell>
          <cell r="Q193">
            <v>0.2903</v>
          </cell>
          <cell r="R193" t="str">
            <v>-</v>
          </cell>
          <cell r="S193">
            <v>0.2903</v>
          </cell>
          <cell r="T193" t="str">
            <v>-</v>
          </cell>
          <cell r="U193">
            <v>0.2903</v>
          </cell>
          <cell r="V193" t="str">
            <v>-</v>
          </cell>
          <cell r="W193">
            <v>0.2903</v>
          </cell>
          <cell r="X193" t="str">
            <v>-</v>
          </cell>
          <cell r="Y193">
            <v>0.26069999999999999</v>
          </cell>
          <cell r="Z193">
            <v>3.3351318146701392E-2</v>
          </cell>
          <cell r="AA193">
            <v>0.24935751947048609</v>
          </cell>
          <cell r="AD193" t="str">
            <v>-</v>
          </cell>
          <cell r="AE193">
            <v>0.2903</v>
          </cell>
          <cell r="AF193" t="str">
            <v>-</v>
          </cell>
          <cell r="AG193">
            <v>0.2903</v>
          </cell>
          <cell r="AH193" t="str">
            <v>-</v>
          </cell>
          <cell r="AI193">
            <v>0.2903</v>
          </cell>
          <cell r="AJ193" t="str">
            <v>-</v>
          </cell>
          <cell r="AK193">
            <v>0.2903</v>
          </cell>
          <cell r="AL193" t="str">
            <v>Netherlands Pers/Pag 18</v>
          </cell>
        </row>
        <row r="194">
          <cell r="N194" t="str">
            <v>DOM NDL NDG19</v>
          </cell>
          <cell r="O194" t="str">
            <v>minute</v>
          </cell>
          <cell r="P194" t="str">
            <v>-</v>
          </cell>
          <cell r="Q194">
            <v>0.33229999999999998</v>
          </cell>
          <cell r="R194" t="str">
            <v>-</v>
          </cell>
          <cell r="S194">
            <v>0.33229999999999998</v>
          </cell>
          <cell r="T194" t="str">
            <v>-</v>
          </cell>
          <cell r="U194">
            <v>0.33229999999999998</v>
          </cell>
          <cell r="V194" t="str">
            <v>-</v>
          </cell>
          <cell r="W194">
            <v>0.33229999999999998</v>
          </cell>
          <cell r="X194" t="str">
            <v>-</v>
          </cell>
          <cell r="Y194">
            <v>0.30109999999999998</v>
          </cell>
          <cell r="Z194">
            <v>3.3351318146701392E-2</v>
          </cell>
          <cell r="AA194">
            <v>0.28975751947048611</v>
          </cell>
          <cell r="AD194" t="str">
            <v>-</v>
          </cell>
          <cell r="AE194">
            <v>0.33229999999999998</v>
          </cell>
          <cell r="AF194" t="str">
            <v>-</v>
          </cell>
          <cell r="AG194">
            <v>0.33229999999999998</v>
          </cell>
          <cell r="AH194" t="str">
            <v>-</v>
          </cell>
          <cell r="AI194">
            <v>0.33229999999999998</v>
          </cell>
          <cell r="AJ194" t="str">
            <v>-</v>
          </cell>
          <cell r="AK194">
            <v>0.33229999999999998</v>
          </cell>
          <cell r="AL194" t="str">
            <v>Netherlands Pers/Pag 19</v>
          </cell>
        </row>
        <row r="195">
          <cell r="N195" t="str">
            <v>DOM NDL NDG20</v>
          </cell>
          <cell r="O195" t="str">
            <v>minute</v>
          </cell>
          <cell r="P195" t="str">
            <v>-</v>
          </cell>
          <cell r="Q195">
            <v>0.37430000000000002</v>
          </cell>
          <cell r="R195" t="str">
            <v>-</v>
          </cell>
          <cell r="S195">
            <v>0.37430000000000002</v>
          </cell>
          <cell r="T195" t="str">
            <v>-</v>
          </cell>
          <cell r="U195">
            <v>0.37430000000000002</v>
          </cell>
          <cell r="V195" t="str">
            <v>-</v>
          </cell>
          <cell r="W195">
            <v>0.37430000000000002</v>
          </cell>
          <cell r="X195" t="str">
            <v>-</v>
          </cell>
          <cell r="Y195">
            <v>0.34150000000000003</v>
          </cell>
          <cell r="Z195">
            <v>3.3351318146701392E-2</v>
          </cell>
          <cell r="AA195">
            <v>0.33015751947048616</v>
          </cell>
          <cell r="AD195" t="str">
            <v>-</v>
          </cell>
          <cell r="AE195">
            <v>0.37430000000000002</v>
          </cell>
          <cell r="AF195" t="str">
            <v>-</v>
          </cell>
          <cell r="AG195">
            <v>0.37430000000000002</v>
          </cell>
          <cell r="AH195" t="str">
            <v>-</v>
          </cell>
          <cell r="AI195">
            <v>0.37430000000000002</v>
          </cell>
          <cell r="AJ195" t="str">
            <v>-</v>
          </cell>
          <cell r="AK195">
            <v>0.37430000000000002</v>
          </cell>
          <cell r="AL195" t="str">
            <v>Netherlands Pers/Pag 20</v>
          </cell>
        </row>
        <row r="196">
          <cell r="N196" t="str">
            <v>DOM NDL NDG21</v>
          </cell>
          <cell r="O196" t="str">
            <v>minute</v>
          </cell>
          <cell r="P196" t="str">
            <v>-</v>
          </cell>
          <cell r="Q196">
            <v>0.4163</v>
          </cell>
          <cell r="R196" t="str">
            <v>-</v>
          </cell>
          <cell r="S196">
            <v>0.4163</v>
          </cell>
          <cell r="T196" t="str">
            <v>-</v>
          </cell>
          <cell r="U196">
            <v>0.4163</v>
          </cell>
          <cell r="V196" t="str">
            <v>-</v>
          </cell>
          <cell r="W196">
            <v>0.4163</v>
          </cell>
          <cell r="X196" t="str">
            <v>-</v>
          </cell>
          <cell r="Y196">
            <v>0.38190000000000002</v>
          </cell>
          <cell r="Z196">
            <v>3.3351318146701392E-2</v>
          </cell>
          <cell r="AA196">
            <v>0.37055751947048615</v>
          </cell>
          <cell r="AD196" t="str">
            <v>-</v>
          </cell>
          <cell r="AE196">
            <v>0.4163</v>
          </cell>
          <cell r="AF196" t="str">
            <v>-</v>
          </cell>
          <cell r="AG196">
            <v>0.4163</v>
          </cell>
          <cell r="AH196" t="str">
            <v>-</v>
          </cell>
          <cell r="AI196">
            <v>0.4163</v>
          </cell>
          <cell r="AJ196" t="str">
            <v>-</v>
          </cell>
          <cell r="AK196">
            <v>0.4163</v>
          </cell>
          <cell r="AL196" t="str">
            <v>Netherlands Pers/Pag 21</v>
          </cell>
        </row>
        <row r="197">
          <cell r="N197" t="str">
            <v>DOM NDL NDG22</v>
          </cell>
          <cell r="O197" t="str">
            <v>minute</v>
          </cell>
          <cell r="P197" t="str">
            <v>-</v>
          </cell>
          <cell r="Q197">
            <v>0.45829999999999999</v>
          </cell>
          <cell r="R197" t="str">
            <v>-</v>
          </cell>
          <cell r="S197">
            <v>0.45829999999999999</v>
          </cell>
          <cell r="T197" t="str">
            <v>-</v>
          </cell>
          <cell r="U197">
            <v>0.45829999999999999</v>
          </cell>
          <cell r="V197" t="str">
            <v>-</v>
          </cell>
          <cell r="W197">
            <v>0.45829999999999999</v>
          </cell>
          <cell r="X197" t="str">
            <v>-</v>
          </cell>
          <cell r="Y197">
            <v>0.42230000000000001</v>
          </cell>
          <cell r="Z197">
            <v>3.3351318146701392E-2</v>
          </cell>
          <cell r="AA197">
            <v>0.41095751947048614</v>
          </cell>
          <cell r="AD197" t="str">
            <v>-</v>
          </cell>
          <cell r="AE197">
            <v>0.45829999999999999</v>
          </cell>
          <cell r="AF197" t="str">
            <v>-</v>
          </cell>
          <cell r="AG197">
            <v>0.45829999999999999</v>
          </cell>
          <cell r="AH197" t="str">
            <v>-</v>
          </cell>
          <cell r="AI197">
            <v>0.45829999999999999</v>
          </cell>
          <cell r="AJ197" t="str">
            <v>-</v>
          </cell>
          <cell r="AK197">
            <v>0.45829999999999999</v>
          </cell>
          <cell r="AL197" t="str">
            <v>Netherlands Pers/Pag 22</v>
          </cell>
        </row>
        <row r="198">
          <cell r="N198" t="str">
            <v>DOM NDL NDG23</v>
          </cell>
          <cell r="O198" t="str">
            <v>minute</v>
          </cell>
          <cell r="P198" t="str">
            <v>-</v>
          </cell>
          <cell r="Q198">
            <v>0.50029999999999997</v>
          </cell>
          <cell r="R198" t="str">
            <v>-</v>
          </cell>
          <cell r="S198">
            <v>0.50029999999999997</v>
          </cell>
          <cell r="T198" t="str">
            <v>-</v>
          </cell>
          <cell r="U198">
            <v>0.50029999999999997</v>
          </cell>
          <cell r="V198" t="str">
            <v>-</v>
          </cell>
          <cell r="W198">
            <v>0.50029999999999997</v>
          </cell>
          <cell r="X198" t="str">
            <v>-</v>
          </cell>
          <cell r="Y198">
            <v>0.4627</v>
          </cell>
          <cell r="Z198">
            <v>3.3351318146701392E-2</v>
          </cell>
          <cell r="AA198">
            <v>0.45135751947048613</v>
          </cell>
          <cell r="AD198" t="str">
            <v>-</v>
          </cell>
          <cell r="AE198">
            <v>0.50029999999999997</v>
          </cell>
          <cell r="AF198" t="str">
            <v>-</v>
          </cell>
          <cell r="AG198">
            <v>0.50029999999999997</v>
          </cell>
          <cell r="AH198" t="str">
            <v>-</v>
          </cell>
          <cell r="AI198">
            <v>0.50029999999999997</v>
          </cell>
          <cell r="AJ198" t="str">
            <v>-</v>
          </cell>
          <cell r="AK198">
            <v>0.50029999999999997</v>
          </cell>
          <cell r="AL198" t="str">
            <v>Netherlands Pers/Pag 23</v>
          </cell>
        </row>
        <row r="199">
          <cell r="N199" t="str">
            <v>DOM NDL NDG24</v>
          </cell>
          <cell r="O199" t="str">
            <v>minute</v>
          </cell>
          <cell r="P199" t="str">
            <v>-</v>
          </cell>
          <cell r="Q199">
            <v>0.54239999999999999</v>
          </cell>
          <cell r="R199" t="str">
            <v>-</v>
          </cell>
          <cell r="S199">
            <v>0.54239999999999999</v>
          </cell>
          <cell r="T199" t="str">
            <v>-</v>
          </cell>
          <cell r="U199">
            <v>0.54239999999999999</v>
          </cell>
          <cell r="V199" t="str">
            <v>-</v>
          </cell>
          <cell r="W199">
            <v>0.54239999999999999</v>
          </cell>
          <cell r="X199" t="str">
            <v>-</v>
          </cell>
          <cell r="Y199">
            <v>0.50309999999999999</v>
          </cell>
          <cell r="Z199">
            <v>3.3351318146701392E-2</v>
          </cell>
          <cell r="AA199">
            <v>0.49175751947048613</v>
          </cell>
          <cell r="AD199" t="str">
            <v>-</v>
          </cell>
          <cell r="AE199">
            <v>0.54239999999999999</v>
          </cell>
          <cell r="AF199" t="str">
            <v>-</v>
          </cell>
          <cell r="AG199">
            <v>0.54239999999999999</v>
          </cell>
          <cell r="AH199" t="str">
            <v>-</v>
          </cell>
          <cell r="AI199">
            <v>0.54239999999999999</v>
          </cell>
          <cell r="AJ199" t="str">
            <v>-</v>
          </cell>
          <cell r="AK199">
            <v>0.54239999999999999</v>
          </cell>
          <cell r="AL199" t="str">
            <v>Netherlands Pers/Pag 24</v>
          </cell>
        </row>
        <row r="200">
          <cell r="N200" t="str">
            <v>DOM NDL NDG25</v>
          </cell>
          <cell r="O200" t="str">
            <v>minute</v>
          </cell>
          <cell r="P200" t="str">
            <v>-</v>
          </cell>
          <cell r="Q200">
            <v>0.58440000000000003</v>
          </cell>
          <cell r="R200" t="str">
            <v>-</v>
          </cell>
          <cell r="S200">
            <v>0.58440000000000003</v>
          </cell>
          <cell r="T200" t="str">
            <v>-</v>
          </cell>
          <cell r="U200">
            <v>0.58440000000000003</v>
          </cell>
          <cell r="V200" t="str">
            <v>-</v>
          </cell>
          <cell r="W200">
            <v>0.58440000000000003</v>
          </cell>
          <cell r="X200" t="str">
            <v>-</v>
          </cell>
          <cell r="Y200">
            <v>0.54349999999999998</v>
          </cell>
          <cell r="Z200">
            <v>3.3351318146701392E-2</v>
          </cell>
          <cell r="AA200">
            <v>0.53215751947048617</v>
          </cell>
          <cell r="AD200" t="str">
            <v>-</v>
          </cell>
          <cell r="AE200">
            <v>0.58440000000000003</v>
          </cell>
          <cell r="AF200" t="str">
            <v>-</v>
          </cell>
          <cell r="AG200">
            <v>0.58440000000000003</v>
          </cell>
          <cell r="AH200" t="str">
            <v>-</v>
          </cell>
          <cell r="AI200">
            <v>0.58440000000000003</v>
          </cell>
          <cell r="AJ200" t="str">
            <v>-</v>
          </cell>
          <cell r="AK200">
            <v>0.58440000000000003</v>
          </cell>
          <cell r="AL200" t="str">
            <v>Netherlands Pers/Pag 25</v>
          </cell>
        </row>
        <row r="201">
          <cell r="N201" t="str">
            <v>DOM NDL NDG26</v>
          </cell>
          <cell r="O201" t="str">
            <v>minute</v>
          </cell>
          <cell r="P201" t="str">
            <v>-</v>
          </cell>
          <cell r="Q201">
            <v>0.62639999999999996</v>
          </cell>
          <cell r="R201" t="str">
            <v>-</v>
          </cell>
          <cell r="S201">
            <v>0.62639999999999996</v>
          </cell>
          <cell r="T201" t="str">
            <v>-</v>
          </cell>
          <cell r="U201">
            <v>0.62639999999999996</v>
          </cell>
          <cell r="V201" t="str">
            <v>-</v>
          </cell>
          <cell r="W201">
            <v>0.62639999999999996</v>
          </cell>
          <cell r="X201" t="str">
            <v>-</v>
          </cell>
          <cell r="Y201">
            <v>0.58389999999999997</v>
          </cell>
          <cell r="Z201">
            <v>3.3351318146701392E-2</v>
          </cell>
          <cell r="AA201">
            <v>0.57255751947048616</v>
          </cell>
          <cell r="AD201" t="str">
            <v>-</v>
          </cell>
          <cell r="AE201">
            <v>0.62639999999999996</v>
          </cell>
          <cell r="AF201" t="str">
            <v>-</v>
          </cell>
          <cell r="AG201">
            <v>0.62639999999999996</v>
          </cell>
          <cell r="AH201" t="str">
            <v>-</v>
          </cell>
          <cell r="AI201">
            <v>0.62639999999999996</v>
          </cell>
          <cell r="AJ201" t="str">
            <v>-</v>
          </cell>
          <cell r="AK201">
            <v>0.62639999999999996</v>
          </cell>
          <cell r="AL201" t="str">
            <v>Netherlands Pers/Pag 26</v>
          </cell>
        </row>
        <row r="202">
          <cell r="N202" t="str">
            <v>DOM NDL NDG27</v>
          </cell>
          <cell r="O202" t="str">
            <v>minute</v>
          </cell>
          <cell r="P202" t="str">
            <v>-</v>
          </cell>
          <cell r="Q202">
            <v>0.71040000000000003</v>
          </cell>
          <cell r="R202" t="str">
            <v>-</v>
          </cell>
          <cell r="S202">
            <v>0.71040000000000003</v>
          </cell>
          <cell r="T202" t="str">
            <v>-</v>
          </cell>
          <cell r="U202">
            <v>0.71040000000000003</v>
          </cell>
          <cell r="V202" t="str">
            <v>-</v>
          </cell>
          <cell r="W202">
            <v>0.71040000000000003</v>
          </cell>
          <cell r="X202" t="str">
            <v>-</v>
          </cell>
          <cell r="Y202">
            <v>0.66469999999999996</v>
          </cell>
          <cell r="Z202">
            <v>3.3351318146701392E-2</v>
          </cell>
          <cell r="AA202">
            <v>0.65335751947048615</v>
          </cell>
          <cell r="AD202" t="str">
            <v>-</v>
          </cell>
          <cell r="AE202">
            <v>0.71040000000000003</v>
          </cell>
          <cell r="AF202" t="str">
            <v>-</v>
          </cell>
          <cell r="AG202">
            <v>0.71040000000000003</v>
          </cell>
          <cell r="AH202" t="str">
            <v>-</v>
          </cell>
          <cell r="AI202">
            <v>0.71040000000000003</v>
          </cell>
          <cell r="AJ202" t="str">
            <v>-</v>
          </cell>
          <cell r="AK202">
            <v>0.71040000000000003</v>
          </cell>
          <cell r="AL202" t="str">
            <v>Netherlands Pers/Pag 27</v>
          </cell>
        </row>
        <row r="203">
          <cell r="N203" t="str">
            <v>DOM NDL NDG28</v>
          </cell>
          <cell r="O203" t="str">
            <v>call</v>
          </cell>
          <cell r="P203">
            <v>6.3E-2</v>
          </cell>
          <cell r="Q203" t="str">
            <v>-</v>
          </cell>
          <cell r="R203">
            <v>6.3E-2</v>
          </cell>
          <cell r="S203" t="str">
            <v>-</v>
          </cell>
          <cell r="T203">
            <v>6.3E-2</v>
          </cell>
          <cell r="U203" t="str">
            <v>-</v>
          </cell>
          <cell r="V203">
            <v>6.3E-2</v>
          </cell>
          <cell r="W203" t="str">
            <v>-</v>
          </cell>
          <cell r="X203">
            <v>6.1600000000000002E-2</v>
          </cell>
          <cell r="Y203" t="str">
            <v>-</v>
          </cell>
          <cell r="Z203">
            <v>5.8721318146701389E-2</v>
          </cell>
          <cell r="AA203">
            <v>6.9675194704861112E-3</v>
          </cell>
          <cell r="AD203">
            <v>6.3E-2</v>
          </cell>
          <cell r="AE203" t="str">
            <v>-</v>
          </cell>
          <cell r="AF203">
            <v>6.3E-2</v>
          </cell>
          <cell r="AG203" t="str">
            <v>-</v>
          </cell>
          <cell r="AH203">
            <v>6.3E-2</v>
          </cell>
          <cell r="AI203" t="str">
            <v>-</v>
          </cell>
          <cell r="AJ203">
            <v>6.3E-2</v>
          </cell>
          <cell r="AK203" t="str">
            <v>-</v>
          </cell>
          <cell r="AL203" t="str">
            <v>Netherlands Pers/Pag 28</v>
          </cell>
        </row>
        <row r="204">
          <cell r="N204" t="str">
            <v>DOM NDL NDG29</v>
          </cell>
          <cell r="O204" t="str">
            <v>call</v>
          </cell>
          <cell r="P204">
            <v>0.18490000000000001</v>
          </cell>
          <cell r="Q204" t="str">
            <v>-</v>
          </cell>
          <cell r="R204">
            <v>0.18490000000000001</v>
          </cell>
          <cell r="S204" t="str">
            <v>-</v>
          </cell>
          <cell r="T204">
            <v>0.18490000000000001</v>
          </cell>
          <cell r="U204" t="str">
            <v>-</v>
          </cell>
          <cell r="V204">
            <v>0.18490000000000001</v>
          </cell>
          <cell r="W204" t="str">
            <v>-</v>
          </cell>
          <cell r="X204">
            <v>0.18279999999999999</v>
          </cell>
          <cell r="Y204" t="str">
            <v>-</v>
          </cell>
          <cell r="Z204">
            <v>0.17588131814670138</v>
          </cell>
          <cell r="AA204">
            <v>6.9675194704861112E-3</v>
          </cell>
          <cell r="AD204">
            <v>0.18490000000000001</v>
          </cell>
          <cell r="AE204" t="str">
            <v>-</v>
          </cell>
          <cell r="AF204">
            <v>0.18490000000000001</v>
          </cell>
          <cell r="AG204" t="str">
            <v>-</v>
          </cell>
          <cell r="AH204">
            <v>0.18490000000000001</v>
          </cell>
          <cell r="AI204" t="str">
            <v>-</v>
          </cell>
          <cell r="AJ204">
            <v>0.18490000000000001</v>
          </cell>
          <cell r="AK204" t="str">
            <v>-</v>
          </cell>
          <cell r="AL204" t="str">
            <v>Netherlands Pers/Pag 29</v>
          </cell>
        </row>
        <row r="205">
          <cell r="N205" t="str">
            <v>DOM NDL NDG30</v>
          </cell>
          <cell r="O205" t="str">
            <v>call</v>
          </cell>
          <cell r="P205">
            <v>0.29409999999999997</v>
          </cell>
          <cell r="Q205" t="str">
            <v>-</v>
          </cell>
          <cell r="R205">
            <v>0.29409999999999997</v>
          </cell>
          <cell r="S205" t="str">
            <v>-</v>
          </cell>
          <cell r="T205">
            <v>0.29409999999999997</v>
          </cell>
          <cell r="U205" t="str">
            <v>-</v>
          </cell>
          <cell r="V205">
            <v>0.29409999999999997</v>
          </cell>
          <cell r="W205" t="str">
            <v>-</v>
          </cell>
          <cell r="X205">
            <v>0.2878</v>
          </cell>
          <cell r="Y205" t="str">
            <v>-</v>
          </cell>
          <cell r="Z205">
            <v>0.2809213181467014</v>
          </cell>
          <cell r="AA205">
            <v>6.9675194704861112E-3</v>
          </cell>
          <cell r="AD205">
            <v>0.29409999999999997</v>
          </cell>
          <cell r="AE205" t="str">
            <v>-</v>
          </cell>
          <cell r="AF205">
            <v>0.29409999999999997</v>
          </cell>
          <cell r="AG205" t="str">
            <v>-</v>
          </cell>
          <cell r="AH205">
            <v>0.29409999999999997</v>
          </cell>
          <cell r="AI205" t="str">
            <v>-</v>
          </cell>
          <cell r="AJ205">
            <v>0.29409999999999997</v>
          </cell>
          <cell r="AK205" t="str">
            <v>-</v>
          </cell>
          <cell r="AL205" t="str">
            <v>Netherlands Pers/Pag 30</v>
          </cell>
        </row>
        <row r="206">
          <cell r="N206" t="str">
            <v>DOM NDL NDG31</v>
          </cell>
          <cell r="O206" t="str">
            <v>call</v>
          </cell>
          <cell r="P206">
            <v>0.37819999999999998</v>
          </cell>
          <cell r="Q206" t="str">
            <v>-</v>
          </cell>
          <cell r="R206">
            <v>0.37819999999999998</v>
          </cell>
          <cell r="S206" t="str">
            <v>-</v>
          </cell>
          <cell r="T206">
            <v>0.37819999999999998</v>
          </cell>
          <cell r="U206" t="str">
            <v>-</v>
          </cell>
          <cell r="V206">
            <v>0.37819999999999998</v>
          </cell>
          <cell r="W206" t="str">
            <v>-</v>
          </cell>
          <cell r="X206">
            <v>0.36859999999999998</v>
          </cell>
          <cell r="Y206" t="str">
            <v>-</v>
          </cell>
          <cell r="Z206">
            <v>0.36171131814670143</v>
          </cell>
          <cell r="AA206">
            <v>6.9675194704861112E-3</v>
          </cell>
          <cell r="AD206">
            <v>0.37819999999999998</v>
          </cell>
          <cell r="AE206" t="str">
            <v>-</v>
          </cell>
          <cell r="AF206">
            <v>0.37819999999999998</v>
          </cell>
          <cell r="AG206" t="str">
            <v>-</v>
          </cell>
          <cell r="AH206">
            <v>0.37819999999999998</v>
          </cell>
          <cell r="AI206" t="str">
            <v>-</v>
          </cell>
          <cell r="AJ206">
            <v>0.37819999999999998</v>
          </cell>
          <cell r="AK206" t="str">
            <v>-</v>
          </cell>
          <cell r="AL206" t="str">
            <v>Netherlands Pers/Pag 31</v>
          </cell>
        </row>
        <row r="207">
          <cell r="N207" t="str">
            <v>DOM NDL NDG32</v>
          </cell>
          <cell r="O207" t="str">
            <v>call</v>
          </cell>
          <cell r="P207">
            <v>0.42020000000000002</v>
          </cell>
          <cell r="Q207" t="str">
            <v>-</v>
          </cell>
          <cell r="R207">
            <v>0.42020000000000002</v>
          </cell>
          <cell r="S207" t="str">
            <v>-</v>
          </cell>
          <cell r="T207">
            <v>0.42020000000000002</v>
          </cell>
          <cell r="U207" t="str">
            <v>-</v>
          </cell>
          <cell r="V207">
            <v>0.42020000000000002</v>
          </cell>
          <cell r="W207" t="str">
            <v>-</v>
          </cell>
          <cell r="X207">
            <v>0.40899999999999997</v>
          </cell>
          <cell r="Y207" t="str">
            <v>-</v>
          </cell>
          <cell r="Z207">
            <v>0.40211131814670142</v>
          </cell>
          <cell r="AA207">
            <v>6.9675194704861112E-3</v>
          </cell>
          <cell r="AD207">
            <v>0.42020000000000002</v>
          </cell>
          <cell r="AE207" t="str">
            <v>-</v>
          </cell>
          <cell r="AF207">
            <v>0.42020000000000002</v>
          </cell>
          <cell r="AG207" t="str">
            <v>-</v>
          </cell>
          <cell r="AH207">
            <v>0.42020000000000002</v>
          </cell>
          <cell r="AI207" t="str">
            <v>-</v>
          </cell>
          <cell r="AJ207">
            <v>0.42020000000000002</v>
          </cell>
          <cell r="AK207" t="str">
            <v>-</v>
          </cell>
          <cell r="AL207" t="str">
            <v>Netherlands Pers/Pag 32</v>
          </cell>
        </row>
        <row r="208">
          <cell r="N208" t="str">
            <v>DOM NDL NDG33</v>
          </cell>
          <cell r="O208" t="str">
            <v>call</v>
          </cell>
          <cell r="P208">
            <v>0.4622</v>
          </cell>
          <cell r="Q208" t="str">
            <v>-</v>
          </cell>
          <cell r="R208">
            <v>0.4622</v>
          </cell>
          <cell r="S208" t="str">
            <v>-</v>
          </cell>
          <cell r="T208">
            <v>0.4622</v>
          </cell>
          <cell r="U208" t="str">
            <v>-</v>
          </cell>
          <cell r="V208">
            <v>0.4622</v>
          </cell>
          <cell r="W208" t="str">
            <v>-</v>
          </cell>
          <cell r="X208">
            <v>0.44940000000000002</v>
          </cell>
          <cell r="Y208" t="str">
            <v>-</v>
          </cell>
          <cell r="Z208">
            <v>0.44251131814670142</v>
          </cell>
          <cell r="AA208">
            <v>6.9675194704861112E-3</v>
          </cell>
          <cell r="AD208">
            <v>0.4622</v>
          </cell>
          <cell r="AE208" t="str">
            <v>-</v>
          </cell>
          <cell r="AF208">
            <v>0.4622</v>
          </cell>
          <cell r="AG208" t="str">
            <v>-</v>
          </cell>
          <cell r="AH208">
            <v>0.4622</v>
          </cell>
          <cell r="AI208" t="str">
            <v>-</v>
          </cell>
          <cell r="AJ208">
            <v>0.4622</v>
          </cell>
          <cell r="AK208" t="str">
            <v>-</v>
          </cell>
          <cell r="AL208" t="str">
            <v>Netherlands Pers/Pag 33</v>
          </cell>
        </row>
        <row r="209">
          <cell r="N209" t="str">
            <v>DOM NDL NDG34</v>
          </cell>
          <cell r="O209" t="str">
            <v>call</v>
          </cell>
          <cell r="P209">
            <v>0.50419999999999998</v>
          </cell>
          <cell r="Q209" t="str">
            <v>-</v>
          </cell>
          <cell r="R209">
            <v>0.50419999999999998</v>
          </cell>
          <cell r="S209" t="str">
            <v>-</v>
          </cell>
          <cell r="T209">
            <v>0.50419999999999998</v>
          </cell>
          <cell r="U209" t="str">
            <v>-</v>
          </cell>
          <cell r="V209">
            <v>0.50419999999999998</v>
          </cell>
          <cell r="W209" t="str">
            <v>-</v>
          </cell>
          <cell r="X209">
            <v>0.48980000000000001</v>
          </cell>
          <cell r="Y209" t="str">
            <v>-</v>
          </cell>
          <cell r="Z209">
            <v>0.48291131814670141</v>
          </cell>
          <cell r="AA209">
            <v>6.9675194704861112E-3</v>
          </cell>
          <cell r="AD209">
            <v>0.50419999999999998</v>
          </cell>
          <cell r="AE209" t="str">
            <v>-</v>
          </cell>
          <cell r="AF209">
            <v>0.50419999999999998</v>
          </cell>
          <cell r="AG209" t="str">
            <v>-</v>
          </cell>
          <cell r="AH209">
            <v>0.50419999999999998</v>
          </cell>
          <cell r="AI209" t="str">
            <v>-</v>
          </cell>
          <cell r="AJ209">
            <v>0.50419999999999998</v>
          </cell>
          <cell r="AK209" t="str">
            <v>-</v>
          </cell>
          <cell r="AL209" t="str">
            <v>Netherlands Pers/Pag 34</v>
          </cell>
        </row>
        <row r="210">
          <cell r="N210" t="str">
            <v>DOM NDL NDG35</v>
          </cell>
          <cell r="O210" t="str">
            <v>call</v>
          </cell>
          <cell r="P210">
            <v>0.55459999999999998</v>
          </cell>
          <cell r="Q210" t="str">
            <v>-</v>
          </cell>
          <cell r="R210">
            <v>0.55459999999999998</v>
          </cell>
          <cell r="S210" t="str">
            <v>-</v>
          </cell>
          <cell r="T210">
            <v>0.55459999999999998</v>
          </cell>
          <cell r="U210" t="str">
            <v>-</v>
          </cell>
          <cell r="V210">
            <v>0.55459999999999998</v>
          </cell>
          <cell r="W210" t="str">
            <v>-</v>
          </cell>
          <cell r="X210">
            <v>0.5383</v>
          </cell>
          <cell r="Y210" t="str">
            <v>-</v>
          </cell>
          <cell r="Z210">
            <v>0.53139131814670137</v>
          </cell>
          <cell r="AA210">
            <v>6.9675194704861112E-3</v>
          </cell>
          <cell r="AD210">
            <v>0.55459999999999998</v>
          </cell>
          <cell r="AE210" t="str">
            <v>-</v>
          </cell>
          <cell r="AF210">
            <v>0.55459999999999998</v>
          </cell>
          <cell r="AG210" t="str">
            <v>-</v>
          </cell>
          <cell r="AH210">
            <v>0.55459999999999998</v>
          </cell>
          <cell r="AI210" t="str">
            <v>-</v>
          </cell>
          <cell r="AJ210">
            <v>0.55459999999999998</v>
          </cell>
          <cell r="AK210" t="str">
            <v>-</v>
          </cell>
          <cell r="AL210" t="str">
            <v>Netherlands Pers/Pag 35</v>
          </cell>
        </row>
        <row r="211">
          <cell r="N211" t="str">
            <v>DOM NDL NDG36</v>
          </cell>
          <cell r="O211" t="str">
            <v>call</v>
          </cell>
          <cell r="P211">
            <v>0.58819999999999995</v>
          </cell>
          <cell r="Q211" t="str">
            <v>-</v>
          </cell>
          <cell r="R211">
            <v>0.58819999999999995</v>
          </cell>
          <cell r="S211" t="str">
            <v>-</v>
          </cell>
          <cell r="T211">
            <v>0.58819999999999995</v>
          </cell>
          <cell r="U211" t="str">
            <v>-</v>
          </cell>
          <cell r="V211">
            <v>0.58819999999999995</v>
          </cell>
          <cell r="W211" t="str">
            <v>-</v>
          </cell>
          <cell r="X211">
            <v>0.5706</v>
          </cell>
          <cell r="Y211" t="str">
            <v>-</v>
          </cell>
          <cell r="Z211">
            <v>0.56371131814670139</v>
          </cell>
          <cell r="AA211">
            <v>6.9675194704861112E-3</v>
          </cell>
          <cell r="AD211">
            <v>0.58819999999999995</v>
          </cell>
          <cell r="AE211" t="str">
            <v>-</v>
          </cell>
          <cell r="AF211">
            <v>0.58819999999999995</v>
          </cell>
          <cell r="AG211" t="str">
            <v>-</v>
          </cell>
          <cell r="AH211">
            <v>0.58819999999999995</v>
          </cell>
          <cell r="AI211" t="str">
            <v>-</v>
          </cell>
          <cell r="AJ211">
            <v>0.58819999999999995</v>
          </cell>
          <cell r="AK211" t="str">
            <v>-</v>
          </cell>
          <cell r="AL211" t="str">
            <v>Netherlands Pers/Pag 36</v>
          </cell>
        </row>
        <row r="212">
          <cell r="N212" t="str">
            <v>DOM NDL NDG37</v>
          </cell>
          <cell r="O212" t="str">
            <v>call</v>
          </cell>
          <cell r="P212">
            <v>0.63029999999999997</v>
          </cell>
          <cell r="Q212" t="str">
            <v>-</v>
          </cell>
          <cell r="R212">
            <v>0.63029999999999997</v>
          </cell>
          <cell r="S212" t="str">
            <v>-</v>
          </cell>
          <cell r="T212">
            <v>0.63029999999999997</v>
          </cell>
          <cell r="U212" t="str">
            <v>-</v>
          </cell>
          <cell r="V212">
            <v>0.63029999999999997</v>
          </cell>
          <cell r="W212" t="str">
            <v>-</v>
          </cell>
          <cell r="X212">
            <v>0.61099999999999999</v>
          </cell>
          <cell r="Y212" t="str">
            <v>-</v>
          </cell>
          <cell r="Z212">
            <v>0.60411131814670138</v>
          </cell>
          <cell r="AA212">
            <v>6.9675194704861112E-3</v>
          </cell>
          <cell r="AD212">
            <v>0.63029999999999997</v>
          </cell>
          <cell r="AE212" t="str">
            <v>-</v>
          </cell>
          <cell r="AF212">
            <v>0.63029999999999997</v>
          </cell>
          <cell r="AG212" t="str">
            <v>-</v>
          </cell>
          <cell r="AH212">
            <v>0.63029999999999997</v>
          </cell>
          <cell r="AI212" t="str">
            <v>-</v>
          </cell>
          <cell r="AJ212">
            <v>0.63029999999999997</v>
          </cell>
          <cell r="AK212" t="str">
            <v>-</v>
          </cell>
          <cell r="AL212" t="str">
            <v>Netherlands Pers/Pag 37</v>
          </cell>
        </row>
        <row r="213">
          <cell r="N213" t="str">
            <v>DOM NDL NDG38</v>
          </cell>
          <cell r="O213" t="str">
            <v>call</v>
          </cell>
          <cell r="P213">
            <v>0.67230000000000001</v>
          </cell>
          <cell r="Q213" t="str">
            <v>-</v>
          </cell>
          <cell r="R213">
            <v>0.67230000000000001</v>
          </cell>
          <cell r="S213" t="str">
            <v>-</v>
          </cell>
          <cell r="T213">
            <v>0.67230000000000001</v>
          </cell>
          <cell r="U213" t="str">
            <v>-</v>
          </cell>
          <cell r="V213">
            <v>0.67230000000000001</v>
          </cell>
          <cell r="W213" t="str">
            <v>-</v>
          </cell>
          <cell r="X213">
            <v>0.65139999999999998</v>
          </cell>
          <cell r="Y213" t="str">
            <v>-</v>
          </cell>
          <cell r="Z213">
            <v>0.64451131814670137</v>
          </cell>
          <cell r="AA213">
            <v>6.9675194704861112E-3</v>
          </cell>
          <cell r="AD213">
            <v>0.67230000000000001</v>
          </cell>
          <cell r="AE213" t="str">
            <v>-</v>
          </cell>
          <cell r="AF213">
            <v>0.67230000000000001</v>
          </cell>
          <cell r="AG213" t="str">
            <v>-</v>
          </cell>
          <cell r="AH213">
            <v>0.67230000000000001</v>
          </cell>
          <cell r="AI213" t="str">
            <v>-</v>
          </cell>
          <cell r="AJ213">
            <v>0.67230000000000001</v>
          </cell>
          <cell r="AK213" t="str">
            <v>-</v>
          </cell>
          <cell r="AL213" t="str">
            <v>Netherlands Pers/Pag 38</v>
          </cell>
        </row>
        <row r="214">
          <cell r="N214" t="str">
            <v>DOM NDL NDG39</v>
          </cell>
          <cell r="O214" t="str">
            <v>call</v>
          </cell>
          <cell r="P214">
            <v>0.75629999999999997</v>
          </cell>
          <cell r="Q214" t="str">
            <v>-</v>
          </cell>
          <cell r="R214">
            <v>0.75629999999999997</v>
          </cell>
          <cell r="S214" t="str">
            <v>-</v>
          </cell>
          <cell r="T214">
            <v>0.75629999999999997</v>
          </cell>
          <cell r="U214" t="str">
            <v>-</v>
          </cell>
          <cell r="V214">
            <v>0.75629999999999997</v>
          </cell>
          <cell r="W214" t="str">
            <v>-</v>
          </cell>
          <cell r="X214">
            <v>0.73219999999999996</v>
          </cell>
          <cell r="Y214" t="str">
            <v>-</v>
          </cell>
          <cell r="Z214">
            <v>0.72531131814670136</v>
          </cell>
          <cell r="AA214">
            <v>6.9675194704861112E-3</v>
          </cell>
          <cell r="AD214">
            <v>0.75629999999999997</v>
          </cell>
          <cell r="AE214" t="str">
            <v>-</v>
          </cell>
          <cell r="AF214">
            <v>0.75629999999999997</v>
          </cell>
          <cell r="AG214" t="str">
            <v>-</v>
          </cell>
          <cell r="AH214">
            <v>0.75629999999999997</v>
          </cell>
          <cell r="AI214" t="str">
            <v>-</v>
          </cell>
          <cell r="AJ214">
            <v>0.75629999999999997</v>
          </cell>
          <cell r="AK214" t="str">
            <v>-</v>
          </cell>
          <cell r="AL214" t="str">
            <v>Netherlands Pers/Pag 39</v>
          </cell>
        </row>
        <row r="215">
          <cell r="N215" t="str">
            <v>DOM NDL NDG40</v>
          </cell>
          <cell r="O215" t="str">
            <v>call</v>
          </cell>
          <cell r="P215">
            <v>0.77310000000000001</v>
          </cell>
          <cell r="Q215" t="str">
            <v>-</v>
          </cell>
          <cell r="R215">
            <v>0.77310000000000001</v>
          </cell>
          <cell r="S215" t="str">
            <v>-</v>
          </cell>
          <cell r="T215">
            <v>0.77310000000000001</v>
          </cell>
          <cell r="U215" t="str">
            <v>-</v>
          </cell>
          <cell r="V215">
            <v>0.77310000000000001</v>
          </cell>
          <cell r="W215" t="str">
            <v>-</v>
          </cell>
          <cell r="X215">
            <v>0.74829999999999997</v>
          </cell>
          <cell r="Y215" t="str">
            <v>-</v>
          </cell>
          <cell r="Z215">
            <v>0.74147131814670131</v>
          </cell>
          <cell r="AA215">
            <v>6.9675194704861112E-3</v>
          </cell>
          <cell r="AD215">
            <v>0.77310000000000001</v>
          </cell>
          <cell r="AE215" t="str">
            <v>-</v>
          </cell>
          <cell r="AF215">
            <v>0.77310000000000001</v>
          </cell>
          <cell r="AG215" t="str">
            <v>-</v>
          </cell>
          <cell r="AH215">
            <v>0.77310000000000001</v>
          </cell>
          <cell r="AI215" t="str">
            <v>-</v>
          </cell>
          <cell r="AJ215">
            <v>0.77310000000000001</v>
          </cell>
          <cell r="AK215" t="str">
            <v>-</v>
          </cell>
          <cell r="AL215" t="str">
            <v>Netherlands Pers/Pag 40</v>
          </cell>
        </row>
        <row r="216">
          <cell r="N216" t="str">
            <v>DOM NDL NDG41</v>
          </cell>
          <cell r="O216" t="str">
            <v>call</v>
          </cell>
          <cell r="P216">
            <v>0.83189999999999997</v>
          </cell>
          <cell r="Q216" t="str">
            <v>-</v>
          </cell>
          <cell r="R216">
            <v>0.83189999999999997</v>
          </cell>
          <cell r="S216" t="str">
            <v>-</v>
          </cell>
          <cell r="T216">
            <v>0.83189999999999997</v>
          </cell>
          <cell r="U216" t="str">
            <v>-</v>
          </cell>
          <cell r="V216">
            <v>0.83189999999999997</v>
          </cell>
          <cell r="W216" t="str">
            <v>-</v>
          </cell>
          <cell r="X216">
            <v>0.80489999999999995</v>
          </cell>
          <cell r="Y216" t="str">
            <v>-</v>
          </cell>
          <cell r="Z216">
            <v>0.79802131814670141</v>
          </cell>
          <cell r="AA216">
            <v>6.9675194704861112E-3</v>
          </cell>
          <cell r="AD216">
            <v>0.83189999999999997</v>
          </cell>
          <cell r="AE216" t="str">
            <v>-</v>
          </cell>
          <cell r="AF216">
            <v>0.83189999999999997</v>
          </cell>
          <cell r="AG216" t="str">
            <v>-</v>
          </cell>
          <cell r="AH216">
            <v>0.83189999999999997</v>
          </cell>
          <cell r="AI216" t="str">
            <v>-</v>
          </cell>
          <cell r="AJ216">
            <v>0.83189999999999997</v>
          </cell>
          <cell r="AK216" t="str">
            <v>-</v>
          </cell>
          <cell r="AL216" t="str">
            <v>Netherlands Pers/Pag 41</v>
          </cell>
        </row>
        <row r="217">
          <cell r="N217" t="str">
            <v>DOM NDL NDG42</v>
          </cell>
          <cell r="O217" t="str">
            <v>call</v>
          </cell>
          <cell r="P217">
            <v>0.84030000000000005</v>
          </cell>
          <cell r="Q217" t="str">
            <v>-</v>
          </cell>
          <cell r="R217">
            <v>0.84030000000000005</v>
          </cell>
          <cell r="S217" t="str">
            <v>-</v>
          </cell>
          <cell r="T217">
            <v>0.84030000000000005</v>
          </cell>
          <cell r="U217" t="str">
            <v>-</v>
          </cell>
          <cell r="V217">
            <v>0.84030000000000005</v>
          </cell>
          <cell r="W217" t="str">
            <v>-</v>
          </cell>
          <cell r="X217">
            <v>0.81299999999999994</v>
          </cell>
          <cell r="Y217" t="str">
            <v>-</v>
          </cell>
          <cell r="Z217">
            <v>0.80610131814670138</v>
          </cell>
          <cell r="AA217">
            <v>6.9675194704861112E-3</v>
          </cell>
          <cell r="AD217">
            <v>0.84030000000000005</v>
          </cell>
          <cell r="AE217" t="str">
            <v>-</v>
          </cell>
          <cell r="AF217">
            <v>0.84030000000000005</v>
          </cell>
          <cell r="AG217" t="str">
            <v>-</v>
          </cell>
          <cell r="AH217">
            <v>0.84030000000000005</v>
          </cell>
          <cell r="AI217" t="str">
            <v>-</v>
          </cell>
          <cell r="AJ217">
            <v>0.84030000000000005</v>
          </cell>
          <cell r="AK217" t="str">
            <v>-</v>
          </cell>
          <cell r="AL217" t="str">
            <v>Netherlands Pers/Pag 42</v>
          </cell>
        </row>
        <row r="218">
          <cell r="N218" t="str">
            <v>DOM NDL NDG43</v>
          </cell>
          <cell r="O218" t="str">
            <v>call</v>
          </cell>
          <cell r="P218">
            <v>0.91600000000000004</v>
          </cell>
          <cell r="Q218" t="str">
            <v>-</v>
          </cell>
          <cell r="R218">
            <v>0.91600000000000004</v>
          </cell>
          <cell r="S218" t="str">
            <v>-</v>
          </cell>
          <cell r="T218">
            <v>0.91600000000000004</v>
          </cell>
          <cell r="U218" t="str">
            <v>-</v>
          </cell>
          <cell r="V218">
            <v>0.91600000000000004</v>
          </cell>
          <cell r="W218" t="str">
            <v>-</v>
          </cell>
          <cell r="X218">
            <v>0.88570000000000004</v>
          </cell>
          <cell r="Y218" t="str">
            <v>-</v>
          </cell>
          <cell r="Z218">
            <v>0.87882131814670139</v>
          </cell>
          <cell r="AA218">
            <v>6.9675194704861112E-3</v>
          </cell>
          <cell r="AD218">
            <v>0.91600000000000004</v>
          </cell>
          <cell r="AE218" t="str">
            <v>-</v>
          </cell>
          <cell r="AF218">
            <v>0.91600000000000004</v>
          </cell>
          <cell r="AG218" t="str">
            <v>-</v>
          </cell>
          <cell r="AH218">
            <v>0.91600000000000004</v>
          </cell>
          <cell r="AI218" t="str">
            <v>-</v>
          </cell>
          <cell r="AJ218">
            <v>0.91600000000000004</v>
          </cell>
          <cell r="AK218" t="str">
            <v>-</v>
          </cell>
          <cell r="AL218" t="str">
            <v>Netherlands Pers/Pag 43</v>
          </cell>
        </row>
        <row r="219">
          <cell r="N219" t="str">
            <v>DOM NDL NDG44</v>
          </cell>
          <cell r="O219" t="str">
            <v>call</v>
          </cell>
          <cell r="P219">
            <v>0.96640000000000004</v>
          </cell>
          <cell r="Q219" t="str">
            <v>-</v>
          </cell>
          <cell r="R219">
            <v>0.96640000000000004</v>
          </cell>
          <cell r="S219" t="str">
            <v>-</v>
          </cell>
          <cell r="T219">
            <v>0.96640000000000004</v>
          </cell>
          <cell r="U219" t="str">
            <v>-</v>
          </cell>
          <cell r="V219">
            <v>0.96640000000000004</v>
          </cell>
          <cell r="W219" t="str">
            <v>-</v>
          </cell>
          <cell r="X219">
            <v>0.93420000000000003</v>
          </cell>
          <cell r="Y219" t="str">
            <v>-</v>
          </cell>
          <cell r="Z219">
            <v>0.92730131814670136</v>
          </cell>
          <cell r="AA219">
            <v>6.9675194704861112E-3</v>
          </cell>
          <cell r="AD219">
            <v>0.96640000000000004</v>
          </cell>
          <cell r="AE219" t="str">
            <v>-</v>
          </cell>
          <cell r="AF219">
            <v>0.96640000000000004</v>
          </cell>
          <cell r="AG219" t="str">
            <v>-</v>
          </cell>
          <cell r="AH219">
            <v>0.96640000000000004</v>
          </cell>
          <cell r="AI219" t="str">
            <v>-</v>
          </cell>
          <cell r="AJ219">
            <v>0.96640000000000004</v>
          </cell>
          <cell r="AK219" t="str">
            <v>-</v>
          </cell>
          <cell r="AL219" t="str">
            <v>Netherlands Pers/Pag 44</v>
          </cell>
        </row>
        <row r="220">
          <cell r="N220" t="str">
            <v>DOM NDL NDG45</v>
          </cell>
          <cell r="O220" t="str">
            <v>call</v>
          </cell>
          <cell r="P220">
            <v>1.0084</v>
          </cell>
          <cell r="Q220" t="str">
            <v>-</v>
          </cell>
          <cell r="R220">
            <v>1.0084</v>
          </cell>
          <cell r="S220" t="str">
            <v>-</v>
          </cell>
          <cell r="T220">
            <v>1.0084</v>
          </cell>
          <cell r="U220" t="str">
            <v>-</v>
          </cell>
          <cell r="V220">
            <v>1.0084</v>
          </cell>
          <cell r="W220" t="str">
            <v>-</v>
          </cell>
          <cell r="X220">
            <v>0.97460000000000002</v>
          </cell>
          <cell r="Y220" t="str">
            <v>-</v>
          </cell>
          <cell r="Z220">
            <v>0.96770131814670135</v>
          </cell>
          <cell r="AA220">
            <v>6.9675194704861112E-3</v>
          </cell>
          <cell r="AD220">
            <v>1.0084</v>
          </cell>
          <cell r="AE220" t="str">
            <v>-</v>
          </cell>
          <cell r="AF220">
            <v>1.0084</v>
          </cell>
          <cell r="AG220" t="str">
            <v>-</v>
          </cell>
          <cell r="AH220">
            <v>1.0084</v>
          </cell>
          <cell r="AI220" t="str">
            <v>-</v>
          </cell>
          <cell r="AJ220">
            <v>1.0084</v>
          </cell>
          <cell r="AK220" t="str">
            <v>-</v>
          </cell>
          <cell r="AL220" t="str">
            <v>Netherlands Pers/Pag 45</v>
          </cell>
        </row>
        <row r="221">
          <cell r="N221" t="str">
            <v>DOM NDL NDG46</v>
          </cell>
          <cell r="O221" t="str">
            <v>call</v>
          </cell>
          <cell r="P221">
            <v>1.0924</v>
          </cell>
          <cell r="Q221" t="str">
            <v>-</v>
          </cell>
          <cell r="R221">
            <v>1.0924</v>
          </cell>
          <cell r="S221" t="str">
            <v>-</v>
          </cell>
          <cell r="T221">
            <v>1.0924</v>
          </cell>
          <cell r="U221" t="str">
            <v>-</v>
          </cell>
          <cell r="V221">
            <v>1.0924</v>
          </cell>
          <cell r="W221" t="str">
            <v>-</v>
          </cell>
          <cell r="X221">
            <v>1.0553999999999999</v>
          </cell>
          <cell r="Y221" t="str">
            <v>-</v>
          </cell>
          <cell r="Z221">
            <v>1.0485013181467016</v>
          </cell>
          <cell r="AA221">
            <v>6.9675194704861112E-3</v>
          </cell>
          <cell r="AD221">
            <v>1.0924</v>
          </cell>
          <cell r="AE221" t="str">
            <v>-</v>
          </cell>
          <cell r="AF221">
            <v>1.0924</v>
          </cell>
          <cell r="AG221" t="str">
            <v>-</v>
          </cell>
          <cell r="AH221">
            <v>1.0924</v>
          </cell>
          <cell r="AI221" t="str">
            <v>-</v>
          </cell>
          <cell r="AJ221">
            <v>1.0924</v>
          </cell>
          <cell r="AK221" t="str">
            <v>-</v>
          </cell>
          <cell r="AL221" t="str">
            <v>Netherlands Pers/Pag 46</v>
          </cell>
        </row>
        <row r="222">
          <cell r="N222" t="str">
            <v>DOM NDL NDR01</v>
          </cell>
          <cell r="O222" t="str">
            <v>minute</v>
          </cell>
          <cell r="P222" t="str">
            <v>-</v>
          </cell>
          <cell r="Q222">
            <v>4.6600000000000003E-2</v>
          </cell>
          <cell r="R222" t="str">
            <v>-</v>
          </cell>
          <cell r="S222">
            <v>4.6600000000000003E-2</v>
          </cell>
          <cell r="T222" t="str">
            <v>-</v>
          </cell>
          <cell r="U222">
            <v>4.6600000000000003E-2</v>
          </cell>
          <cell r="V222" t="str">
            <v>-</v>
          </cell>
          <cell r="W222">
            <v>4.6600000000000003E-2</v>
          </cell>
          <cell r="X222" t="str">
            <v>-</v>
          </cell>
          <cell r="Y222">
            <v>2.0899999999999998E-2</v>
          </cell>
          <cell r="Z222">
            <v>3.6172578650903078E-2</v>
          </cell>
          <cell r="AA222">
            <v>1.3490880815023927E-2</v>
          </cell>
          <cell r="AD222" t="str">
            <v>-</v>
          </cell>
          <cell r="AE222">
            <v>4.6600000000000003E-2</v>
          </cell>
          <cell r="AF222" t="str">
            <v>-</v>
          </cell>
          <cell r="AG222">
            <v>4.6600000000000003E-2</v>
          </cell>
          <cell r="AH222" t="str">
            <v>-</v>
          </cell>
          <cell r="AI222">
            <v>4.6600000000000003E-2</v>
          </cell>
          <cell r="AJ222" t="str">
            <v>-</v>
          </cell>
          <cell r="AK222">
            <v>4.6600000000000003E-2</v>
          </cell>
          <cell r="AL222" t="str">
            <v>Netherlands Premium Rate 1</v>
          </cell>
        </row>
        <row r="223">
          <cell r="N223" t="str">
            <v>DOM NDL NDR02</v>
          </cell>
          <cell r="O223" t="str">
            <v>minute</v>
          </cell>
          <cell r="P223" t="str">
            <v>-</v>
          </cell>
          <cell r="Q223">
            <v>5.5E-2</v>
          </cell>
          <cell r="R223" t="str">
            <v>-</v>
          </cell>
          <cell r="S223">
            <v>5.5E-2</v>
          </cell>
          <cell r="T223" t="str">
            <v>-</v>
          </cell>
          <cell r="U223">
            <v>5.5E-2</v>
          </cell>
          <cell r="V223" t="str">
            <v>-</v>
          </cell>
          <cell r="W223">
            <v>5.5E-2</v>
          </cell>
          <cell r="X223" t="str">
            <v>-</v>
          </cell>
          <cell r="Y223">
            <v>2.9700000000000001E-2</v>
          </cell>
          <cell r="Z223">
            <v>3.6172578650903078E-2</v>
          </cell>
          <cell r="AA223">
            <v>2.1564242159561743E-2</v>
          </cell>
          <cell r="AD223" t="str">
            <v>-</v>
          </cell>
          <cell r="AE223">
            <v>5.5E-2</v>
          </cell>
          <cell r="AF223" t="str">
            <v>-</v>
          </cell>
          <cell r="AG223">
            <v>5.5E-2</v>
          </cell>
          <cell r="AH223" t="str">
            <v>-</v>
          </cell>
          <cell r="AI223">
            <v>5.5E-2</v>
          </cell>
          <cell r="AJ223" t="str">
            <v>-</v>
          </cell>
          <cell r="AK223">
            <v>5.5E-2</v>
          </cell>
          <cell r="AL223" t="str">
            <v>Netherlands Premium Rate 2</v>
          </cell>
        </row>
        <row r="224">
          <cell r="N224" t="str">
            <v>DOM NDL NDR03</v>
          </cell>
          <cell r="O224" t="str">
            <v>minute</v>
          </cell>
          <cell r="P224" t="str">
            <v>-</v>
          </cell>
          <cell r="Q224">
            <v>5.9200000000000003E-2</v>
          </cell>
          <cell r="R224" t="str">
            <v>-</v>
          </cell>
          <cell r="S224">
            <v>5.9200000000000003E-2</v>
          </cell>
          <cell r="T224" t="str">
            <v>-</v>
          </cell>
          <cell r="U224">
            <v>5.9200000000000003E-2</v>
          </cell>
          <cell r="V224" t="str">
            <v>-</v>
          </cell>
          <cell r="W224">
            <v>5.9200000000000003E-2</v>
          </cell>
          <cell r="X224" t="str">
            <v>-</v>
          </cell>
          <cell r="Y224">
            <v>3.3700000000000001E-2</v>
          </cell>
          <cell r="Z224">
            <v>3.6172578650903078E-2</v>
          </cell>
          <cell r="AA224">
            <v>2.5605922831830653E-2</v>
          </cell>
          <cell r="AD224" t="str">
            <v>-</v>
          </cell>
          <cell r="AE224">
            <v>5.9200000000000003E-2</v>
          </cell>
          <cell r="AF224" t="str">
            <v>-</v>
          </cell>
          <cell r="AG224">
            <v>5.9200000000000003E-2</v>
          </cell>
          <cell r="AH224" t="str">
            <v>-</v>
          </cell>
          <cell r="AI224">
            <v>5.9200000000000003E-2</v>
          </cell>
          <cell r="AJ224" t="str">
            <v>-</v>
          </cell>
          <cell r="AK224">
            <v>5.9200000000000003E-2</v>
          </cell>
          <cell r="AL224" t="str">
            <v>Netherlands Premium Rate 3</v>
          </cell>
        </row>
        <row r="225">
          <cell r="N225" t="str">
            <v>DOM NDL NDR04</v>
          </cell>
          <cell r="O225" t="str">
            <v>minute</v>
          </cell>
          <cell r="P225" t="str">
            <v>-</v>
          </cell>
          <cell r="Q225">
            <v>6.3399999999999998E-2</v>
          </cell>
          <cell r="R225" t="str">
            <v>-</v>
          </cell>
          <cell r="S225">
            <v>6.3399999999999998E-2</v>
          </cell>
          <cell r="T225" t="str">
            <v>-</v>
          </cell>
          <cell r="U225">
            <v>6.3399999999999998E-2</v>
          </cell>
          <cell r="V225" t="str">
            <v>-</v>
          </cell>
          <cell r="W225">
            <v>6.3399999999999998E-2</v>
          </cell>
          <cell r="X225" t="str">
            <v>-</v>
          </cell>
          <cell r="Y225">
            <v>3.78E-2</v>
          </cell>
          <cell r="Z225">
            <v>3.6172578650903078E-2</v>
          </cell>
          <cell r="AA225">
            <v>2.9647603504099559E-2</v>
          </cell>
          <cell r="AD225" t="str">
            <v>-</v>
          </cell>
          <cell r="AE225">
            <v>6.3399999999999998E-2</v>
          </cell>
          <cell r="AF225" t="str">
            <v>-</v>
          </cell>
          <cell r="AG225">
            <v>6.3399999999999998E-2</v>
          </cell>
          <cell r="AH225" t="str">
            <v>-</v>
          </cell>
          <cell r="AI225">
            <v>6.3399999999999998E-2</v>
          </cell>
          <cell r="AJ225" t="str">
            <v>-</v>
          </cell>
          <cell r="AK225">
            <v>6.3399999999999998E-2</v>
          </cell>
          <cell r="AL225" t="str">
            <v>Netherlands Premium Rate 4</v>
          </cell>
        </row>
        <row r="226">
          <cell r="N226" t="str">
            <v>DOM NDL NDR05</v>
          </cell>
          <cell r="O226" t="str">
            <v>minute</v>
          </cell>
          <cell r="P226" t="str">
            <v>-</v>
          </cell>
          <cell r="Q226">
            <v>7.1800000000000003E-2</v>
          </cell>
          <cell r="R226" t="str">
            <v>-</v>
          </cell>
          <cell r="S226">
            <v>7.1800000000000003E-2</v>
          </cell>
          <cell r="T226" t="str">
            <v>-</v>
          </cell>
          <cell r="U226">
            <v>7.1800000000000003E-2</v>
          </cell>
          <cell r="V226" t="str">
            <v>-</v>
          </cell>
          <cell r="W226">
            <v>7.1800000000000003E-2</v>
          </cell>
          <cell r="X226" t="str">
            <v>-</v>
          </cell>
          <cell r="Y226">
            <v>4.58E-2</v>
          </cell>
          <cell r="Z226">
            <v>3.6172578650903078E-2</v>
          </cell>
          <cell r="AA226">
            <v>3.7730964848637381E-2</v>
          </cell>
          <cell r="AD226" t="str">
            <v>-</v>
          </cell>
          <cell r="AE226">
            <v>7.1800000000000003E-2</v>
          </cell>
          <cell r="AF226" t="str">
            <v>-</v>
          </cell>
          <cell r="AG226">
            <v>7.1800000000000003E-2</v>
          </cell>
          <cell r="AH226" t="str">
            <v>-</v>
          </cell>
          <cell r="AI226">
            <v>7.1800000000000003E-2</v>
          </cell>
          <cell r="AJ226" t="str">
            <v>-</v>
          </cell>
          <cell r="AK226">
            <v>7.1800000000000003E-2</v>
          </cell>
          <cell r="AL226" t="str">
            <v>Netherlands Premium Rate 5</v>
          </cell>
        </row>
        <row r="227">
          <cell r="N227" t="str">
            <v>DOM NDL NDR06</v>
          </cell>
          <cell r="O227" t="str">
            <v>minute</v>
          </cell>
          <cell r="P227" t="str">
            <v>-</v>
          </cell>
          <cell r="Q227">
            <v>7.5999999999999998E-2</v>
          </cell>
          <cell r="R227" t="str">
            <v>-</v>
          </cell>
          <cell r="S227">
            <v>7.5999999999999998E-2</v>
          </cell>
          <cell r="T227" t="str">
            <v>-</v>
          </cell>
          <cell r="U227">
            <v>7.5999999999999998E-2</v>
          </cell>
          <cell r="V227" t="str">
            <v>-</v>
          </cell>
          <cell r="W227">
            <v>7.5999999999999998E-2</v>
          </cell>
          <cell r="X227" t="str">
            <v>-</v>
          </cell>
          <cell r="Y227">
            <v>4.99E-2</v>
          </cell>
          <cell r="Z227">
            <v>3.6172578650903078E-2</v>
          </cell>
          <cell r="AA227">
            <v>4.1762645520906277E-2</v>
          </cell>
          <cell r="AD227" t="str">
            <v>-</v>
          </cell>
          <cell r="AE227">
            <v>7.5999999999999998E-2</v>
          </cell>
          <cell r="AF227" t="str">
            <v>-</v>
          </cell>
          <cell r="AG227">
            <v>7.5999999999999998E-2</v>
          </cell>
          <cell r="AH227" t="str">
            <v>-</v>
          </cell>
          <cell r="AI227">
            <v>7.5999999999999998E-2</v>
          </cell>
          <cell r="AJ227" t="str">
            <v>-</v>
          </cell>
          <cell r="AK227">
            <v>7.5999999999999998E-2</v>
          </cell>
          <cell r="AL227" t="str">
            <v>Netherlands Premium Rate 6</v>
          </cell>
        </row>
        <row r="228">
          <cell r="N228" t="str">
            <v>DOM NDL NDR07</v>
          </cell>
          <cell r="O228" t="str">
            <v>minute</v>
          </cell>
          <cell r="P228" t="str">
            <v>-</v>
          </cell>
          <cell r="Q228">
            <v>8.0199999999999994E-2</v>
          </cell>
          <cell r="R228" t="str">
            <v>-</v>
          </cell>
          <cell r="S228">
            <v>8.0199999999999994E-2</v>
          </cell>
          <cell r="T228" t="str">
            <v>-</v>
          </cell>
          <cell r="U228">
            <v>8.0199999999999994E-2</v>
          </cell>
          <cell r="V228" t="str">
            <v>-</v>
          </cell>
          <cell r="W228">
            <v>8.0199999999999994E-2</v>
          </cell>
          <cell r="X228" t="str">
            <v>-</v>
          </cell>
          <cell r="Y228">
            <v>5.3900000000000003E-2</v>
          </cell>
          <cell r="Z228">
            <v>3.6172578650903078E-2</v>
          </cell>
          <cell r="AA228">
            <v>4.580432619317519E-2</v>
          </cell>
          <cell r="AD228" t="str">
            <v>-</v>
          </cell>
          <cell r="AE228">
            <v>8.0199999999999994E-2</v>
          </cell>
          <cell r="AF228" t="str">
            <v>-</v>
          </cell>
          <cell r="AG228">
            <v>8.0199999999999994E-2</v>
          </cell>
          <cell r="AH228" t="str">
            <v>-</v>
          </cell>
          <cell r="AI228">
            <v>8.0199999999999994E-2</v>
          </cell>
          <cell r="AJ228" t="str">
            <v>-</v>
          </cell>
          <cell r="AK228">
            <v>8.0199999999999994E-2</v>
          </cell>
          <cell r="AL228" t="str">
            <v>Netherlands Premium Rate 7</v>
          </cell>
        </row>
        <row r="229">
          <cell r="N229" t="str">
            <v>DOM NDL NDR08</v>
          </cell>
          <cell r="O229" t="str">
            <v>minute</v>
          </cell>
          <cell r="P229" t="str">
            <v>-</v>
          </cell>
          <cell r="Q229">
            <v>8.8599999999999998E-2</v>
          </cell>
          <cell r="R229" t="str">
            <v>-</v>
          </cell>
          <cell r="S229">
            <v>8.8599999999999998E-2</v>
          </cell>
          <cell r="T229" t="str">
            <v>-</v>
          </cell>
          <cell r="U229">
            <v>8.8599999999999998E-2</v>
          </cell>
          <cell r="V229" t="str">
            <v>-</v>
          </cell>
          <cell r="W229">
            <v>8.8599999999999998E-2</v>
          </cell>
          <cell r="X229" t="str">
            <v>-</v>
          </cell>
          <cell r="Y229">
            <v>6.2E-2</v>
          </cell>
          <cell r="Z229">
            <v>3.6172578650903078E-2</v>
          </cell>
          <cell r="AA229">
            <v>5.3887687537713003E-2</v>
          </cell>
          <cell r="AD229" t="str">
            <v>-</v>
          </cell>
          <cell r="AE229">
            <v>8.8599999999999998E-2</v>
          </cell>
          <cell r="AF229" t="str">
            <v>-</v>
          </cell>
          <cell r="AG229">
            <v>8.8599999999999998E-2</v>
          </cell>
          <cell r="AH229" t="str">
            <v>-</v>
          </cell>
          <cell r="AI229">
            <v>8.8599999999999998E-2</v>
          </cell>
          <cell r="AJ229" t="str">
            <v>-</v>
          </cell>
          <cell r="AK229">
            <v>8.8599999999999998E-2</v>
          </cell>
          <cell r="AL229" t="str">
            <v>Netherlands Premium Rate 8</v>
          </cell>
        </row>
        <row r="230">
          <cell r="N230" t="str">
            <v>DOM NDL NDR09</v>
          </cell>
          <cell r="O230" t="str">
            <v>minute</v>
          </cell>
          <cell r="P230" t="str">
            <v>-</v>
          </cell>
          <cell r="Q230">
            <v>9.7000000000000003E-2</v>
          </cell>
          <cell r="R230" t="str">
            <v>-</v>
          </cell>
          <cell r="S230">
            <v>9.7000000000000003E-2</v>
          </cell>
          <cell r="T230" t="str">
            <v>-</v>
          </cell>
          <cell r="U230">
            <v>9.7000000000000003E-2</v>
          </cell>
          <cell r="V230" t="str">
            <v>-</v>
          </cell>
          <cell r="W230">
            <v>9.7000000000000003E-2</v>
          </cell>
          <cell r="X230" t="str">
            <v>-</v>
          </cell>
          <cell r="Y230">
            <v>7.0099999999999996E-2</v>
          </cell>
          <cell r="Z230">
            <v>3.6172578650903078E-2</v>
          </cell>
          <cell r="AA230">
            <v>6.1971048882250822E-2</v>
          </cell>
          <cell r="AD230" t="str">
            <v>-</v>
          </cell>
          <cell r="AE230">
            <v>9.7000000000000003E-2</v>
          </cell>
          <cell r="AF230" t="str">
            <v>-</v>
          </cell>
          <cell r="AG230">
            <v>9.7000000000000003E-2</v>
          </cell>
          <cell r="AH230" t="str">
            <v>-</v>
          </cell>
          <cell r="AI230">
            <v>9.7000000000000003E-2</v>
          </cell>
          <cell r="AJ230" t="str">
            <v>-</v>
          </cell>
          <cell r="AK230">
            <v>9.7000000000000003E-2</v>
          </cell>
          <cell r="AL230" t="str">
            <v>Netherlands Premium Rate 9</v>
          </cell>
        </row>
        <row r="231">
          <cell r="N231" t="str">
            <v>DOM NDL NDR10</v>
          </cell>
          <cell r="O231" t="str">
            <v>minute</v>
          </cell>
          <cell r="P231" t="str">
            <v>-</v>
          </cell>
          <cell r="Q231">
            <v>0.10539999999999999</v>
          </cell>
          <cell r="R231" t="str">
            <v>-</v>
          </cell>
          <cell r="S231">
            <v>0.10539999999999999</v>
          </cell>
          <cell r="T231" t="str">
            <v>-</v>
          </cell>
          <cell r="U231">
            <v>0.10539999999999999</v>
          </cell>
          <cell r="V231" t="str">
            <v>-</v>
          </cell>
          <cell r="W231">
            <v>0.10539999999999999</v>
          </cell>
          <cell r="X231" t="str">
            <v>-</v>
          </cell>
          <cell r="Y231">
            <v>7.8200000000000006E-2</v>
          </cell>
          <cell r="Z231">
            <v>3.6172578650903078E-2</v>
          </cell>
          <cell r="AA231">
            <v>7.0044410226788631E-2</v>
          </cell>
          <cell r="AD231" t="str">
            <v>-</v>
          </cell>
          <cell r="AE231">
            <v>0.10539999999999999</v>
          </cell>
          <cell r="AF231" t="str">
            <v>-</v>
          </cell>
          <cell r="AG231">
            <v>0.10539999999999999</v>
          </cell>
          <cell r="AH231" t="str">
            <v>-</v>
          </cell>
          <cell r="AI231">
            <v>0.10539999999999999</v>
          </cell>
          <cell r="AJ231" t="str">
            <v>-</v>
          </cell>
          <cell r="AK231">
            <v>0.10539999999999999</v>
          </cell>
          <cell r="AL231" t="str">
            <v>Netherlands Premium Rate 10</v>
          </cell>
        </row>
        <row r="232">
          <cell r="N232" t="str">
            <v>DOM NDL NDR11</v>
          </cell>
          <cell r="O232" t="str">
            <v>minute</v>
          </cell>
          <cell r="P232" t="str">
            <v>-</v>
          </cell>
          <cell r="Q232">
            <v>0.1138</v>
          </cell>
          <cell r="R232" t="str">
            <v>-</v>
          </cell>
          <cell r="S232">
            <v>0.1138</v>
          </cell>
          <cell r="T232" t="str">
            <v>-</v>
          </cell>
          <cell r="U232">
            <v>0.1138</v>
          </cell>
          <cell r="V232" t="str">
            <v>-</v>
          </cell>
          <cell r="W232">
            <v>0.1138</v>
          </cell>
          <cell r="X232" t="str">
            <v>-</v>
          </cell>
          <cell r="Y232">
            <v>8.6199999999999999E-2</v>
          </cell>
          <cell r="Z232">
            <v>3.6172578650903078E-2</v>
          </cell>
          <cell r="AA232">
            <v>7.8127771571326443E-2</v>
          </cell>
          <cell r="AD232" t="str">
            <v>-</v>
          </cell>
          <cell r="AE232">
            <v>0.1138</v>
          </cell>
          <cell r="AF232" t="str">
            <v>-</v>
          </cell>
          <cell r="AG232">
            <v>0.1138</v>
          </cell>
          <cell r="AH232" t="str">
            <v>-</v>
          </cell>
          <cell r="AI232">
            <v>0.1138</v>
          </cell>
          <cell r="AJ232" t="str">
            <v>-</v>
          </cell>
          <cell r="AK232">
            <v>0.1138</v>
          </cell>
          <cell r="AL232" t="str">
            <v>Netherlands Premium Rate 11</v>
          </cell>
        </row>
        <row r="233">
          <cell r="N233" t="str">
            <v>DOM NDL NDR12</v>
          </cell>
          <cell r="O233" t="str">
            <v>minute</v>
          </cell>
          <cell r="P233" t="str">
            <v>-</v>
          </cell>
          <cell r="Q233">
            <v>0.1222</v>
          </cell>
          <cell r="R233" t="str">
            <v>-</v>
          </cell>
          <cell r="S233">
            <v>0.1222</v>
          </cell>
          <cell r="T233" t="str">
            <v>-</v>
          </cell>
          <cell r="U233">
            <v>0.1222</v>
          </cell>
          <cell r="V233" t="str">
            <v>-</v>
          </cell>
          <cell r="W233">
            <v>0.1222</v>
          </cell>
          <cell r="X233" t="str">
            <v>-</v>
          </cell>
          <cell r="Y233">
            <v>9.4299999999999995E-2</v>
          </cell>
          <cell r="Z233">
            <v>3.6172578650903078E-2</v>
          </cell>
          <cell r="AA233">
            <v>8.6201132915864259E-2</v>
          </cell>
          <cell r="AD233" t="str">
            <v>-</v>
          </cell>
          <cell r="AE233">
            <v>0.1222</v>
          </cell>
          <cell r="AF233" t="str">
            <v>-</v>
          </cell>
          <cell r="AG233">
            <v>0.1222</v>
          </cell>
          <cell r="AH233" t="str">
            <v>-</v>
          </cell>
          <cell r="AI233">
            <v>0.1222</v>
          </cell>
          <cell r="AJ233" t="str">
            <v>-</v>
          </cell>
          <cell r="AK233">
            <v>0.1222</v>
          </cell>
          <cell r="AL233" t="str">
            <v>Netherlands Premium Rate 12</v>
          </cell>
        </row>
        <row r="234">
          <cell r="N234" t="str">
            <v>DOM NDL NDR13</v>
          </cell>
          <cell r="O234" t="str">
            <v>minute</v>
          </cell>
          <cell r="P234" t="str">
            <v>-</v>
          </cell>
          <cell r="Q234">
            <v>0.1474</v>
          </cell>
          <cell r="R234" t="str">
            <v>-</v>
          </cell>
          <cell r="S234">
            <v>0.1474</v>
          </cell>
          <cell r="T234" t="str">
            <v>-</v>
          </cell>
          <cell r="U234">
            <v>0.1474</v>
          </cell>
          <cell r="V234" t="str">
            <v>-</v>
          </cell>
          <cell r="W234">
            <v>0.1474</v>
          </cell>
          <cell r="X234" t="str">
            <v>-</v>
          </cell>
          <cell r="Y234">
            <v>0.1186</v>
          </cell>
          <cell r="Z234">
            <v>3.6172578650903078E-2</v>
          </cell>
          <cell r="AA234">
            <v>0.11044121694947771</v>
          </cell>
          <cell r="AD234" t="str">
            <v>-</v>
          </cell>
          <cell r="AE234">
            <v>0.1474</v>
          </cell>
          <cell r="AF234" t="str">
            <v>-</v>
          </cell>
          <cell r="AG234">
            <v>0.1474</v>
          </cell>
          <cell r="AH234" t="str">
            <v>-</v>
          </cell>
          <cell r="AI234">
            <v>0.1474</v>
          </cell>
          <cell r="AJ234" t="str">
            <v>-</v>
          </cell>
          <cell r="AK234">
            <v>0.1474</v>
          </cell>
          <cell r="AL234" t="str">
            <v>Netherlands Premium Rate 13</v>
          </cell>
        </row>
        <row r="235">
          <cell r="N235" t="str">
            <v>DOM NDL NDR14</v>
          </cell>
          <cell r="O235" t="str">
            <v>minute</v>
          </cell>
          <cell r="P235" t="str">
            <v>-</v>
          </cell>
          <cell r="Q235">
            <v>0.16420000000000001</v>
          </cell>
          <cell r="R235" t="str">
            <v>-</v>
          </cell>
          <cell r="S235">
            <v>0.16420000000000001</v>
          </cell>
          <cell r="T235" t="str">
            <v>-</v>
          </cell>
          <cell r="U235">
            <v>0.16420000000000001</v>
          </cell>
          <cell r="V235" t="str">
            <v>-</v>
          </cell>
          <cell r="W235">
            <v>0.16420000000000001</v>
          </cell>
          <cell r="X235" t="str">
            <v>-</v>
          </cell>
          <cell r="Y235">
            <v>0.13469999999999999</v>
          </cell>
          <cell r="Z235">
            <v>3.6172578650903078E-2</v>
          </cell>
          <cell r="AA235">
            <v>0.12660793963855332</v>
          </cell>
          <cell r="AD235" t="str">
            <v>-</v>
          </cell>
          <cell r="AE235">
            <v>0.16420000000000001</v>
          </cell>
          <cell r="AF235" t="str">
            <v>-</v>
          </cell>
          <cell r="AG235">
            <v>0.16420000000000001</v>
          </cell>
          <cell r="AH235" t="str">
            <v>-</v>
          </cell>
          <cell r="AI235">
            <v>0.16420000000000001</v>
          </cell>
          <cell r="AJ235" t="str">
            <v>-</v>
          </cell>
          <cell r="AK235">
            <v>0.16420000000000001</v>
          </cell>
          <cell r="AL235" t="str">
            <v>Netherlands Premium Rate 14</v>
          </cell>
        </row>
        <row r="236">
          <cell r="N236" t="str">
            <v>DOM NDL NDR15</v>
          </cell>
          <cell r="O236" t="str">
            <v>minute</v>
          </cell>
          <cell r="P236" t="str">
            <v>-</v>
          </cell>
          <cell r="Q236">
            <v>0.18940000000000001</v>
          </cell>
          <cell r="R236" t="str">
            <v>-</v>
          </cell>
          <cell r="S236">
            <v>0.18940000000000001</v>
          </cell>
          <cell r="T236" t="str">
            <v>-</v>
          </cell>
          <cell r="U236">
            <v>0.18940000000000001</v>
          </cell>
          <cell r="V236" t="str">
            <v>-</v>
          </cell>
          <cell r="W236">
            <v>0.18940000000000001</v>
          </cell>
          <cell r="X236" t="str">
            <v>-</v>
          </cell>
          <cell r="Y236">
            <v>0.159</v>
          </cell>
          <cell r="Z236">
            <v>3.6172578650903078E-2</v>
          </cell>
          <cell r="AA236">
            <v>0.15084802367216676</v>
          </cell>
          <cell r="AD236" t="str">
            <v>-</v>
          </cell>
          <cell r="AE236">
            <v>0.18940000000000001</v>
          </cell>
          <cell r="AF236" t="str">
            <v>-</v>
          </cell>
          <cell r="AG236">
            <v>0.18940000000000001</v>
          </cell>
          <cell r="AH236" t="str">
            <v>-</v>
          </cell>
          <cell r="AI236">
            <v>0.18940000000000001</v>
          </cell>
          <cell r="AJ236" t="str">
            <v>-</v>
          </cell>
          <cell r="AK236">
            <v>0.18940000000000001</v>
          </cell>
          <cell r="AL236" t="str">
            <v>Netherlands Premium Rate 15</v>
          </cell>
        </row>
        <row r="237">
          <cell r="N237" t="str">
            <v>DOM NDL NDR16</v>
          </cell>
          <cell r="O237" t="str">
            <v>minute</v>
          </cell>
          <cell r="P237" t="str">
            <v>-</v>
          </cell>
          <cell r="Q237">
            <v>0.20619999999999999</v>
          </cell>
          <cell r="R237" t="str">
            <v>-</v>
          </cell>
          <cell r="S237">
            <v>0.20619999999999999</v>
          </cell>
          <cell r="T237" t="str">
            <v>-</v>
          </cell>
          <cell r="U237">
            <v>0.20619999999999999</v>
          </cell>
          <cell r="V237" t="str">
            <v>-</v>
          </cell>
          <cell r="W237">
            <v>0.20619999999999999</v>
          </cell>
          <cell r="X237" t="str">
            <v>-</v>
          </cell>
          <cell r="Y237">
            <v>0.17510000000000001</v>
          </cell>
          <cell r="Z237">
            <v>3.6172578650903078E-2</v>
          </cell>
          <cell r="AA237">
            <v>0.16700474636124243</v>
          </cell>
          <cell r="AD237" t="str">
            <v>-</v>
          </cell>
          <cell r="AE237">
            <v>0.20619999999999999</v>
          </cell>
          <cell r="AF237" t="str">
            <v>-</v>
          </cell>
          <cell r="AG237">
            <v>0.20619999999999999</v>
          </cell>
          <cell r="AH237" t="str">
            <v>-</v>
          </cell>
          <cell r="AI237">
            <v>0.20619999999999999</v>
          </cell>
          <cell r="AJ237" t="str">
            <v>-</v>
          </cell>
          <cell r="AK237">
            <v>0.20619999999999999</v>
          </cell>
          <cell r="AL237" t="str">
            <v>Netherlands Premium Rate 16</v>
          </cell>
        </row>
        <row r="238">
          <cell r="N238" t="str">
            <v>DOM NDL NDR17</v>
          </cell>
          <cell r="O238" t="str">
            <v>minute</v>
          </cell>
          <cell r="P238" t="str">
            <v>-</v>
          </cell>
          <cell r="Q238">
            <v>0.2482</v>
          </cell>
          <cell r="R238" t="str">
            <v>-</v>
          </cell>
          <cell r="S238">
            <v>0.2482</v>
          </cell>
          <cell r="T238" t="str">
            <v>-</v>
          </cell>
          <cell r="U238">
            <v>0.2482</v>
          </cell>
          <cell r="V238" t="str">
            <v>-</v>
          </cell>
          <cell r="W238">
            <v>0.2482</v>
          </cell>
          <cell r="X238" t="str">
            <v>-</v>
          </cell>
          <cell r="Y238">
            <v>0.2155</v>
          </cell>
          <cell r="Z238">
            <v>3.6172578650903078E-2</v>
          </cell>
          <cell r="AA238">
            <v>0.20740155308393149</v>
          </cell>
          <cell r="AD238" t="str">
            <v>-</v>
          </cell>
          <cell r="AE238">
            <v>0.2482</v>
          </cell>
          <cell r="AF238" t="str">
            <v>-</v>
          </cell>
          <cell r="AG238">
            <v>0.2482</v>
          </cell>
          <cell r="AH238" t="str">
            <v>-</v>
          </cell>
          <cell r="AI238">
            <v>0.2482</v>
          </cell>
          <cell r="AJ238" t="str">
            <v>-</v>
          </cell>
          <cell r="AK238">
            <v>0.2482</v>
          </cell>
          <cell r="AL238" t="str">
            <v>Netherlands Premium Rate 17</v>
          </cell>
        </row>
        <row r="239">
          <cell r="N239" t="str">
            <v>DOM NDL NDR18</v>
          </cell>
          <cell r="O239" t="str">
            <v>minute</v>
          </cell>
          <cell r="P239" t="str">
            <v>-</v>
          </cell>
          <cell r="Q239">
            <v>0.2903</v>
          </cell>
          <cell r="R239" t="str">
            <v>-</v>
          </cell>
          <cell r="S239">
            <v>0.2903</v>
          </cell>
          <cell r="T239" t="str">
            <v>-</v>
          </cell>
          <cell r="U239">
            <v>0.2903</v>
          </cell>
          <cell r="V239" t="str">
            <v>-</v>
          </cell>
          <cell r="W239">
            <v>0.2903</v>
          </cell>
          <cell r="X239" t="str">
            <v>-</v>
          </cell>
          <cell r="Y239">
            <v>0.25590000000000002</v>
          </cell>
          <cell r="Z239">
            <v>3.6172578650903078E-2</v>
          </cell>
          <cell r="AA239">
            <v>0.24779835980662054</v>
          </cell>
          <cell r="AD239" t="str">
            <v>-</v>
          </cell>
          <cell r="AE239">
            <v>0.2903</v>
          </cell>
          <cell r="AF239" t="str">
            <v>-</v>
          </cell>
          <cell r="AG239">
            <v>0.2903</v>
          </cell>
          <cell r="AH239" t="str">
            <v>-</v>
          </cell>
          <cell r="AI239">
            <v>0.2903</v>
          </cell>
          <cell r="AJ239" t="str">
            <v>-</v>
          </cell>
          <cell r="AK239">
            <v>0.2903</v>
          </cell>
          <cell r="AL239" t="str">
            <v>Netherlands Premium Rate 18</v>
          </cell>
        </row>
        <row r="240">
          <cell r="N240" t="str">
            <v>DOM NDL NDR19</v>
          </cell>
          <cell r="O240" t="str">
            <v>minute</v>
          </cell>
          <cell r="P240" t="str">
            <v>-</v>
          </cell>
          <cell r="Q240">
            <v>0.33229999999999998</v>
          </cell>
          <cell r="R240" t="str">
            <v>-</v>
          </cell>
          <cell r="S240">
            <v>0.33229999999999998</v>
          </cell>
          <cell r="T240" t="str">
            <v>-</v>
          </cell>
          <cell r="U240">
            <v>0.33229999999999998</v>
          </cell>
          <cell r="V240" t="str">
            <v>-</v>
          </cell>
          <cell r="W240">
            <v>0.33229999999999998</v>
          </cell>
          <cell r="X240" t="str">
            <v>-</v>
          </cell>
          <cell r="Y240">
            <v>0.29630000000000001</v>
          </cell>
          <cell r="Z240">
            <v>3.6172578650903078E-2</v>
          </cell>
          <cell r="AA240">
            <v>0.28820516652930966</v>
          </cell>
          <cell r="AD240" t="str">
            <v>-</v>
          </cell>
          <cell r="AE240">
            <v>0.33229999999999998</v>
          </cell>
          <cell r="AF240" t="str">
            <v>-</v>
          </cell>
          <cell r="AG240">
            <v>0.33229999999999998</v>
          </cell>
          <cell r="AH240" t="str">
            <v>-</v>
          </cell>
          <cell r="AI240">
            <v>0.33229999999999998</v>
          </cell>
          <cell r="AJ240" t="str">
            <v>-</v>
          </cell>
          <cell r="AK240">
            <v>0.33229999999999998</v>
          </cell>
          <cell r="AL240" t="str">
            <v>Netherlands Premium Rate 19</v>
          </cell>
        </row>
        <row r="241">
          <cell r="N241" t="str">
            <v>DOM NDL NDR20</v>
          </cell>
          <cell r="O241" t="str">
            <v>minute</v>
          </cell>
          <cell r="P241" t="str">
            <v>-</v>
          </cell>
          <cell r="Q241">
            <v>0.37430000000000002</v>
          </cell>
          <cell r="R241" t="str">
            <v>-</v>
          </cell>
          <cell r="S241">
            <v>0.37430000000000002</v>
          </cell>
          <cell r="T241" t="str">
            <v>-</v>
          </cell>
          <cell r="U241">
            <v>0.37430000000000002</v>
          </cell>
          <cell r="V241" t="str">
            <v>-</v>
          </cell>
          <cell r="W241">
            <v>0.37430000000000002</v>
          </cell>
          <cell r="X241" t="str">
            <v>-</v>
          </cell>
          <cell r="Y241">
            <v>0.3367</v>
          </cell>
          <cell r="Z241">
            <v>3.6172578650903078E-2</v>
          </cell>
          <cell r="AA241">
            <v>0.32860197325199875</v>
          </cell>
          <cell r="AD241" t="str">
            <v>-</v>
          </cell>
          <cell r="AE241">
            <v>0.37430000000000002</v>
          </cell>
          <cell r="AF241" t="str">
            <v>-</v>
          </cell>
          <cell r="AG241">
            <v>0.37430000000000002</v>
          </cell>
          <cell r="AH241" t="str">
            <v>-</v>
          </cell>
          <cell r="AI241">
            <v>0.37430000000000002</v>
          </cell>
          <cell r="AJ241" t="str">
            <v>-</v>
          </cell>
          <cell r="AK241">
            <v>0.37430000000000002</v>
          </cell>
          <cell r="AL241" t="str">
            <v>Netherlands Premium Rate 20</v>
          </cell>
        </row>
        <row r="242">
          <cell r="N242" t="str">
            <v>DOM NDL NDR21</v>
          </cell>
          <cell r="O242" t="str">
            <v>minute</v>
          </cell>
          <cell r="P242" t="str">
            <v>-</v>
          </cell>
          <cell r="Q242">
            <v>0.4163</v>
          </cell>
          <cell r="R242" t="str">
            <v>-</v>
          </cell>
          <cell r="S242">
            <v>0.4163</v>
          </cell>
          <cell r="T242" t="str">
            <v>-</v>
          </cell>
          <cell r="U242">
            <v>0.4163</v>
          </cell>
          <cell r="V242" t="str">
            <v>-</v>
          </cell>
          <cell r="W242">
            <v>0.4163</v>
          </cell>
          <cell r="X242" t="str">
            <v>-</v>
          </cell>
          <cell r="Y242">
            <v>0.37709999999999999</v>
          </cell>
          <cell r="Z242">
            <v>3.6172578650903078E-2</v>
          </cell>
          <cell r="AA242">
            <v>0.36899877997468788</v>
          </cell>
          <cell r="AD242" t="str">
            <v>-</v>
          </cell>
          <cell r="AE242">
            <v>0.4163</v>
          </cell>
          <cell r="AF242" t="str">
            <v>-</v>
          </cell>
          <cell r="AG242">
            <v>0.4163</v>
          </cell>
          <cell r="AH242" t="str">
            <v>-</v>
          </cell>
          <cell r="AI242">
            <v>0.4163</v>
          </cell>
          <cell r="AJ242" t="str">
            <v>-</v>
          </cell>
          <cell r="AK242">
            <v>0.4163</v>
          </cell>
          <cell r="AL242" t="str">
            <v>Netherlands Premium Rate 21</v>
          </cell>
        </row>
        <row r="243">
          <cell r="N243" t="str">
            <v>DOM NDL NDR22</v>
          </cell>
          <cell r="O243" t="str">
            <v>minute</v>
          </cell>
          <cell r="P243" t="str">
            <v>-</v>
          </cell>
          <cell r="Q243">
            <v>0.45829999999999999</v>
          </cell>
          <cell r="R243" t="str">
            <v>-</v>
          </cell>
          <cell r="S243">
            <v>0.45829999999999999</v>
          </cell>
          <cell r="T243" t="str">
            <v>-</v>
          </cell>
          <cell r="U243">
            <v>0.45829999999999999</v>
          </cell>
          <cell r="V243" t="str">
            <v>-</v>
          </cell>
          <cell r="W243">
            <v>0.45829999999999999</v>
          </cell>
          <cell r="X243" t="str">
            <v>-</v>
          </cell>
          <cell r="Y243">
            <v>0.41749999999999998</v>
          </cell>
          <cell r="Z243">
            <v>3.6172578650903078E-2</v>
          </cell>
          <cell r="AA243">
            <v>0.40939558669737691</v>
          </cell>
          <cell r="AD243" t="str">
            <v>-</v>
          </cell>
          <cell r="AE243">
            <v>0.45829999999999999</v>
          </cell>
          <cell r="AF243" t="str">
            <v>-</v>
          </cell>
          <cell r="AG243">
            <v>0.45829999999999999</v>
          </cell>
          <cell r="AH243" t="str">
            <v>-</v>
          </cell>
          <cell r="AI243">
            <v>0.45829999999999999</v>
          </cell>
          <cell r="AJ243" t="str">
            <v>-</v>
          </cell>
          <cell r="AK243">
            <v>0.45829999999999999</v>
          </cell>
          <cell r="AL243" t="str">
            <v>Netherlands Premium Rate 22</v>
          </cell>
        </row>
        <row r="244">
          <cell r="N244" t="str">
            <v>DOM NDL NDR23</v>
          </cell>
          <cell r="O244" t="str">
            <v>minute</v>
          </cell>
          <cell r="P244" t="str">
            <v>-</v>
          </cell>
          <cell r="Q244">
            <v>0.50029999999999997</v>
          </cell>
          <cell r="R244" t="str">
            <v>-</v>
          </cell>
          <cell r="S244">
            <v>0.50029999999999997</v>
          </cell>
          <cell r="T244" t="str">
            <v>-</v>
          </cell>
          <cell r="U244">
            <v>0.50029999999999997</v>
          </cell>
          <cell r="V244" t="str">
            <v>-</v>
          </cell>
          <cell r="W244">
            <v>0.50029999999999997</v>
          </cell>
          <cell r="X244" t="str">
            <v>-</v>
          </cell>
          <cell r="Y244">
            <v>0.45789999999999997</v>
          </cell>
          <cell r="Z244">
            <v>3.6172578650903078E-2</v>
          </cell>
          <cell r="AA244">
            <v>0.44980239342006606</v>
          </cell>
          <cell r="AD244" t="str">
            <v>-</v>
          </cell>
          <cell r="AE244">
            <v>0.50029999999999997</v>
          </cell>
          <cell r="AF244" t="str">
            <v>-</v>
          </cell>
          <cell r="AG244">
            <v>0.50029999999999997</v>
          </cell>
          <cell r="AH244" t="str">
            <v>-</v>
          </cell>
          <cell r="AI244">
            <v>0.50029999999999997</v>
          </cell>
          <cell r="AJ244" t="str">
            <v>-</v>
          </cell>
          <cell r="AK244">
            <v>0.50029999999999997</v>
          </cell>
          <cell r="AL244" t="str">
            <v>Netherlands Premium Rate 23</v>
          </cell>
        </row>
        <row r="245">
          <cell r="N245" t="str">
            <v>DOM NDL NDR24</v>
          </cell>
          <cell r="O245" t="str">
            <v>minute</v>
          </cell>
          <cell r="P245" t="str">
            <v>-</v>
          </cell>
          <cell r="Q245">
            <v>0.54239999999999999</v>
          </cell>
          <cell r="R245" t="str">
            <v>-</v>
          </cell>
          <cell r="S245">
            <v>0.54239999999999999</v>
          </cell>
          <cell r="T245" t="str">
            <v>-</v>
          </cell>
          <cell r="U245">
            <v>0.54239999999999999</v>
          </cell>
          <cell r="V245" t="str">
            <v>-</v>
          </cell>
          <cell r="W245">
            <v>0.54239999999999999</v>
          </cell>
          <cell r="X245" t="str">
            <v>-</v>
          </cell>
          <cell r="Y245">
            <v>0.49830000000000002</v>
          </cell>
          <cell r="Z245">
            <v>3.6172578650903078E-2</v>
          </cell>
          <cell r="AA245">
            <v>0.49019920014275503</v>
          </cell>
          <cell r="AD245" t="str">
            <v>-</v>
          </cell>
          <cell r="AE245">
            <v>0.54239999999999999</v>
          </cell>
          <cell r="AF245" t="str">
            <v>-</v>
          </cell>
          <cell r="AG245">
            <v>0.54239999999999999</v>
          </cell>
          <cell r="AH245" t="str">
            <v>-</v>
          </cell>
          <cell r="AI245">
            <v>0.54239999999999999</v>
          </cell>
          <cell r="AJ245" t="str">
            <v>-</v>
          </cell>
          <cell r="AK245">
            <v>0.54239999999999999</v>
          </cell>
          <cell r="AL245" t="str">
            <v>Netherlands Premium Rate 24</v>
          </cell>
        </row>
        <row r="246">
          <cell r="N246" t="str">
            <v>DOM NDL NDR25</v>
          </cell>
          <cell r="O246" t="str">
            <v>minute</v>
          </cell>
          <cell r="P246" t="str">
            <v>-</v>
          </cell>
          <cell r="Q246">
            <v>0.58440000000000003</v>
          </cell>
          <cell r="R246" t="str">
            <v>-</v>
          </cell>
          <cell r="S246">
            <v>0.58440000000000003</v>
          </cell>
          <cell r="T246" t="str">
            <v>-</v>
          </cell>
          <cell r="U246">
            <v>0.58440000000000003</v>
          </cell>
          <cell r="V246" t="str">
            <v>-</v>
          </cell>
          <cell r="W246">
            <v>0.58440000000000003</v>
          </cell>
          <cell r="X246" t="str">
            <v>-</v>
          </cell>
          <cell r="Y246">
            <v>0.53869999999999996</v>
          </cell>
          <cell r="Z246">
            <v>3.6172578650903078E-2</v>
          </cell>
          <cell r="AA246">
            <v>0.53059600686544417</v>
          </cell>
          <cell r="AD246" t="str">
            <v>-</v>
          </cell>
          <cell r="AE246">
            <v>0.58440000000000003</v>
          </cell>
          <cell r="AF246" t="str">
            <v>-</v>
          </cell>
          <cell r="AG246">
            <v>0.58440000000000003</v>
          </cell>
          <cell r="AH246" t="str">
            <v>-</v>
          </cell>
          <cell r="AI246">
            <v>0.58440000000000003</v>
          </cell>
          <cell r="AJ246" t="str">
            <v>-</v>
          </cell>
          <cell r="AK246">
            <v>0.58440000000000003</v>
          </cell>
          <cell r="AL246" t="str">
            <v>Netherlands Premium Rate 25</v>
          </cell>
        </row>
        <row r="247">
          <cell r="N247" t="str">
            <v>DOM NDL NDR26</v>
          </cell>
          <cell r="O247" t="str">
            <v>minute</v>
          </cell>
          <cell r="P247" t="str">
            <v>-</v>
          </cell>
          <cell r="Q247">
            <v>0.62639999999999996</v>
          </cell>
          <cell r="R247" t="str">
            <v>-</v>
          </cell>
          <cell r="S247">
            <v>0.62639999999999996</v>
          </cell>
          <cell r="T247" t="str">
            <v>-</v>
          </cell>
          <cell r="U247">
            <v>0.62639999999999996</v>
          </cell>
          <cell r="V247" t="str">
            <v>-</v>
          </cell>
          <cell r="W247">
            <v>0.62639999999999996</v>
          </cell>
          <cell r="X247" t="str">
            <v>-</v>
          </cell>
          <cell r="Y247">
            <v>0.57909999999999995</v>
          </cell>
          <cell r="Z247">
            <v>3.6172578650903078E-2</v>
          </cell>
          <cell r="AA247">
            <v>0.57099281358813325</v>
          </cell>
          <cell r="AD247" t="str">
            <v>-</v>
          </cell>
          <cell r="AE247">
            <v>0.62639999999999996</v>
          </cell>
          <cell r="AF247" t="str">
            <v>-</v>
          </cell>
          <cell r="AG247">
            <v>0.62639999999999996</v>
          </cell>
          <cell r="AH247" t="str">
            <v>-</v>
          </cell>
          <cell r="AI247">
            <v>0.62639999999999996</v>
          </cell>
          <cell r="AJ247" t="str">
            <v>-</v>
          </cell>
          <cell r="AK247">
            <v>0.62639999999999996</v>
          </cell>
          <cell r="AL247" t="str">
            <v>Netherlands Premium Rate 26</v>
          </cell>
        </row>
        <row r="248">
          <cell r="N248" t="str">
            <v>DOM NDL NDR27</v>
          </cell>
          <cell r="O248" t="str">
            <v>minute</v>
          </cell>
          <cell r="P248" t="str">
            <v>-</v>
          </cell>
          <cell r="Q248">
            <v>0.71040000000000003</v>
          </cell>
          <cell r="R248" t="str">
            <v>-</v>
          </cell>
          <cell r="S248">
            <v>0.71040000000000003</v>
          </cell>
          <cell r="T248" t="str">
            <v>-</v>
          </cell>
          <cell r="U248">
            <v>0.71040000000000003</v>
          </cell>
          <cell r="V248" t="str">
            <v>-</v>
          </cell>
          <cell r="W248">
            <v>0.71040000000000003</v>
          </cell>
          <cell r="X248" t="str">
            <v>-</v>
          </cell>
          <cell r="Y248">
            <v>0.65990000000000004</v>
          </cell>
          <cell r="Z248">
            <v>3.6172578650903078E-2</v>
          </cell>
          <cell r="AA248">
            <v>0.65179642703351137</v>
          </cell>
          <cell r="AD248" t="str">
            <v>-</v>
          </cell>
          <cell r="AE248">
            <v>0.71040000000000003</v>
          </cell>
          <cell r="AF248" t="str">
            <v>-</v>
          </cell>
          <cell r="AG248">
            <v>0.71040000000000003</v>
          </cell>
          <cell r="AH248" t="str">
            <v>-</v>
          </cell>
          <cell r="AI248">
            <v>0.71040000000000003</v>
          </cell>
          <cell r="AJ248" t="str">
            <v>-</v>
          </cell>
          <cell r="AK248">
            <v>0.71040000000000003</v>
          </cell>
          <cell r="AL248" t="str">
            <v>Netherlands Premium Rate 27</v>
          </cell>
        </row>
        <row r="249">
          <cell r="N249" t="str">
            <v>DOM NDL NDR28</v>
          </cell>
          <cell r="O249" t="str">
            <v>call</v>
          </cell>
          <cell r="P249">
            <v>6.3E-2</v>
          </cell>
          <cell r="Q249" t="str">
            <v>-</v>
          </cell>
          <cell r="R249">
            <v>6.3E-2</v>
          </cell>
          <cell r="S249" t="str">
            <v>-</v>
          </cell>
          <cell r="T249">
            <v>6.3E-2</v>
          </cell>
          <cell r="U249" t="str">
            <v>-</v>
          </cell>
          <cell r="V249">
            <v>6.3E-2</v>
          </cell>
          <cell r="W249" t="str">
            <v>-</v>
          </cell>
          <cell r="X249">
            <v>6.3200000000000006E-2</v>
          </cell>
          <cell r="Y249" t="str">
            <v>-</v>
          </cell>
          <cell r="Z249">
            <v>6.0096528230735004E-2</v>
          </cell>
          <cell r="AA249">
            <v>5.4075194704861114E-3</v>
          </cell>
          <cell r="AD249">
            <v>6.3E-2</v>
          </cell>
          <cell r="AE249" t="str">
            <v>-</v>
          </cell>
          <cell r="AF249">
            <v>6.3E-2</v>
          </cell>
          <cell r="AG249" t="str">
            <v>-</v>
          </cell>
          <cell r="AH249">
            <v>6.3E-2</v>
          </cell>
          <cell r="AI249" t="str">
            <v>-</v>
          </cell>
          <cell r="AJ249">
            <v>6.3E-2</v>
          </cell>
          <cell r="AK249" t="str">
            <v>-</v>
          </cell>
          <cell r="AL249" t="str">
            <v>Netherlands Premium Rate 28</v>
          </cell>
        </row>
        <row r="250">
          <cell r="N250" t="str">
            <v>DOM NDL NDR29</v>
          </cell>
          <cell r="O250" t="str">
            <v>call</v>
          </cell>
          <cell r="P250">
            <v>0.18490000000000001</v>
          </cell>
          <cell r="Q250" t="str">
            <v>-</v>
          </cell>
          <cell r="R250">
            <v>0.18490000000000001</v>
          </cell>
          <cell r="S250" t="str">
            <v>-</v>
          </cell>
          <cell r="T250">
            <v>0.18490000000000001</v>
          </cell>
          <cell r="U250" t="str">
            <v>-</v>
          </cell>
          <cell r="V250">
            <v>0.18490000000000001</v>
          </cell>
          <cell r="W250" t="str">
            <v>-</v>
          </cell>
          <cell r="X250">
            <v>0.18410000000000001</v>
          </cell>
          <cell r="Y250" t="str">
            <v>-</v>
          </cell>
          <cell r="Z250">
            <v>0.17724526772653332</v>
          </cell>
          <cell r="AA250">
            <v>5.4075194704861114E-3</v>
          </cell>
          <cell r="AD250">
            <v>0.18490000000000001</v>
          </cell>
          <cell r="AE250" t="str">
            <v>-</v>
          </cell>
          <cell r="AF250">
            <v>0.18490000000000001</v>
          </cell>
          <cell r="AG250" t="str">
            <v>-</v>
          </cell>
          <cell r="AH250">
            <v>0.18490000000000001</v>
          </cell>
          <cell r="AI250" t="str">
            <v>-</v>
          </cell>
          <cell r="AJ250">
            <v>0.18490000000000001</v>
          </cell>
          <cell r="AK250" t="str">
            <v>-</v>
          </cell>
          <cell r="AL250" t="str">
            <v>Netherlands Premium Rate 29</v>
          </cell>
        </row>
        <row r="251">
          <cell r="N251" t="str">
            <v>DOM NDL NDR30</v>
          </cell>
          <cell r="O251" t="str">
            <v>call</v>
          </cell>
          <cell r="P251">
            <v>0.29409999999999997</v>
          </cell>
          <cell r="Q251" t="str">
            <v>-</v>
          </cell>
          <cell r="R251">
            <v>0.29409999999999997</v>
          </cell>
          <cell r="S251" t="str">
            <v>-</v>
          </cell>
          <cell r="T251">
            <v>0.29409999999999997</v>
          </cell>
          <cell r="U251" t="str">
            <v>-</v>
          </cell>
          <cell r="V251">
            <v>0.29409999999999997</v>
          </cell>
          <cell r="W251" t="str">
            <v>-</v>
          </cell>
          <cell r="X251">
            <v>0.28920000000000001</v>
          </cell>
          <cell r="Y251" t="str">
            <v>-</v>
          </cell>
          <cell r="Z251">
            <v>0.28228896520552493</v>
          </cell>
          <cell r="AA251">
            <v>5.4075194704861114E-3</v>
          </cell>
          <cell r="AD251">
            <v>0.29409999999999997</v>
          </cell>
          <cell r="AE251" t="str">
            <v>-</v>
          </cell>
          <cell r="AF251">
            <v>0.29409999999999997</v>
          </cell>
          <cell r="AG251" t="str">
            <v>-</v>
          </cell>
          <cell r="AH251">
            <v>0.29409999999999997</v>
          </cell>
          <cell r="AI251" t="str">
            <v>-</v>
          </cell>
          <cell r="AJ251">
            <v>0.29409999999999997</v>
          </cell>
          <cell r="AK251" t="str">
            <v>-</v>
          </cell>
          <cell r="AL251" t="str">
            <v>Netherlands Premium Rate 30</v>
          </cell>
        </row>
        <row r="252">
          <cell r="N252" t="str">
            <v>DOM NDL NDR31</v>
          </cell>
          <cell r="O252" t="str">
            <v>call</v>
          </cell>
          <cell r="P252">
            <v>0.37819999999999998</v>
          </cell>
          <cell r="Q252" t="str">
            <v>-</v>
          </cell>
          <cell r="R252">
            <v>0.37819999999999998</v>
          </cell>
          <cell r="S252" t="str">
            <v>-</v>
          </cell>
          <cell r="T252">
            <v>0.37819999999999998</v>
          </cell>
          <cell r="U252" t="str">
            <v>-</v>
          </cell>
          <cell r="V252">
            <v>0.37819999999999998</v>
          </cell>
          <cell r="W252" t="str">
            <v>-</v>
          </cell>
          <cell r="X252">
            <v>0.37</v>
          </cell>
          <cell r="Y252" t="str">
            <v>-</v>
          </cell>
          <cell r="Z252">
            <v>0.36308257865090315</v>
          </cell>
          <cell r="AA252">
            <v>5.4075194704861114E-3</v>
          </cell>
          <cell r="AD252">
            <v>0.37819999999999998</v>
          </cell>
          <cell r="AE252" t="str">
            <v>-</v>
          </cell>
          <cell r="AF252">
            <v>0.37819999999999998</v>
          </cell>
          <cell r="AG252" t="str">
            <v>-</v>
          </cell>
          <cell r="AH252">
            <v>0.37819999999999998</v>
          </cell>
          <cell r="AI252" t="str">
            <v>-</v>
          </cell>
          <cell r="AJ252">
            <v>0.37819999999999998</v>
          </cell>
          <cell r="AK252" t="str">
            <v>-</v>
          </cell>
          <cell r="AL252" t="str">
            <v>Netherlands Premium Rate 31</v>
          </cell>
        </row>
        <row r="253">
          <cell r="N253" t="str">
            <v>DOM NDL NDR32</v>
          </cell>
          <cell r="O253" t="str">
            <v>call</v>
          </cell>
          <cell r="P253">
            <v>0.42020000000000002</v>
          </cell>
          <cell r="Q253" t="str">
            <v>-</v>
          </cell>
          <cell r="R253">
            <v>0.42020000000000002</v>
          </cell>
          <cell r="S253" t="str">
            <v>-</v>
          </cell>
          <cell r="T253">
            <v>0.42020000000000002</v>
          </cell>
          <cell r="U253" t="str">
            <v>-</v>
          </cell>
          <cell r="V253">
            <v>0.42020000000000002</v>
          </cell>
          <cell r="W253" t="str">
            <v>-</v>
          </cell>
          <cell r="X253">
            <v>0.41039999999999999</v>
          </cell>
          <cell r="Y253" t="str">
            <v>-</v>
          </cell>
          <cell r="Z253">
            <v>0.40348938537359219</v>
          </cell>
          <cell r="AA253">
            <v>5.4075194704861114E-3</v>
          </cell>
          <cell r="AD253">
            <v>0.42020000000000002</v>
          </cell>
          <cell r="AE253" t="str">
            <v>-</v>
          </cell>
          <cell r="AF253">
            <v>0.42020000000000002</v>
          </cell>
          <cell r="AG253" t="str">
            <v>-</v>
          </cell>
          <cell r="AH253">
            <v>0.42020000000000002</v>
          </cell>
          <cell r="AI253" t="str">
            <v>-</v>
          </cell>
          <cell r="AJ253">
            <v>0.42020000000000002</v>
          </cell>
          <cell r="AK253" t="str">
            <v>-</v>
          </cell>
          <cell r="AL253" t="str">
            <v>Netherlands Premium Rate 32</v>
          </cell>
        </row>
        <row r="254">
          <cell r="N254" t="str">
            <v>DOM NDL NDR33</v>
          </cell>
          <cell r="O254" t="str">
            <v>call</v>
          </cell>
          <cell r="P254">
            <v>0.4622</v>
          </cell>
          <cell r="Q254" t="str">
            <v>-</v>
          </cell>
          <cell r="R254">
            <v>0.4622</v>
          </cell>
          <cell r="S254" t="str">
            <v>-</v>
          </cell>
          <cell r="T254">
            <v>0.4622</v>
          </cell>
          <cell r="U254" t="str">
            <v>-</v>
          </cell>
          <cell r="V254">
            <v>0.4622</v>
          </cell>
          <cell r="W254" t="str">
            <v>-</v>
          </cell>
          <cell r="X254">
            <v>0.45079999999999998</v>
          </cell>
          <cell r="Y254" t="str">
            <v>-</v>
          </cell>
          <cell r="Z254">
            <v>0.44388619209628133</v>
          </cell>
          <cell r="AA254">
            <v>5.4075194704861114E-3</v>
          </cell>
          <cell r="AD254">
            <v>0.4622</v>
          </cell>
          <cell r="AE254" t="str">
            <v>-</v>
          </cell>
          <cell r="AF254">
            <v>0.4622</v>
          </cell>
          <cell r="AG254" t="str">
            <v>-</v>
          </cell>
          <cell r="AH254">
            <v>0.4622</v>
          </cell>
          <cell r="AI254" t="str">
            <v>-</v>
          </cell>
          <cell r="AJ254">
            <v>0.4622</v>
          </cell>
          <cell r="AK254" t="str">
            <v>-</v>
          </cell>
          <cell r="AL254" t="str">
            <v>Netherlands Premium Rate 33</v>
          </cell>
        </row>
        <row r="255">
          <cell r="N255" t="str">
            <v>DOM NDL NDR34</v>
          </cell>
          <cell r="O255" t="str">
            <v>call</v>
          </cell>
          <cell r="P255">
            <v>0.50419999999999998</v>
          </cell>
          <cell r="Q255" t="str">
            <v>-</v>
          </cell>
          <cell r="R255">
            <v>0.50419999999999998</v>
          </cell>
          <cell r="S255" t="str">
            <v>-</v>
          </cell>
          <cell r="T255">
            <v>0.50419999999999998</v>
          </cell>
          <cell r="U255" t="str">
            <v>-</v>
          </cell>
          <cell r="V255">
            <v>0.50419999999999998</v>
          </cell>
          <cell r="W255" t="str">
            <v>-</v>
          </cell>
          <cell r="X255">
            <v>0.49120000000000003</v>
          </cell>
          <cell r="Y255" t="str">
            <v>-</v>
          </cell>
          <cell r="Z255">
            <v>0.4842829988189703</v>
          </cell>
          <cell r="AA255">
            <v>5.4075194704861114E-3</v>
          </cell>
          <cell r="AD255">
            <v>0.50419999999999998</v>
          </cell>
          <cell r="AE255" t="str">
            <v>-</v>
          </cell>
          <cell r="AF255">
            <v>0.50419999999999998</v>
          </cell>
          <cell r="AG255" t="str">
            <v>-</v>
          </cell>
          <cell r="AH255">
            <v>0.50419999999999998</v>
          </cell>
          <cell r="AI255" t="str">
            <v>-</v>
          </cell>
          <cell r="AJ255">
            <v>0.50419999999999998</v>
          </cell>
          <cell r="AK255" t="str">
            <v>-</v>
          </cell>
          <cell r="AL255" t="str">
            <v>Netherlands Premium Rate 34</v>
          </cell>
        </row>
        <row r="256">
          <cell r="N256" t="str">
            <v>DOM NDL NDR35</v>
          </cell>
          <cell r="O256" t="str">
            <v>call</v>
          </cell>
          <cell r="P256">
            <v>0.55459999999999998</v>
          </cell>
          <cell r="Q256" t="str">
            <v>-</v>
          </cell>
          <cell r="R256">
            <v>0.55459999999999998</v>
          </cell>
          <cell r="S256" t="str">
            <v>-</v>
          </cell>
          <cell r="T256">
            <v>0.55459999999999998</v>
          </cell>
          <cell r="U256" t="str">
            <v>-</v>
          </cell>
          <cell r="V256">
            <v>0.55459999999999998</v>
          </cell>
          <cell r="W256" t="str">
            <v>-</v>
          </cell>
          <cell r="X256">
            <v>0.53959999999999997</v>
          </cell>
          <cell r="Y256" t="str">
            <v>-</v>
          </cell>
          <cell r="Z256">
            <v>0.53276316688619718</v>
          </cell>
          <cell r="AA256">
            <v>5.4075194704861114E-3</v>
          </cell>
          <cell r="AD256">
            <v>0.55459999999999998</v>
          </cell>
          <cell r="AE256" t="str">
            <v>-</v>
          </cell>
          <cell r="AF256">
            <v>0.55459999999999998</v>
          </cell>
          <cell r="AG256" t="str">
            <v>-</v>
          </cell>
          <cell r="AH256">
            <v>0.55459999999999998</v>
          </cell>
          <cell r="AI256" t="str">
            <v>-</v>
          </cell>
          <cell r="AJ256">
            <v>0.55459999999999998</v>
          </cell>
          <cell r="AK256" t="str">
            <v>-</v>
          </cell>
          <cell r="AL256" t="str">
            <v>Netherlands Premium Rate 35</v>
          </cell>
        </row>
        <row r="257">
          <cell r="N257" t="str">
            <v>DOM NDL NDR36</v>
          </cell>
          <cell r="O257" t="str">
            <v>call</v>
          </cell>
          <cell r="P257">
            <v>0.58819999999999995</v>
          </cell>
          <cell r="Q257" t="str">
            <v>-</v>
          </cell>
          <cell r="R257">
            <v>0.58819999999999995</v>
          </cell>
          <cell r="S257" t="str">
            <v>-</v>
          </cell>
          <cell r="T257">
            <v>0.58819999999999995</v>
          </cell>
          <cell r="U257" t="str">
            <v>-</v>
          </cell>
          <cell r="V257">
            <v>0.58819999999999995</v>
          </cell>
          <cell r="W257" t="str">
            <v>-</v>
          </cell>
          <cell r="X257">
            <v>0.57199999999999995</v>
          </cell>
          <cell r="Y257" t="str">
            <v>-</v>
          </cell>
          <cell r="Z257">
            <v>0.56508661226434842</v>
          </cell>
          <cell r="AA257">
            <v>5.4075194704861114E-3</v>
          </cell>
          <cell r="AD257">
            <v>0.58819999999999995</v>
          </cell>
          <cell r="AE257" t="str">
            <v>-</v>
          </cell>
          <cell r="AF257">
            <v>0.58819999999999995</v>
          </cell>
          <cell r="AG257" t="str">
            <v>-</v>
          </cell>
          <cell r="AH257">
            <v>0.58819999999999995</v>
          </cell>
          <cell r="AI257" t="str">
            <v>-</v>
          </cell>
          <cell r="AJ257">
            <v>0.58819999999999995</v>
          </cell>
          <cell r="AK257" t="str">
            <v>-</v>
          </cell>
          <cell r="AL257" t="str">
            <v>Netherlands Premium Rate 36</v>
          </cell>
        </row>
        <row r="258">
          <cell r="N258" t="str">
            <v>DOM NDL NDR37</v>
          </cell>
          <cell r="O258" t="str">
            <v>call</v>
          </cell>
          <cell r="P258">
            <v>0.63029999999999997</v>
          </cell>
          <cell r="Q258" t="str">
            <v>-</v>
          </cell>
          <cell r="R258">
            <v>0.63029999999999997</v>
          </cell>
          <cell r="S258" t="str">
            <v>-</v>
          </cell>
          <cell r="T258">
            <v>0.63029999999999997</v>
          </cell>
          <cell r="U258" t="str">
            <v>-</v>
          </cell>
          <cell r="V258">
            <v>0.63029999999999997</v>
          </cell>
          <cell r="W258" t="str">
            <v>-</v>
          </cell>
          <cell r="X258">
            <v>0.61240000000000006</v>
          </cell>
          <cell r="Y258" t="str">
            <v>-</v>
          </cell>
          <cell r="Z258">
            <v>0.6054834189870375</v>
          </cell>
          <cell r="AA258">
            <v>5.4075194704861114E-3</v>
          </cell>
          <cell r="AD258">
            <v>0.63029999999999997</v>
          </cell>
          <cell r="AE258" t="str">
            <v>-</v>
          </cell>
          <cell r="AF258">
            <v>0.63029999999999997</v>
          </cell>
          <cell r="AG258" t="str">
            <v>-</v>
          </cell>
          <cell r="AH258">
            <v>0.63029999999999997</v>
          </cell>
          <cell r="AI258" t="str">
            <v>-</v>
          </cell>
          <cell r="AJ258">
            <v>0.63029999999999997</v>
          </cell>
          <cell r="AK258" t="str">
            <v>-</v>
          </cell>
          <cell r="AL258" t="str">
            <v>Netherlands Premium Rate 37</v>
          </cell>
        </row>
        <row r="259">
          <cell r="N259" t="str">
            <v>DOM NDL NDR38</v>
          </cell>
          <cell r="O259" t="str">
            <v>call</v>
          </cell>
          <cell r="P259">
            <v>0.67230000000000001</v>
          </cell>
          <cell r="Q259" t="str">
            <v>-</v>
          </cell>
          <cell r="R259">
            <v>0.67230000000000001</v>
          </cell>
          <cell r="S259" t="str">
            <v>-</v>
          </cell>
          <cell r="T259">
            <v>0.67230000000000001</v>
          </cell>
          <cell r="U259" t="str">
            <v>-</v>
          </cell>
          <cell r="V259">
            <v>0.67230000000000001</v>
          </cell>
          <cell r="W259" t="str">
            <v>-</v>
          </cell>
          <cell r="X259">
            <v>0.65280000000000005</v>
          </cell>
          <cell r="Y259" t="str">
            <v>-</v>
          </cell>
          <cell r="Z259">
            <v>0.64588022570972659</v>
          </cell>
          <cell r="AA259">
            <v>5.4075194704861114E-3</v>
          </cell>
          <cell r="AD259">
            <v>0.67230000000000001</v>
          </cell>
          <cell r="AE259" t="str">
            <v>-</v>
          </cell>
          <cell r="AF259">
            <v>0.67230000000000001</v>
          </cell>
          <cell r="AG259" t="str">
            <v>-</v>
          </cell>
          <cell r="AH259">
            <v>0.67230000000000001</v>
          </cell>
          <cell r="AI259" t="str">
            <v>-</v>
          </cell>
          <cell r="AJ259">
            <v>0.67230000000000001</v>
          </cell>
          <cell r="AK259" t="str">
            <v>-</v>
          </cell>
          <cell r="AL259" t="str">
            <v>Netherlands Premium Rate 38</v>
          </cell>
        </row>
        <row r="260">
          <cell r="N260" t="str">
            <v>DOM NDL NDR39</v>
          </cell>
          <cell r="O260" t="str">
            <v>call</v>
          </cell>
          <cell r="P260">
            <v>0.75629999999999997</v>
          </cell>
          <cell r="Q260" t="str">
            <v>-</v>
          </cell>
          <cell r="R260">
            <v>0.75629999999999997</v>
          </cell>
          <cell r="S260" t="str">
            <v>-</v>
          </cell>
          <cell r="T260">
            <v>0.75629999999999997</v>
          </cell>
          <cell r="U260" t="str">
            <v>-</v>
          </cell>
          <cell r="V260">
            <v>0.75629999999999997</v>
          </cell>
          <cell r="W260" t="str">
            <v>-</v>
          </cell>
          <cell r="X260">
            <v>0.73360000000000003</v>
          </cell>
          <cell r="Y260" t="str">
            <v>-</v>
          </cell>
          <cell r="Z260">
            <v>0.72667383915510475</v>
          </cell>
          <cell r="AA260">
            <v>5.4075194704861114E-3</v>
          </cell>
          <cell r="AD260">
            <v>0.75629999999999997</v>
          </cell>
          <cell r="AE260" t="str">
            <v>-</v>
          </cell>
          <cell r="AF260">
            <v>0.75629999999999997</v>
          </cell>
          <cell r="AG260" t="str">
            <v>-</v>
          </cell>
          <cell r="AH260">
            <v>0.75629999999999997</v>
          </cell>
          <cell r="AI260" t="str">
            <v>-</v>
          </cell>
          <cell r="AJ260">
            <v>0.75629999999999997</v>
          </cell>
          <cell r="AK260" t="str">
            <v>-</v>
          </cell>
          <cell r="AL260" t="str">
            <v>Netherlands Premium Rate 39</v>
          </cell>
        </row>
        <row r="261">
          <cell r="N261" t="str">
            <v>DOM NDL NDR40</v>
          </cell>
          <cell r="O261" t="str">
            <v>call</v>
          </cell>
          <cell r="P261">
            <v>0.77310000000000001</v>
          </cell>
          <cell r="Q261" t="str">
            <v>-</v>
          </cell>
          <cell r="R261">
            <v>0.77310000000000001</v>
          </cell>
          <cell r="S261" t="str">
            <v>-</v>
          </cell>
          <cell r="T261">
            <v>0.77310000000000001</v>
          </cell>
          <cell r="U261" t="str">
            <v>-</v>
          </cell>
          <cell r="V261">
            <v>0.77310000000000001</v>
          </cell>
          <cell r="W261" t="str">
            <v>-</v>
          </cell>
          <cell r="X261">
            <v>0.74970000000000003</v>
          </cell>
          <cell r="Y261" t="str">
            <v>-</v>
          </cell>
          <cell r="Z261">
            <v>0.74284056184418035</v>
          </cell>
          <cell r="AA261">
            <v>5.4075194704861114E-3</v>
          </cell>
          <cell r="AD261">
            <v>0.77310000000000001</v>
          </cell>
          <cell r="AE261" t="str">
            <v>-</v>
          </cell>
          <cell r="AF261">
            <v>0.77310000000000001</v>
          </cell>
          <cell r="AG261" t="str">
            <v>-</v>
          </cell>
          <cell r="AH261">
            <v>0.77310000000000001</v>
          </cell>
          <cell r="AI261" t="str">
            <v>-</v>
          </cell>
          <cell r="AJ261">
            <v>0.77310000000000001</v>
          </cell>
          <cell r="AK261" t="str">
            <v>-</v>
          </cell>
          <cell r="AL261" t="str">
            <v>Netherlands Premium Rate 40</v>
          </cell>
        </row>
        <row r="262">
          <cell r="N262" t="str">
            <v>DOM NDL NDR41</v>
          </cell>
          <cell r="O262" t="str">
            <v>call</v>
          </cell>
          <cell r="P262">
            <v>0.83189999999999997</v>
          </cell>
          <cell r="Q262" t="str">
            <v>-</v>
          </cell>
          <cell r="R262">
            <v>0.83189999999999997</v>
          </cell>
          <cell r="S262" t="str">
            <v>-</v>
          </cell>
          <cell r="T262">
            <v>0.83189999999999997</v>
          </cell>
          <cell r="U262" t="str">
            <v>-</v>
          </cell>
          <cell r="V262">
            <v>0.83189999999999997</v>
          </cell>
          <cell r="W262" t="str">
            <v>-</v>
          </cell>
          <cell r="X262">
            <v>0.80630000000000002</v>
          </cell>
          <cell r="Y262" t="str">
            <v>-</v>
          </cell>
          <cell r="Z262">
            <v>0.79939409125594507</v>
          </cell>
          <cell r="AA262">
            <v>5.4075194704861114E-3</v>
          </cell>
          <cell r="AD262">
            <v>0.83189999999999997</v>
          </cell>
          <cell r="AE262" t="str">
            <v>-</v>
          </cell>
          <cell r="AF262">
            <v>0.83189999999999997</v>
          </cell>
          <cell r="AG262" t="str">
            <v>-</v>
          </cell>
          <cell r="AH262">
            <v>0.83189999999999997</v>
          </cell>
          <cell r="AI262" t="str">
            <v>-</v>
          </cell>
          <cell r="AJ262">
            <v>0.83189999999999997</v>
          </cell>
          <cell r="AK262" t="str">
            <v>-</v>
          </cell>
          <cell r="AL262" t="str">
            <v>Netherlands Premium Rate 41</v>
          </cell>
        </row>
        <row r="263">
          <cell r="N263" t="str">
            <v>DOM NDL NDR42</v>
          </cell>
          <cell r="O263" t="str">
            <v>call</v>
          </cell>
          <cell r="P263">
            <v>0.84030000000000005</v>
          </cell>
          <cell r="Q263" t="str">
            <v>-</v>
          </cell>
          <cell r="R263">
            <v>0.84030000000000005</v>
          </cell>
          <cell r="S263" t="str">
            <v>-</v>
          </cell>
          <cell r="T263">
            <v>0.84030000000000005</v>
          </cell>
          <cell r="U263" t="str">
            <v>-</v>
          </cell>
          <cell r="V263">
            <v>0.84030000000000005</v>
          </cell>
          <cell r="W263" t="str">
            <v>-</v>
          </cell>
          <cell r="X263">
            <v>0.81440000000000001</v>
          </cell>
          <cell r="Y263" t="str">
            <v>-</v>
          </cell>
          <cell r="Z263">
            <v>0.80747745260048287</v>
          </cell>
          <cell r="AA263">
            <v>5.4075194704861114E-3</v>
          </cell>
          <cell r="AD263">
            <v>0.84030000000000005</v>
          </cell>
          <cell r="AE263" t="str">
            <v>-</v>
          </cell>
          <cell r="AF263">
            <v>0.84030000000000005</v>
          </cell>
          <cell r="AG263" t="str">
            <v>-</v>
          </cell>
          <cell r="AH263">
            <v>0.84030000000000005</v>
          </cell>
          <cell r="AI263" t="str">
            <v>-</v>
          </cell>
          <cell r="AJ263">
            <v>0.84030000000000005</v>
          </cell>
          <cell r="AK263" t="str">
            <v>-</v>
          </cell>
          <cell r="AL263" t="str">
            <v>Netherlands Premium Rate 42</v>
          </cell>
        </row>
        <row r="264">
          <cell r="N264" t="str">
            <v>DOM NDL NDR43</v>
          </cell>
          <cell r="O264" t="str">
            <v>call</v>
          </cell>
          <cell r="P264">
            <v>0.91600000000000004</v>
          </cell>
          <cell r="Q264" t="str">
            <v>-</v>
          </cell>
          <cell r="R264">
            <v>0.91600000000000004</v>
          </cell>
          <cell r="S264" t="str">
            <v>-</v>
          </cell>
          <cell r="T264">
            <v>0.91600000000000004</v>
          </cell>
          <cell r="U264" t="str">
            <v>-</v>
          </cell>
          <cell r="V264">
            <v>0.91600000000000004</v>
          </cell>
          <cell r="W264" t="str">
            <v>-</v>
          </cell>
          <cell r="X264">
            <v>0.8871</v>
          </cell>
          <cell r="Y264" t="str">
            <v>-</v>
          </cell>
          <cell r="Z264">
            <v>0.8801977047013233</v>
          </cell>
          <cell r="AA264">
            <v>5.4075194704861114E-3</v>
          </cell>
          <cell r="AD264">
            <v>0.91600000000000004</v>
          </cell>
          <cell r="AE264" t="str">
            <v>-</v>
          </cell>
          <cell r="AF264">
            <v>0.91600000000000004</v>
          </cell>
          <cell r="AG264" t="str">
            <v>-</v>
          </cell>
          <cell r="AH264">
            <v>0.91600000000000004</v>
          </cell>
          <cell r="AI264" t="str">
            <v>-</v>
          </cell>
          <cell r="AJ264">
            <v>0.91600000000000004</v>
          </cell>
          <cell r="AK264" t="str">
            <v>-</v>
          </cell>
          <cell r="AL264" t="str">
            <v>Netherlands Premium Rate 43</v>
          </cell>
        </row>
        <row r="265">
          <cell r="N265" t="str">
            <v>DOM NDL NDR44</v>
          </cell>
          <cell r="O265" t="str">
            <v>call</v>
          </cell>
          <cell r="P265">
            <v>0.96640000000000004</v>
          </cell>
          <cell r="Q265" t="str">
            <v>-</v>
          </cell>
          <cell r="R265">
            <v>0.96640000000000004</v>
          </cell>
          <cell r="S265" t="str">
            <v>-</v>
          </cell>
          <cell r="T265">
            <v>0.96640000000000004</v>
          </cell>
          <cell r="U265" t="str">
            <v>-</v>
          </cell>
          <cell r="V265">
            <v>0.96640000000000004</v>
          </cell>
          <cell r="W265" t="str">
            <v>-</v>
          </cell>
          <cell r="X265">
            <v>0.93559999999999999</v>
          </cell>
          <cell r="Y265" t="str">
            <v>-</v>
          </cell>
          <cell r="Z265">
            <v>0.92867787276855007</v>
          </cell>
          <cell r="AA265">
            <v>5.4075194704861114E-3</v>
          </cell>
          <cell r="AD265">
            <v>0.96640000000000004</v>
          </cell>
          <cell r="AE265" t="str">
            <v>-</v>
          </cell>
          <cell r="AF265">
            <v>0.96640000000000004</v>
          </cell>
          <cell r="AG265" t="str">
            <v>-</v>
          </cell>
          <cell r="AH265">
            <v>0.96640000000000004</v>
          </cell>
          <cell r="AI265" t="str">
            <v>-</v>
          </cell>
          <cell r="AJ265">
            <v>0.96640000000000004</v>
          </cell>
          <cell r="AK265" t="str">
            <v>-</v>
          </cell>
          <cell r="AL265" t="str">
            <v>Netherlands Premium Rate 44</v>
          </cell>
        </row>
        <row r="266">
          <cell r="N266" t="str">
            <v>DOM NDL NDR45</v>
          </cell>
          <cell r="O266" t="str">
            <v>call</v>
          </cell>
          <cell r="P266">
            <v>1.0084</v>
          </cell>
          <cell r="Q266" t="str">
            <v>-</v>
          </cell>
          <cell r="R266">
            <v>1.0084</v>
          </cell>
          <cell r="S266" t="str">
            <v>-</v>
          </cell>
          <cell r="T266">
            <v>1.0084</v>
          </cell>
          <cell r="U266" t="str">
            <v>-</v>
          </cell>
          <cell r="V266">
            <v>1.0084</v>
          </cell>
          <cell r="W266" t="str">
            <v>-</v>
          </cell>
          <cell r="X266">
            <v>0.97599999999999998</v>
          </cell>
          <cell r="Y266" t="str">
            <v>-</v>
          </cell>
          <cell r="Z266">
            <v>0.96907467949123915</v>
          </cell>
          <cell r="AA266">
            <v>5.4075194704861114E-3</v>
          </cell>
          <cell r="AD266">
            <v>1.0084</v>
          </cell>
          <cell r="AE266" t="str">
            <v>-</v>
          </cell>
          <cell r="AF266">
            <v>1.0084</v>
          </cell>
          <cell r="AG266" t="str">
            <v>-</v>
          </cell>
          <cell r="AH266">
            <v>1.0084</v>
          </cell>
          <cell r="AI266" t="str">
            <v>-</v>
          </cell>
          <cell r="AJ266">
            <v>1.0084</v>
          </cell>
          <cell r="AK266" t="str">
            <v>-</v>
          </cell>
          <cell r="AL266" t="str">
            <v>Netherlands Premium Rate 45</v>
          </cell>
        </row>
        <row r="267">
          <cell r="N267" t="str">
            <v>DOM NDL NDR46</v>
          </cell>
          <cell r="O267" t="str">
            <v>call</v>
          </cell>
          <cell r="P267">
            <v>1.0924</v>
          </cell>
          <cell r="Q267" t="str">
            <v>-</v>
          </cell>
          <cell r="R267">
            <v>1.0924</v>
          </cell>
          <cell r="S267" t="str">
            <v>-</v>
          </cell>
          <cell r="T267">
            <v>1.0924</v>
          </cell>
          <cell r="U267" t="str">
            <v>-</v>
          </cell>
          <cell r="V267">
            <v>1.0924</v>
          </cell>
          <cell r="W267" t="str">
            <v>-</v>
          </cell>
          <cell r="X267">
            <v>1.0568</v>
          </cell>
          <cell r="Y267" t="str">
            <v>-</v>
          </cell>
          <cell r="Z267">
            <v>-4.2568681853298609E-2</v>
          </cell>
          <cell r="AA267">
            <v>5.4075194704861114E-3</v>
          </cell>
          <cell r="AD267">
            <v>1.0924</v>
          </cell>
          <cell r="AE267" t="str">
            <v>-</v>
          </cell>
          <cell r="AF267">
            <v>1.0924</v>
          </cell>
          <cell r="AG267" t="str">
            <v>-</v>
          </cell>
          <cell r="AH267">
            <v>1.0924</v>
          </cell>
          <cell r="AI267" t="str">
            <v>-</v>
          </cell>
          <cell r="AJ267">
            <v>1.0924</v>
          </cell>
          <cell r="AK267" t="str">
            <v>-</v>
          </cell>
          <cell r="AL267" t="str">
            <v>Netherlands Premium Rate 46</v>
          </cell>
        </row>
        <row r="268">
          <cell r="N268" t="str">
            <v>DOM SWE SWMO</v>
          </cell>
          <cell r="O268" t="str">
            <v>minute</v>
          </cell>
          <cell r="P268" t="str">
            <v>-</v>
          </cell>
          <cell r="Q268">
            <v>5.3600000000000002E-2</v>
          </cell>
          <cell r="R268" t="str">
            <v>-</v>
          </cell>
          <cell r="S268">
            <v>5.1999999999999998E-2</v>
          </cell>
          <cell r="T268" t="str">
            <v>-</v>
          </cell>
          <cell r="U268">
            <v>4.9799999999999997E-2</v>
          </cell>
          <cell r="V268" t="str">
            <v>-</v>
          </cell>
          <cell r="W268">
            <v>4.82E-2</v>
          </cell>
          <cell r="X268" t="str">
            <v>-</v>
          </cell>
          <cell r="Y268">
            <v>3.4700000000000002E-2</v>
          </cell>
          <cell r="Z268" t="str">
            <v/>
          </cell>
          <cell r="AA268">
            <v>3.212918615820741E-2</v>
          </cell>
          <cell r="AE268">
            <v>5.4619616468952595E-2</v>
          </cell>
          <cell r="AG268">
            <v>5.2477670725072104E-2</v>
          </cell>
          <cell r="AI268">
            <v>5.0335724981191612E-2</v>
          </cell>
          <cell r="AK268">
            <v>4.8193779237311114E-2</v>
          </cell>
          <cell r="AL268" t="str">
            <v>Sweden Mobile</v>
          </cell>
        </row>
        <row r="269">
          <cell r="N269" t="str">
            <v>DOM SWE SWMO</v>
          </cell>
          <cell r="O269" t="str">
            <v>minute</v>
          </cell>
          <cell r="P269" t="str">
            <v>-</v>
          </cell>
          <cell r="Q269">
            <v>5.3600000000000002E-2</v>
          </cell>
          <cell r="R269" t="str">
            <v>-</v>
          </cell>
          <cell r="S269">
            <v>5.1999999999999998E-2</v>
          </cell>
          <cell r="T269" t="str">
            <v>-</v>
          </cell>
          <cell r="U269">
            <v>4.9799999999999997E-2</v>
          </cell>
          <cell r="V269" t="str">
            <v>-</v>
          </cell>
          <cell r="W269">
            <v>4.82E-2</v>
          </cell>
          <cell r="X269" t="str">
            <v>-</v>
          </cell>
          <cell r="Y269">
            <v>3.4500000000000003E-2</v>
          </cell>
          <cell r="Z269" t="str">
            <v/>
          </cell>
          <cell r="AA269">
            <v>3.212918615820741E-2</v>
          </cell>
          <cell r="AE269">
            <v>5.4619616468952595E-2</v>
          </cell>
          <cell r="AG269">
            <v>5.2477670725072104E-2</v>
          </cell>
          <cell r="AI269">
            <v>5.0335724981191612E-2</v>
          </cell>
          <cell r="AK269">
            <v>4.8193779237311114E-2</v>
          </cell>
          <cell r="AL269" t="str">
            <v>Sweden Mobile</v>
          </cell>
        </row>
        <row r="270">
          <cell r="N270" t="str">
            <v>DOM SWE SWMO</v>
          </cell>
          <cell r="O270" t="str">
            <v>minute</v>
          </cell>
          <cell r="P270" t="str">
            <v>-</v>
          </cell>
          <cell r="Q270">
            <v>5.3600000000000002E-2</v>
          </cell>
          <cell r="R270" t="str">
            <v>-</v>
          </cell>
          <cell r="S270">
            <v>5.1999999999999998E-2</v>
          </cell>
          <cell r="T270" t="str">
            <v>-</v>
          </cell>
          <cell r="U270">
            <v>4.9799999999999997E-2</v>
          </cell>
          <cell r="V270" t="str">
            <v>-</v>
          </cell>
          <cell r="W270">
            <v>4.82E-2</v>
          </cell>
          <cell r="X270" t="str">
            <v>-</v>
          </cell>
          <cell r="Y270">
            <v>3.4099999999999998E-2</v>
          </cell>
          <cell r="Z270" t="str">
            <v/>
          </cell>
          <cell r="AA270">
            <v>3.212918615820741E-2</v>
          </cell>
          <cell r="AE270">
            <v>5.4619616468952595E-2</v>
          </cell>
          <cell r="AG270">
            <v>5.2477670725072104E-2</v>
          </cell>
          <cell r="AI270">
            <v>5.0335724981191612E-2</v>
          </cell>
          <cell r="AK270">
            <v>4.8193779237311114E-2</v>
          </cell>
          <cell r="AL270" t="str">
            <v>Sweden Mobile</v>
          </cell>
        </row>
        <row r="271">
          <cell r="N271" t="str">
            <v>DOM SWE SWMO</v>
          </cell>
          <cell r="O271" t="str">
            <v>minute</v>
          </cell>
          <cell r="P271" t="str">
            <v>-</v>
          </cell>
          <cell r="Q271">
            <v>5.3600000000000002E-2</v>
          </cell>
          <cell r="R271" t="str">
            <v>-</v>
          </cell>
          <cell r="S271">
            <v>5.1999999999999998E-2</v>
          </cell>
          <cell r="T271" t="str">
            <v>-</v>
          </cell>
          <cell r="U271">
            <v>4.9799999999999997E-2</v>
          </cell>
          <cell r="V271" t="str">
            <v>-</v>
          </cell>
          <cell r="W271">
            <v>4.82E-2</v>
          </cell>
          <cell r="X271" t="str">
            <v>-</v>
          </cell>
          <cell r="Y271">
            <v>3.4700000000000002E-2</v>
          </cell>
          <cell r="Z271" t="str">
            <v/>
          </cell>
          <cell r="AA271">
            <v>3.212918615820741E-2</v>
          </cell>
          <cell r="AE271">
            <v>5.4619616468952595E-2</v>
          </cell>
          <cell r="AG271">
            <v>5.2477670725072104E-2</v>
          </cell>
          <cell r="AI271">
            <v>5.0335724981191612E-2</v>
          </cell>
          <cell r="AK271">
            <v>4.8193779237311114E-2</v>
          </cell>
          <cell r="AL271" t="str">
            <v>Sweden Mobile</v>
          </cell>
        </row>
        <row r="272">
          <cell r="N272" t="str">
            <v>DOM SWE SWMO</v>
          </cell>
          <cell r="O272" t="str">
            <v>minute</v>
          </cell>
          <cell r="P272" t="str">
            <v>-</v>
          </cell>
          <cell r="Q272">
            <v>5.3600000000000002E-2</v>
          </cell>
          <cell r="R272" t="str">
            <v>-</v>
          </cell>
          <cell r="S272">
            <v>5.1999999999999998E-2</v>
          </cell>
          <cell r="T272" t="str">
            <v>-</v>
          </cell>
          <cell r="U272">
            <v>4.9799999999999997E-2</v>
          </cell>
          <cell r="V272" t="str">
            <v>-</v>
          </cell>
          <cell r="W272">
            <v>4.82E-2</v>
          </cell>
          <cell r="X272" t="str">
            <v>-</v>
          </cell>
          <cell r="Y272">
            <v>3.5499999999999997E-2</v>
          </cell>
          <cell r="Z272" t="str">
            <v/>
          </cell>
          <cell r="AA272">
            <v>3.212918615820741E-2</v>
          </cell>
          <cell r="AE272">
            <v>5.4619616468952595E-2</v>
          </cell>
          <cell r="AG272">
            <v>5.2477670725072104E-2</v>
          </cell>
          <cell r="AI272">
            <v>5.0335724981191612E-2</v>
          </cell>
          <cell r="AK272">
            <v>4.8193779237311114E-2</v>
          </cell>
          <cell r="AL272" t="str">
            <v>Sweden Mobile</v>
          </cell>
        </row>
        <row r="273">
          <cell r="N273" t="str">
            <v>DOM SWE AREA1</v>
          </cell>
          <cell r="O273" t="str">
            <v>minute</v>
          </cell>
          <cell r="P273" t="str">
            <v>-</v>
          </cell>
          <cell r="Q273">
            <v>1.03E-2</v>
          </cell>
          <cell r="R273" t="str">
            <v>-</v>
          </cell>
          <cell r="S273">
            <v>0.01</v>
          </cell>
          <cell r="T273" t="str">
            <v>-</v>
          </cell>
          <cell r="U273">
            <v>9.5999999999999992E-3</v>
          </cell>
          <cell r="V273" t="str">
            <v>-</v>
          </cell>
          <cell r="W273">
            <v>9.2999999999999992E-3</v>
          </cell>
          <cell r="X273" t="str">
            <v>-</v>
          </cell>
          <cell r="Y273">
            <v>8.6999999999999994E-3</v>
          </cell>
          <cell r="Z273" t="str">
            <v/>
          </cell>
          <cell r="AA273">
            <v>6.72523642750723E-3</v>
          </cell>
          <cell r="AE273">
            <v>1.0760378284011569E-2</v>
          </cell>
          <cell r="AG273">
            <v>1.031202918884442E-2</v>
          </cell>
          <cell r="AI273">
            <v>9.8636800936772705E-3</v>
          </cell>
          <cell r="AK273">
            <v>9.4153309985101213E-3</v>
          </cell>
          <cell r="AL273" t="str">
            <v xml:space="preserve">Sweden National               </v>
          </cell>
        </row>
        <row r="274">
          <cell r="N274" t="str">
            <v>DOM SWE PAGER</v>
          </cell>
          <cell r="O274" t="str">
            <v>call</v>
          </cell>
          <cell r="P274" t="str">
            <v>-</v>
          </cell>
          <cell r="Q274">
            <v>0.45650000000000002</v>
          </cell>
          <cell r="R274" t="str">
            <v>-</v>
          </cell>
          <cell r="S274">
            <v>0.45650000000000002</v>
          </cell>
          <cell r="T274" t="str">
            <v>-</v>
          </cell>
          <cell r="U274">
            <v>0.45650000000000002</v>
          </cell>
          <cell r="V274" t="str">
            <v>-</v>
          </cell>
          <cell r="W274">
            <v>0.45650000000000002</v>
          </cell>
          <cell r="X274" t="str">
            <v>-</v>
          </cell>
          <cell r="Y274">
            <v>0.47370000000000001</v>
          </cell>
          <cell r="Z274">
            <v>2.2545078068499556</v>
          </cell>
          <cell r="AA274" t="str">
            <v/>
          </cell>
          <cell r="AD274">
            <v>0.45650000000000002</v>
          </cell>
          <cell r="AF274">
            <v>0.45650000000000002</v>
          </cell>
          <cell r="AH274">
            <v>0.45650000000000002</v>
          </cell>
          <cell r="AJ274">
            <v>0.45650000000000002</v>
          </cell>
          <cell r="AL274" t="str">
            <v>Sweden Paging Band 1</v>
          </cell>
        </row>
        <row r="275">
          <cell r="N275" t="str">
            <v>DOM SWE PAGR2</v>
          </cell>
          <cell r="O275" t="str">
            <v>minute</v>
          </cell>
          <cell r="P275" t="e">
            <v>#N/A</v>
          </cell>
          <cell r="Q275" t="e">
            <v>#N/A</v>
          </cell>
          <cell r="R275" t="e">
            <v>#N/A</v>
          </cell>
          <cell r="S275" t="e">
            <v>#N/A</v>
          </cell>
          <cell r="T275" t="e">
            <v>#N/A</v>
          </cell>
          <cell r="U275" t="e">
            <v>#N/A</v>
          </cell>
          <cell r="V275" t="e">
            <v>#N/A</v>
          </cell>
          <cell r="W275" t="e">
            <v>#N/A</v>
          </cell>
          <cell r="X275" t="e">
            <v>#N/A</v>
          </cell>
          <cell r="Y275" t="e">
            <v>#N/A</v>
          </cell>
          <cell r="Z275">
            <v>0</v>
          </cell>
          <cell r="AA275">
            <v>0.36202146623002068</v>
          </cell>
          <cell r="AE275">
            <v>0.543032199345031</v>
          </cell>
          <cell r="AG275">
            <v>0.543032199345031</v>
          </cell>
          <cell r="AI275">
            <v>0.543032199345031</v>
          </cell>
          <cell r="AK275">
            <v>0.543032199345031</v>
          </cell>
          <cell r="AL275" t="str">
            <v>Sweden Paging Band 2</v>
          </cell>
        </row>
        <row r="276">
          <cell r="N276" t="str">
            <v>DOM SWE PAGR3</v>
          </cell>
          <cell r="O276" t="str">
            <v>minute</v>
          </cell>
          <cell r="P276" t="e">
            <v>#N/A</v>
          </cell>
          <cell r="Q276" t="e">
            <v>#N/A</v>
          </cell>
          <cell r="R276" t="e">
            <v>#N/A</v>
          </cell>
          <cell r="S276" t="e">
            <v>#N/A</v>
          </cell>
          <cell r="T276" t="e">
            <v>#N/A</v>
          </cell>
          <cell r="U276" t="e">
            <v>#N/A</v>
          </cell>
          <cell r="V276" t="e">
            <v>#N/A</v>
          </cell>
          <cell r="W276" t="e">
            <v>#N/A</v>
          </cell>
          <cell r="X276" t="e">
            <v>#N/A</v>
          </cell>
          <cell r="Y276" t="e">
            <v>#N/A</v>
          </cell>
          <cell r="Z276">
            <v>0</v>
          </cell>
          <cell r="AA276">
            <v>1.0352710173969863</v>
          </cell>
          <cell r="AE276">
            <v>1.5529065260954795</v>
          </cell>
          <cell r="AG276">
            <v>1.5529065260954797</v>
          </cell>
          <cell r="AI276">
            <v>1.5529065260954797</v>
          </cell>
          <cell r="AK276">
            <v>1.5529065260954795</v>
          </cell>
          <cell r="AL276" t="str">
            <v>Sweden Paging Band 3</v>
          </cell>
        </row>
        <row r="277">
          <cell r="N277" t="str">
            <v>DOM SWE SWPSN</v>
          </cell>
          <cell r="O277" t="str">
            <v>minute</v>
          </cell>
          <cell r="P277" t="str">
            <v>-</v>
          </cell>
          <cell r="Q277">
            <v>1.67E-2</v>
          </cell>
          <cell r="R277" t="str">
            <v>-</v>
          </cell>
          <cell r="S277">
            <v>1.67E-2</v>
          </cell>
          <cell r="T277" t="str">
            <v>-</v>
          </cell>
          <cell r="U277">
            <v>1.67E-2</v>
          </cell>
          <cell r="V277" t="str">
            <v>-</v>
          </cell>
          <cell r="W277">
            <v>1.67E-2</v>
          </cell>
          <cell r="X277" t="str">
            <v>-</v>
          </cell>
          <cell r="Y277">
            <v>1.26E-2</v>
          </cell>
          <cell r="Z277" t="str">
            <v/>
          </cell>
          <cell r="AA277">
            <v>6.72523642750723E-3</v>
          </cell>
          <cell r="AE277">
            <v>1.67E-2</v>
          </cell>
          <cell r="AG277">
            <v>1.67E-2</v>
          </cell>
          <cell r="AI277">
            <v>1.67E-2</v>
          </cell>
          <cell r="AK277">
            <v>1.67E-2</v>
          </cell>
          <cell r="AL277" t="str">
            <v xml:space="preserve">Sweden Personal               </v>
          </cell>
        </row>
        <row r="278">
          <cell r="N278" t="str">
            <v>DOM SWE SWPRM</v>
          </cell>
          <cell r="O278" t="str">
            <v>minute</v>
          </cell>
          <cell r="P278" t="str">
            <v>-</v>
          </cell>
          <cell r="Q278">
            <v>13.4544</v>
          </cell>
          <cell r="R278" t="str">
            <v>-</v>
          </cell>
          <cell r="S278">
            <v>13.4544</v>
          </cell>
          <cell r="T278" t="str">
            <v>-</v>
          </cell>
          <cell r="U278">
            <v>13.4544</v>
          </cell>
          <cell r="V278" t="str">
            <v>-</v>
          </cell>
          <cell r="W278">
            <v>13.4544</v>
          </cell>
          <cell r="X278" t="str">
            <v>-</v>
          </cell>
          <cell r="Y278">
            <v>22.5364</v>
          </cell>
          <cell r="Z278" t="str">
            <v/>
          </cell>
          <cell r="AA278">
            <v>25.810854500341328</v>
          </cell>
          <cell r="AE278">
            <v>38.716281750511996</v>
          </cell>
          <cell r="AG278">
            <v>38.716281750511996</v>
          </cell>
          <cell r="AI278">
            <v>38.716281750511996</v>
          </cell>
          <cell r="AK278">
            <v>38.716281750511996</v>
          </cell>
          <cell r="AL278" t="str">
            <v xml:space="preserve">Sweden Premium Rate           </v>
          </cell>
        </row>
        <row r="279">
          <cell r="N279" t="str">
            <v>DOM SWE SCN</v>
          </cell>
          <cell r="O279" t="str">
            <v>minute</v>
          </cell>
          <cell r="P279" t="str">
            <v>-</v>
          </cell>
          <cell r="Q279">
            <v>3.3300000000000003E-2</v>
          </cell>
          <cell r="R279" t="str">
            <v>-</v>
          </cell>
          <cell r="S279">
            <v>3.3300000000000003E-2</v>
          </cell>
          <cell r="T279" t="str">
            <v>-</v>
          </cell>
          <cell r="U279">
            <v>3.3300000000000003E-2</v>
          </cell>
          <cell r="V279" t="str">
            <v>-</v>
          </cell>
          <cell r="W279">
            <v>3.3300000000000003E-2</v>
          </cell>
          <cell r="X279" t="str">
            <v>-</v>
          </cell>
          <cell r="Y279">
            <v>2.3E-2</v>
          </cell>
          <cell r="Z279" t="str">
            <v/>
          </cell>
          <cell r="AA279">
            <v>6.4895990845987928E-3</v>
          </cell>
          <cell r="AE279">
            <v>3.3300000000000003E-2</v>
          </cell>
          <cell r="AG279">
            <v>3.3300000000000003E-2</v>
          </cell>
          <cell r="AI279">
            <v>3.3300000000000003E-2</v>
          </cell>
          <cell r="AK279">
            <v>3.3300000000000003E-2</v>
          </cell>
          <cell r="AL279" t="str">
            <v xml:space="preserve">Sweden Shared Cost            </v>
          </cell>
        </row>
        <row r="280">
          <cell r="N280" t="str">
            <v>DOM SWE SWTLM</v>
          </cell>
          <cell r="O280" t="str">
            <v>minute</v>
          </cell>
          <cell r="P280" t="str">
            <v>-</v>
          </cell>
          <cell r="Q280">
            <v>7.6100000000000001E-2</v>
          </cell>
          <cell r="R280" t="str">
            <v>-</v>
          </cell>
          <cell r="S280">
            <v>7.6100000000000001E-2</v>
          </cell>
          <cell r="T280" t="str">
            <v>-</v>
          </cell>
          <cell r="U280">
            <v>7.6100000000000001E-2</v>
          </cell>
          <cell r="V280" t="str">
            <v>-</v>
          </cell>
          <cell r="W280">
            <v>7.6100000000000001E-2</v>
          </cell>
          <cell r="X280" t="str">
            <v>-</v>
          </cell>
          <cell r="Y280">
            <v>6.5199999999999994E-2</v>
          </cell>
          <cell r="Z280" t="str">
            <v/>
          </cell>
          <cell r="AA280">
            <v>5.87245366269574E-3</v>
          </cell>
          <cell r="AE280">
            <v>7.6100000000000001E-2</v>
          </cell>
          <cell r="AG280">
            <v>7.6100000000000001E-2</v>
          </cell>
          <cell r="AI280">
            <v>7.6100000000000001E-2</v>
          </cell>
          <cell r="AK280">
            <v>7.6100000000000001E-2</v>
          </cell>
          <cell r="AL280" t="str">
            <v xml:space="preserve">Sweden Telematic Services     </v>
          </cell>
        </row>
        <row r="281">
          <cell r="N281" t="str">
            <v>DOM SWE FREE</v>
          </cell>
          <cell r="O281" t="str">
            <v>minute</v>
          </cell>
          <cell r="P281" t="str">
            <v>-</v>
          </cell>
          <cell r="Q281" t="str">
            <v>-</v>
          </cell>
          <cell r="R281" t="str">
            <v>-</v>
          </cell>
          <cell r="S281" t="str">
            <v>-</v>
          </cell>
          <cell r="T281" t="str">
            <v>-</v>
          </cell>
          <cell r="U281" t="str">
            <v>-</v>
          </cell>
          <cell r="V281" t="str">
            <v>-</v>
          </cell>
          <cell r="W281" t="str">
            <v>-</v>
          </cell>
          <cell r="X281" t="str">
            <v>-</v>
          </cell>
          <cell r="Y281" t="str">
            <v>-</v>
          </cell>
          <cell r="Z281" t="str">
            <v/>
          </cell>
          <cell r="AA281">
            <v>-1.3068816854303793E-4</v>
          </cell>
          <cell r="AE281">
            <v>0</v>
          </cell>
          <cell r="AG281">
            <v>0</v>
          </cell>
          <cell r="AI281">
            <v>0</v>
          </cell>
          <cell r="AK281">
            <v>0</v>
          </cell>
          <cell r="AL281" t="str">
            <v xml:space="preserve">Sweden Toll Free              </v>
          </cell>
        </row>
        <row r="282">
          <cell r="N282" t="str">
            <v>DOM SWE SOS</v>
          </cell>
          <cell r="O282" t="str">
            <v>minute</v>
          </cell>
          <cell r="P282" t="str">
            <v>-</v>
          </cell>
          <cell r="Q282" t="str">
            <v>-</v>
          </cell>
          <cell r="R282" t="str">
            <v>-</v>
          </cell>
          <cell r="S282" t="str">
            <v>-</v>
          </cell>
          <cell r="T282" t="str">
            <v>-</v>
          </cell>
          <cell r="U282" t="str">
            <v>-</v>
          </cell>
          <cell r="V282" t="str">
            <v>-</v>
          </cell>
          <cell r="W282" t="str">
            <v>-</v>
          </cell>
          <cell r="X282" t="str">
            <v>-</v>
          </cell>
          <cell r="Y282" t="str">
            <v>-</v>
          </cell>
          <cell r="Z282">
            <v>0</v>
          </cell>
          <cell r="AA282">
            <v>8.5654518673636045E-3</v>
          </cell>
          <cell r="AE282">
            <v>0</v>
          </cell>
          <cell r="AG282">
            <v>0</v>
          </cell>
          <cell r="AI282">
            <v>0</v>
          </cell>
          <cell r="AK282">
            <v>0</v>
          </cell>
          <cell r="AL282" t="str">
            <v xml:space="preserve">Sweden Emergency              </v>
          </cell>
        </row>
        <row r="283">
          <cell r="N283" t="str">
            <v>DOM SWE NRINF</v>
          </cell>
          <cell r="O283" t="str">
            <v>minute</v>
          </cell>
          <cell r="P283" t="str">
            <v>-</v>
          </cell>
          <cell r="Q283">
            <v>1.1793</v>
          </cell>
          <cell r="R283" t="str">
            <v>-</v>
          </cell>
          <cell r="S283">
            <v>1.1793</v>
          </cell>
          <cell r="T283" t="str">
            <v>-</v>
          </cell>
          <cell r="U283">
            <v>1.1793</v>
          </cell>
          <cell r="V283" t="str">
            <v>-</v>
          </cell>
          <cell r="W283">
            <v>1.1793</v>
          </cell>
          <cell r="X283" t="str">
            <v>-</v>
          </cell>
          <cell r="Y283">
            <v>1.2182999999999999</v>
          </cell>
          <cell r="Z283" t="str">
            <v/>
          </cell>
          <cell r="AA283">
            <v>3.4455038940972224E-2</v>
          </cell>
          <cell r="AE283">
            <v>5.1682558411458336E-2</v>
          </cell>
          <cell r="AG283">
            <v>4.9385555815393528E-2</v>
          </cell>
          <cell r="AI283">
            <v>4.7088553219328713E-2</v>
          </cell>
          <cell r="AK283">
            <v>4.4791550623263891E-2</v>
          </cell>
          <cell r="AL283" t="str">
            <v xml:space="preserve">Sweden Directory Band 1               </v>
          </cell>
        </row>
        <row r="284">
          <cell r="N284" t="str">
            <v>DOM SWE NRIN2</v>
          </cell>
          <cell r="O284" t="str">
            <v>minute</v>
          </cell>
          <cell r="P284" t="e">
            <v>#N/A</v>
          </cell>
          <cell r="Q284" t="e">
            <v>#N/A</v>
          </cell>
          <cell r="R284" t="e">
            <v>#N/A</v>
          </cell>
          <cell r="S284" t="e">
            <v>#N/A</v>
          </cell>
          <cell r="T284" t="e">
            <v>#N/A</v>
          </cell>
          <cell r="U284" t="e">
            <v>#N/A</v>
          </cell>
          <cell r="V284" t="e">
            <v>#N/A</v>
          </cell>
          <cell r="W284" t="e">
            <v>#N/A</v>
          </cell>
          <cell r="X284" t="e">
            <v>#N/A</v>
          </cell>
          <cell r="Y284" t="e">
            <v>#N/A</v>
          </cell>
          <cell r="Z284">
            <v>0</v>
          </cell>
          <cell r="AA284">
            <v>1.1250376242192486</v>
          </cell>
          <cell r="AE284">
            <v>1.6875564363288729</v>
          </cell>
          <cell r="AG284">
            <v>1.6125539280475898</v>
          </cell>
          <cell r="AI284">
            <v>1.5375514197663065</v>
          </cell>
          <cell r="AK284">
            <v>1.4625489114850232</v>
          </cell>
          <cell r="AL284" t="str">
            <v>Sweden Directory Band 2</v>
          </cell>
        </row>
        <row r="285">
          <cell r="N285" t="str">
            <v>DOM SWE NRIN3</v>
          </cell>
          <cell r="O285" t="str">
            <v>minute</v>
          </cell>
          <cell r="P285" t="e">
            <v>#N/A</v>
          </cell>
          <cell r="Q285" t="e">
            <v>#N/A</v>
          </cell>
          <cell r="R285" t="e">
            <v>#N/A</v>
          </cell>
          <cell r="S285" t="e">
            <v>#N/A</v>
          </cell>
          <cell r="T285" t="e">
            <v>#N/A</v>
          </cell>
          <cell r="U285" t="e">
            <v>#N/A</v>
          </cell>
          <cell r="V285" t="e">
            <v>#N/A</v>
          </cell>
          <cell r="W285" t="e">
            <v>#N/A</v>
          </cell>
          <cell r="X285" t="e">
            <v>#N/A</v>
          </cell>
          <cell r="Y285" t="e">
            <v>#N/A</v>
          </cell>
          <cell r="Z285">
            <v>0</v>
          </cell>
          <cell r="AA285">
            <v>1.7534038719750833</v>
          </cell>
          <cell r="AE285">
            <v>2.6301058079626252</v>
          </cell>
          <cell r="AG285">
            <v>2.5132122164976201</v>
          </cell>
          <cell r="AI285">
            <v>2.3963186250326141</v>
          </cell>
          <cell r="AK285">
            <v>2.2794250335676085</v>
          </cell>
          <cell r="AL285" t="str">
            <v xml:space="preserve">Sweden Directory Band 3               </v>
          </cell>
        </row>
        <row r="286">
          <cell r="N286" t="str">
            <v>DOM SWE SWNM</v>
          </cell>
          <cell r="O286" t="str">
            <v>minute</v>
          </cell>
          <cell r="P286" t="e">
            <v>#N/A</v>
          </cell>
          <cell r="Q286" t="e">
            <v>#N/A</v>
          </cell>
          <cell r="R286" t="e">
            <v>#N/A</v>
          </cell>
          <cell r="S286" t="e">
            <v>#N/A</v>
          </cell>
          <cell r="T286" t="e">
            <v>#N/A</v>
          </cell>
          <cell r="U286" t="e">
            <v>#N/A</v>
          </cell>
          <cell r="V286" t="e">
            <v>#N/A</v>
          </cell>
          <cell r="W286" t="e">
            <v>#N/A</v>
          </cell>
          <cell r="X286" t="e">
            <v>#N/A</v>
          </cell>
          <cell r="Y286" t="e">
            <v>#N/A</v>
          </cell>
          <cell r="Z286">
            <v>0</v>
          </cell>
          <cell r="AA286">
            <v>6.72523642750723E-3</v>
          </cell>
          <cell r="AE286">
            <v>1.0087854641260845E-2</v>
          </cell>
          <cell r="AG286">
            <v>9.6395055460936976E-3</v>
          </cell>
          <cell r="AI286">
            <v>9.1911564509265485E-3</v>
          </cell>
          <cell r="AK286">
            <v>8.7428073557593994E-3</v>
          </cell>
          <cell r="AL286" t="str">
            <v xml:space="preserve">Sweden Nomadic </v>
          </cell>
        </row>
        <row r="287">
          <cell r="N287" t="str">
            <v>DOM SWE SWEUS</v>
          </cell>
          <cell r="O287" t="str">
            <v>minute</v>
          </cell>
          <cell r="P287" t="e">
            <v>#N/A</v>
          </cell>
          <cell r="Q287" t="e">
            <v>#N/A</v>
          </cell>
          <cell r="R287" t="e">
            <v>#N/A</v>
          </cell>
          <cell r="S287" t="e">
            <v>#N/A</v>
          </cell>
          <cell r="T287" t="e">
            <v>#N/A</v>
          </cell>
          <cell r="U287" t="e">
            <v>#N/A</v>
          </cell>
          <cell r="V287" t="e">
            <v>#N/A</v>
          </cell>
          <cell r="W287" t="e">
            <v>#N/A</v>
          </cell>
          <cell r="X287" t="e">
            <v>#N/A</v>
          </cell>
          <cell r="Y287" t="e">
            <v>#N/A</v>
          </cell>
          <cell r="Z287">
            <v>0</v>
          </cell>
          <cell r="AA287">
            <v>0</v>
          </cell>
          <cell r="AE287">
            <v>0</v>
          </cell>
          <cell r="AG287">
            <v>0</v>
          </cell>
          <cell r="AI287">
            <v>0</v>
          </cell>
          <cell r="AK287">
            <v>0</v>
          </cell>
          <cell r="AL287" t="str">
            <v>Sweden  Eu Harmonized Helpline Service</v>
          </cell>
        </row>
        <row r="288">
          <cell r="N288" t="str">
            <v>DOM AUT AU001</v>
          </cell>
          <cell r="O288" t="str">
            <v>minute</v>
          </cell>
          <cell r="P288" t="str">
            <v>-</v>
          </cell>
          <cell r="Q288">
            <v>0.15140000000000001</v>
          </cell>
          <cell r="R288" t="str">
            <v>-</v>
          </cell>
          <cell r="S288">
            <v>0.15140000000000001</v>
          </cell>
          <cell r="T288" t="str">
            <v>-</v>
          </cell>
          <cell r="U288">
            <v>0.15140000000000001</v>
          </cell>
          <cell r="V288" t="str">
            <v>-</v>
          </cell>
          <cell r="W288">
            <v>0.15140000000000001</v>
          </cell>
          <cell r="X288" t="str">
            <v>-</v>
          </cell>
          <cell r="Y288">
            <v>0.13750000000000001</v>
          </cell>
          <cell r="AA288">
            <v>0.13703790156959852</v>
          </cell>
          <cell r="AE288">
            <v>0.15140000000000001</v>
          </cell>
          <cell r="AG288">
            <v>0.15140000000000001</v>
          </cell>
          <cell r="AI288">
            <v>0.15140000000000001</v>
          </cell>
          <cell r="AK288">
            <v>0.15140000000000001</v>
          </cell>
          <cell r="AL288" t="str">
            <v>Austria Premium (900/930/939) Band 1</v>
          </cell>
        </row>
        <row r="289">
          <cell r="N289" t="str">
            <v>DOM AUT AU002</v>
          </cell>
          <cell r="O289" t="str">
            <v>minute</v>
          </cell>
          <cell r="P289" t="str">
            <v>-</v>
          </cell>
          <cell r="Q289">
            <v>0.1817</v>
          </cell>
          <cell r="R289" t="str">
            <v>-</v>
          </cell>
          <cell r="S289">
            <v>0.1817</v>
          </cell>
          <cell r="T289" t="str">
            <v>-</v>
          </cell>
          <cell r="U289">
            <v>0.1817</v>
          </cell>
          <cell r="V289" t="str">
            <v>-</v>
          </cell>
          <cell r="W289">
            <v>0.1817</v>
          </cell>
          <cell r="X289" t="str">
            <v>-</v>
          </cell>
          <cell r="Y289">
            <v>0.1648</v>
          </cell>
          <cell r="AA289">
            <v>0.16429092409982382</v>
          </cell>
          <cell r="AE289">
            <v>0.1817</v>
          </cell>
          <cell r="AG289">
            <v>0.1817</v>
          </cell>
          <cell r="AI289">
            <v>0.1817</v>
          </cell>
          <cell r="AK289">
            <v>0.1817</v>
          </cell>
          <cell r="AL289" t="str">
            <v>Austria Premium (900/930/939) Band 2</v>
          </cell>
        </row>
        <row r="290">
          <cell r="N290" t="str">
            <v>DOM AUT AU003</v>
          </cell>
          <cell r="O290" t="str">
            <v>minute</v>
          </cell>
          <cell r="P290" t="str">
            <v>-</v>
          </cell>
          <cell r="Q290">
            <v>0.2253</v>
          </cell>
          <cell r="R290" t="str">
            <v>-</v>
          </cell>
          <cell r="S290">
            <v>0.2253</v>
          </cell>
          <cell r="T290" t="str">
            <v>-</v>
          </cell>
          <cell r="U290">
            <v>0.2253</v>
          </cell>
          <cell r="V290" t="str">
            <v>-</v>
          </cell>
          <cell r="W290">
            <v>0.2253</v>
          </cell>
          <cell r="X290" t="str">
            <v>-</v>
          </cell>
          <cell r="Y290">
            <v>0.20399999999999999</v>
          </cell>
          <cell r="AA290">
            <v>0.20353431653374818</v>
          </cell>
          <cell r="AE290">
            <v>0.2253</v>
          </cell>
          <cell r="AG290">
            <v>0.2253</v>
          </cell>
          <cell r="AI290">
            <v>0.2253</v>
          </cell>
          <cell r="AK290">
            <v>0.2253</v>
          </cell>
          <cell r="AL290" t="str">
            <v>Austria Premium (900/930/939) Band 3</v>
          </cell>
        </row>
        <row r="291">
          <cell r="N291" t="str">
            <v>DOM AUT AU004</v>
          </cell>
          <cell r="O291" t="str">
            <v>minute</v>
          </cell>
          <cell r="P291" t="str">
            <v>-</v>
          </cell>
          <cell r="Q291">
            <v>0.27010000000000001</v>
          </cell>
          <cell r="R291" t="str">
            <v>-</v>
          </cell>
          <cell r="S291">
            <v>0.27010000000000001</v>
          </cell>
          <cell r="T291" t="str">
            <v>-</v>
          </cell>
          <cell r="U291">
            <v>0.27010000000000001</v>
          </cell>
          <cell r="V291" t="str">
            <v>-</v>
          </cell>
          <cell r="W291">
            <v>0.27010000000000001</v>
          </cell>
          <cell r="X291" t="str">
            <v>-</v>
          </cell>
          <cell r="Y291">
            <v>0.24440000000000001</v>
          </cell>
          <cell r="AA291">
            <v>0.24386821987278157</v>
          </cell>
          <cell r="AE291">
            <v>0.27010000000000001</v>
          </cell>
          <cell r="AG291">
            <v>0.27010000000000001</v>
          </cell>
          <cell r="AI291">
            <v>0.27010000000000001</v>
          </cell>
          <cell r="AK291">
            <v>0.27010000000000001</v>
          </cell>
          <cell r="AL291" t="str">
            <v>Austria Premium (900/930/939) Band 4</v>
          </cell>
        </row>
        <row r="292">
          <cell r="N292" t="str">
            <v>DOM AUT AU005</v>
          </cell>
          <cell r="O292" t="str">
            <v>minute</v>
          </cell>
          <cell r="P292" t="str">
            <v>-</v>
          </cell>
          <cell r="Q292">
            <v>0.32100000000000001</v>
          </cell>
          <cell r="R292" t="str">
            <v>-</v>
          </cell>
          <cell r="S292">
            <v>0.32100000000000001</v>
          </cell>
          <cell r="T292" t="str">
            <v>-</v>
          </cell>
          <cell r="U292">
            <v>0.32100000000000001</v>
          </cell>
          <cell r="V292" t="str">
            <v>-</v>
          </cell>
          <cell r="W292">
            <v>0.32100000000000001</v>
          </cell>
          <cell r="X292" t="str">
            <v>-</v>
          </cell>
          <cell r="Y292">
            <v>0.29010000000000002</v>
          </cell>
          <cell r="AA292">
            <v>0.28965242771485999</v>
          </cell>
          <cell r="AE292">
            <v>0.32100000000000001</v>
          </cell>
          <cell r="AG292">
            <v>0.32100000000000001</v>
          </cell>
          <cell r="AI292">
            <v>0.32100000000000001</v>
          </cell>
          <cell r="AK292">
            <v>0.32100000000000001</v>
          </cell>
          <cell r="AL292" t="str">
            <v>Austria Premium (900/930/939) Band 5</v>
          </cell>
        </row>
        <row r="293">
          <cell r="N293" t="str">
            <v>DOM AUT AU006</v>
          </cell>
          <cell r="O293" t="str">
            <v>minute</v>
          </cell>
          <cell r="P293" t="str">
            <v>-</v>
          </cell>
          <cell r="Q293">
            <v>0.37490000000000001</v>
          </cell>
          <cell r="R293" t="str">
            <v>-</v>
          </cell>
          <cell r="S293">
            <v>0.37490000000000001</v>
          </cell>
          <cell r="T293" t="str">
            <v>-</v>
          </cell>
          <cell r="U293">
            <v>0.37490000000000001</v>
          </cell>
          <cell r="V293" t="str">
            <v>-</v>
          </cell>
          <cell r="W293">
            <v>0.37490000000000001</v>
          </cell>
          <cell r="X293" t="str">
            <v>-</v>
          </cell>
          <cell r="Y293">
            <v>0.33860000000000001</v>
          </cell>
          <cell r="AA293">
            <v>0.3381621628122109</v>
          </cell>
          <cell r="AE293">
            <v>0.37490000000000001</v>
          </cell>
          <cell r="AG293">
            <v>0.37490000000000001</v>
          </cell>
          <cell r="AI293">
            <v>0.37490000000000001</v>
          </cell>
          <cell r="AK293">
            <v>0.37490000000000001</v>
          </cell>
          <cell r="AL293" t="str">
            <v>Austria Premium (900/930/939) Band 6</v>
          </cell>
        </row>
        <row r="294">
          <cell r="N294" t="str">
            <v>DOM AUT AU007</v>
          </cell>
          <cell r="O294" t="str">
            <v>minute</v>
          </cell>
          <cell r="P294" t="str">
            <v>-</v>
          </cell>
          <cell r="Q294">
            <v>0.43909999999999999</v>
          </cell>
          <cell r="R294" t="str">
            <v>-</v>
          </cell>
          <cell r="S294">
            <v>0.43909999999999999</v>
          </cell>
          <cell r="T294" t="str">
            <v>-</v>
          </cell>
          <cell r="U294">
            <v>0.43909999999999999</v>
          </cell>
          <cell r="V294" t="str">
            <v>-</v>
          </cell>
          <cell r="W294">
            <v>0.43909999999999999</v>
          </cell>
          <cell r="X294" t="str">
            <v>-</v>
          </cell>
          <cell r="Y294">
            <v>0.39639999999999997</v>
          </cell>
          <cell r="AA294">
            <v>0.39593749056548844</v>
          </cell>
          <cell r="AE294">
            <v>0.43909999999999999</v>
          </cell>
          <cell r="AG294">
            <v>0.43909999999999999</v>
          </cell>
          <cell r="AI294">
            <v>0.43909999999999999</v>
          </cell>
          <cell r="AK294">
            <v>0.43909999999999999</v>
          </cell>
          <cell r="AL294" t="str">
            <v>Austria Premium (900/930/939) Band 7</v>
          </cell>
        </row>
        <row r="295">
          <cell r="N295" t="str">
            <v>DOM AUT AU008</v>
          </cell>
          <cell r="O295" t="str">
            <v>minute</v>
          </cell>
          <cell r="P295" t="str">
            <v>-</v>
          </cell>
          <cell r="Q295">
            <v>0.50690000000000002</v>
          </cell>
          <cell r="R295" t="str">
            <v>-</v>
          </cell>
          <cell r="S295">
            <v>0.50690000000000002</v>
          </cell>
          <cell r="T295" t="str">
            <v>-</v>
          </cell>
          <cell r="U295">
            <v>0.50690000000000002</v>
          </cell>
          <cell r="V295" t="str">
            <v>-</v>
          </cell>
          <cell r="W295">
            <v>0.50690000000000002</v>
          </cell>
          <cell r="X295" t="str">
            <v>-</v>
          </cell>
          <cell r="Y295">
            <v>0.45750000000000002</v>
          </cell>
          <cell r="AA295">
            <v>0.45698360102659313</v>
          </cell>
          <cell r="AE295">
            <v>0.50690000000000002</v>
          </cell>
          <cell r="AG295">
            <v>0.50690000000000002</v>
          </cell>
          <cell r="AI295">
            <v>0.50690000000000002</v>
          </cell>
          <cell r="AK295">
            <v>0.50690000000000002</v>
          </cell>
          <cell r="AL295" t="str">
            <v>Austria Premium (900/930/939) Band 8</v>
          </cell>
        </row>
        <row r="296">
          <cell r="N296" t="str">
            <v>DOM AUT AU009</v>
          </cell>
          <cell r="O296" t="str">
            <v>minute</v>
          </cell>
          <cell r="P296" t="str">
            <v>-</v>
          </cell>
          <cell r="Q296">
            <v>0.56320000000000003</v>
          </cell>
          <cell r="R296" t="str">
            <v>-</v>
          </cell>
          <cell r="S296">
            <v>0.56320000000000003</v>
          </cell>
          <cell r="T296" t="str">
            <v>-</v>
          </cell>
          <cell r="U296">
            <v>0.56320000000000003</v>
          </cell>
          <cell r="V296" t="str">
            <v>-</v>
          </cell>
          <cell r="W296">
            <v>0.56320000000000003</v>
          </cell>
          <cell r="X296" t="str">
            <v>-</v>
          </cell>
          <cell r="Y296">
            <v>0.50819999999999999</v>
          </cell>
          <cell r="AA296">
            <v>0.50767285791916206</v>
          </cell>
          <cell r="AE296">
            <v>0.56320000000000003</v>
          </cell>
          <cell r="AG296">
            <v>0.56320000000000003</v>
          </cell>
          <cell r="AI296">
            <v>0.56320000000000003</v>
          </cell>
          <cell r="AK296">
            <v>0.56320000000000003</v>
          </cell>
          <cell r="AL296" t="str">
            <v>Austria Premium (900/930/939) Band 9</v>
          </cell>
        </row>
        <row r="297">
          <cell r="N297" t="str">
            <v>DOM AUT AU00A</v>
          </cell>
          <cell r="O297" t="str">
            <v>minute</v>
          </cell>
          <cell r="P297" t="str">
            <v>-</v>
          </cell>
          <cell r="Q297">
            <v>0.60560000000000003</v>
          </cell>
          <cell r="R297" t="str">
            <v>-</v>
          </cell>
          <cell r="S297">
            <v>0.60560000000000003</v>
          </cell>
          <cell r="T297" t="str">
            <v>-</v>
          </cell>
          <cell r="U297">
            <v>0.60560000000000003</v>
          </cell>
          <cell r="V297" t="str">
            <v>-</v>
          </cell>
          <cell r="W297">
            <v>0.60560000000000003</v>
          </cell>
          <cell r="X297" t="str">
            <v>-</v>
          </cell>
          <cell r="Y297">
            <v>0.54630000000000001</v>
          </cell>
          <cell r="AA297">
            <v>0.54582648945547751</v>
          </cell>
          <cell r="AE297">
            <v>0.60560000000000003</v>
          </cell>
          <cell r="AG297">
            <v>0.60560000000000003</v>
          </cell>
          <cell r="AI297">
            <v>0.60560000000000003</v>
          </cell>
          <cell r="AK297">
            <v>0.60560000000000003</v>
          </cell>
          <cell r="AL297" t="str">
            <v>Austria Premium (900/930/939) Band 10</v>
          </cell>
        </row>
        <row r="298">
          <cell r="N298" t="str">
            <v>DOM AUT AU00B</v>
          </cell>
          <cell r="O298" t="str">
            <v>minute</v>
          </cell>
          <cell r="P298" t="str">
            <v>-</v>
          </cell>
          <cell r="Q298">
            <v>0.67589999999999995</v>
          </cell>
          <cell r="R298" t="str">
            <v>-</v>
          </cell>
          <cell r="S298">
            <v>0.67589999999999995</v>
          </cell>
          <cell r="T298" t="str">
            <v>-</v>
          </cell>
          <cell r="U298">
            <v>0.67589999999999995</v>
          </cell>
          <cell r="V298" t="str">
            <v>-</v>
          </cell>
          <cell r="W298">
            <v>0.67589999999999995</v>
          </cell>
          <cell r="X298" t="str">
            <v>-</v>
          </cell>
          <cell r="Y298">
            <v>0.60950000000000004</v>
          </cell>
          <cell r="AA298">
            <v>0.60905287171930012</v>
          </cell>
          <cell r="AE298">
            <v>0.67589999999999995</v>
          </cell>
          <cell r="AG298">
            <v>0.67589999999999995</v>
          </cell>
          <cell r="AI298">
            <v>0.67589999999999995</v>
          </cell>
          <cell r="AK298">
            <v>0.67589999999999995</v>
          </cell>
          <cell r="AL298" t="str">
            <v>Austria Premium (900/930/939) Band 11</v>
          </cell>
        </row>
        <row r="299">
          <cell r="N299" t="str">
            <v>DOM AUT AU00C</v>
          </cell>
          <cell r="O299" t="str">
            <v>minute</v>
          </cell>
          <cell r="P299" t="str">
            <v>-</v>
          </cell>
          <cell r="Q299">
            <v>0.72670000000000001</v>
          </cell>
          <cell r="R299" t="str">
            <v>-</v>
          </cell>
          <cell r="S299">
            <v>0.72670000000000001</v>
          </cell>
          <cell r="T299" t="str">
            <v>-</v>
          </cell>
          <cell r="U299">
            <v>0.72670000000000001</v>
          </cell>
          <cell r="V299" t="str">
            <v>-</v>
          </cell>
          <cell r="W299">
            <v>0.72670000000000001</v>
          </cell>
          <cell r="X299" t="str">
            <v>-</v>
          </cell>
          <cell r="Y299">
            <v>0.65529999999999999</v>
          </cell>
          <cell r="AA299">
            <v>0.6548370795613786</v>
          </cell>
          <cell r="AE299">
            <v>0.72670000000000001</v>
          </cell>
          <cell r="AG299">
            <v>0.72670000000000001</v>
          </cell>
          <cell r="AI299">
            <v>0.72670000000000001</v>
          </cell>
          <cell r="AK299">
            <v>0.72670000000000001</v>
          </cell>
          <cell r="AL299" t="str">
            <v>Austria Premium (900/930/939) Band 12</v>
          </cell>
        </row>
        <row r="300">
          <cell r="N300" t="str">
            <v>DOM AUT AU00D</v>
          </cell>
          <cell r="O300" t="str">
            <v>minute</v>
          </cell>
          <cell r="P300" t="str">
            <v>-</v>
          </cell>
          <cell r="Q300">
            <v>0.90110000000000001</v>
          </cell>
          <cell r="R300" t="str">
            <v>-</v>
          </cell>
          <cell r="S300">
            <v>0.90110000000000001</v>
          </cell>
          <cell r="T300" t="str">
            <v>-</v>
          </cell>
          <cell r="U300">
            <v>0.90110000000000001</v>
          </cell>
          <cell r="V300" t="str">
            <v>-</v>
          </cell>
          <cell r="W300">
            <v>0.90110000000000001</v>
          </cell>
          <cell r="X300" t="str">
            <v>-</v>
          </cell>
          <cell r="Y300">
            <v>0.81230000000000002</v>
          </cell>
          <cell r="AA300">
            <v>0.81181214931207613</v>
          </cell>
          <cell r="AE300">
            <v>0.90110000000000001</v>
          </cell>
          <cell r="AG300">
            <v>0.90110000000000001</v>
          </cell>
          <cell r="AI300">
            <v>0.90110000000000001</v>
          </cell>
          <cell r="AK300">
            <v>0.90110000000000001</v>
          </cell>
          <cell r="AL300" t="str">
            <v>Austria Premium (900/930/939) Band 13</v>
          </cell>
        </row>
        <row r="301">
          <cell r="N301" t="str">
            <v>DOM AUT AU00E</v>
          </cell>
          <cell r="O301" t="str">
            <v>minute</v>
          </cell>
          <cell r="P301" t="str">
            <v>-</v>
          </cell>
          <cell r="Q301">
            <v>1.1264000000000001</v>
          </cell>
          <cell r="R301" t="str">
            <v>-</v>
          </cell>
          <cell r="S301">
            <v>1.1264000000000001</v>
          </cell>
          <cell r="T301" t="str">
            <v>-</v>
          </cell>
          <cell r="U301">
            <v>1.1264000000000001</v>
          </cell>
          <cell r="V301" t="str">
            <v>-</v>
          </cell>
          <cell r="W301">
            <v>1.1264000000000001</v>
          </cell>
          <cell r="X301" t="str">
            <v>-</v>
          </cell>
          <cell r="Y301">
            <v>1.0149999999999999</v>
          </cell>
          <cell r="AA301">
            <v>1.014571426904852</v>
          </cell>
          <cell r="AE301">
            <v>1.1264000000000001</v>
          </cell>
          <cell r="AG301">
            <v>1.1264000000000001</v>
          </cell>
          <cell r="AI301">
            <v>1.1264000000000001</v>
          </cell>
          <cell r="AK301">
            <v>1.1264000000000001</v>
          </cell>
          <cell r="AL301" t="str">
            <v>Austria Premium (900/930/939) Band 14</v>
          </cell>
        </row>
        <row r="302">
          <cell r="N302" t="str">
            <v>DOM AUT AU00F</v>
          </cell>
          <cell r="O302" t="str">
            <v>minute</v>
          </cell>
          <cell r="P302" t="str">
            <v>-</v>
          </cell>
          <cell r="Q302">
            <v>1.2954000000000001</v>
          </cell>
          <cell r="R302" t="str">
            <v>-</v>
          </cell>
          <cell r="S302">
            <v>1.2954000000000001</v>
          </cell>
          <cell r="T302" t="str">
            <v>-</v>
          </cell>
          <cell r="U302">
            <v>1.2954000000000001</v>
          </cell>
          <cell r="V302" t="str">
            <v>-</v>
          </cell>
          <cell r="W302">
            <v>1.2954000000000001</v>
          </cell>
          <cell r="X302" t="str">
            <v>-</v>
          </cell>
          <cell r="Y302">
            <v>1.1671</v>
          </cell>
          <cell r="AA302">
            <v>1.166640697597559</v>
          </cell>
          <cell r="AE302">
            <v>1.2954000000000001</v>
          </cell>
          <cell r="AG302">
            <v>1.2954000000000001</v>
          </cell>
          <cell r="AI302">
            <v>1.2954000000000001</v>
          </cell>
          <cell r="AK302">
            <v>1.2954000000000001</v>
          </cell>
          <cell r="AL302" t="str">
            <v>Austria Premium (900/930/939) Band 15</v>
          </cell>
        </row>
        <row r="303">
          <cell r="N303" t="str">
            <v>DOM AUT AU00G</v>
          </cell>
          <cell r="O303" t="str">
            <v>minute</v>
          </cell>
          <cell r="P303" t="str">
            <v>-</v>
          </cell>
          <cell r="Q303">
            <v>1.5013000000000001</v>
          </cell>
          <cell r="R303" t="str">
            <v>-</v>
          </cell>
          <cell r="S303">
            <v>1.5013000000000001</v>
          </cell>
          <cell r="T303" t="str">
            <v>-</v>
          </cell>
          <cell r="U303">
            <v>1.5013000000000001</v>
          </cell>
          <cell r="V303" t="str">
            <v>-</v>
          </cell>
          <cell r="W303">
            <v>1.5013000000000001</v>
          </cell>
          <cell r="X303" t="str">
            <v>-</v>
          </cell>
          <cell r="Y303">
            <v>1.3524</v>
          </cell>
          <cell r="AA303">
            <v>1.3519585507760907</v>
          </cell>
          <cell r="AE303">
            <v>1.5013000000000001</v>
          </cell>
          <cell r="AG303">
            <v>1.5013000000000001</v>
          </cell>
          <cell r="AI303">
            <v>1.5013000000000001</v>
          </cell>
          <cell r="AK303">
            <v>1.5013000000000001</v>
          </cell>
          <cell r="AL303" t="str">
            <v>Austria Premium (900/930/939) Band 16</v>
          </cell>
        </row>
        <row r="304">
          <cell r="N304" t="str">
            <v>DOM AUT AU00H</v>
          </cell>
          <cell r="O304" t="str">
            <v>minute</v>
          </cell>
          <cell r="P304" t="str">
            <v>-</v>
          </cell>
          <cell r="Q304">
            <v>1.8023</v>
          </cell>
          <cell r="R304" t="str">
            <v>-</v>
          </cell>
          <cell r="S304">
            <v>1.8023</v>
          </cell>
          <cell r="T304" t="str">
            <v>-</v>
          </cell>
          <cell r="U304">
            <v>1.8023</v>
          </cell>
          <cell r="V304" t="str">
            <v>-</v>
          </cell>
          <cell r="W304">
            <v>1.8023</v>
          </cell>
          <cell r="X304" t="str">
            <v>-</v>
          </cell>
          <cell r="Y304">
            <v>1.6233</v>
          </cell>
          <cell r="AA304">
            <v>1.6228492596831798</v>
          </cell>
          <cell r="AE304">
            <v>1.8023</v>
          </cell>
          <cell r="AG304">
            <v>1.8023</v>
          </cell>
          <cell r="AI304">
            <v>1.8023</v>
          </cell>
          <cell r="AK304">
            <v>1.8023</v>
          </cell>
          <cell r="AL304" t="str">
            <v>Austria Premium (900/930/939) Band 17</v>
          </cell>
        </row>
        <row r="305">
          <cell r="N305" t="str">
            <v>DOM AUT AU00I</v>
          </cell>
          <cell r="O305" t="str">
            <v>minute</v>
          </cell>
          <cell r="P305" t="str">
            <v>-</v>
          </cell>
          <cell r="Q305">
            <v>3.028</v>
          </cell>
          <cell r="R305" t="str">
            <v>-</v>
          </cell>
          <cell r="S305">
            <v>3.028</v>
          </cell>
          <cell r="T305" t="str">
            <v>-</v>
          </cell>
          <cell r="U305">
            <v>3.028</v>
          </cell>
          <cell r="V305" t="str">
            <v>-</v>
          </cell>
          <cell r="W305">
            <v>3.028</v>
          </cell>
          <cell r="X305" t="str">
            <v>-</v>
          </cell>
          <cell r="Y305">
            <v>2.7265000000000001</v>
          </cell>
          <cell r="AA305">
            <v>2.726033791528498</v>
          </cell>
          <cell r="AE305">
            <v>3.028</v>
          </cell>
          <cell r="AG305">
            <v>3.028</v>
          </cell>
          <cell r="AI305">
            <v>3.028</v>
          </cell>
          <cell r="AK305">
            <v>3.028</v>
          </cell>
          <cell r="AL305" t="str">
            <v>Austria Premium (900/930/939) Band 18</v>
          </cell>
        </row>
        <row r="306">
          <cell r="N306" t="str">
            <v>DOM AUT AU011</v>
          </cell>
          <cell r="O306" t="str">
            <v>call</v>
          </cell>
          <cell r="P306">
            <v>8.3299999999999999E-2</v>
          </cell>
          <cell r="Q306" t="str">
            <v>-</v>
          </cell>
          <cell r="R306">
            <v>8.3299999999999999E-2</v>
          </cell>
          <cell r="S306" t="str">
            <v>-</v>
          </cell>
          <cell r="T306">
            <v>8.3299999999999999E-2</v>
          </cell>
          <cell r="U306" t="str">
            <v>-</v>
          </cell>
          <cell r="V306">
            <v>8.3299999999999999E-2</v>
          </cell>
          <cell r="W306" t="str">
            <v>-</v>
          </cell>
          <cell r="X306">
            <v>8.3699999999999997E-2</v>
          </cell>
          <cell r="Y306" t="str">
            <v>-</v>
          </cell>
          <cell r="Z306">
            <v>8.3163386300902864E-2</v>
          </cell>
          <cell r="AD306">
            <v>8.3299999999999999E-2</v>
          </cell>
          <cell r="AF306">
            <v>8.3299999999999999E-2</v>
          </cell>
          <cell r="AH306">
            <v>8.3299999999999999E-2</v>
          </cell>
          <cell r="AJ306">
            <v>8.3299999999999999E-2</v>
          </cell>
          <cell r="AL306" t="str">
            <v>Austria Premium (901/931) Band 1</v>
          </cell>
        </row>
        <row r="307">
          <cell r="N307" t="str">
            <v>DOM AUT AU012</v>
          </cell>
          <cell r="O307" t="str">
            <v>call</v>
          </cell>
          <cell r="P307">
            <v>0.16669999999999999</v>
          </cell>
          <cell r="Q307" t="str">
            <v>-</v>
          </cell>
          <cell r="R307">
            <v>0.16669999999999999</v>
          </cell>
          <cell r="S307" t="str">
            <v>-</v>
          </cell>
          <cell r="T307">
            <v>0.16669999999999999</v>
          </cell>
          <cell r="U307" t="str">
            <v>-</v>
          </cell>
          <cell r="V307">
            <v>0.16669999999999999</v>
          </cell>
          <cell r="W307" t="str">
            <v>-</v>
          </cell>
          <cell r="X307">
            <v>0.15989999999999999</v>
          </cell>
          <cell r="Y307" t="str">
            <v>-</v>
          </cell>
          <cell r="Z307">
            <v>0.15816413630840298</v>
          </cell>
          <cell r="AD307">
            <v>0.16669999999999999</v>
          </cell>
          <cell r="AF307">
            <v>0.16669999999999999</v>
          </cell>
          <cell r="AH307">
            <v>0.16669999999999999</v>
          </cell>
          <cell r="AJ307">
            <v>0.16669999999999999</v>
          </cell>
          <cell r="AL307" t="str">
            <v>Austria Premium (901/931) Band 2</v>
          </cell>
        </row>
        <row r="308">
          <cell r="N308" t="str">
            <v>DOM AUT AU013</v>
          </cell>
          <cell r="O308" t="str">
            <v>call</v>
          </cell>
          <cell r="P308">
            <v>0.25</v>
          </cell>
          <cell r="Q308" t="str">
            <v>-</v>
          </cell>
          <cell r="R308">
            <v>0.25</v>
          </cell>
          <cell r="S308" t="str">
            <v>-</v>
          </cell>
          <cell r="T308">
            <v>0.25</v>
          </cell>
          <cell r="U308" t="str">
            <v>-</v>
          </cell>
          <cell r="V308">
            <v>0.25</v>
          </cell>
          <cell r="W308" t="str">
            <v>-</v>
          </cell>
          <cell r="X308">
            <v>0.2349</v>
          </cell>
          <cell r="Y308" t="str">
            <v>-</v>
          </cell>
          <cell r="Z308">
            <v>0.23316488631590304</v>
          </cell>
          <cell r="AD308">
            <v>0.25</v>
          </cell>
          <cell r="AF308">
            <v>0.25</v>
          </cell>
          <cell r="AH308">
            <v>0.25</v>
          </cell>
          <cell r="AJ308">
            <v>0.25</v>
          </cell>
          <cell r="AL308" t="str">
            <v>Austria Premium (901/931) Band 3</v>
          </cell>
        </row>
        <row r="309">
          <cell r="N309" t="str">
            <v>DOM AUT AU014</v>
          </cell>
          <cell r="O309" t="str">
            <v>call</v>
          </cell>
          <cell r="P309">
            <v>0.33329999999999999</v>
          </cell>
          <cell r="Q309" t="str">
            <v>-</v>
          </cell>
          <cell r="R309">
            <v>0.33329999999999999</v>
          </cell>
          <cell r="S309" t="str">
            <v>-</v>
          </cell>
          <cell r="T309">
            <v>0.33329999999999999</v>
          </cell>
          <cell r="U309" t="str">
            <v>-</v>
          </cell>
          <cell r="V309">
            <v>0.33329999999999999</v>
          </cell>
          <cell r="W309" t="str">
            <v>-</v>
          </cell>
          <cell r="X309">
            <v>0.30990000000000001</v>
          </cell>
          <cell r="Y309" t="str">
            <v>-</v>
          </cell>
          <cell r="Z309">
            <v>0.3081656363234031</v>
          </cell>
          <cell r="AD309">
            <v>0.33329999999999999</v>
          </cell>
          <cell r="AF309">
            <v>0.33329999999999999</v>
          </cell>
          <cell r="AH309">
            <v>0.33329999999999999</v>
          </cell>
          <cell r="AJ309">
            <v>0.33329999999999999</v>
          </cell>
          <cell r="AL309" t="str">
            <v>Austria Premium (901/931) Band 4</v>
          </cell>
        </row>
        <row r="310">
          <cell r="N310" t="str">
            <v>DOM AUT AU015</v>
          </cell>
          <cell r="O310" t="str">
            <v>call</v>
          </cell>
          <cell r="P310">
            <v>0.41670000000000001</v>
          </cell>
          <cell r="Q310" t="str">
            <v>-</v>
          </cell>
          <cell r="R310">
            <v>0.41670000000000001</v>
          </cell>
          <cell r="S310" t="str">
            <v>-</v>
          </cell>
          <cell r="T310">
            <v>0.41670000000000001</v>
          </cell>
          <cell r="U310" t="str">
            <v>-</v>
          </cell>
          <cell r="V310">
            <v>0.41670000000000001</v>
          </cell>
          <cell r="W310" t="str">
            <v>-</v>
          </cell>
          <cell r="X310">
            <v>0.38490000000000002</v>
          </cell>
          <cell r="Y310" t="str">
            <v>-</v>
          </cell>
          <cell r="Z310">
            <v>0.38316638633090316</v>
          </cell>
          <cell r="AD310">
            <v>0.41670000000000001</v>
          </cell>
          <cell r="AF310">
            <v>0.41670000000000001</v>
          </cell>
          <cell r="AH310">
            <v>0.41670000000000001</v>
          </cell>
          <cell r="AJ310">
            <v>0.41670000000000001</v>
          </cell>
          <cell r="AL310" t="str">
            <v>Austria Premium (901/931) Band 5</v>
          </cell>
        </row>
        <row r="311">
          <cell r="N311" t="str">
            <v>DOM AUT AU016</v>
          </cell>
          <cell r="O311" t="str">
            <v>call</v>
          </cell>
          <cell r="P311">
            <v>0.5</v>
          </cell>
          <cell r="Q311" t="str">
            <v>-</v>
          </cell>
          <cell r="R311">
            <v>0.5</v>
          </cell>
          <cell r="S311" t="str">
            <v>-</v>
          </cell>
          <cell r="T311">
            <v>0.5</v>
          </cell>
          <cell r="U311" t="str">
            <v>-</v>
          </cell>
          <cell r="V311">
            <v>0.5</v>
          </cell>
          <cell r="W311" t="str">
            <v>-</v>
          </cell>
          <cell r="X311">
            <v>0.45989999999999998</v>
          </cell>
          <cell r="Y311" t="str">
            <v>-</v>
          </cell>
          <cell r="Z311">
            <v>0.45816713633840322</v>
          </cell>
          <cell r="AD311">
            <v>0.5</v>
          </cell>
          <cell r="AF311">
            <v>0.5</v>
          </cell>
          <cell r="AH311">
            <v>0.5</v>
          </cell>
          <cell r="AJ311">
            <v>0.5</v>
          </cell>
          <cell r="AL311" t="str">
            <v>Austria Premium (901/931) Band 6</v>
          </cell>
        </row>
        <row r="312">
          <cell r="N312" t="str">
            <v>DOM AUT AU017</v>
          </cell>
          <cell r="O312" t="str">
            <v>call</v>
          </cell>
          <cell r="P312">
            <v>0.58330000000000004</v>
          </cell>
          <cell r="Q312" t="str">
            <v>-</v>
          </cell>
          <cell r="R312">
            <v>0.58330000000000004</v>
          </cell>
          <cell r="S312" t="str">
            <v>-</v>
          </cell>
          <cell r="T312">
            <v>0.58330000000000004</v>
          </cell>
          <cell r="U312" t="str">
            <v>-</v>
          </cell>
          <cell r="V312">
            <v>0.58330000000000004</v>
          </cell>
          <cell r="W312" t="str">
            <v>-</v>
          </cell>
          <cell r="X312">
            <v>0.53490000000000004</v>
          </cell>
          <cell r="Y312" t="str">
            <v>-</v>
          </cell>
          <cell r="Z312">
            <v>0.5331678863459034</v>
          </cell>
          <cell r="AD312">
            <v>0.58330000000000004</v>
          </cell>
          <cell r="AF312">
            <v>0.58330000000000004</v>
          </cell>
          <cell r="AH312">
            <v>0.58330000000000004</v>
          </cell>
          <cell r="AJ312">
            <v>0.58330000000000004</v>
          </cell>
          <cell r="AL312" t="str">
            <v>Austria Premium (901/931) Band 7</v>
          </cell>
        </row>
        <row r="313">
          <cell r="N313" t="str">
            <v>DOM AUT AU018</v>
          </cell>
          <cell r="O313" t="str">
            <v>call</v>
          </cell>
          <cell r="P313">
            <v>0.66669999999999996</v>
          </cell>
          <cell r="Q313" t="str">
            <v>-</v>
          </cell>
          <cell r="R313">
            <v>0.66669999999999996</v>
          </cell>
          <cell r="S313" t="str">
            <v>-</v>
          </cell>
          <cell r="T313">
            <v>0.66669999999999996</v>
          </cell>
          <cell r="U313" t="str">
            <v>-</v>
          </cell>
          <cell r="V313">
            <v>0.66669999999999996</v>
          </cell>
          <cell r="W313" t="str">
            <v>-</v>
          </cell>
          <cell r="X313">
            <v>0.6099</v>
          </cell>
          <cell r="Y313" t="str">
            <v>-</v>
          </cell>
          <cell r="Z313">
            <v>0.60816863635340357</v>
          </cell>
          <cell r="AD313">
            <v>0.66669999999999996</v>
          </cell>
          <cell r="AF313">
            <v>0.66669999999999996</v>
          </cell>
          <cell r="AH313">
            <v>0.66669999999999996</v>
          </cell>
          <cell r="AJ313">
            <v>0.66669999999999996</v>
          </cell>
          <cell r="AL313" t="str">
            <v>Austria Premium (901/931) Band 8</v>
          </cell>
        </row>
        <row r="314">
          <cell r="N314" t="str">
            <v>DOM AUT AU019</v>
          </cell>
          <cell r="O314" t="str">
            <v>call</v>
          </cell>
          <cell r="P314">
            <v>0.75</v>
          </cell>
          <cell r="Q314" t="str">
            <v>-</v>
          </cell>
          <cell r="R314">
            <v>0.75</v>
          </cell>
          <cell r="S314" t="str">
            <v>-</v>
          </cell>
          <cell r="T314">
            <v>0.75</v>
          </cell>
          <cell r="U314" t="str">
            <v>-</v>
          </cell>
          <cell r="V314">
            <v>0.75</v>
          </cell>
          <cell r="W314" t="str">
            <v>-</v>
          </cell>
          <cell r="X314">
            <v>0.68489999999999995</v>
          </cell>
          <cell r="Y314" t="str">
            <v>-</v>
          </cell>
          <cell r="Z314">
            <v>0.68316938636090352</v>
          </cell>
          <cell r="AD314">
            <v>0.75</v>
          </cell>
          <cell r="AF314">
            <v>0.75</v>
          </cell>
          <cell r="AH314">
            <v>0.75</v>
          </cell>
          <cell r="AJ314">
            <v>0.75</v>
          </cell>
          <cell r="AL314" t="str">
            <v>Austria Premium (901/931) Band 9</v>
          </cell>
        </row>
        <row r="315">
          <cell r="N315" t="str">
            <v>DOM AUT AU01A</v>
          </cell>
          <cell r="O315" t="str">
            <v>call</v>
          </cell>
          <cell r="P315">
            <v>0.83330000000000004</v>
          </cell>
          <cell r="Q315" t="str">
            <v>-</v>
          </cell>
          <cell r="R315">
            <v>0.83330000000000004</v>
          </cell>
          <cell r="S315" t="str">
            <v>-</v>
          </cell>
          <cell r="T315">
            <v>0.83330000000000004</v>
          </cell>
          <cell r="U315" t="str">
            <v>-</v>
          </cell>
          <cell r="V315">
            <v>0.83330000000000004</v>
          </cell>
          <cell r="W315" t="str">
            <v>-</v>
          </cell>
          <cell r="X315">
            <v>0.75990000000000002</v>
          </cell>
          <cell r="Y315" t="str">
            <v>-</v>
          </cell>
          <cell r="Z315">
            <v>0.75817013636840369</v>
          </cell>
          <cell r="AD315">
            <v>0.83330000000000004</v>
          </cell>
          <cell r="AF315">
            <v>0.83330000000000004</v>
          </cell>
          <cell r="AH315">
            <v>0.83330000000000004</v>
          </cell>
          <cell r="AJ315">
            <v>0.83330000000000004</v>
          </cell>
          <cell r="AL315" t="str">
            <v>Austria Premium (901/931) Band 10</v>
          </cell>
        </row>
        <row r="316">
          <cell r="N316" t="str">
            <v>DOM AUT AU01B</v>
          </cell>
          <cell r="O316" t="str">
            <v>call</v>
          </cell>
          <cell r="P316">
            <v>1.6667000000000001</v>
          </cell>
          <cell r="Q316" t="str">
            <v>-</v>
          </cell>
          <cell r="R316">
            <v>1.6667000000000001</v>
          </cell>
          <cell r="S316" t="str">
            <v>-</v>
          </cell>
          <cell r="T316">
            <v>1.6667000000000001</v>
          </cell>
          <cell r="U316" t="str">
            <v>-</v>
          </cell>
          <cell r="V316">
            <v>1.6667000000000001</v>
          </cell>
          <cell r="W316" t="str">
            <v>-</v>
          </cell>
          <cell r="X316">
            <v>1.5099</v>
          </cell>
          <cell r="Y316" t="str">
            <v>-</v>
          </cell>
          <cell r="Z316">
            <v>1.5081776364434043</v>
          </cell>
          <cell r="AD316">
            <v>1.6667000000000001</v>
          </cell>
          <cell r="AF316">
            <v>1.6667000000000001</v>
          </cell>
          <cell r="AH316">
            <v>1.6667000000000001</v>
          </cell>
          <cell r="AJ316">
            <v>1.6667000000000001</v>
          </cell>
          <cell r="AL316" t="str">
            <v>Austria Premium (901/931) Band 11</v>
          </cell>
        </row>
        <row r="317">
          <cell r="N317" t="str">
            <v>DOM AUT AU01C</v>
          </cell>
          <cell r="O317" t="str">
            <v>call</v>
          </cell>
          <cell r="P317">
            <v>2.5</v>
          </cell>
          <cell r="Q317" t="str">
            <v>-</v>
          </cell>
          <cell r="R317">
            <v>2.5</v>
          </cell>
          <cell r="S317" t="str">
            <v>-</v>
          </cell>
          <cell r="T317">
            <v>2.5</v>
          </cell>
          <cell r="U317" t="str">
            <v>-</v>
          </cell>
          <cell r="V317">
            <v>2.5</v>
          </cell>
          <cell r="W317" t="str">
            <v>-</v>
          </cell>
          <cell r="X317">
            <v>2.2599</v>
          </cell>
          <cell r="Y317" t="str">
            <v>-</v>
          </cell>
          <cell r="Z317">
            <v>2.2581851365184051</v>
          </cell>
          <cell r="AD317">
            <v>2.5</v>
          </cell>
          <cell r="AF317">
            <v>2.5</v>
          </cell>
          <cell r="AH317">
            <v>2.5</v>
          </cell>
          <cell r="AJ317">
            <v>2.5</v>
          </cell>
          <cell r="AL317" t="str">
            <v>Austria Premium (901/931) Band 12</v>
          </cell>
        </row>
        <row r="318">
          <cell r="N318" t="str">
            <v>DOM AUT AU01D</v>
          </cell>
          <cell r="O318" t="str">
            <v>call</v>
          </cell>
          <cell r="P318">
            <v>3.3332999999999999</v>
          </cell>
          <cell r="Q318" t="str">
            <v>-</v>
          </cell>
          <cell r="R318">
            <v>3.3332999999999999</v>
          </cell>
          <cell r="S318" t="str">
            <v>-</v>
          </cell>
          <cell r="T318">
            <v>3.3332999999999999</v>
          </cell>
          <cell r="U318" t="str">
            <v>-</v>
          </cell>
          <cell r="V318">
            <v>3.3332999999999999</v>
          </cell>
          <cell r="W318" t="str">
            <v>-</v>
          </cell>
          <cell r="X318">
            <v>3.0099</v>
          </cell>
          <cell r="Y318" t="str">
            <v>-</v>
          </cell>
          <cell r="Z318">
            <v>3.0081926365934062</v>
          </cell>
          <cell r="AD318">
            <v>3.3332999999999999</v>
          </cell>
          <cell r="AF318">
            <v>3.3332999999999999</v>
          </cell>
          <cell r="AH318">
            <v>3.3332999999999999</v>
          </cell>
          <cell r="AJ318">
            <v>3.3332999999999999</v>
          </cell>
          <cell r="AL318" t="str">
            <v>Austria Premium (901/931) Band 13</v>
          </cell>
        </row>
        <row r="319">
          <cell r="N319" t="str">
            <v>DOM AUT AU01E</v>
          </cell>
          <cell r="O319" t="str">
            <v>call</v>
          </cell>
          <cell r="P319">
            <v>4.1666999999999996</v>
          </cell>
          <cell r="Q319" t="str">
            <v>-</v>
          </cell>
          <cell r="R319">
            <v>4.1666999999999996</v>
          </cell>
          <cell r="S319" t="str">
            <v>-</v>
          </cell>
          <cell r="T319">
            <v>4.1666999999999996</v>
          </cell>
          <cell r="U319" t="str">
            <v>-</v>
          </cell>
          <cell r="V319">
            <v>4.1666999999999996</v>
          </cell>
          <cell r="W319" t="str">
            <v>-</v>
          </cell>
          <cell r="X319">
            <v>3.7599</v>
          </cell>
          <cell r="Y319" t="str">
            <v>-</v>
          </cell>
          <cell r="Z319">
            <v>3.7582001366684068</v>
          </cell>
          <cell r="AD319">
            <v>4.1666999999999996</v>
          </cell>
          <cell r="AF319">
            <v>4.1666999999999996</v>
          </cell>
          <cell r="AH319">
            <v>4.1666999999999996</v>
          </cell>
          <cell r="AJ319">
            <v>4.1666999999999996</v>
          </cell>
          <cell r="AL319" t="str">
            <v>Austria Premium (901/931) Band 14</v>
          </cell>
        </row>
        <row r="320">
          <cell r="N320" t="str">
            <v>DOM AUT AU01F</v>
          </cell>
          <cell r="O320" t="str">
            <v>call</v>
          </cell>
          <cell r="P320">
            <v>5</v>
          </cell>
          <cell r="Q320" t="str">
            <v>-</v>
          </cell>
          <cell r="R320">
            <v>5</v>
          </cell>
          <cell r="S320" t="str">
            <v>-</v>
          </cell>
          <cell r="T320">
            <v>5</v>
          </cell>
          <cell r="U320" t="str">
            <v>-</v>
          </cell>
          <cell r="V320">
            <v>5</v>
          </cell>
          <cell r="W320" t="str">
            <v>-</v>
          </cell>
          <cell r="X320">
            <v>4.5099</v>
          </cell>
          <cell r="Y320" t="str">
            <v>-</v>
          </cell>
          <cell r="Z320">
            <v>4.508207636743407</v>
          </cell>
          <cell r="AD320">
            <v>5</v>
          </cell>
          <cell r="AF320">
            <v>5</v>
          </cell>
          <cell r="AH320">
            <v>5</v>
          </cell>
          <cell r="AJ320">
            <v>5</v>
          </cell>
          <cell r="AL320" t="str">
            <v>Austria Premium (901/931) Band 15</v>
          </cell>
        </row>
        <row r="321">
          <cell r="N321" t="str">
            <v>DOM AUT AU01G</v>
          </cell>
          <cell r="O321" t="str">
            <v>call</v>
          </cell>
          <cell r="P321">
            <v>5.8333000000000004</v>
          </cell>
          <cell r="Q321" t="str">
            <v>-</v>
          </cell>
          <cell r="R321">
            <v>5.8333000000000004</v>
          </cell>
          <cell r="S321" t="str">
            <v>-</v>
          </cell>
          <cell r="T321">
            <v>5.8333000000000004</v>
          </cell>
          <cell r="U321" t="str">
            <v>-</v>
          </cell>
          <cell r="V321">
            <v>5.8333000000000004</v>
          </cell>
          <cell r="W321" t="str">
            <v>-</v>
          </cell>
          <cell r="X321">
            <v>5.2599</v>
          </cell>
          <cell r="Y321" t="str">
            <v>-</v>
          </cell>
          <cell r="Z321">
            <v>5.258215136818408</v>
          </cell>
          <cell r="AD321">
            <v>5.8333000000000004</v>
          </cell>
          <cell r="AF321">
            <v>5.8333000000000004</v>
          </cell>
          <cell r="AH321">
            <v>5.8333000000000004</v>
          </cell>
          <cell r="AJ321">
            <v>5.8333000000000004</v>
          </cell>
          <cell r="AL321" t="str">
            <v>Austria Premium (901/931) Band 16</v>
          </cell>
        </row>
        <row r="322">
          <cell r="N322" t="str">
            <v>DOM AUT AU01H</v>
          </cell>
          <cell r="O322" t="str">
            <v>call</v>
          </cell>
          <cell r="P322">
            <v>6.6666999999999996</v>
          </cell>
          <cell r="Q322" t="str">
            <v>-</v>
          </cell>
          <cell r="R322">
            <v>6.6666999999999996</v>
          </cell>
          <cell r="S322" t="str">
            <v>-</v>
          </cell>
          <cell r="T322">
            <v>6.6666999999999996</v>
          </cell>
          <cell r="U322" t="str">
            <v>-</v>
          </cell>
          <cell r="V322">
            <v>6.6666999999999996</v>
          </cell>
          <cell r="W322" t="str">
            <v>-</v>
          </cell>
          <cell r="X322">
            <v>6.0099</v>
          </cell>
          <cell r="Y322" t="str">
            <v>-</v>
          </cell>
          <cell r="Z322">
            <v>6.0082226368934091</v>
          </cell>
          <cell r="AD322">
            <v>6.6666999999999996</v>
          </cell>
          <cell r="AF322">
            <v>6.6666999999999996</v>
          </cell>
          <cell r="AH322">
            <v>6.6666999999999996</v>
          </cell>
          <cell r="AJ322">
            <v>6.6666999999999996</v>
          </cell>
          <cell r="AL322" t="str">
            <v>Austria Premium (901/931) Band 17</v>
          </cell>
        </row>
        <row r="323">
          <cell r="N323" t="str">
            <v>DOM AUT AU01I</v>
          </cell>
          <cell r="O323" t="str">
            <v>call</v>
          </cell>
          <cell r="P323">
            <v>7.5</v>
          </cell>
          <cell r="Q323" t="str">
            <v>-</v>
          </cell>
          <cell r="R323">
            <v>7.5</v>
          </cell>
          <cell r="S323" t="str">
            <v>-</v>
          </cell>
          <cell r="T323">
            <v>7.5</v>
          </cell>
          <cell r="U323" t="str">
            <v>-</v>
          </cell>
          <cell r="V323">
            <v>7.5</v>
          </cell>
          <cell r="W323" t="str">
            <v>-</v>
          </cell>
          <cell r="X323">
            <v>6.7599</v>
          </cell>
          <cell r="Y323" t="str">
            <v>-</v>
          </cell>
          <cell r="Z323">
            <v>6.7582301369684092</v>
          </cell>
          <cell r="AD323">
            <v>7.5</v>
          </cell>
          <cell r="AF323">
            <v>7.5</v>
          </cell>
          <cell r="AH323">
            <v>7.5</v>
          </cell>
          <cell r="AJ323">
            <v>7.5</v>
          </cell>
          <cell r="AL323" t="str">
            <v>Austria Premium (901/931) Band 18</v>
          </cell>
        </row>
        <row r="324">
          <cell r="N324" t="str">
            <v>DOM AUT AU101</v>
          </cell>
          <cell r="O324" t="str">
            <v>minute</v>
          </cell>
          <cell r="P324" t="str">
            <v>-</v>
          </cell>
          <cell r="Q324">
            <v>1.8200000000000001E-2</v>
          </cell>
          <cell r="R324" t="str">
            <v>-</v>
          </cell>
          <cell r="S324">
            <v>1.8200000000000001E-2</v>
          </cell>
          <cell r="T324" t="str">
            <v>-</v>
          </cell>
          <cell r="U324">
            <v>1.8200000000000001E-2</v>
          </cell>
          <cell r="V324" t="str">
            <v>-</v>
          </cell>
          <cell r="W324">
            <v>1.8200000000000001E-2</v>
          </cell>
          <cell r="X324" t="str">
            <v>-</v>
          </cell>
          <cell r="Y324">
            <v>1.6299999999999999E-2</v>
          </cell>
          <cell r="AA324">
            <v>1.7126702457607387E-2</v>
          </cell>
          <cell r="AE324">
            <v>1.8200000000000001E-2</v>
          </cell>
          <cell r="AG324">
            <v>1.8200000000000001E-2</v>
          </cell>
          <cell r="AI324">
            <v>1.8200000000000001E-2</v>
          </cell>
          <cell r="AK324">
            <v>1.8200000000000001E-2</v>
          </cell>
          <cell r="AL324" t="str">
            <v xml:space="preserve">Austria Shared (810) Band 1 </v>
          </cell>
        </row>
        <row r="325">
          <cell r="N325" t="str">
            <v>DOM AUT AU102</v>
          </cell>
          <cell r="O325" t="str">
            <v>minute</v>
          </cell>
          <cell r="P325" t="str">
            <v>-</v>
          </cell>
          <cell r="Q325">
            <v>3.6299999999999999E-2</v>
          </cell>
          <cell r="R325" t="str">
            <v>-</v>
          </cell>
          <cell r="S325">
            <v>3.6299999999999999E-2</v>
          </cell>
          <cell r="T325" t="str">
            <v>-</v>
          </cell>
          <cell r="U325">
            <v>3.6299999999999999E-2</v>
          </cell>
          <cell r="V325" t="str">
            <v>-</v>
          </cell>
          <cell r="W325">
            <v>3.6299999999999999E-2</v>
          </cell>
          <cell r="X325" t="str">
            <v>-</v>
          </cell>
          <cell r="Y325">
            <v>3.4000000000000002E-2</v>
          </cell>
          <cell r="AA325">
            <v>3.3478365974242551E-2</v>
          </cell>
          <cell r="AE325">
            <v>3.6299999999999999E-2</v>
          </cell>
          <cell r="AG325">
            <v>3.6299999999999999E-2</v>
          </cell>
          <cell r="AI325">
            <v>3.6299999999999999E-2</v>
          </cell>
          <cell r="AK325">
            <v>3.6299999999999999E-2</v>
          </cell>
          <cell r="AL325" t="str">
            <v>Austria Shared (810) Band 2</v>
          </cell>
        </row>
        <row r="326">
          <cell r="N326" t="str">
            <v>DOM AUT AU103</v>
          </cell>
          <cell r="O326" t="str">
            <v>minute</v>
          </cell>
          <cell r="P326" t="str">
            <v>-</v>
          </cell>
          <cell r="Q326">
            <v>5.6300000000000003E-2</v>
          </cell>
          <cell r="R326" t="str">
            <v>-</v>
          </cell>
          <cell r="S326">
            <v>5.6300000000000003E-2</v>
          </cell>
          <cell r="T326" t="str">
            <v>-</v>
          </cell>
          <cell r="U326">
            <v>5.6300000000000003E-2</v>
          </cell>
          <cell r="V326" t="str">
            <v>-</v>
          </cell>
          <cell r="W326">
            <v>5.6300000000000003E-2</v>
          </cell>
          <cell r="X326" t="str">
            <v>-</v>
          </cell>
          <cell r="Y326">
            <v>5.1999999999999998E-2</v>
          </cell>
          <cell r="AA326">
            <v>5.1465045841041224E-2</v>
          </cell>
          <cell r="AE326">
            <v>5.6300000000000003E-2</v>
          </cell>
          <cell r="AG326">
            <v>5.6300000000000003E-2</v>
          </cell>
          <cell r="AI326">
            <v>5.6300000000000003E-2</v>
          </cell>
          <cell r="AK326">
            <v>5.6300000000000003E-2</v>
          </cell>
          <cell r="AL326" t="str">
            <v>Austria Shared (810) Band 3</v>
          </cell>
        </row>
        <row r="327">
          <cell r="N327" t="str">
            <v>DOM AUT AU104</v>
          </cell>
          <cell r="O327" t="str">
            <v>minute</v>
          </cell>
          <cell r="P327" t="str">
            <v>-</v>
          </cell>
          <cell r="Q327">
            <v>6.0600000000000001E-2</v>
          </cell>
          <cell r="R327" t="str">
            <v>-</v>
          </cell>
          <cell r="S327">
            <v>6.0600000000000001E-2</v>
          </cell>
          <cell r="T327" t="str">
            <v>-</v>
          </cell>
          <cell r="U327">
            <v>6.0600000000000001E-2</v>
          </cell>
          <cell r="V327" t="str">
            <v>-</v>
          </cell>
          <cell r="W327">
            <v>6.0600000000000001E-2</v>
          </cell>
          <cell r="X327" t="str">
            <v>-</v>
          </cell>
          <cell r="Y327">
            <v>5.5800000000000002E-2</v>
          </cell>
          <cell r="AA327">
            <v>5.5280333993922758E-2</v>
          </cell>
          <cell r="AE327">
            <v>6.0600000000000001E-2</v>
          </cell>
          <cell r="AG327">
            <v>6.0600000000000001E-2</v>
          </cell>
          <cell r="AI327">
            <v>6.0600000000000001E-2</v>
          </cell>
          <cell r="AK327">
            <v>6.0600000000000001E-2</v>
          </cell>
          <cell r="AL327" t="str">
            <v>Austria Shared (810) Band 4</v>
          </cell>
        </row>
        <row r="328">
          <cell r="N328" t="str">
            <v>DOM AUT AU105</v>
          </cell>
          <cell r="O328" t="str">
            <v>minute</v>
          </cell>
          <cell r="P328" t="str">
            <v>-</v>
          </cell>
          <cell r="Q328">
            <v>8.3299999999999999E-2</v>
          </cell>
          <cell r="R328" t="str">
            <v>-</v>
          </cell>
          <cell r="S328">
            <v>8.3299999999999999E-2</v>
          </cell>
          <cell r="T328" t="str">
            <v>-</v>
          </cell>
          <cell r="U328">
            <v>8.3299999999999999E-2</v>
          </cell>
          <cell r="V328" t="str">
            <v>-</v>
          </cell>
          <cell r="W328">
            <v>8.3299999999999999E-2</v>
          </cell>
          <cell r="X328" t="str">
            <v>-</v>
          </cell>
          <cell r="Y328">
            <v>7.6300000000000007E-2</v>
          </cell>
          <cell r="AA328">
            <v>7.5775788948472311E-2</v>
          </cell>
          <cell r="AE328">
            <v>8.3299999999999999E-2</v>
          </cell>
          <cell r="AG328">
            <v>8.3299999999999999E-2</v>
          </cell>
          <cell r="AI328">
            <v>8.3299999999999999E-2</v>
          </cell>
          <cell r="AK328">
            <v>8.3299999999999999E-2</v>
          </cell>
          <cell r="AL328" t="str">
            <v>Austria Shared (810) Band 5</v>
          </cell>
        </row>
        <row r="329">
          <cell r="N329" t="str">
            <v>DOM AUT AU201</v>
          </cell>
          <cell r="O329" t="str">
            <v>minute</v>
          </cell>
          <cell r="P329" t="str">
            <v>-</v>
          </cell>
          <cell r="Q329">
            <v>7.8700000000000006E-2</v>
          </cell>
          <cell r="R329" t="str">
            <v>-</v>
          </cell>
          <cell r="S329">
            <v>7.8700000000000006E-2</v>
          </cell>
          <cell r="T329" t="str">
            <v>-</v>
          </cell>
          <cell r="U329">
            <v>7.8700000000000006E-2</v>
          </cell>
          <cell r="V329" t="str">
            <v>-</v>
          </cell>
          <cell r="W329">
            <v>7.8700000000000006E-2</v>
          </cell>
          <cell r="X329" t="str">
            <v>-</v>
          </cell>
          <cell r="Y329">
            <v>7.2099999999999997E-2</v>
          </cell>
          <cell r="AA329">
            <v>7.1631997510557918E-2</v>
          </cell>
          <cell r="AE329">
            <v>7.8700000000000006E-2</v>
          </cell>
          <cell r="AG329">
            <v>7.8700000000000006E-2</v>
          </cell>
          <cell r="AI329">
            <v>7.8700000000000006E-2</v>
          </cell>
          <cell r="AK329">
            <v>7.8700000000000006E-2</v>
          </cell>
          <cell r="AL329" t="str">
            <v>Austria Shared (820) Band 1</v>
          </cell>
        </row>
        <row r="330">
          <cell r="N330" t="str">
            <v>DOM AUT AU202</v>
          </cell>
          <cell r="O330" t="str">
            <v>minute</v>
          </cell>
          <cell r="P330" t="str">
            <v>-</v>
          </cell>
          <cell r="Q330">
            <v>9.69E-2</v>
          </cell>
          <cell r="R330" t="str">
            <v>-</v>
          </cell>
          <cell r="S330">
            <v>9.69E-2</v>
          </cell>
          <cell r="T330" t="str">
            <v>-</v>
          </cell>
          <cell r="U330">
            <v>9.69E-2</v>
          </cell>
          <cell r="V330" t="str">
            <v>-</v>
          </cell>
          <cell r="W330">
            <v>9.69E-2</v>
          </cell>
          <cell r="X330" t="str">
            <v>-</v>
          </cell>
          <cell r="Y330">
            <v>8.8499999999999995E-2</v>
          </cell>
          <cell r="AA330">
            <v>8.79836610271931E-2</v>
          </cell>
          <cell r="AE330">
            <v>9.69E-2</v>
          </cell>
          <cell r="AG330">
            <v>9.69E-2</v>
          </cell>
          <cell r="AI330">
            <v>9.69E-2</v>
          </cell>
          <cell r="AK330">
            <v>9.69E-2</v>
          </cell>
          <cell r="AL330" t="str">
            <v>Austria Shared (820) Band 2</v>
          </cell>
        </row>
        <row r="331">
          <cell r="N331" t="str">
            <v>DOM AUT AU203</v>
          </cell>
          <cell r="O331" t="str">
            <v>minute</v>
          </cell>
          <cell r="P331" t="str">
            <v>-</v>
          </cell>
          <cell r="Q331">
            <v>0.1211</v>
          </cell>
          <cell r="R331" t="str">
            <v>-</v>
          </cell>
          <cell r="S331">
            <v>0.1211</v>
          </cell>
          <cell r="T331" t="str">
            <v>-</v>
          </cell>
          <cell r="U331">
            <v>0.1211</v>
          </cell>
          <cell r="V331" t="str">
            <v>-</v>
          </cell>
          <cell r="W331">
            <v>0.1211</v>
          </cell>
          <cell r="X331" t="str">
            <v>-</v>
          </cell>
          <cell r="Y331">
            <v>0.1103</v>
          </cell>
          <cell r="AA331">
            <v>0.10978562904687329</v>
          </cell>
          <cell r="AE331">
            <v>0.1211</v>
          </cell>
          <cell r="AG331">
            <v>0.1211</v>
          </cell>
          <cell r="AI331">
            <v>0.1211</v>
          </cell>
          <cell r="AK331">
            <v>0.1211</v>
          </cell>
          <cell r="AL331" t="str">
            <v>Austria Shared (820) Band 3</v>
          </cell>
        </row>
        <row r="332">
          <cell r="N332" t="str">
            <v>DOM AUT AU204</v>
          </cell>
          <cell r="O332" t="str">
            <v>minute</v>
          </cell>
          <cell r="P332" t="str">
            <v>-</v>
          </cell>
          <cell r="Q332">
            <v>0.16669999999999999</v>
          </cell>
          <cell r="R332" t="str">
            <v>-</v>
          </cell>
          <cell r="S332">
            <v>0.16669999999999999</v>
          </cell>
          <cell r="T332" t="str">
            <v>-</v>
          </cell>
          <cell r="U332">
            <v>0.16669999999999999</v>
          </cell>
          <cell r="V332" t="str">
            <v>-</v>
          </cell>
          <cell r="W332">
            <v>0.16669999999999999</v>
          </cell>
          <cell r="X332" t="str">
            <v>-</v>
          </cell>
          <cell r="Y332">
            <v>0.15129999999999999</v>
          </cell>
          <cell r="AA332">
            <v>0.1507765389559724</v>
          </cell>
          <cell r="AE332">
            <v>0.16669999999999999</v>
          </cell>
          <cell r="AG332">
            <v>0.16669999999999999</v>
          </cell>
          <cell r="AI332">
            <v>0.16669999999999999</v>
          </cell>
          <cell r="AK332">
            <v>0.16669999999999999</v>
          </cell>
          <cell r="AL332" t="str">
            <v>Austria Shared (820) Band 4</v>
          </cell>
        </row>
        <row r="333">
          <cell r="N333" t="str">
            <v>DOM AUT AU211</v>
          </cell>
          <cell r="O333" t="str">
            <v>call</v>
          </cell>
          <cell r="P333">
            <v>8.3299999999999999E-2</v>
          </cell>
          <cell r="Q333" t="str">
            <v>-</v>
          </cell>
          <cell r="R333">
            <v>8.3299999999999999E-2</v>
          </cell>
          <cell r="S333" t="str">
            <v>-</v>
          </cell>
          <cell r="T333">
            <v>8.3299999999999999E-2</v>
          </cell>
          <cell r="U333" t="str">
            <v>-</v>
          </cell>
          <cell r="V333">
            <v>8.3299999999999999E-2</v>
          </cell>
          <cell r="W333" t="str">
            <v>-</v>
          </cell>
          <cell r="X333">
            <v>8.3699999999999997E-2</v>
          </cell>
          <cell r="Y333" t="str">
            <v>-</v>
          </cell>
          <cell r="AA333">
            <v>7.5775788948472311E-2</v>
          </cell>
          <cell r="AD333">
            <v>8.3299999999999999E-2</v>
          </cell>
          <cell r="AF333">
            <v>8.3299999999999999E-2</v>
          </cell>
          <cell r="AH333">
            <v>8.3299999999999999E-2</v>
          </cell>
          <cell r="AJ333">
            <v>8.3299999999999999E-2</v>
          </cell>
          <cell r="AL333" t="str">
            <v>Austria Shared (821) Band 1</v>
          </cell>
        </row>
        <row r="334">
          <cell r="N334" t="str">
            <v>DOM AUT AU212</v>
          </cell>
          <cell r="O334" t="str">
            <v>call</v>
          </cell>
          <cell r="P334">
            <v>0.16669999999999999</v>
          </cell>
          <cell r="Q334" t="str">
            <v>-</v>
          </cell>
          <cell r="R334">
            <v>0.16669999999999999</v>
          </cell>
          <cell r="S334" t="str">
            <v>-</v>
          </cell>
          <cell r="T334">
            <v>0.16669999999999999</v>
          </cell>
          <cell r="U334" t="str">
            <v>-</v>
          </cell>
          <cell r="V334">
            <v>0.16669999999999999</v>
          </cell>
          <cell r="W334" t="str">
            <v>-</v>
          </cell>
          <cell r="X334">
            <v>0.15989999999999999</v>
          </cell>
          <cell r="Y334" t="str">
            <v>-</v>
          </cell>
          <cell r="AA334">
            <v>0.1507765389559724</v>
          </cell>
          <cell r="AD334">
            <v>0.16669999999999999</v>
          </cell>
          <cell r="AF334">
            <v>0.16669999999999999</v>
          </cell>
          <cell r="AH334">
            <v>0.16669999999999999</v>
          </cell>
          <cell r="AJ334">
            <v>0.16669999999999999</v>
          </cell>
          <cell r="AL334" t="str">
            <v>Austria Shared (821) Band 2</v>
          </cell>
        </row>
        <row r="335">
          <cell r="N335" t="str">
            <v>DOM AUT AUFRE</v>
          </cell>
          <cell r="O335" t="str">
            <v>minute</v>
          </cell>
          <cell r="P335" t="str">
            <v>-</v>
          </cell>
          <cell r="Q335" t="str">
            <v>-</v>
          </cell>
          <cell r="R335" t="str">
            <v>-</v>
          </cell>
          <cell r="S335" t="str">
            <v>-</v>
          </cell>
          <cell r="T335" t="str">
            <v>-</v>
          </cell>
          <cell r="U335" t="str">
            <v>-</v>
          </cell>
          <cell r="V335" t="str">
            <v>-</v>
          </cell>
          <cell r="W335" t="str">
            <v>-</v>
          </cell>
          <cell r="X335" t="str">
            <v>-</v>
          </cell>
          <cell r="Y335">
            <v>1.0999999999999999E-2</v>
          </cell>
          <cell r="AA335">
            <v>1.0974840921170242E-2</v>
          </cell>
          <cell r="AE335">
            <v>0</v>
          </cell>
          <cell r="AG335">
            <v>0</v>
          </cell>
          <cell r="AI335">
            <v>0</v>
          </cell>
          <cell r="AK335">
            <v>0</v>
          </cell>
          <cell r="AL335" t="str">
            <v xml:space="preserve">Austria Toll Free             </v>
          </cell>
        </row>
        <row r="336">
          <cell r="N336" t="str">
            <v>DOM AUT AUDIR</v>
          </cell>
          <cell r="O336" t="str">
            <v>minute</v>
          </cell>
          <cell r="P336" t="str">
            <v>-</v>
          </cell>
          <cell r="Q336">
            <v>1.55</v>
          </cell>
          <cell r="R336" t="str">
            <v>-</v>
          </cell>
          <cell r="S336">
            <v>1.55</v>
          </cell>
          <cell r="T336" t="str">
            <v>-</v>
          </cell>
          <cell r="U336">
            <v>1.55</v>
          </cell>
          <cell r="V336" t="str">
            <v>-</v>
          </cell>
          <cell r="W336">
            <v>1.55</v>
          </cell>
          <cell r="X336" t="str">
            <v>-</v>
          </cell>
          <cell r="Y336">
            <v>1.4</v>
          </cell>
          <cell r="AA336">
            <v>1.4</v>
          </cell>
          <cell r="AE336">
            <v>1.55</v>
          </cell>
          <cell r="AG336">
            <v>1.55</v>
          </cell>
          <cell r="AI336">
            <v>1.55</v>
          </cell>
          <cell r="AK336">
            <v>1.55</v>
          </cell>
          <cell r="AL336" t="str">
            <v xml:space="preserve">Austria Directory             </v>
          </cell>
        </row>
        <row r="337">
          <cell r="N337" t="str">
            <v>DOM AUT ATDR1</v>
          </cell>
          <cell r="O337" t="str">
            <v>minute</v>
          </cell>
          <cell r="Q337">
            <v>0.14698931742659785</v>
          </cell>
          <cell r="S337">
            <v>0.11306870571276757</v>
          </cell>
          <cell r="U337">
            <v>8.6975927471359668E-2</v>
          </cell>
          <cell r="W337">
            <v>6.6904559593353591E-2</v>
          </cell>
          <cell r="AA337">
            <v>5.1465045841041224E-2</v>
          </cell>
          <cell r="AE337">
            <v>0.14698931742659785</v>
          </cell>
          <cell r="AG337">
            <v>0.11306870571276757</v>
          </cell>
          <cell r="AI337">
            <v>8.6975927471359668E-2</v>
          </cell>
          <cell r="AK337">
            <v>6.6904559593353591E-2</v>
          </cell>
          <cell r="AL337" t="str">
            <v>Austria Directory Band 1</v>
          </cell>
        </row>
        <row r="338">
          <cell r="N338" t="str">
            <v>DOM AUT ATDR2</v>
          </cell>
          <cell r="O338" t="str">
            <v>minute</v>
          </cell>
          <cell r="Q338">
            <v>1.4499644495029191</v>
          </cell>
          <cell r="S338">
            <v>1.1153572688483993</v>
          </cell>
          <cell r="U338">
            <v>0.85796712988338397</v>
          </cell>
          <cell r="W338">
            <v>0.6599747152949107</v>
          </cell>
          <cell r="AA338">
            <v>0.50767285791916206</v>
          </cell>
          <cell r="AE338">
            <v>1.4499644495029191</v>
          </cell>
          <cell r="AG338">
            <v>1.1153572688483993</v>
          </cell>
          <cell r="AI338">
            <v>0.85796712988338397</v>
          </cell>
          <cell r="AK338">
            <v>0.6599747152949107</v>
          </cell>
          <cell r="AL338" t="str">
            <v>Austria Directory Band 2</v>
          </cell>
        </row>
        <row r="339">
          <cell r="N339" t="str">
            <v>DOM AUT ATDR3</v>
          </cell>
          <cell r="O339" t="str">
            <v>minute</v>
          </cell>
          <cell r="Q339">
            <v>1.8702801829352533</v>
          </cell>
          <cell r="S339">
            <v>1.4386770637963486</v>
          </cell>
          <cell r="U339">
            <v>1.1066746644587298</v>
          </cell>
          <cell r="W339">
            <v>0.85128820342979217</v>
          </cell>
          <cell r="AA339">
            <v>0.6548370795613786</v>
          </cell>
          <cell r="AE339">
            <v>1.8702801829352533</v>
          </cell>
          <cell r="AG339">
            <v>1.4386770637963486</v>
          </cell>
          <cell r="AI339">
            <v>1.1066746644587298</v>
          </cell>
          <cell r="AK339">
            <v>0.85128820342979217</v>
          </cell>
          <cell r="AL339" t="str">
            <v>Austria Directory Band 3</v>
          </cell>
        </row>
        <row r="340">
          <cell r="N340" t="str">
            <v>DOM AUT ATDR4</v>
          </cell>
          <cell r="O340" t="str">
            <v>minute</v>
          </cell>
          <cell r="Q340">
            <v>2.318616679650221</v>
          </cell>
          <cell r="S340">
            <v>1.7835512920386314</v>
          </cell>
          <cell r="U340">
            <v>1.3719625323374087</v>
          </cell>
          <cell r="W340">
            <v>1.055355794105699</v>
          </cell>
          <cell r="AA340">
            <v>0.81181214931207613</v>
          </cell>
          <cell r="AE340">
            <v>2.318616679650221</v>
          </cell>
          <cell r="AG340">
            <v>1.7835512920386314</v>
          </cell>
          <cell r="AI340">
            <v>1.3719625323374087</v>
          </cell>
          <cell r="AK340">
            <v>1.055355794105699</v>
          </cell>
          <cell r="AL340" t="str">
            <v>Austria Directory Band 4</v>
          </cell>
        </row>
        <row r="341">
          <cell r="N341" t="str">
            <v>DOM AUT ATDR5</v>
          </cell>
          <cell r="O341" t="str">
            <v>minute</v>
          </cell>
          <cell r="Q341">
            <v>2.8977174523829476</v>
          </cell>
          <cell r="S341">
            <v>2.2290134249099598</v>
          </cell>
          <cell r="U341">
            <v>1.7146257114691998</v>
          </cell>
          <cell r="W341">
            <v>1.3189428549763076</v>
          </cell>
          <cell r="AA341">
            <v>1.014571426904852</v>
          </cell>
          <cell r="AE341">
            <v>2.8977174523829476</v>
          </cell>
          <cell r="AG341">
            <v>2.2290134249099598</v>
          </cell>
          <cell r="AI341">
            <v>1.7146257114691998</v>
          </cell>
          <cell r="AK341">
            <v>1.3189428549763076</v>
          </cell>
          <cell r="AL341" t="str">
            <v>Austria Directory Band 5</v>
          </cell>
        </row>
        <row r="342">
          <cell r="N342" t="str">
            <v>DOM AUT ATDR6</v>
          </cell>
          <cell r="O342" t="str">
            <v>minute</v>
          </cell>
          <cell r="Q342">
            <v>3.3320424964083886</v>
          </cell>
          <cell r="S342">
            <v>2.5631096126218371</v>
          </cell>
          <cell r="U342">
            <v>1.9716227789398748</v>
          </cell>
          <cell r="W342">
            <v>1.5166329068768267</v>
          </cell>
          <cell r="AA342">
            <v>1.166640697597559</v>
          </cell>
          <cell r="AE342">
            <v>3.3320424964083886</v>
          </cell>
          <cell r="AG342">
            <v>2.5631096126218371</v>
          </cell>
          <cell r="AI342">
            <v>1.9716227789398748</v>
          </cell>
          <cell r="AK342">
            <v>1.5166329068768267</v>
          </cell>
          <cell r="AL342" t="str">
            <v>Austria Directory Band 6</v>
          </cell>
        </row>
        <row r="343">
          <cell r="N343" t="str">
            <v>DOM AUT ATDR7</v>
          </cell>
          <cell r="O343" t="str">
            <v>minute</v>
          </cell>
          <cell r="Q343">
            <v>3.8613288168715934</v>
          </cell>
          <cell r="S343">
            <v>2.9702529360550716</v>
          </cell>
          <cell r="U343">
            <v>2.2848099508115935</v>
          </cell>
          <cell r="W343">
            <v>1.7575461160089181</v>
          </cell>
          <cell r="AA343">
            <v>1.3519585507760907</v>
          </cell>
          <cell r="AE343">
            <v>3.8613288168715934</v>
          </cell>
          <cell r="AG343">
            <v>2.9702529360550716</v>
          </cell>
          <cell r="AI343">
            <v>2.2848099508115935</v>
          </cell>
          <cell r="AK343">
            <v>1.7575461160089181</v>
          </cell>
          <cell r="AL343" t="str">
            <v>Austria Directory Band 7</v>
          </cell>
        </row>
        <row r="344">
          <cell r="N344" t="str">
            <v>DOM AUT ATDR8</v>
          </cell>
          <cell r="O344" t="str">
            <v>minute</v>
          </cell>
          <cell r="Q344">
            <v>4.6350197705811311</v>
          </cell>
          <cell r="S344">
            <v>3.5653998235239466</v>
          </cell>
          <cell r="U344">
            <v>2.7426152488645741</v>
          </cell>
          <cell r="W344">
            <v>2.1097040375881337</v>
          </cell>
          <cell r="AA344">
            <v>1.6228492596831798</v>
          </cell>
          <cell r="AE344">
            <v>4.6350197705811311</v>
          </cell>
          <cell r="AG344">
            <v>3.5653998235239466</v>
          </cell>
          <cell r="AI344">
            <v>2.7426152488645741</v>
          </cell>
          <cell r="AK344">
            <v>2.1097040375881337</v>
          </cell>
          <cell r="AL344" t="str">
            <v>Austria Directory Band 8</v>
          </cell>
        </row>
        <row r="345">
          <cell r="N345" t="str">
            <v>DOM AUT ATDR9</v>
          </cell>
          <cell r="O345" t="str">
            <v>minute</v>
          </cell>
          <cell r="Q345">
            <v>7.7858251119845434</v>
          </cell>
          <cell r="S345">
            <v>5.9890962399881102</v>
          </cell>
          <cell r="U345">
            <v>4.6069971076831617</v>
          </cell>
          <cell r="W345">
            <v>3.5438439289870476</v>
          </cell>
          <cell r="AA345">
            <v>2.726033791528498</v>
          </cell>
          <cell r="AE345">
            <v>7.7858251119845434</v>
          </cell>
          <cell r="AG345">
            <v>5.9890962399881102</v>
          </cell>
          <cell r="AI345">
            <v>4.6069971076831617</v>
          </cell>
          <cell r="AK345">
            <v>3.5438439289870476</v>
          </cell>
          <cell r="AL345" t="str">
            <v>Austria Directory Band 9</v>
          </cell>
        </row>
        <row r="346">
          <cell r="N346" t="str">
            <v>DOM AUT AUM0</v>
          </cell>
          <cell r="O346" t="str">
            <v>minute</v>
          </cell>
          <cell r="P346" t="str">
            <v>-</v>
          </cell>
          <cell r="Q346">
            <v>5.9200000000000003E-2</v>
          </cell>
          <cell r="R346" t="str">
            <v>-</v>
          </cell>
          <cell r="S346">
            <v>5.74E-2</v>
          </cell>
          <cell r="T346" t="str">
            <v>-</v>
          </cell>
          <cell r="U346">
            <v>5.5100000000000003E-2</v>
          </cell>
          <cell r="V346" t="str">
            <v>-</v>
          </cell>
          <cell r="W346">
            <v>5.33E-2</v>
          </cell>
          <cell r="X346" t="str">
            <v>-</v>
          </cell>
          <cell r="Y346">
            <v>4.0599999999999997E-2</v>
          </cell>
          <cell r="AA346">
            <v>2.5855038940972221E-2</v>
          </cell>
          <cell r="AE346">
            <v>5.1710077881944441E-2</v>
          </cell>
          <cell r="AG346">
            <v>4.7400904725115739E-2</v>
          </cell>
          <cell r="AI346">
            <v>4.3091731568287037E-2</v>
          </cell>
          <cell r="AK346">
            <v>3.8782558411458334E-2</v>
          </cell>
          <cell r="AL346" t="str">
            <v>Austria Mobile</v>
          </cell>
        </row>
        <row r="347">
          <cell r="N347" t="str">
            <v>DOM AUT AUM0</v>
          </cell>
          <cell r="O347" t="str">
            <v>minute</v>
          </cell>
          <cell r="P347" t="str">
            <v>-</v>
          </cell>
          <cell r="Q347">
            <v>5.6300000000000003E-2</v>
          </cell>
          <cell r="R347" t="str">
            <v>-</v>
          </cell>
          <cell r="S347">
            <v>5.4600000000000003E-2</v>
          </cell>
          <cell r="T347" t="str">
            <v>-</v>
          </cell>
          <cell r="U347">
            <v>5.2400000000000002E-2</v>
          </cell>
          <cell r="V347" t="str">
            <v>-</v>
          </cell>
          <cell r="W347">
            <v>5.0700000000000002E-2</v>
          </cell>
          <cell r="X347" t="str">
            <v>-</v>
          </cell>
          <cell r="Y347">
            <v>4.07E-2</v>
          </cell>
          <cell r="AA347">
            <v>2.5855038940972221E-2</v>
          </cell>
          <cell r="AE347">
            <v>5.1710077881944441E-2</v>
          </cell>
          <cell r="AG347">
            <v>4.7400904725115739E-2</v>
          </cell>
          <cell r="AI347">
            <v>4.3091731568287037E-2</v>
          </cell>
          <cell r="AK347">
            <v>3.8782558411458334E-2</v>
          </cell>
          <cell r="AL347" t="str">
            <v>Austria Mobile</v>
          </cell>
        </row>
        <row r="348">
          <cell r="N348" t="str">
            <v>DOM AUT AUM0</v>
          </cell>
          <cell r="O348" t="str">
            <v>minute</v>
          </cell>
          <cell r="P348" t="str">
            <v>-</v>
          </cell>
          <cell r="Q348">
            <v>5.7700000000000001E-2</v>
          </cell>
          <cell r="R348" t="str">
            <v>-</v>
          </cell>
          <cell r="S348">
            <v>5.6000000000000001E-2</v>
          </cell>
          <cell r="T348" t="str">
            <v>-</v>
          </cell>
          <cell r="U348">
            <v>5.3699999999999998E-2</v>
          </cell>
          <cell r="V348" t="str">
            <v>-</v>
          </cell>
          <cell r="W348">
            <v>5.1900000000000002E-2</v>
          </cell>
          <cell r="X348" t="str">
            <v>-</v>
          </cell>
          <cell r="Y348">
            <v>4.07E-2</v>
          </cell>
          <cell r="AA348">
            <v>2.5855038940972221E-2</v>
          </cell>
          <cell r="AE348">
            <v>5.1710077881944441E-2</v>
          </cell>
          <cell r="AG348">
            <v>4.7400904725115739E-2</v>
          </cell>
          <cell r="AI348">
            <v>4.3091731568287037E-2</v>
          </cell>
          <cell r="AK348">
            <v>3.8782558411458334E-2</v>
          </cell>
          <cell r="AL348" t="str">
            <v>Austria Mobile</v>
          </cell>
        </row>
        <row r="349">
          <cell r="N349" t="str">
            <v>DOM AUT AUPSN</v>
          </cell>
          <cell r="O349" t="str">
            <v>minute</v>
          </cell>
          <cell r="P349" t="str">
            <v>-</v>
          </cell>
          <cell r="Q349">
            <v>1.7000000000000001E-2</v>
          </cell>
          <cell r="R349" t="str">
            <v>-</v>
          </cell>
          <cell r="S349">
            <v>1.7000000000000001E-2</v>
          </cell>
          <cell r="T349" t="str">
            <v>-</v>
          </cell>
          <cell r="U349">
            <v>1.7000000000000001E-2</v>
          </cell>
          <cell r="V349" t="str">
            <v>-</v>
          </cell>
          <cell r="W349">
            <v>1.7000000000000001E-2</v>
          </cell>
          <cell r="X349" t="str">
            <v>-</v>
          </cell>
          <cell r="Y349">
            <v>1.47E-2</v>
          </cell>
          <cell r="AA349">
            <v>1.5755038940972223E-2</v>
          </cell>
          <cell r="AE349">
            <v>1.7000000000000001E-2</v>
          </cell>
          <cell r="AG349">
            <v>1.7000000000000001E-2</v>
          </cell>
          <cell r="AI349">
            <v>1.7000000000000001E-2</v>
          </cell>
          <cell r="AK349">
            <v>1.7000000000000001E-2</v>
          </cell>
          <cell r="AL349" t="str">
            <v xml:space="preserve">Austria Personal              </v>
          </cell>
        </row>
        <row r="350">
          <cell r="N350" t="str">
            <v>DOM AUT AUSOS</v>
          </cell>
          <cell r="O350" t="str">
            <v>minute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 t="str">
            <v>-</v>
          </cell>
          <cell r="V350" t="str">
            <v>-</v>
          </cell>
          <cell r="W350" t="str">
            <v>-</v>
          </cell>
          <cell r="X350" t="str">
            <v>-</v>
          </cell>
          <cell r="Y350" t="str">
            <v>-</v>
          </cell>
          <cell r="AA350">
            <v>2.4555038940972225E-2</v>
          </cell>
          <cell r="AE350">
            <v>0</v>
          </cell>
          <cell r="AG350">
            <v>0</v>
          </cell>
          <cell r="AI350">
            <v>0</v>
          </cell>
          <cell r="AK350">
            <v>0</v>
          </cell>
          <cell r="AL350" t="str">
            <v xml:space="preserve">Austria Emergency             </v>
          </cell>
        </row>
        <row r="351">
          <cell r="N351" t="str">
            <v>DOM AUT ZAUT0</v>
          </cell>
          <cell r="O351" t="str">
            <v>minute</v>
          </cell>
          <cell r="P351" t="str">
            <v>-</v>
          </cell>
          <cell r="Q351">
            <v>1.44E-2</v>
          </cell>
          <cell r="R351" t="str">
            <v>-</v>
          </cell>
          <cell r="S351">
            <v>1.4E-2</v>
          </cell>
          <cell r="T351" t="str">
            <v>-</v>
          </cell>
          <cell r="U351">
            <v>1.34E-2</v>
          </cell>
          <cell r="V351" t="str">
            <v>-</v>
          </cell>
          <cell r="W351">
            <v>1.3299999999999999E-2</v>
          </cell>
          <cell r="X351" t="str">
            <v>-</v>
          </cell>
          <cell r="Y351">
            <v>1.2699999999999999E-2</v>
          </cell>
          <cell r="AA351">
            <v>2.4555038940972225E-2</v>
          </cell>
          <cell r="AE351">
            <v>2.9466046729166667E-2</v>
          </cell>
          <cell r="AG351">
            <v>2.9056796080150465E-2</v>
          </cell>
          <cell r="AI351">
            <v>2.864754543113426E-2</v>
          </cell>
          <cell r="AK351">
            <v>2.8238294782118055E-2</v>
          </cell>
          <cell r="AL351" t="str">
            <v xml:space="preserve">Austria National              </v>
          </cell>
        </row>
        <row r="352">
          <cell r="N352" t="str">
            <v>DOM AUT AUM0</v>
          </cell>
          <cell r="O352" t="str">
            <v>minute</v>
          </cell>
          <cell r="P352" t="str">
            <v>-</v>
          </cell>
          <cell r="Q352">
            <v>5.4100000000000002E-2</v>
          </cell>
          <cell r="R352" t="str">
            <v>-</v>
          </cell>
          <cell r="S352">
            <v>5.2499999999999998E-2</v>
          </cell>
          <cell r="T352" t="str">
            <v>-</v>
          </cell>
          <cell r="U352">
            <v>5.0299999999999997E-2</v>
          </cell>
          <cell r="V352" t="str">
            <v>-</v>
          </cell>
          <cell r="W352">
            <v>4.87E-2</v>
          </cell>
          <cell r="X352" t="str">
            <v>-</v>
          </cell>
          <cell r="Y352">
            <v>4.07E-2</v>
          </cell>
          <cell r="AA352">
            <v>2.5855038940972221E-2</v>
          </cell>
          <cell r="AE352">
            <v>5.1710077881944441E-2</v>
          </cell>
          <cell r="AG352">
            <v>4.7400904725115739E-2</v>
          </cell>
          <cell r="AI352">
            <v>4.3091731568287037E-2</v>
          </cell>
          <cell r="AK352">
            <v>3.8782558411458334E-2</v>
          </cell>
          <cell r="AL352" t="str">
            <v>Austria Mobile</v>
          </cell>
        </row>
        <row r="353">
          <cell r="N353" t="str">
            <v>DOM AUT AUWC</v>
          </cell>
          <cell r="O353" t="str">
            <v>minute</v>
          </cell>
          <cell r="Y353">
            <v>2.4555038940972225E-2</v>
          </cell>
          <cell r="AA353">
            <v>2.4555038940972225E-2</v>
          </cell>
          <cell r="AE353">
            <v>0</v>
          </cell>
          <cell r="AG353">
            <v>0</v>
          </cell>
          <cell r="AI353">
            <v>0</v>
          </cell>
          <cell r="AK353">
            <v>0</v>
          </cell>
          <cell r="AL353" t="str">
            <v>Austria Warning Center</v>
          </cell>
        </row>
        <row r="354">
          <cell r="N354" t="str">
            <v>DOM AUT AUMR</v>
          </cell>
          <cell r="O354" t="str">
            <v>minute</v>
          </cell>
          <cell r="Y354">
            <v>2.4555038940972225E-2</v>
          </cell>
          <cell r="AA354">
            <v>2.4555038940972225E-2</v>
          </cell>
          <cell r="AE354">
            <v>0</v>
          </cell>
          <cell r="AG354">
            <v>0</v>
          </cell>
          <cell r="AI354">
            <v>0</v>
          </cell>
          <cell r="AK354">
            <v>0</v>
          </cell>
          <cell r="AL354" t="str">
            <v>Austria Mountain Rescue</v>
          </cell>
        </row>
        <row r="355">
          <cell r="N355" t="str">
            <v>DOM AUT AUNS</v>
          </cell>
          <cell r="O355" t="str">
            <v>minute</v>
          </cell>
          <cell r="Y355">
            <v>2.4555038940972225E-2</v>
          </cell>
          <cell r="AA355">
            <v>2.4555038940972225E-2</v>
          </cell>
          <cell r="AE355">
            <v>0</v>
          </cell>
          <cell r="AG355">
            <v>0</v>
          </cell>
          <cell r="AI355">
            <v>0</v>
          </cell>
          <cell r="AK355">
            <v>0</v>
          </cell>
          <cell r="AL355" t="str">
            <v xml:space="preserve">Austria National Support Line </v>
          </cell>
        </row>
        <row r="356">
          <cell r="N356" t="str">
            <v>DOM AUT AUNCS</v>
          </cell>
          <cell r="O356" t="str">
            <v>minute</v>
          </cell>
          <cell r="Y356">
            <v>2.4555038940972225E-2</v>
          </cell>
          <cell r="AA356">
            <v>2.4555038940972225E-2</v>
          </cell>
          <cell r="AE356">
            <v>0</v>
          </cell>
          <cell r="AG356">
            <v>0</v>
          </cell>
          <cell r="AI356">
            <v>0</v>
          </cell>
          <cell r="AK356">
            <v>0</v>
          </cell>
          <cell r="AL356" t="str">
            <v>Austria National Child Support Line</v>
          </cell>
        </row>
        <row r="357">
          <cell r="N357" t="str">
            <v>DOM AUT AUNAS</v>
          </cell>
          <cell r="O357" t="str">
            <v>minute</v>
          </cell>
          <cell r="Y357">
            <v>2.4555038940972225E-2</v>
          </cell>
          <cell r="AA357">
            <v>2.4555038940972225E-2</v>
          </cell>
          <cell r="AE357">
            <v>6.1387597352430559E-2</v>
          </cell>
          <cell r="AG357">
            <v>5.8932093458333348E-2</v>
          </cell>
          <cell r="AI357">
            <v>5.6476589564236124E-2</v>
          </cell>
          <cell r="AK357">
            <v>5.4021085670138899E-2</v>
          </cell>
          <cell r="AL357" t="str">
            <v>Austria National Ambulance Service</v>
          </cell>
        </row>
        <row r="358">
          <cell r="N358" t="str">
            <v>DOM AUT AUEUS</v>
          </cell>
          <cell r="O358" t="str">
            <v>minute</v>
          </cell>
          <cell r="Y358">
            <v>2.4555038940972225E-2</v>
          </cell>
          <cell r="AA358">
            <v>2.4555038940972225E-2</v>
          </cell>
          <cell r="AE358">
            <v>0</v>
          </cell>
          <cell r="AG358">
            <v>0</v>
          </cell>
          <cell r="AI358">
            <v>0</v>
          </cell>
          <cell r="AK358">
            <v>0</v>
          </cell>
          <cell r="AL358" t="str">
            <v>Austria Eu Harmonized Helpline Service</v>
          </cell>
        </row>
        <row r="359">
          <cell r="N359" t="str">
            <v>DOM AUT AUPR</v>
          </cell>
          <cell r="O359" t="str">
            <v>minute</v>
          </cell>
          <cell r="Y359">
            <v>2.4555038940972225E-2</v>
          </cell>
          <cell r="AA359">
            <v>2.4555038940972225E-2</v>
          </cell>
          <cell r="AE359">
            <v>4.911007788194445E-2</v>
          </cell>
          <cell r="AG359">
            <v>4.5017571391782418E-2</v>
          </cell>
          <cell r="AI359">
            <v>4.0925064901620373E-2</v>
          </cell>
          <cell r="AK359">
            <v>3.6832558411458341E-2</v>
          </cell>
          <cell r="AL359" t="str">
            <v>Austria Online Services Number</v>
          </cell>
        </row>
        <row r="360">
          <cell r="N360" t="str">
            <v>DOM AUT AUCS</v>
          </cell>
          <cell r="O360" t="str">
            <v>minute</v>
          </cell>
          <cell r="Y360">
            <v>1.5755038940972223E-2</v>
          </cell>
          <cell r="AA360">
            <v>1.5755038940972223E-2</v>
          </cell>
          <cell r="AE360">
            <v>3.1510077881944445E-2</v>
          </cell>
          <cell r="AG360">
            <v>2.8884238058449078E-2</v>
          </cell>
          <cell r="AI360">
            <v>2.6258398234953708E-2</v>
          </cell>
          <cell r="AK360">
            <v>2.3632558411458334E-2</v>
          </cell>
          <cell r="AL360" t="str">
            <v>Austria Convergent Service</v>
          </cell>
        </row>
      </sheetData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list"/>
      <sheetName val="Main menu"/>
      <sheetName val="Change Control"/>
      <sheetName val="PSTN Termination"/>
      <sheetName val="PSTN"/>
      <sheetName val="Toll Free"/>
      <sheetName val="UIFN"/>
      <sheetName val="Data (hide)"/>
      <sheetName val="Toll Share Surcharge"/>
      <sheetName val="FCC &amp; MVP"/>
      <sheetName val="Managed On-net"/>
      <sheetName val="Off-net Domestic_Std"/>
      <sheetName val="Off-net International_Std"/>
      <sheetName val="Off-net Domestic_Regulated"/>
      <sheetName val="Network Routing (IN)"/>
      <sheetName val="Network Contact Manager (NCM)"/>
      <sheetName val="Off-net Intl_Regulated"/>
      <sheetName val="Business Talk Mobile"/>
      <sheetName val="Value Added Services (VAS)"/>
      <sheetName val="DID number ranges"/>
      <sheetName val="Voice site installation"/>
      <sheetName val="Billing reference"/>
      <sheetName val="Off-Net domestic dial plan"/>
      <sheetName val="Off-Net Intl Dial Plan"/>
      <sheetName val="FCC_Standard offer"/>
      <sheetName val="FCC_Standard offer  Options"/>
      <sheetName val="FCC_Packs  "/>
      <sheetName val="Country &amp; dest. codes"/>
      <sheetName val="Non Std Change Contro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ology"/>
      <sheetName val="Summary  Sim"/>
      <sheetName val="Sim changes"/>
      <sheetName val="Summary - reg manager"/>
      <sheetName val="Data"/>
      <sheetName val="RS TS mapping"/>
      <sheetName val="country mapping"/>
      <sheetName val="PB Y18 v1.4"/>
      <sheetName val="V19 v14.95"/>
      <sheetName val="future costs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A7" t="str">
            <v>country</v>
          </cell>
          <cell r="B7" t="str">
            <v>region</v>
          </cell>
          <cell r="C7" t="str">
            <v>customer-specific region</v>
          </cell>
          <cell r="D7" t="str">
            <v>billing country code</v>
          </cell>
          <cell r="E7" t="str">
            <v>ISO-3 country code</v>
          </cell>
          <cell r="F7" t="str">
            <v>ISO-2 country code</v>
          </cell>
        </row>
        <row r="8">
          <cell r="A8" t="str">
            <v>Afghanistan</v>
          </cell>
          <cell r="B8" t="str">
            <v>RoW 2</v>
          </cell>
          <cell r="D8" t="str">
            <v>AFG</v>
          </cell>
          <cell r="E8" t="str">
            <v>AFG</v>
          </cell>
          <cell r="F8" t="str">
            <v>AF</v>
          </cell>
        </row>
        <row r="9">
          <cell r="A9" t="str">
            <v>Albania</v>
          </cell>
          <cell r="B9" t="str">
            <v>Eur 2</v>
          </cell>
          <cell r="D9" t="str">
            <v>ALB</v>
          </cell>
          <cell r="E9" t="str">
            <v>ALB</v>
          </cell>
          <cell r="F9" t="str">
            <v>AL</v>
          </cell>
        </row>
        <row r="10">
          <cell r="A10" t="str">
            <v>Algeria</v>
          </cell>
          <cell r="B10" t="str">
            <v>RoW 2</v>
          </cell>
          <cell r="D10" t="str">
            <v>DZA</v>
          </cell>
          <cell r="E10" t="str">
            <v>DZA</v>
          </cell>
          <cell r="F10" t="str">
            <v>DZ</v>
          </cell>
        </row>
        <row r="11">
          <cell r="A11" t="str">
            <v>All other routes</v>
          </cell>
          <cell r="B11" t="str">
            <v>RoW 2</v>
          </cell>
          <cell r="D11" t="str">
            <v>AOR</v>
          </cell>
          <cell r="E11" t="str">
            <v>na</v>
          </cell>
          <cell r="F11" t="str">
            <v>na</v>
          </cell>
        </row>
        <row r="12">
          <cell r="A12" t="str">
            <v>American Samoa</v>
          </cell>
          <cell r="B12" t="str">
            <v>RoW 2</v>
          </cell>
          <cell r="D12" t="str">
            <v>ASM</v>
          </cell>
          <cell r="E12" t="str">
            <v>ASM</v>
          </cell>
          <cell r="F12" t="str">
            <v>AS</v>
          </cell>
        </row>
        <row r="13">
          <cell r="A13" t="str">
            <v>Andorra</v>
          </cell>
          <cell r="B13" t="str">
            <v>Eur 2</v>
          </cell>
          <cell r="D13" t="str">
            <v>AND</v>
          </cell>
          <cell r="E13" t="str">
            <v>AND</v>
          </cell>
          <cell r="F13" t="str">
            <v>AD</v>
          </cell>
        </row>
        <row r="14">
          <cell r="A14" t="str">
            <v>Angola</v>
          </cell>
          <cell r="B14" t="str">
            <v>RoW 2</v>
          </cell>
          <cell r="D14" t="str">
            <v>AGO</v>
          </cell>
          <cell r="E14" t="str">
            <v>AGO</v>
          </cell>
          <cell r="F14" t="str">
            <v>AO</v>
          </cell>
        </row>
        <row r="15">
          <cell r="A15" t="str">
            <v>Anguilla</v>
          </cell>
          <cell r="B15" t="str">
            <v>RoW 2</v>
          </cell>
          <cell r="D15" t="str">
            <v>AIA</v>
          </cell>
          <cell r="E15" t="str">
            <v>AIA</v>
          </cell>
          <cell r="F15" t="str">
            <v>AI</v>
          </cell>
        </row>
        <row r="16">
          <cell r="A16" t="str">
            <v>Antarctica</v>
          </cell>
          <cell r="B16" t="str">
            <v>RoW 2</v>
          </cell>
          <cell r="D16" t="str">
            <v>ATA</v>
          </cell>
          <cell r="E16" t="str">
            <v>ATA</v>
          </cell>
          <cell r="F16" t="str">
            <v>AQ</v>
          </cell>
        </row>
        <row r="17">
          <cell r="A17" t="str">
            <v>Antigua &amp; Barbuda</v>
          </cell>
          <cell r="B17" t="str">
            <v>RoW 2</v>
          </cell>
          <cell r="D17" t="str">
            <v>ATG</v>
          </cell>
          <cell r="E17" t="str">
            <v>ATG</v>
          </cell>
          <cell r="F17" t="str">
            <v>AG</v>
          </cell>
        </row>
        <row r="18">
          <cell r="A18" t="str">
            <v>Argentina</v>
          </cell>
          <cell r="B18" t="str">
            <v>LAM</v>
          </cell>
          <cell r="D18" t="str">
            <v>ARG</v>
          </cell>
          <cell r="E18" t="str">
            <v>ARG</v>
          </cell>
          <cell r="F18" t="str">
            <v>AR</v>
          </cell>
        </row>
        <row r="19">
          <cell r="A19" t="str">
            <v>Armenia</v>
          </cell>
          <cell r="B19" t="str">
            <v>RoW 1</v>
          </cell>
          <cell r="D19" t="str">
            <v>ARM</v>
          </cell>
          <cell r="E19" t="str">
            <v>ARM</v>
          </cell>
          <cell r="F19" t="str">
            <v>AM</v>
          </cell>
        </row>
        <row r="20">
          <cell r="A20" t="str">
            <v>Aruba</v>
          </cell>
          <cell r="B20" t="str">
            <v>RoW 2</v>
          </cell>
          <cell r="D20" t="str">
            <v>ABW</v>
          </cell>
          <cell r="E20" t="str">
            <v>ABW</v>
          </cell>
          <cell r="F20" t="str">
            <v>AW</v>
          </cell>
        </row>
        <row r="21">
          <cell r="A21" t="str">
            <v>Ascension Is</v>
          </cell>
          <cell r="B21" t="str">
            <v>RoW 2</v>
          </cell>
          <cell r="D21" t="str">
            <v>ASC</v>
          </cell>
          <cell r="E21" t="str">
            <v>ASC</v>
          </cell>
          <cell r="F21" t="str">
            <v>AC</v>
          </cell>
        </row>
        <row r="22">
          <cell r="A22" t="str">
            <v>Australia</v>
          </cell>
          <cell r="B22" t="str">
            <v>Asia 1</v>
          </cell>
          <cell r="D22" t="str">
            <v>AUS</v>
          </cell>
          <cell r="E22" t="str">
            <v>AUS</v>
          </cell>
          <cell r="F22" t="str">
            <v>AU</v>
          </cell>
        </row>
        <row r="23">
          <cell r="A23" t="str">
            <v>Austria</v>
          </cell>
          <cell r="B23" t="str">
            <v>Eur 1</v>
          </cell>
          <cell r="D23" t="str">
            <v>AUT</v>
          </cell>
          <cell r="E23" t="str">
            <v>AUT</v>
          </cell>
          <cell r="F23" t="str">
            <v>AT</v>
          </cell>
        </row>
        <row r="24">
          <cell r="A24" t="str">
            <v>Azerbaijan</v>
          </cell>
          <cell r="B24" t="str">
            <v>Eur 2</v>
          </cell>
          <cell r="D24" t="str">
            <v>AZE</v>
          </cell>
          <cell r="E24" t="str">
            <v>AZE</v>
          </cell>
          <cell r="F24" t="str">
            <v>AZ</v>
          </cell>
        </row>
        <row r="25">
          <cell r="A25" t="str">
            <v>Bahamas</v>
          </cell>
          <cell r="B25" t="str">
            <v>RoW 2</v>
          </cell>
          <cell r="D25" t="str">
            <v>BHS</v>
          </cell>
          <cell r="E25" t="str">
            <v>BHS</v>
          </cell>
          <cell r="F25" t="str">
            <v>BS</v>
          </cell>
        </row>
        <row r="26">
          <cell r="A26" t="str">
            <v>Bahrain</v>
          </cell>
          <cell r="B26" t="str">
            <v>RoW 1</v>
          </cell>
          <cell r="D26" t="str">
            <v>BHR</v>
          </cell>
          <cell r="E26" t="str">
            <v>BHR</v>
          </cell>
          <cell r="F26" t="str">
            <v>BH</v>
          </cell>
        </row>
        <row r="27">
          <cell r="A27" t="str">
            <v>Bangladesh</v>
          </cell>
          <cell r="B27" t="str">
            <v>RoW 2</v>
          </cell>
          <cell r="D27" t="str">
            <v>BGD</v>
          </cell>
          <cell r="E27" t="str">
            <v>BGD</v>
          </cell>
          <cell r="F27" t="str">
            <v>BD</v>
          </cell>
        </row>
        <row r="28">
          <cell r="A28" t="str">
            <v>Barbados</v>
          </cell>
          <cell r="B28" t="str">
            <v>RoW 2</v>
          </cell>
          <cell r="D28" t="str">
            <v>BRB</v>
          </cell>
          <cell r="E28" t="str">
            <v>BRB</v>
          </cell>
          <cell r="F28" t="str">
            <v>BB</v>
          </cell>
        </row>
        <row r="29">
          <cell r="A29" t="str">
            <v>Belarus</v>
          </cell>
          <cell r="B29" t="str">
            <v>Eur 2</v>
          </cell>
          <cell r="D29" t="str">
            <v>BLR</v>
          </cell>
          <cell r="E29" t="str">
            <v>BLR</v>
          </cell>
          <cell r="F29" t="str">
            <v>BY</v>
          </cell>
        </row>
        <row r="30">
          <cell r="A30" t="str">
            <v>Belgium</v>
          </cell>
          <cell r="B30" t="str">
            <v>Eur 1</v>
          </cell>
          <cell r="D30" t="str">
            <v>BEL</v>
          </cell>
          <cell r="E30" t="str">
            <v>BEL</v>
          </cell>
          <cell r="F30" t="str">
            <v>BE</v>
          </cell>
        </row>
        <row r="31">
          <cell r="A31" t="str">
            <v>Belize</v>
          </cell>
          <cell r="B31" t="str">
            <v>RoW 2</v>
          </cell>
          <cell r="D31" t="str">
            <v>BLZ</v>
          </cell>
          <cell r="E31" t="str">
            <v>BLZ</v>
          </cell>
          <cell r="F31" t="str">
            <v>BZ</v>
          </cell>
        </row>
        <row r="32">
          <cell r="A32" t="str">
            <v>Benin</v>
          </cell>
          <cell r="B32" t="str">
            <v>RoW 2</v>
          </cell>
          <cell r="D32" t="str">
            <v>BEN</v>
          </cell>
          <cell r="E32" t="str">
            <v>BEN</v>
          </cell>
          <cell r="F32" t="str">
            <v>BJ</v>
          </cell>
        </row>
        <row r="33">
          <cell r="A33" t="str">
            <v>Bermuda</v>
          </cell>
          <cell r="B33" t="str">
            <v>RoW 2</v>
          </cell>
          <cell r="D33" t="str">
            <v>BMU</v>
          </cell>
          <cell r="E33" t="str">
            <v>BMU</v>
          </cell>
          <cell r="F33" t="str">
            <v>BM</v>
          </cell>
        </row>
        <row r="34">
          <cell r="A34" t="str">
            <v>Bhutan</v>
          </cell>
          <cell r="B34" t="str">
            <v>RoW 2</v>
          </cell>
          <cell r="D34" t="str">
            <v>BTN</v>
          </cell>
          <cell r="E34" t="str">
            <v>BTN</v>
          </cell>
          <cell r="F34" t="str">
            <v>BT</v>
          </cell>
        </row>
        <row r="35">
          <cell r="A35" t="str">
            <v>Bolivia</v>
          </cell>
          <cell r="B35" t="str">
            <v>RoW 2</v>
          </cell>
          <cell r="D35" t="str">
            <v>BOL</v>
          </cell>
          <cell r="E35" t="str">
            <v>BOL</v>
          </cell>
          <cell r="F35" t="str">
            <v>BO</v>
          </cell>
        </row>
        <row r="36">
          <cell r="A36" t="str">
            <v>Bonaire St Eusta Saba</v>
          </cell>
          <cell r="B36" t="str">
            <v>RoW 2</v>
          </cell>
          <cell r="D36" t="str">
            <v>BES</v>
          </cell>
          <cell r="E36" t="str">
            <v>BES</v>
          </cell>
          <cell r="F36" t="str">
            <v>AN</v>
          </cell>
        </row>
        <row r="37">
          <cell r="A37" t="str">
            <v>Bosnia &amp; Herzegovina</v>
          </cell>
          <cell r="B37" t="str">
            <v>Eur 2</v>
          </cell>
          <cell r="D37" t="str">
            <v>BIH</v>
          </cell>
          <cell r="E37" t="str">
            <v>BIH</v>
          </cell>
          <cell r="F37" t="str">
            <v>BA</v>
          </cell>
        </row>
        <row r="38">
          <cell r="A38" t="str">
            <v>Botswana</v>
          </cell>
          <cell r="B38" t="str">
            <v>RoW 2</v>
          </cell>
          <cell r="D38" t="str">
            <v>BWA</v>
          </cell>
          <cell r="E38" t="str">
            <v>BWA</v>
          </cell>
          <cell r="F38" t="str">
            <v>BW</v>
          </cell>
        </row>
        <row r="39">
          <cell r="A39" t="str">
            <v>Brazil</v>
          </cell>
          <cell r="B39" t="str">
            <v>LAM</v>
          </cell>
          <cell r="D39" t="str">
            <v>BRA</v>
          </cell>
          <cell r="E39" t="str">
            <v>BRA</v>
          </cell>
          <cell r="F39" t="str">
            <v>BR</v>
          </cell>
        </row>
        <row r="40">
          <cell r="A40" t="str">
            <v>Brunei</v>
          </cell>
          <cell r="B40" t="str">
            <v>RoW 2</v>
          </cell>
          <cell r="D40" t="str">
            <v>BRN</v>
          </cell>
          <cell r="E40" t="str">
            <v>BRN</v>
          </cell>
          <cell r="F40" t="str">
            <v>BN</v>
          </cell>
        </row>
        <row r="41">
          <cell r="A41" t="str">
            <v>Bulgaria</v>
          </cell>
          <cell r="B41" t="str">
            <v>Eur 2</v>
          </cell>
          <cell r="D41" t="str">
            <v>BGR</v>
          </cell>
          <cell r="E41" t="str">
            <v>BGR</v>
          </cell>
          <cell r="F41" t="str">
            <v>BG</v>
          </cell>
        </row>
        <row r="42">
          <cell r="A42" t="str">
            <v>Burkina Faso</v>
          </cell>
          <cell r="B42" t="str">
            <v>RoW 2</v>
          </cell>
          <cell r="D42" t="str">
            <v>BFA</v>
          </cell>
          <cell r="E42" t="str">
            <v>BFA</v>
          </cell>
          <cell r="F42" t="str">
            <v>BF</v>
          </cell>
        </row>
        <row r="43">
          <cell r="A43" t="str">
            <v>Burundi</v>
          </cell>
          <cell r="B43" t="str">
            <v>RoW 2</v>
          </cell>
          <cell r="D43" t="str">
            <v>BDI</v>
          </cell>
          <cell r="E43" t="str">
            <v>BDI</v>
          </cell>
          <cell r="F43" t="str">
            <v>BI</v>
          </cell>
        </row>
        <row r="44">
          <cell r="A44" t="str">
            <v>Cambodia</v>
          </cell>
          <cell r="B44" t="str">
            <v>RoW 2</v>
          </cell>
          <cell r="D44" t="str">
            <v>KHM</v>
          </cell>
          <cell r="E44" t="str">
            <v>KHM</v>
          </cell>
          <cell r="F44" t="str">
            <v>KH</v>
          </cell>
        </row>
        <row r="45">
          <cell r="A45" t="str">
            <v>Cameroon</v>
          </cell>
          <cell r="B45" t="str">
            <v>RoW 2</v>
          </cell>
          <cell r="D45" t="str">
            <v>CMR</v>
          </cell>
          <cell r="E45" t="str">
            <v>CMR</v>
          </cell>
          <cell r="F45" t="str">
            <v>CM</v>
          </cell>
        </row>
        <row r="46">
          <cell r="A46" t="str">
            <v>Canada</v>
          </cell>
          <cell r="B46" t="str">
            <v>NAM</v>
          </cell>
          <cell r="D46" t="str">
            <v>CAN</v>
          </cell>
          <cell r="E46" t="str">
            <v>CAN</v>
          </cell>
          <cell r="F46" t="str">
            <v>CA</v>
          </cell>
        </row>
        <row r="47">
          <cell r="A47" t="str">
            <v>Cape Verde</v>
          </cell>
          <cell r="B47" t="str">
            <v>RoW 2</v>
          </cell>
          <cell r="D47" t="str">
            <v>CPV</v>
          </cell>
          <cell r="E47" t="str">
            <v>CPV</v>
          </cell>
          <cell r="F47" t="str">
            <v>CV</v>
          </cell>
        </row>
        <row r="48">
          <cell r="A48" t="str">
            <v>Cayman Is</v>
          </cell>
          <cell r="B48" t="str">
            <v>RoW 2</v>
          </cell>
          <cell r="D48" t="str">
            <v>CYM</v>
          </cell>
          <cell r="E48" t="str">
            <v>CYM</v>
          </cell>
          <cell r="F48" t="str">
            <v>KY</v>
          </cell>
        </row>
        <row r="49">
          <cell r="A49" t="str">
            <v>Central African Republic</v>
          </cell>
          <cell r="B49" t="str">
            <v>RoW 2</v>
          </cell>
          <cell r="D49" t="str">
            <v>CAF</v>
          </cell>
          <cell r="E49" t="str">
            <v>CAF</v>
          </cell>
          <cell r="F49" t="str">
            <v>CF</v>
          </cell>
        </row>
        <row r="50">
          <cell r="A50" t="str">
            <v>Chad</v>
          </cell>
          <cell r="B50" t="str">
            <v>RoW 2</v>
          </cell>
          <cell r="D50" t="str">
            <v>TCD</v>
          </cell>
          <cell r="E50" t="str">
            <v>TCD</v>
          </cell>
          <cell r="F50" t="str">
            <v>TD</v>
          </cell>
        </row>
        <row r="51">
          <cell r="A51" t="str">
            <v>Chile</v>
          </cell>
          <cell r="B51" t="str">
            <v>LAM</v>
          </cell>
          <cell r="D51" t="str">
            <v>CHL</v>
          </cell>
          <cell r="E51" t="str">
            <v>CHL</v>
          </cell>
          <cell r="F51" t="str">
            <v>CL</v>
          </cell>
        </row>
        <row r="52">
          <cell r="A52" t="str">
            <v>China</v>
          </cell>
          <cell r="B52" t="str">
            <v>Asia 1</v>
          </cell>
          <cell r="D52" t="str">
            <v>CHN</v>
          </cell>
          <cell r="E52" t="str">
            <v>CHN</v>
          </cell>
          <cell r="F52" t="str">
            <v>CN</v>
          </cell>
        </row>
        <row r="53">
          <cell r="A53" t="str">
            <v>Colombia</v>
          </cell>
          <cell r="B53" t="str">
            <v>RoW 1</v>
          </cell>
          <cell r="D53" t="str">
            <v>COL</v>
          </cell>
          <cell r="E53" t="str">
            <v>COL</v>
          </cell>
          <cell r="F53" t="str">
            <v>CO</v>
          </cell>
        </row>
        <row r="54">
          <cell r="A54" t="str">
            <v>Comoros</v>
          </cell>
          <cell r="B54" t="str">
            <v>RoW 2</v>
          </cell>
          <cell r="D54" t="str">
            <v>COM</v>
          </cell>
          <cell r="E54" t="str">
            <v>COM</v>
          </cell>
          <cell r="F54" t="str">
            <v>KM</v>
          </cell>
        </row>
        <row r="55">
          <cell r="A55" t="str">
            <v>Congo</v>
          </cell>
          <cell r="B55" t="str">
            <v>RoW 2</v>
          </cell>
          <cell r="D55" t="str">
            <v>COG</v>
          </cell>
          <cell r="E55" t="str">
            <v>COG</v>
          </cell>
          <cell r="F55" t="str">
            <v>CG</v>
          </cell>
        </row>
        <row r="56">
          <cell r="A56" t="str">
            <v>Congo Dem. Rep.</v>
          </cell>
          <cell r="B56" t="str">
            <v>RoW 2</v>
          </cell>
          <cell r="D56" t="str">
            <v>COD</v>
          </cell>
          <cell r="E56" t="str">
            <v>COD</v>
          </cell>
          <cell r="F56" t="str">
            <v>CD</v>
          </cell>
        </row>
        <row r="57">
          <cell r="A57" t="str">
            <v>Cook Is</v>
          </cell>
          <cell r="B57" t="str">
            <v>RoW 2</v>
          </cell>
          <cell r="D57" t="str">
            <v>COK</v>
          </cell>
          <cell r="E57" t="str">
            <v>COK</v>
          </cell>
          <cell r="F57" t="str">
            <v>CK</v>
          </cell>
        </row>
        <row r="58">
          <cell r="A58" t="str">
            <v>Costa Rica</v>
          </cell>
          <cell r="B58" t="str">
            <v>RoW 2</v>
          </cell>
          <cell r="D58" t="str">
            <v>CRI</v>
          </cell>
          <cell r="E58" t="str">
            <v>CRI</v>
          </cell>
          <cell r="F58" t="str">
            <v>CR</v>
          </cell>
        </row>
        <row r="59">
          <cell r="A59" t="str">
            <v>Cote d'Ivoire</v>
          </cell>
          <cell r="B59" t="str">
            <v>RoW 2</v>
          </cell>
          <cell r="D59" t="str">
            <v>CIV</v>
          </cell>
          <cell r="E59" t="str">
            <v>CIV</v>
          </cell>
          <cell r="F59" t="str">
            <v>CI</v>
          </cell>
        </row>
        <row r="60">
          <cell r="A60" t="str">
            <v>Croatia</v>
          </cell>
          <cell r="B60" t="str">
            <v>Eur 2</v>
          </cell>
          <cell r="D60" t="str">
            <v>HRV</v>
          </cell>
          <cell r="E60" t="str">
            <v>HRV</v>
          </cell>
          <cell r="F60" t="str">
            <v>HR</v>
          </cell>
        </row>
        <row r="61">
          <cell r="A61" t="str">
            <v>Cuba</v>
          </cell>
          <cell r="B61" t="str">
            <v>RoW 2</v>
          </cell>
          <cell r="D61" t="str">
            <v>CUB</v>
          </cell>
          <cell r="E61" t="str">
            <v>CUB</v>
          </cell>
          <cell r="F61" t="str">
            <v>CU</v>
          </cell>
        </row>
        <row r="62">
          <cell r="A62" t="str">
            <v>Curaçao</v>
          </cell>
          <cell r="B62" t="str">
            <v>RoW 2</v>
          </cell>
          <cell r="D62" t="str">
            <v>CUW</v>
          </cell>
          <cell r="E62" t="str">
            <v>CUW</v>
          </cell>
        </row>
        <row r="63">
          <cell r="A63" t="str">
            <v>Cyprus</v>
          </cell>
          <cell r="B63" t="str">
            <v>RoW 2</v>
          </cell>
          <cell r="D63" t="str">
            <v>CYP</v>
          </cell>
          <cell r="E63" t="str">
            <v>CYP</v>
          </cell>
          <cell r="F63" t="str">
            <v>CY</v>
          </cell>
        </row>
        <row r="64">
          <cell r="A64" t="str">
            <v>Czech Republic</v>
          </cell>
          <cell r="B64" t="str">
            <v>Eur 2</v>
          </cell>
          <cell r="D64" t="str">
            <v>CZE</v>
          </cell>
          <cell r="E64" t="str">
            <v>CZE</v>
          </cell>
          <cell r="F64" t="str">
            <v>CZ</v>
          </cell>
        </row>
        <row r="65">
          <cell r="A65" t="str">
            <v>Denmark</v>
          </cell>
          <cell r="B65" t="str">
            <v>Eur 1</v>
          </cell>
          <cell r="D65" t="str">
            <v>DNK</v>
          </cell>
          <cell r="E65" t="str">
            <v>DNK</v>
          </cell>
          <cell r="F65" t="str">
            <v>DK</v>
          </cell>
        </row>
        <row r="66">
          <cell r="A66" t="str">
            <v>Diego Garcia</v>
          </cell>
          <cell r="B66" t="str">
            <v>RoW 2</v>
          </cell>
          <cell r="D66" t="str">
            <v>IOT</v>
          </cell>
          <cell r="E66" t="str">
            <v>DGA</v>
          </cell>
          <cell r="F66" t="str">
            <v>IO</v>
          </cell>
        </row>
        <row r="67">
          <cell r="A67" t="str">
            <v>Djibouti</v>
          </cell>
          <cell r="B67" t="str">
            <v>RoW 2</v>
          </cell>
          <cell r="D67" t="str">
            <v>DJI</v>
          </cell>
          <cell r="E67" t="str">
            <v>DJI</v>
          </cell>
          <cell r="F67" t="str">
            <v>DJ</v>
          </cell>
        </row>
        <row r="68">
          <cell r="A68" t="str">
            <v>Dominica</v>
          </cell>
          <cell r="B68" t="str">
            <v>RoW 2</v>
          </cell>
          <cell r="D68" t="str">
            <v>DMA</v>
          </cell>
          <cell r="E68" t="str">
            <v>DMA</v>
          </cell>
          <cell r="F68" t="str">
            <v>DM</v>
          </cell>
        </row>
        <row r="69">
          <cell r="A69" t="str">
            <v>Dominican Republic</v>
          </cell>
          <cell r="B69" t="str">
            <v>RoW 2</v>
          </cell>
          <cell r="D69" t="str">
            <v>DOM</v>
          </cell>
          <cell r="E69" t="str">
            <v>DOM</v>
          </cell>
          <cell r="F69" t="str">
            <v>DO</v>
          </cell>
        </row>
        <row r="70">
          <cell r="A70" t="str">
            <v>East Timor</v>
          </cell>
          <cell r="B70" t="str">
            <v>RoW 2</v>
          </cell>
          <cell r="D70" t="str">
            <v>TLS</v>
          </cell>
          <cell r="E70" t="str">
            <v>TLS</v>
          </cell>
          <cell r="F70" t="str">
            <v>TL</v>
          </cell>
        </row>
        <row r="71">
          <cell r="A71" t="str">
            <v>Ecuador</v>
          </cell>
          <cell r="B71" t="str">
            <v>RoW 2</v>
          </cell>
          <cell r="D71" t="str">
            <v>ECU</v>
          </cell>
          <cell r="E71" t="str">
            <v>ECU</v>
          </cell>
          <cell r="F71" t="str">
            <v>EC</v>
          </cell>
        </row>
        <row r="72">
          <cell r="A72" t="str">
            <v>Egypt</v>
          </cell>
          <cell r="B72" t="str">
            <v>RoW 1</v>
          </cell>
          <cell r="D72" t="str">
            <v>EGY</v>
          </cell>
          <cell r="E72" t="str">
            <v>EGY</v>
          </cell>
          <cell r="F72" t="str">
            <v>EG</v>
          </cell>
        </row>
        <row r="73">
          <cell r="A73" t="str">
            <v>El Salvador</v>
          </cell>
          <cell r="B73" t="str">
            <v>RoW 2</v>
          </cell>
          <cell r="D73" t="str">
            <v>SLV</v>
          </cell>
          <cell r="E73" t="str">
            <v>SLV</v>
          </cell>
          <cell r="F73" t="str">
            <v>SV</v>
          </cell>
        </row>
        <row r="74">
          <cell r="A74" t="str">
            <v>Equatorial Guinea</v>
          </cell>
          <cell r="B74" t="str">
            <v>RoW 2</v>
          </cell>
          <cell r="D74" t="str">
            <v>GNQ</v>
          </cell>
          <cell r="E74" t="str">
            <v>GNQ</v>
          </cell>
          <cell r="F74" t="str">
            <v>GQ</v>
          </cell>
        </row>
        <row r="75">
          <cell r="A75" t="str">
            <v>Eritrea</v>
          </cell>
          <cell r="B75" t="str">
            <v>RoW 2</v>
          </cell>
          <cell r="D75" t="str">
            <v>ERI</v>
          </cell>
          <cell r="E75" t="str">
            <v>ERI</v>
          </cell>
          <cell r="F75" t="str">
            <v>ER</v>
          </cell>
        </row>
        <row r="76">
          <cell r="A76" t="str">
            <v>Estonia</v>
          </cell>
          <cell r="B76" t="str">
            <v>Eur 2</v>
          </cell>
          <cell r="D76" t="str">
            <v>EST</v>
          </cell>
          <cell r="E76" t="str">
            <v>EST</v>
          </cell>
          <cell r="F76" t="str">
            <v>EE</v>
          </cell>
        </row>
        <row r="77">
          <cell r="A77" t="str">
            <v>Ethiopia</v>
          </cell>
          <cell r="B77" t="str">
            <v>RoW 2</v>
          </cell>
          <cell r="D77" t="str">
            <v>ETH</v>
          </cell>
          <cell r="E77" t="str">
            <v>ETH</v>
          </cell>
          <cell r="F77" t="str">
            <v>ET</v>
          </cell>
        </row>
        <row r="78">
          <cell r="A78" t="str">
            <v>Faeroe Is</v>
          </cell>
          <cell r="B78" t="str">
            <v>RoW 2</v>
          </cell>
          <cell r="D78" t="str">
            <v>FRO</v>
          </cell>
          <cell r="E78" t="str">
            <v>FRO</v>
          </cell>
          <cell r="F78" t="str">
            <v>FO</v>
          </cell>
        </row>
        <row r="79">
          <cell r="A79" t="str">
            <v>Falkland Is</v>
          </cell>
          <cell r="B79" t="str">
            <v>RoW 2</v>
          </cell>
          <cell r="D79" t="str">
            <v>FLK</v>
          </cell>
          <cell r="E79" t="str">
            <v>FLK</v>
          </cell>
          <cell r="F79" t="str">
            <v>FK</v>
          </cell>
        </row>
        <row r="80">
          <cell r="A80" t="str">
            <v>Fiji</v>
          </cell>
          <cell r="B80" t="str">
            <v>RoW 2</v>
          </cell>
          <cell r="D80" t="str">
            <v>FJI</v>
          </cell>
          <cell r="E80" t="str">
            <v>FJI</v>
          </cell>
          <cell r="F80" t="str">
            <v>FJ</v>
          </cell>
        </row>
        <row r="81">
          <cell r="A81" t="str">
            <v>Finland</v>
          </cell>
          <cell r="B81" t="str">
            <v>Eur 1</v>
          </cell>
          <cell r="D81" t="str">
            <v>FIN</v>
          </cell>
          <cell r="E81" t="str">
            <v>FIN</v>
          </cell>
          <cell r="F81" t="str">
            <v>FI</v>
          </cell>
        </row>
        <row r="82">
          <cell r="A82" t="str">
            <v>France</v>
          </cell>
          <cell r="B82" t="str">
            <v>Eur 1</v>
          </cell>
          <cell r="D82" t="str">
            <v>FRA</v>
          </cell>
          <cell r="E82" t="str">
            <v>FRA</v>
          </cell>
          <cell r="F82" t="str">
            <v>FR</v>
          </cell>
        </row>
        <row r="83">
          <cell r="A83" t="str">
            <v>French Guiana</v>
          </cell>
          <cell r="B83" t="str">
            <v>RoW 2</v>
          </cell>
          <cell r="D83" t="str">
            <v>GUF</v>
          </cell>
          <cell r="E83" t="str">
            <v>GUF</v>
          </cell>
          <cell r="F83" t="str">
            <v>GF</v>
          </cell>
        </row>
        <row r="84">
          <cell r="A84" t="str">
            <v>French Polynesia</v>
          </cell>
          <cell r="B84" t="str">
            <v>RoW 2</v>
          </cell>
          <cell r="D84" t="str">
            <v>PYF</v>
          </cell>
          <cell r="E84" t="str">
            <v>PYF</v>
          </cell>
          <cell r="F84" t="str">
            <v>PF</v>
          </cell>
        </row>
        <row r="85">
          <cell r="A85" t="str">
            <v>Gabon</v>
          </cell>
          <cell r="B85" t="str">
            <v>RoW 2</v>
          </cell>
          <cell r="D85" t="str">
            <v>GAB</v>
          </cell>
          <cell r="E85" t="str">
            <v>GAB</v>
          </cell>
          <cell r="F85" t="str">
            <v>GA</v>
          </cell>
        </row>
        <row r="86">
          <cell r="A86" t="str">
            <v>Gambia</v>
          </cell>
          <cell r="B86" t="str">
            <v>RoW 1</v>
          </cell>
          <cell r="D86" t="str">
            <v>GMB</v>
          </cell>
          <cell r="E86" t="str">
            <v>GMB</v>
          </cell>
          <cell r="F86" t="str">
            <v>GM</v>
          </cell>
        </row>
        <row r="87">
          <cell r="A87" t="str">
            <v>Georgia</v>
          </cell>
          <cell r="B87" t="str">
            <v>Eur 2</v>
          </cell>
          <cell r="D87" t="str">
            <v>GEO</v>
          </cell>
          <cell r="E87" t="str">
            <v>GEO</v>
          </cell>
          <cell r="F87" t="str">
            <v>GE</v>
          </cell>
        </row>
        <row r="88">
          <cell r="A88" t="str">
            <v>Germany</v>
          </cell>
          <cell r="B88" t="str">
            <v>Eur 1</v>
          </cell>
          <cell r="D88" t="str">
            <v>DEU</v>
          </cell>
          <cell r="E88" t="str">
            <v>DEU</v>
          </cell>
          <cell r="F88" t="str">
            <v>DE</v>
          </cell>
        </row>
        <row r="89">
          <cell r="A89" t="str">
            <v>Ghana</v>
          </cell>
          <cell r="B89" t="str">
            <v>RoW 1</v>
          </cell>
          <cell r="D89" t="str">
            <v>GHA</v>
          </cell>
          <cell r="E89" t="str">
            <v>GHA</v>
          </cell>
          <cell r="F89" t="str">
            <v>GH</v>
          </cell>
        </row>
        <row r="90">
          <cell r="A90" t="str">
            <v>Gibraltar</v>
          </cell>
          <cell r="B90" t="str">
            <v>Eur 2</v>
          </cell>
          <cell r="D90" t="str">
            <v>GIB</v>
          </cell>
          <cell r="E90" t="str">
            <v>GIB</v>
          </cell>
          <cell r="F90" t="str">
            <v>GI</v>
          </cell>
        </row>
        <row r="91">
          <cell r="A91" t="str">
            <v>Global Satellite GMSS</v>
          </cell>
          <cell r="B91" t="str">
            <v>Satellite</v>
          </cell>
          <cell r="D91" t="str">
            <v>IRB</v>
          </cell>
          <cell r="E91" t="str">
            <v>na</v>
          </cell>
          <cell r="F91" t="str">
            <v>na</v>
          </cell>
        </row>
        <row r="92">
          <cell r="A92" t="str">
            <v>Greece</v>
          </cell>
          <cell r="B92" t="str">
            <v>Eur 2</v>
          </cell>
          <cell r="D92" t="str">
            <v>GRC</v>
          </cell>
          <cell r="E92" t="str">
            <v>GRC</v>
          </cell>
          <cell r="F92" t="str">
            <v>GR</v>
          </cell>
        </row>
        <row r="93">
          <cell r="A93" t="str">
            <v>Greenland</v>
          </cell>
          <cell r="B93" t="str">
            <v>Eur 2</v>
          </cell>
          <cell r="D93" t="str">
            <v>GRL</v>
          </cell>
          <cell r="E93" t="str">
            <v>GRL</v>
          </cell>
          <cell r="F93" t="str">
            <v>GL</v>
          </cell>
        </row>
        <row r="94">
          <cell r="A94" t="str">
            <v>Grenada</v>
          </cell>
          <cell r="B94" t="str">
            <v>RoW 2</v>
          </cell>
          <cell r="D94" t="str">
            <v>GRD</v>
          </cell>
          <cell r="E94" t="str">
            <v>GRD</v>
          </cell>
          <cell r="F94" t="str">
            <v>GD</v>
          </cell>
        </row>
        <row r="95">
          <cell r="A95" t="str">
            <v>Guadeloupe</v>
          </cell>
          <cell r="B95" t="str">
            <v>RoW 2</v>
          </cell>
          <cell r="D95" t="str">
            <v>GLP</v>
          </cell>
          <cell r="E95" t="str">
            <v>GLP</v>
          </cell>
          <cell r="F95" t="str">
            <v>GP</v>
          </cell>
        </row>
        <row r="96">
          <cell r="A96" t="str">
            <v>Guam</v>
          </cell>
          <cell r="B96" t="str">
            <v>RoW 2</v>
          </cell>
          <cell r="D96" t="str">
            <v>GUM</v>
          </cell>
          <cell r="E96" t="str">
            <v>GUM</v>
          </cell>
          <cell r="F96" t="str">
            <v>GU</v>
          </cell>
        </row>
        <row r="97">
          <cell r="A97" t="str">
            <v>Guatemala</v>
          </cell>
          <cell r="B97" t="str">
            <v>RoW 2</v>
          </cell>
          <cell r="D97" t="str">
            <v>GTM</v>
          </cell>
          <cell r="E97" t="str">
            <v>GTM</v>
          </cell>
          <cell r="F97" t="str">
            <v>GT</v>
          </cell>
        </row>
        <row r="98">
          <cell r="A98" t="str">
            <v>Guinea</v>
          </cell>
          <cell r="B98" t="str">
            <v>RoW 2</v>
          </cell>
          <cell r="D98" t="str">
            <v>GIN</v>
          </cell>
          <cell r="E98" t="str">
            <v>GIN</v>
          </cell>
          <cell r="F98" t="str">
            <v>GN</v>
          </cell>
        </row>
        <row r="99">
          <cell r="A99" t="str">
            <v>Guinea-Bissau</v>
          </cell>
          <cell r="B99" t="str">
            <v>RoW 2</v>
          </cell>
          <cell r="D99" t="str">
            <v>GNB</v>
          </cell>
          <cell r="E99" t="str">
            <v>GNB</v>
          </cell>
          <cell r="F99" t="str">
            <v>GW</v>
          </cell>
        </row>
        <row r="100">
          <cell r="A100" t="str">
            <v>Guyana</v>
          </cell>
          <cell r="B100" t="str">
            <v>RoW 2</v>
          </cell>
          <cell r="D100" t="str">
            <v>GUY</v>
          </cell>
          <cell r="E100" t="str">
            <v>GUY</v>
          </cell>
          <cell r="F100" t="str">
            <v>GY</v>
          </cell>
        </row>
        <row r="101">
          <cell r="A101" t="str">
            <v>Haiti</v>
          </cell>
          <cell r="B101" t="str">
            <v>RoW 2</v>
          </cell>
          <cell r="D101" t="str">
            <v>HTI</v>
          </cell>
          <cell r="E101" t="str">
            <v>HTI</v>
          </cell>
          <cell r="F101" t="str">
            <v>HT</v>
          </cell>
        </row>
        <row r="102">
          <cell r="A102" t="str">
            <v>Honduras</v>
          </cell>
          <cell r="B102" t="str">
            <v>RoW 2</v>
          </cell>
          <cell r="D102" t="str">
            <v>HND</v>
          </cell>
          <cell r="E102" t="str">
            <v>HND</v>
          </cell>
          <cell r="F102" t="str">
            <v>HN</v>
          </cell>
        </row>
        <row r="103">
          <cell r="A103" t="str">
            <v>Hong Kong</v>
          </cell>
          <cell r="B103" t="str">
            <v>Asia 1</v>
          </cell>
          <cell r="D103" t="str">
            <v>HKG</v>
          </cell>
          <cell r="E103" t="str">
            <v>HKG</v>
          </cell>
          <cell r="F103" t="str">
            <v>HK</v>
          </cell>
        </row>
        <row r="104">
          <cell r="A104" t="str">
            <v>Hungary</v>
          </cell>
          <cell r="B104" t="str">
            <v>Eur 2</v>
          </cell>
          <cell r="D104" t="str">
            <v>HUN</v>
          </cell>
          <cell r="E104" t="str">
            <v>HUN</v>
          </cell>
          <cell r="F104" t="str">
            <v>HU</v>
          </cell>
        </row>
        <row r="105">
          <cell r="A105" t="str">
            <v>Iceland</v>
          </cell>
          <cell r="B105" t="str">
            <v>Eur 2</v>
          </cell>
          <cell r="D105" t="str">
            <v>ISL</v>
          </cell>
          <cell r="E105" t="str">
            <v>ISL</v>
          </cell>
          <cell r="F105" t="str">
            <v>IS</v>
          </cell>
        </row>
        <row r="106">
          <cell r="A106" t="str">
            <v>India</v>
          </cell>
          <cell r="B106" t="str">
            <v>Asia 2</v>
          </cell>
          <cell r="D106" t="str">
            <v>IND</v>
          </cell>
          <cell r="E106" t="str">
            <v>IND</v>
          </cell>
          <cell r="F106" t="str">
            <v>IN</v>
          </cell>
        </row>
        <row r="107">
          <cell r="A107" t="str">
            <v>Indonesia</v>
          </cell>
          <cell r="B107" t="str">
            <v>Asia 2</v>
          </cell>
          <cell r="D107" t="str">
            <v>IDN</v>
          </cell>
          <cell r="E107" t="str">
            <v>IDN</v>
          </cell>
          <cell r="F107" t="str">
            <v>ID</v>
          </cell>
        </row>
        <row r="108">
          <cell r="A108" t="str">
            <v>Inmarsat</v>
          </cell>
          <cell r="B108" t="str">
            <v>Satellite</v>
          </cell>
          <cell r="D108" t="str">
            <v>OCE</v>
          </cell>
          <cell r="E108" t="str">
            <v>na</v>
          </cell>
          <cell r="F108" t="str">
            <v>na</v>
          </cell>
        </row>
        <row r="109">
          <cell r="A109" t="str">
            <v>International Networks</v>
          </cell>
          <cell r="B109" t="str">
            <v>Satellite</v>
          </cell>
          <cell r="D109" t="str">
            <v>EMS</v>
          </cell>
          <cell r="E109" t="str">
            <v>na</v>
          </cell>
          <cell r="F109" t="str">
            <v>na</v>
          </cell>
        </row>
        <row r="110">
          <cell r="A110" t="str">
            <v>International Toll Free</v>
          </cell>
          <cell r="B110" t="str">
            <v>NGN</v>
          </cell>
          <cell r="D110" t="str">
            <v>ITF</v>
          </cell>
          <cell r="E110" t="str">
            <v>na</v>
          </cell>
          <cell r="F110" t="str">
            <v>na</v>
          </cell>
        </row>
        <row r="111">
          <cell r="A111" t="str">
            <v>Iran</v>
          </cell>
          <cell r="B111" t="str">
            <v>RoW 1</v>
          </cell>
          <cell r="D111" t="str">
            <v>IRN</v>
          </cell>
          <cell r="E111" t="str">
            <v>IRN</v>
          </cell>
          <cell r="F111" t="str">
            <v>IR</v>
          </cell>
        </row>
        <row r="112">
          <cell r="A112" t="str">
            <v>Iraq</v>
          </cell>
          <cell r="B112" t="str">
            <v>RoW 1</v>
          </cell>
          <cell r="D112" t="str">
            <v>IRQ</v>
          </cell>
          <cell r="E112" t="str">
            <v>IRQ</v>
          </cell>
          <cell r="F112" t="str">
            <v>IQ</v>
          </cell>
        </row>
        <row r="113">
          <cell r="A113" t="str">
            <v>Ireland</v>
          </cell>
          <cell r="B113" t="str">
            <v>Eur 1</v>
          </cell>
          <cell r="D113" t="str">
            <v>IRL</v>
          </cell>
          <cell r="E113" t="str">
            <v>IRL</v>
          </cell>
          <cell r="F113" t="str">
            <v>IE</v>
          </cell>
        </row>
        <row r="114">
          <cell r="A114" t="str">
            <v>Israel</v>
          </cell>
          <cell r="B114" t="str">
            <v>RoW 1</v>
          </cell>
          <cell r="D114" t="str">
            <v>ISR</v>
          </cell>
          <cell r="E114" t="str">
            <v>ISR</v>
          </cell>
          <cell r="F114" t="str">
            <v>IL</v>
          </cell>
        </row>
        <row r="115">
          <cell r="A115" t="str">
            <v>Italy</v>
          </cell>
          <cell r="B115" t="str">
            <v>Eur 1</v>
          </cell>
          <cell r="D115" t="str">
            <v>ITA</v>
          </cell>
          <cell r="E115" t="str">
            <v>ITA</v>
          </cell>
          <cell r="F115" t="str">
            <v>IT</v>
          </cell>
        </row>
        <row r="116">
          <cell r="A116" t="str">
            <v>Jamaica</v>
          </cell>
          <cell r="B116" t="str">
            <v>RoW 2</v>
          </cell>
          <cell r="D116" t="str">
            <v>JAM</v>
          </cell>
          <cell r="E116" t="str">
            <v>JAM</v>
          </cell>
          <cell r="F116" t="str">
            <v>JM</v>
          </cell>
        </row>
        <row r="117">
          <cell r="A117" t="str">
            <v>Japan</v>
          </cell>
          <cell r="B117" t="str">
            <v>Asia 1</v>
          </cell>
          <cell r="D117" t="str">
            <v>JPN</v>
          </cell>
          <cell r="E117" t="str">
            <v>JPN</v>
          </cell>
          <cell r="F117" t="str">
            <v>JP</v>
          </cell>
        </row>
        <row r="118">
          <cell r="A118" t="str">
            <v>Jordan</v>
          </cell>
          <cell r="B118" t="str">
            <v>RoW 2</v>
          </cell>
          <cell r="D118" t="str">
            <v>JOR</v>
          </cell>
          <cell r="E118" t="str">
            <v>JOR</v>
          </cell>
          <cell r="F118" t="str">
            <v>JO</v>
          </cell>
        </row>
        <row r="119">
          <cell r="A119" t="str">
            <v>Kazakhstan</v>
          </cell>
          <cell r="B119" t="str">
            <v>Eur 2</v>
          </cell>
          <cell r="D119" t="str">
            <v>KAZ</v>
          </cell>
          <cell r="E119" t="str">
            <v>KAZ</v>
          </cell>
          <cell r="F119" t="str">
            <v>KZ</v>
          </cell>
        </row>
        <row r="120">
          <cell r="A120" t="str">
            <v>Kenya</v>
          </cell>
          <cell r="B120" t="str">
            <v>RoW 1</v>
          </cell>
          <cell r="D120" t="str">
            <v>KEN</v>
          </cell>
          <cell r="E120" t="str">
            <v>KEN</v>
          </cell>
          <cell r="F120" t="str">
            <v>KE</v>
          </cell>
        </row>
        <row r="121">
          <cell r="A121" t="str">
            <v>Kiribati</v>
          </cell>
          <cell r="B121" t="str">
            <v>RoW 2</v>
          </cell>
          <cell r="D121" t="str">
            <v>KIR</v>
          </cell>
          <cell r="E121" t="str">
            <v>KIR</v>
          </cell>
          <cell r="F121" t="str">
            <v>KI</v>
          </cell>
        </row>
        <row r="122">
          <cell r="A122" t="str">
            <v>Korea North</v>
          </cell>
          <cell r="B122" t="str">
            <v>RoW 1</v>
          </cell>
          <cell r="D122" t="str">
            <v>PRK</v>
          </cell>
          <cell r="E122" t="str">
            <v>PRK</v>
          </cell>
          <cell r="F122" t="str">
            <v>KP</v>
          </cell>
        </row>
        <row r="123">
          <cell r="A123" t="str">
            <v>Korea South</v>
          </cell>
          <cell r="B123" t="str">
            <v>Asia 1</v>
          </cell>
          <cell r="D123" t="str">
            <v>KOR</v>
          </cell>
          <cell r="E123" t="str">
            <v>KOR</v>
          </cell>
          <cell r="F123" t="str">
            <v>KR</v>
          </cell>
        </row>
        <row r="124">
          <cell r="A124" t="str">
            <v>Kuwait</v>
          </cell>
          <cell r="B124" t="str">
            <v>RoW 2</v>
          </cell>
          <cell r="D124" t="str">
            <v>KWT</v>
          </cell>
          <cell r="E124" t="str">
            <v>KWT</v>
          </cell>
          <cell r="F124" t="str">
            <v>KW</v>
          </cell>
        </row>
        <row r="125">
          <cell r="A125" t="str">
            <v>Kyrgyzstan</v>
          </cell>
          <cell r="B125" t="str">
            <v>Eur 2</v>
          </cell>
          <cell r="D125" t="str">
            <v>KGZ</v>
          </cell>
          <cell r="E125" t="str">
            <v>KGZ</v>
          </cell>
          <cell r="F125" t="str">
            <v>KG</v>
          </cell>
        </row>
        <row r="126">
          <cell r="A126" t="str">
            <v>Laos</v>
          </cell>
          <cell r="B126" t="str">
            <v>RoW 2</v>
          </cell>
          <cell r="D126" t="str">
            <v>LAO</v>
          </cell>
          <cell r="E126" t="str">
            <v>LAO</v>
          </cell>
          <cell r="F126" t="str">
            <v>LA</v>
          </cell>
        </row>
        <row r="127">
          <cell r="A127" t="str">
            <v>Latvia</v>
          </cell>
          <cell r="B127" t="str">
            <v>Eur 2</v>
          </cell>
          <cell r="D127" t="str">
            <v>LVA</v>
          </cell>
          <cell r="E127" t="str">
            <v>LVA</v>
          </cell>
          <cell r="F127" t="str">
            <v>LV</v>
          </cell>
        </row>
        <row r="128">
          <cell r="A128" t="str">
            <v>Lebanon</v>
          </cell>
          <cell r="B128" t="str">
            <v>RoW 2</v>
          </cell>
          <cell r="D128" t="str">
            <v>LBN</v>
          </cell>
          <cell r="E128" t="str">
            <v>LBN</v>
          </cell>
          <cell r="F128" t="str">
            <v>LB</v>
          </cell>
        </row>
        <row r="129">
          <cell r="A129" t="str">
            <v>Lesotho</v>
          </cell>
          <cell r="B129" t="str">
            <v>RoW 2</v>
          </cell>
          <cell r="D129" t="str">
            <v>LSO</v>
          </cell>
          <cell r="E129" t="str">
            <v>LSO</v>
          </cell>
          <cell r="F129" t="str">
            <v>LS</v>
          </cell>
        </row>
        <row r="130">
          <cell r="A130" t="str">
            <v>Liberia</v>
          </cell>
          <cell r="B130" t="str">
            <v>RoW 2</v>
          </cell>
          <cell r="D130" t="str">
            <v>LBR</v>
          </cell>
          <cell r="E130" t="str">
            <v>LBR</v>
          </cell>
          <cell r="F130" t="str">
            <v>LR</v>
          </cell>
        </row>
        <row r="131">
          <cell r="A131" t="str">
            <v>Libya</v>
          </cell>
          <cell r="B131" t="str">
            <v>RoW 2</v>
          </cell>
          <cell r="D131" t="str">
            <v>LBY</v>
          </cell>
          <cell r="E131" t="str">
            <v>LBY</v>
          </cell>
          <cell r="F131" t="str">
            <v>LY</v>
          </cell>
        </row>
        <row r="132">
          <cell r="A132" t="str">
            <v>Liechtenstein</v>
          </cell>
          <cell r="B132" t="str">
            <v>Eur 1</v>
          </cell>
          <cell r="D132" t="str">
            <v>LIE</v>
          </cell>
          <cell r="E132" t="str">
            <v>LIE</v>
          </cell>
          <cell r="F132" t="str">
            <v>LI</v>
          </cell>
        </row>
        <row r="133">
          <cell r="A133" t="str">
            <v>Lithuania</v>
          </cell>
          <cell r="B133" t="str">
            <v>Eur 2</v>
          </cell>
          <cell r="D133" t="str">
            <v>LTU</v>
          </cell>
          <cell r="E133" t="str">
            <v>LTU</v>
          </cell>
          <cell r="F133" t="str">
            <v>LT</v>
          </cell>
        </row>
        <row r="134">
          <cell r="A134" t="str">
            <v>Luxembourg</v>
          </cell>
          <cell r="B134" t="str">
            <v>Eur 1</v>
          </cell>
          <cell r="D134" t="str">
            <v>LUX</v>
          </cell>
          <cell r="E134" t="str">
            <v>LUX</v>
          </cell>
          <cell r="F134" t="str">
            <v>LU</v>
          </cell>
        </row>
        <row r="135">
          <cell r="A135" t="str">
            <v>Macao</v>
          </cell>
          <cell r="B135" t="str">
            <v>RoW 2</v>
          </cell>
          <cell r="D135" t="str">
            <v>MAC</v>
          </cell>
          <cell r="E135" t="str">
            <v>MAC</v>
          </cell>
          <cell r="F135" t="str">
            <v>MO</v>
          </cell>
        </row>
        <row r="136">
          <cell r="A136" t="str">
            <v>Macedonia</v>
          </cell>
          <cell r="B136" t="str">
            <v>Eur 2</v>
          </cell>
          <cell r="D136" t="str">
            <v>MKD</v>
          </cell>
          <cell r="E136" t="str">
            <v>MKD</v>
          </cell>
          <cell r="F136" t="str">
            <v>MK</v>
          </cell>
        </row>
        <row r="137">
          <cell r="A137" t="str">
            <v>Madagascar</v>
          </cell>
          <cell r="B137" t="str">
            <v>RoW 2</v>
          </cell>
          <cell r="D137" t="str">
            <v>MDG</v>
          </cell>
          <cell r="E137" t="str">
            <v>MDG</v>
          </cell>
          <cell r="F137" t="str">
            <v>MG</v>
          </cell>
        </row>
        <row r="138">
          <cell r="A138" t="str">
            <v>Malawi</v>
          </cell>
          <cell r="B138" t="str">
            <v>RoW 2</v>
          </cell>
          <cell r="D138" t="str">
            <v>MWI</v>
          </cell>
          <cell r="E138" t="str">
            <v>MWI</v>
          </cell>
          <cell r="F138" t="str">
            <v>MW</v>
          </cell>
        </row>
        <row r="139">
          <cell r="A139" t="str">
            <v>Malaysia</v>
          </cell>
          <cell r="B139" t="str">
            <v>Asia 1</v>
          </cell>
          <cell r="D139" t="str">
            <v>MYS</v>
          </cell>
          <cell r="E139" t="str">
            <v>MYS</v>
          </cell>
          <cell r="F139" t="str">
            <v>MY</v>
          </cell>
        </row>
        <row r="140">
          <cell r="A140" t="str">
            <v>Maldives</v>
          </cell>
          <cell r="B140" t="str">
            <v>RoW 2</v>
          </cell>
          <cell r="D140" t="str">
            <v>MDV</v>
          </cell>
          <cell r="E140" t="str">
            <v>MDV</v>
          </cell>
          <cell r="F140" t="str">
            <v>MV</v>
          </cell>
        </row>
        <row r="141">
          <cell r="A141" t="str">
            <v>Mali</v>
          </cell>
          <cell r="B141" t="str">
            <v>RoW 2</v>
          </cell>
          <cell r="D141" t="str">
            <v>MLI</v>
          </cell>
          <cell r="E141" t="str">
            <v>MLI</v>
          </cell>
          <cell r="F141" t="str">
            <v>ML</v>
          </cell>
        </row>
        <row r="142">
          <cell r="A142" t="str">
            <v>Malta</v>
          </cell>
          <cell r="B142" t="str">
            <v>Eur 2</v>
          </cell>
          <cell r="D142" t="str">
            <v>MLT</v>
          </cell>
          <cell r="E142" t="str">
            <v>MLT</v>
          </cell>
          <cell r="F142" t="str">
            <v>MT</v>
          </cell>
        </row>
        <row r="143">
          <cell r="A143" t="str">
            <v>Marshall Is</v>
          </cell>
          <cell r="B143" t="str">
            <v>RoW 2</v>
          </cell>
          <cell r="D143" t="str">
            <v>MHL</v>
          </cell>
          <cell r="E143" t="str">
            <v>MHL</v>
          </cell>
          <cell r="F143" t="str">
            <v>MH</v>
          </cell>
        </row>
        <row r="144">
          <cell r="A144" t="str">
            <v>Martinique</v>
          </cell>
          <cell r="B144" t="str">
            <v>RoW 2</v>
          </cell>
          <cell r="D144" t="str">
            <v>MTQ</v>
          </cell>
          <cell r="E144" t="str">
            <v>MTQ</v>
          </cell>
          <cell r="F144" t="str">
            <v>MQ</v>
          </cell>
        </row>
        <row r="145">
          <cell r="A145" t="str">
            <v>Mauritania</v>
          </cell>
          <cell r="B145" t="str">
            <v>RoW 2</v>
          </cell>
          <cell r="D145" t="str">
            <v>MRT</v>
          </cell>
          <cell r="E145" t="str">
            <v>MRT</v>
          </cell>
          <cell r="F145" t="str">
            <v>MR</v>
          </cell>
        </row>
        <row r="146">
          <cell r="A146" t="str">
            <v>Mauritius</v>
          </cell>
          <cell r="B146" t="str">
            <v>RoW 2</v>
          </cell>
          <cell r="D146" t="str">
            <v>MUS</v>
          </cell>
          <cell r="E146" t="str">
            <v>MUS</v>
          </cell>
          <cell r="F146" t="str">
            <v>MU</v>
          </cell>
        </row>
        <row r="147">
          <cell r="A147" t="str">
            <v>Mayotte</v>
          </cell>
          <cell r="B147" t="str">
            <v>RoW 2</v>
          </cell>
          <cell r="D147" t="str">
            <v>MYT</v>
          </cell>
          <cell r="E147" t="str">
            <v>MYT</v>
          </cell>
          <cell r="F147" t="str">
            <v>YT</v>
          </cell>
        </row>
        <row r="148">
          <cell r="A148" t="str">
            <v>Mexico</v>
          </cell>
          <cell r="B148" t="str">
            <v>LAM</v>
          </cell>
          <cell r="D148" t="str">
            <v>MEX</v>
          </cell>
          <cell r="E148" t="str">
            <v>MEX</v>
          </cell>
          <cell r="F148" t="str">
            <v>MX</v>
          </cell>
        </row>
        <row r="149">
          <cell r="A149" t="str">
            <v>Micronesia</v>
          </cell>
          <cell r="B149" t="str">
            <v>RoW 2</v>
          </cell>
          <cell r="D149" t="str">
            <v>FSM</v>
          </cell>
          <cell r="E149" t="str">
            <v>FSM</v>
          </cell>
          <cell r="F149" t="str">
            <v>FM</v>
          </cell>
        </row>
        <row r="150">
          <cell r="A150" t="str">
            <v>Midway Is</v>
          </cell>
          <cell r="B150" t="str">
            <v>RoW 2</v>
          </cell>
          <cell r="D150" t="str">
            <v>UMI</v>
          </cell>
          <cell r="E150" t="str">
            <v>UMI</v>
          </cell>
          <cell r="F150" t="str">
            <v>UM</v>
          </cell>
        </row>
        <row r="151">
          <cell r="A151" t="str">
            <v>Moldova</v>
          </cell>
          <cell r="B151" t="str">
            <v>Eur 2</v>
          </cell>
          <cell r="D151" t="str">
            <v>MDA</v>
          </cell>
          <cell r="E151" t="str">
            <v>MDA</v>
          </cell>
          <cell r="F151" t="str">
            <v>MD</v>
          </cell>
        </row>
        <row r="152">
          <cell r="A152" t="str">
            <v>Monaco</v>
          </cell>
          <cell r="B152" t="str">
            <v>Eur 2</v>
          </cell>
          <cell r="D152" t="str">
            <v>MCO</v>
          </cell>
          <cell r="E152" t="str">
            <v>MCO</v>
          </cell>
          <cell r="F152" t="str">
            <v>MC</v>
          </cell>
        </row>
        <row r="153">
          <cell r="A153" t="str">
            <v>Mongolia</v>
          </cell>
          <cell r="B153" t="str">
            <v>RoW 2</v>
          </cell>
          <cell r="D153" t="str">
            <v>MNG</v>
          </cell>
          <cell r="E153" t="str">
            <v>MNG</v>
          </cell>
          <cell r="F153" t="str">
            <v>MN</v>
          </cell>
        </row>
        <row r="154">
          <cell r="A154" t="str">
            <v>Montenegro</v>
          </cell>
          <cell r="B154" t="str">
            <v>Eur 2</v>
          </cell>
          <cell r="D154" t="str">
            <v>MNE</v>
          </cell>
          <cell r="E154" t="str">
            <v>MNE</v>
          </cell>
          <cell r="F154" t="str">
            <v>ME</v>
          </cell>
        </row>
        <row r="155">
          <cell r="A155" t="str">
            <v>Montserrat</v>
          </cell>
          <cell r="B155" t="str">
            <v>RoW 2</v>
          </cell>
          <cell r="D155" t="str">
            <v>MSR</v>
          </cell>
          <cell r="E155" t="str">
            <v>MSR</v>
          </cell>
          <cell r="F155" t="str">
            <v>MS</v>
          </cell>
        </row>
        <row r="156">
          <cell r="A156" t="str">
            <v>Morocco</v>
          </cell>
          <cell r="B156" t="str">
            <v>RoW 2</v>
          </cell>
          <cell r="D156" t="str">
            <v>MAR</v>
          </cell>
          <cell r="E156" t="str">
            <v>MAR</v>
          </cell>
          <cell r="F156" t="str">
            <v>MA</v>
          </cell>
        </row>
        <row r="157">
          <cell r="A157" t="str">
            <v>Mozambique</v>
          </cell>
          <cell r="B157" t="str">
            <v>RoW 2</v>
          </cell>
          <cell r="D157" t="str">
            <v>MOZ</v>
          </cell>
          <cell r="E157" t="str">
            <v>MOZ</v>
          </cell>
          <cell r="F157" t="str">
            <v>MZ</v>
          </cell>
        </row>
        <row r="158">
          <cell r="A158" t="str">
            <v>Myanmar</v>
          </cell>
          <cell r="B158" t="str">
            <v>RoW 2</v>
          </cell>
          <cell r="D158" t="str">
            <v>MMR</v>
          </cell>
          <cell r="E158" t="str">
            <v>MMR</v>
          </cell>
          <cell r="F158" t="str">
            <v>MM</v>
          </cell>
        </row>
        <row r="159">
          <cell r="A159" t="str">
            <v>Namibia</v>
          </cell>
          <cell r="B159" t="str">
            <v>RoW 2</v>
          </cell>
          <cell r="D159" t="str">
            <v>NAM</v>
          </cell>
          <cell r="E159" t="str">
            <v>NAM</v>
          </cell>
          <cell r="F159" t="str">
            <v>NA</v>
          </cell>
        </row>
        <row r="160">
          <cell r="A160" t="str">
            <v>Nauru Is</v>
          </cell>
          <cell r="B160" t="str">
            <v>RoW 2</v>
          </cell>
          <cell r="D160" t="str">
            <v>NRU</v>
          </cell>
          <cell r="E160" t="str">
            <v>NRU</v>
          </cell>
          <cell r="F160" t="str">
            <v>NR</v>
          </cell>
        </row>
        <row r="161">
          <cell r="A161" t="str">
            <v>Nepal</v>
          </cell>
          <cell r="B161" t="str">
            <v>RoW 2</v>
          </cell>
          <cell r="D161" t="str">
            <v>NPL</v>
          </cell>
          <cell r="E161" t="str">
            <v>NPL</v>
          </cell>
          <cell r="F161" t="str">
            <v>NP</v>
          </cell>
        </row>
        <row r="162">
          <cell r="A162" t="str">
            <v>Netherlands</v>
          </cell>
          <cell r="B162" t="str">
            <v>Eur 1</v>
          </cell>
          <cell r="D162" t="str">
            <v>NLD</v>
          </cell>
          <cell r="E162" t="str">
            <v>NLD</v>
          </cell>
          <cell r="F162" t="str">
            <v>NL</v>
          </cell>
        </row>
        <row r="163">
          <cell r="A163" t="str">
            <v>Netherlands Antilles</v>
          </cell>
          <cell r="B163" t="str">
            <v>RoW 2</v>
          </cell>
          <cell r="D163" t="str">
            <v>ANT</v>
          </cell>
          <cell r="E163" t="str">
            <v>ANT</v>
          </cell>
          <cell r="F163" t="str">
            <v>AN</v>
          </cell>
        </row>
        <row r="164">
          <cell r="A164" t="str">
            <v>New Caledonia</v>
          </cell>
          <cell r="B164" t="str">
            <v>RoW 2</v>
          </cell>
          <cell r="D164" t="str">
            <v>NCL</v>
          </cell>
          <cell r="E164" t="str">
            <v>NCL</v>
          </cell>
          <cell r="F164" t="str">
            <v>NC</v>
          </cell>
        </row>
        <row r="165">
          <cell r="A165" t="str">
            <v>New Zealand</v>
          </cell>
          <cell r="B165" t="str">
            <v>Asia 1</v>
          </cell>
          <cell r="D165" t="str">
            <v>NZL</v>
          </cell>
          <cell r="E165" t="str">
            <v>NZL</v>
          </cell>
          <cell r="F165" t="str">
            <v>NZ</v>
          </cell>
        </row>
        <row r="166">
          <cell r="A166" t="str">
            <v>Nicaragua</v>
          </cell>
          <cell r="B166" t="str">
            <v>RoW 2</v>
          </cell>
          <cell r="D166" t="str">
            <v>NIC</v>
          </cell>
          <cell r="E166" t="str">
            <v>NIC</v>
          </cell>
          <cell r="F166" t="str">
            <v>NI</v>
          </cell>
        </row>
        <row r="167">
          <cell r="A167" t="str">
            <v>Niger</v>
          </cell>
          <cell r="B167" t="str">
            <v>RoW 2</v>
          </cell>
          <cell r="D167" t="str">
            <v>NER</v>
          </cell>
          <cell r="E167" t="str">
            <v>NER</v>
          </cell>
          <cell r="F167" t="str">
            <v>NE</v>
          </cell>
        </row>
        <row r="168">
          <cell r="A168" t="str">
            <v>Nigeria</v>
          </cell>
          <cell r="B168" t="str">
            <v>RoW 1</v>
          </cell>
          <cell r="D168" t="str">
            <v>NGA</v>
          </cell>
          <cell r="E168" t="str">
            <v>NGA</v>
          </cell>
          <cell r="F168" t="str">
            <v>NG</v>
          </cell>
        </row>
        <row r="169">
          <cell r="A169" t="str">
            <v>Niue Is</v>
          </cell>
          <cell r="B169" t="str">
            <v>RoW 2</v>
          </cell>
          <cell r="D169" t="str">
            <v>NIU</v>
          </cell>
          <cell r="E169" t="str">
            <v>NIU</v>
          </cell>
          <cell r="F169" t="str">
            <v>NU</v>
          </cell>
        </row>
        <row r="170">
          <cell r="A170" t="str">
            <v>Norfolk Is</v>
          </cell>
          <cell r="B170" t="str">
            <v>RoW 2</v>
          </cell>
          <cell r="D170" t="str">
            <v>NFK</v>
          </cell>
          <cell r="E170" t="str">
            <v>NFK</v>
          </cell>
          <cell r="F170" t="str">
            <v>NF</v>
          </cell>
        </row>
        <row r="171">
          <cell r="A171" t="str">
            <v>Northern Mariana Is</v>
          </cell>
          <cell r="B171" t="str">
            <v>RoW 2</v>
          </cell>
          <cell r="D171" t="str">
            <v>MNP</v>
          </cell>
          <cell r="E171" t="str">
            <v>MNP</v>
          </cell>
          <cell r="F171" t="str">
            <v>MP</v>
          </cell>
        </row>
        <row r="172">
          <cell r="A172" t="str">
            <v>Norway</v>
          </cell>
          <cell r="B172" t="str">
            <v>Eur 1</v>
          </cell>
          <cell r="D172" t="str">
            <v>NOR</v>
          </cell>
          <cell r="E172" t="str">
            <v>NOR</v>
          </cell>
          <cell r="F172" t="str">
            <v>NO</v>
          </cell>
        </row>
        <row r="173">
          <cell r="A173" t="str">
            <v>Oman</v>
          </cell>
          <cell r="B173" t="str">
            <v>RoW 2</v>
          </cell>
          <cell r="D173" t="str">
            <v>OMN</v>
          </cell>
          <cell r="E173" t="str">
            <v>OMN</v>
          </cell>
          <cell r="F173" t="str">
            <v>OM</v>
          </cell>
        </row>
        <row r="174">
          <cell r="A174" t="str">
            <v>Pakistan</v>
          </cell>
          <cell r="B174" t="str">
            <v>Asia 2</v>
          </cell>
          <cell r="D174" t="str">
            <v>PAK</v>
          </cell>
          <cell r="E174" t="str">
            <v>PAK</v>
          </cell>
          <cell r="F174" t="str">
            <v>PK</v>
          </cell>
        </row>
        <row r="175">
          <cell r="A175" t="str">
            <v>Palau</v>
          </cell>
          <cell r="B175" t="str">
            <v>RoW 2</v>
          </cell>
          <cell r="D175" t="str">
            <v>PLW</v>
          </cell>
          <cell r="E175" t="str">
            <v>PLW</v>
          </cell>
          <cell r="F175" t="str">
            <v>PW</v>
          </cell>
        </row>
        <row r="176">
          <cell r="A176" t="str">
            <v>Palestine</v>
          </cell>
          <cell r="B176" t="str">
            <v>RoW 2</v>
          </cell>
          <cell r="D176" t="str">
            <v>PSE</v>
          </cell>
          <cell r="E176" t="str">
            <v>MMR</v>
          </cell>
          <cell r="F176" t="str">
            <v>PS</v>
          </cell>
        </row>
        <row r="177">
          <cell r="A177" t="str">
            <v>Panama</v>
          </cell>
          <cell r="B177" t="str">
            <v>RoW 2</v>
          </cell>
          <cell r="D177" t="str">
            <v>PAN</v>
          </cell>
          <cell r="E177" t="str">
            <v>PAN</v>
          </cell>
          <cell r="F177" t="str">
            <v>PA</v>
          </cell>
        </row>
        <row r="178">
          <cell r="A178" t="str">
            <v>Papua New Guinea</v>
          </cell>
          <cell r="B178" t="str">
            <v>RoW 2</v>
          </cell>
          <cell r="D178" t="str">
            <v>PNG</v>
          </cell>
          <cell r="E178" t="str">
            <v>PNG</v>
          </cell>
          <cell r="F178" t="str">
            <v>PG</v>
          </cell>
        </row>
        <row r="179">
          <cell r="A179" t="str">
            <v>Paraguay</v>
          </cell>
          <cell r="B179" t="str">
            <v>RoW 2</v>
          </cell>
          <cell r="D179" t="str">
            <v>PRY</v>
          </cell>
          <cell r="E179" t="str">
            <v>PRY</v>
          </cell>
          <cell r="F179" t="str">
            <v>PY</v>
          </cell>
        </row>
        <row r="180">
          <cell r="A180" t="str">
            <v>Peru</v>
          </cell>
          <cell r="B180" t="str">
            <v>RoW 2</v>
          </cell>
          <cell r="D180" t="str">
            <v>PER</v>
          </cell>
          <cell r="E180" t="str">
            <v>PER</v>
          </cell>
          <cell r="F180" t="str">
            <v>PE</v>
          </cell>
        </row>
        <row r="181">
          <cell r="A181" t="str">
            <v>Philippines</v>
          </cell>
          <cell r="B181" t="str">
            <v>Asia 2</v>
          </cell>
          <cell r="D181" t="str">
            <v>PHL</v>
          </cell>
          <cell r="E181" t="str">
            <v>PHL</v>
          </cell>
          <cell r="F181" t="str">
            <v>PH</v>
          </cell>
        </row>
        <row r="182">
          <cell r="A182" t="str">
            <v>Poland</v>
          </cell>
          <cell r="B182" t="str">
            <v>Eur 2</v>
          </cell>
          <cell r="D182" t="str">
            <v>POL</v>
          </cell>
          <cell r="E182" t="str">
            <v>POL</v>
          </cell>
          <cell r="F182" t="str">
            <v>PL</v>
          </cell>
        </row>
        <row r="183">
          <cell r="A183" t="str">
            <v>Portugal</v>
          </cell>
          <cell r="B183" t="str">
            <v>Eur 1</v>
          </cell>
          <cell r="D183" t="str">
            <v>PRT</v>
          </cell>
          <cell r="E183" t="str">
            <v>PRT</v>
          </cell>
          <cell r="F183" t="str">
            <v>PT</v>
          </cell>
        </row>
        <row r="184">
          <cell r="A184" t="str">
            <v>Puerto Rico</v>
          </cell>
          <cell r="B184" t="str">
            <v>RoW 2</v>
          </cell>
          <cell r="D184" t="str">
            <v>PRI</v>
          </cell>
          <cell r="E184" t="str">
            <v>PRI</v>
          </cell>
          <cell r="F184" t="str">
            <v>PR</v>
          </cell>
        </row>
        <row r="185">
          <cell r="A185" t="str">
            <v>Qatar</v>
          </cell>
          <cell r="B185" t="str">
            <v>RoW 2</v>
          </cell>
          <cell r="D185" t="str">
            <v>QAT</v>
          </cell>
          <cell r="E185" t="str">
            <v>QAT</v>
          </cell>
          <cell r="F185" t="str">
            <v>QA</v>
          </cell>
        </row>
        <row r="186">
          <cell r="A186" t="str">
            <v>Reunion Is</v>
          </cell>
          <cell r="B186" t="str">
            <v>RoW 2</v>
          </cell>
          <cell r="D186" t="str">
            <v>REU</v>
          </cell>
          <cell r="E186" t="str">
            <v>REU</v>
          </cell>
          <cell r="F186" t="str">
            <v>RE</v>
          </cell>
        </row>
        <row r="187">
          <cell r="A187" t="str">
            <v>Romania</v>
          </cell>
          <cell r="B187" t="str">
            <v>Eur 2</v>
          </cell>
          <cell r="D187" t="str">
            <v>ROU</v>
          </cell>
          <cell r="E187" t="str">
            <v>ROU</v>
          </cell>
          <cell r="F187" t="str">
            <v>RO</v>
          </cell>
        </row>
        <row r="188">
          <cell r="A188" t="str">
            <v>Russia</v>
          </cell>
          <cell r="B188" t="str">
            <v>Eur 2</v>
          </cell>
          <cell r="D188" t="str">
            <v>RUS</v>
          </cell>
          <cell r="E188" t="str">
            <v>RUS</v>
          </cell>
          <cell r="F188" t="str">
            <v>RU</v>
          </cell>
        </row>
        <row r="189">
          <cell r="A189" t="str">
            <v>Rwanda</v>
          </cell>
          <cell r="B189" t="str">
            <v>RoW 2</v>
          </cell>
          <cell r="D189" t="str">
            <v>RWA</v>
          </cell>
          <cell r="E189" t="str">
            <v>RWA</v>
          </cell>
          <cell r="F189" t="str">
            <v>RW</v>
          </cell>
        </row>
        <row r="190">
          <cell r="A190" t="str">
            <v>Samoa</v>
          </cell>
          <cell r="B190" t="str">
            <v>RoW 2</v>
          </cell>
          <cell r="D190" t="str">
            <v>WSM</v>
          </cell>
          <cell r="E190" t="str">
            <v>WSM</v>
          </cell>
          <cell r="F190" t="str">
            <v>WS</v>
          </cell>
        </row>
        <row r="191">
          <cell r="A191" t="str">
            <v>San Marino</v>
          </cell>
          <cell r="B191" t="str">
            <v>Eur 2</v>
          </cell>
          <cell r="D191" t="str">
            <v>SMR</v>
          </cell>
          <cell r="E191" t="str">
            <v>SMR</v>
          </cell>
          <cell r="F191" t="str">
            <v>SM</v>
          </cell>
        </row>
        <row r="192">
          <cell r="A192" t="str">
            <v>Sao Tome &amp; Principe</v>
          </cell>
          <cell r="B192" t="str">
            <v>RoW 2</v>
          </cell>
          <cell r="D192" t="str">
            <v>STP</v>
          </cell>
          <cell r="E192" t="str">
            <v>STP</v>
          </cell>
          <cell r="F192" t="str">
            <v>ST</v>
          </cell>
        </row>
        <row r="193">
          <cell r="A193" t="str">
            <v>Saudi Arabia</v>
          </cell>
          <cell r="B193" t="str">
            <v>RoW 1</v>
          </cell>
          <cell r="D193" t="str">
            <v>SAU</v>
          </cell>
          <cell r="E193" t="str">
            <v>SAU</v>
          </cell>
          <cell r="F193" t="str">
            <v>SA</v>
          </cell>
        </row>
        <row r="194">
          <cell r="A194" t="str">
            <v>Senegal</v>
          </cell>
          <cell r="B194" t="str">
            <v>RoW 2</v>
          </cell>
          <cell r="D194" t="str">
            <v>SEN</v>
          </cell>
          <cell r="E194" t="str">
            <v>SEN</v>
          </cell>
          <cell r="F194" t="str">
            <v>SN</v>
          </cell>
        </row>
        <row r="195">
          <cell r="A195" t="str">
            <v>Serbia</v>
          </cell>
          <cell r="B195" t="str">
            <v>Eur 2</v>
          </cell>
          <cell r="D195" t="str">
            <v>SRB</v>
          </cell>
          <cell r="E195" t="str">
            <v>SCG</v>
          </cell>
          <cell r="F195" t="str">
            <v>CS</v>
          </cell>
        </row>
        <row r="196">
          <cell r="A196" t="str">
            <v>Seychelles</v>
          </cell>
          <cell r="B196" t="str">
            <v>RoW 2</v>
          </cell>
          <cell r="D196" t="str">
            <v>SYC</v>
          </cell>
          <cell r="E196" t="str">
            <v>SYC</v>
          </cell>
          <cell r="F196" t="str">
            <v>SC</v>
          </cell>
        </row>
        <row r="197">
          <cell r="A197" t="str">
            <v>Sierra Leone</v>
          </cell>
          <cell r="B197" t="str">
            <v>RoW 2</v>
          </cell>
          <cell r="D197" t="str">
            <v>SLE</v>
          </cell>
          <cell r="E197" t="str">
            <v>SLE</v>
          </cell>
          <cell r="F197" t="str">
            <v>SL</v>
          </cell>
        </row>
        <row r="198">
          <cell r="A198" t="str">
            <v>Singapore</v>
          </cell>
          <cell r="B198" t="str">
            <v>Asia 1</v>
          </cell>
          <cell r="D198" t="str">
            <v>SGP</v>
          </cell>
          <cell r="E198" t="str">
            <v>SGP</v>
          </cell>
          <cell r="F198" t="str">
            <v>SG</v>
          </cell>
        </row>
        <row r="199">
          <cell r="A199" t="str">
            <v>Saint Maarten ( Dutch part)</v>
          </cell>
          <cell r="B199" t="str">
            <v>RoW 2</v>
          </cell>
          <cell r="D199" t="str">
            <v>SXM</v>
          </cell>
          <cell r="E199" t="str">
            <v>SXM</v>
          </cell>
        </row>
        <row r="200">
          <cell r="A200" t="str">
            <v>Slovakia</v>
          </cell>
          <cell r="B200" t="str">
            <v>Eur 2</v>
          </cell>
          <cell r="D200" t="str">
            <v>SVK</v>
          </cell>
          <cell r="E200" t="str">
            <v>SVK</v>
          </cell>
          <cell r="F200" t="str">
            <v>SK</v>
          </cell>
        </row>
        <row r="201">
          <cell r="A201" t="str">
            <v>Slovenia</v>
          </cell>
          <cell r="B201" t="str">
            <v>Eur 2</v>
          </cell>
          <cell r="D201" t="str">
            <v>SVN</v>
          </cell>
          <cell r="E201" t="str">
            <v>SVN</v>
          </cell>
          <cell r="F201" t="str">
            <v>SI</v>
          </cell>
        </row>
        <row r="202">
          <cell r="A202" t="str">
            <v>Solomon Is</v>
          </cell>
          <cell r="B202" t="str">
            <v>RoW 2</v>
          </cell>
          <cell r="D202" t="str">
            <v>SLB</v>
          </cell>
          <cell r="E202" t="str">
            <v>SLB</v>
          </cell>
          <cell r="F202" t="str">
            <v>SB</v>
          </cell>
        </row>
        <row r="203">
          <cell r="A203" t="str">
            <v>Somalia</v>
          </cell>
          <cell r="B203" t="str">
            <v>RoW 2</v>
          </cell>
          <cell r="D203" t="str">
            <v>SOM</v>
          </cell>
          <cell r="E203" t="str">
            <v>SOM</v>
          </cell>
          <cell r="F203" t="str">
            <v>SO</v>
          </cell>
        </row>
        <row r="204">
          <cell r="A204" t="str">
            <v>South Africa</v>
          </cell>
          <cell r="B204" t="str">
            <v>RoW 1</v>
          </cell>
          <cell r="D204" t="str">
            <v>ZAF</v>
          </cell>
          <cell r="E204" t="str">
            <v>ZAF</v>
          </cell>
          <cell r="F204" t="str">
            <v>ZA</v>
          </cell>
        </row>
        <row r="205">
          <cell r="A205" t="str">
            <v>South Sudan</v>
          </cell>
          <cell r="B205" t="str">
            <v>RoW 2</v>
          </cell>
          <cell r="D205" t="str">
            <v>SSD</v>
          </cell>
          <cell r="E205" t="str">
            <v>SSD</v>
          </cell>
        </row>
        <row r="206">
          <cell r="A206" t="str">
            <v>Spain and Canary Islands</v>
          </cell>
          <cell r="B206" t="str">
            <v>Eur 1</v>
          </cell>
          <cell r="D206" t="str">
            <v>ESP</v>
          </cell>
          <cell r="E206" t="str">
            <v>ESP</v>
          </cell>
          <cell r="F206" t="str">
            <v>ES</v>
          </cell>
        </row>
        <row r="207">
          <cell r="A207" t="str">
            <v>Sri Lanka</v>
          </cell>
          <cell r="B207" t="str">
            <v>Asia 2</v>
          </cell>
          <cell r="D207" t="str">
            <v>LKA</v>
          </cell>
          <cell r="E207" t="str">
            <v>LKA</v>
          </cell>
          <cell r="F207" t="str">
            <v>LK</v>
          </cell>
        </row>
        <row r="208">
          <cell r="A208" t="str">
            <v>St Helena</v>
          </cell>
          <cell r="B208" t="str">
            <v>RoW 2</v>
          </cell>
          <cell r="D208" t="str">
            <v>SHN</v>
          </cell>
          <cell r="E208" t="str">
            <v>SHN</v>
          </cell>
          <cell r="F208" t="str">
            <v>SH</v>
          </cell>
        </row>
        <row r="209">
          <cell r="A209" t="str">
            <v>St Kitts &amp; Nevis</v>
          </cell>
          <cell r="B209" t="str">
            <v>RoW 2</v>
          </cell>
          <cell r="D209" t="str">
            <v>KNA</v>
          </cell>
          <cell r="E209" t="str">
            <v>KNA</v>
          </cell>
          <cell r="F209" t="str">
            <v>KN</v>
          </cell>
        </row>
        <row r="210">
          <cell r="A210" t="str">
            <v>St Lucia</v>
          </cell>
          <cell r="B210" t="str">
            <v>RoW 2</v>
          </cell>
          <cell r="D210" t="str">
            <v>LCA</v>
          </cell>
          <cell r="E210" t="str">
            <v>LCA</v>
          </cell>
          <cell r="F210" t="str">
            <v>LC</v>
          </cell>
        </row>
        <row r="211">
          <cell r="A211" t="str">
            <v>St Pierre &amp; Miquelon</v>
          </cell>
          <cell r="B211" t="str">
            <v>RoW 2</v>
          </cell>
          <cell r="D211" t="str">
            <v>SPM</v>
          </cell>
          <cell r="E211" t="str">
            <v>SPM</v>
          </cell>
          <cell r="F211" t="str">
            <v>PM</v>
          </cell>
        </row>
        <row r="212">
          <cell r="A212" t="str">
            <v>St Vincent &amp; the Grenadines</v>
          </cell>
          <cell r="B212" t="str">
            <v>RoW 2</v>
          </cell>
          <cell r="D212" t="str">
            <v>VCT</v>
          </cell>
          <cell r="E212" t="str">
            <v>VCT</v>
          </cell>
          <cell r="F212" t="str">
            <v>VC</v>
          </cell>
        </row>
        <row r="213">
          <cell r="A213" t="str">
            <v>Sudan</v>
          </cell>
          <cell r="B213" t="str">
            <v>RoW 2</v>
          </cell>
          <cell r="D213" t="str">
            <v>SDN</v>
          </cell>
          <cell r="E213" t="str">
            <v>SDN</v>
          </cell>
          <cell r="F213" t="str">
            <v>SD</v>
          </cell>
        </row>
        <row r="214">
          <cell r="A214" t="str">
            <v>Suriname</v>
          </cell>
          <cell r="B214" t="str">
            <v>RoW 2</v>
          </cell>
          <cell r="D214" t="str">
            <v>SUR</v>
          </cell>
          <cell r="E214" t="str">
            <v>SUR</v>
          </cell>
          <cell r="F214" t="str">
            <v>SR</v>
          </cell>
        </row>
        <row r="215">
          <cell r="A215" t="str">
            <v>Swaziland</v>
          </cell>
          <cell r="B215" t="str">
            <v>RoW 2</v>
          </cell>
          <cell r="D215" t="str">
            <v>SWZ</v>
          </cell>
          <cell r="E215" t="str">
            <v>SWZ</v>
          </cell>
          <cell r="F215" t="str">
            <v>SZ</v>
          </cell>
        </row>
        <row r="216">
          <cell r="A216" t="str">
            <v>Sweden</v>
          </cell>
          <cell r="B216" t="str">
            <v>Eur 1</v>
          </cell>
          <cell r="D216" t="str">
            <v>SWE</v>
          </cell>
          <cell r="E216" t="str">
            <v>SWE</v>
          </cell>
          <cell r="F216" t="str">
            <v>SE</v>
          </cell>
        </row>
        <row r="217">
          <cell r="A217" t="str">
            <v>Switzerland</v>
          </cell>
          <cell r="B217" t="str">
            <v>Eur 1</v>
          </cell>
          <cell r="D217" t="str">
            <v>CHE</v>
          </cell>
          <cell r="E217" t="str">
            <v>CHE</v>
          </cell>
          <cell r="F217" t="str">
            <v>CH</v>
          </cell>
        </row>
        <row r="218">
          <cell r="A218" t="str">
            <v>Syria</v>
          </cell>
          <cell r="B218" t="str">
            <v>RoW 2</v>
          </cell>
          <cell r="D218" t="str">
            <v>SYR</v>
          </cell>
          <cell r="E218" t="str">
            <v>SYR</v>
          </cell>
          <cell r="F218" t="str">
            <v>SY</v>
          </cell>
        </row>
        <row r="219">
          <cell r="A219" t="str">
            <v>Taiwan</v>
          </cell>
          <cell r="B219" t="str">
            <v>Asia 2</v>
          </cell>
          <cell r="D219" t="str">
            <v>TWN</v>
          </cell>
          <cell r="E219" t="str">
            <v>TWN</v>
          </cell>
          <cell r="F219" t="str">
            <v>TW</v>
          </cell>
        </row>
        <row r="220">
          <cell r="A220" t="str">
            <v>Tajikistan</v>
          </cell>
          <cell r="B220" t="str">
            <v>RoW 1</v>
          </cell>
          <cell r="D220" t="str">
            <v>TJK</v>
          </cell>
          <cell r="E220" t="str">
            <v>TJK</v>
          </cell>
          <cell r="F220" t="str">
            <v>TJ</v>
          </cell>
        </row>
        <row r="221">
          <cell r="A221" t="str">
            <v>Tanzania</v>
          </cell>
          <cell r="B221" t="str">
            <v>RoW 2</v>
          </cell>
          <cell r="D221" t="str">
            <v>TZA</v>
          </cell>
          <cell r="E221" t="str">
            <v>TZA</v>
          </cell>
          <cell r="F221" t="str">
            <v>TZ</v>
          </cell>
        </row>
        <row r="222">
          <cell r="A222" t="str">
            <v>Thailand</v>
          </cell>
          <cell r="B222" t="str">
            <v>Asia 2</v>
          </cell>
          <cell r="D222" t="str">
            <v>THA</v>
          </cell>
          <cell r="E222" t="str">
            <v>THA</v>
          </cell>
          <cell r="F222" t="str">
            <v>TH</v>
          </cell>
        </row>
        <row r="223">
          <cell r="A223" t="str">
            <v>Togo</v>
          </cell>
          <cell r="B223" t="str">
            <v>RoW 2</v>
          </cell>
          <cell r="D223" t="str">
            <v>TGO</v>
          </cell>
          <cell r="E223" t="str">
            <v>TGO</v>
          </cell>
          <cell r="F223" t="str">
            <v>TG</v>
          </cell>
        </row>
        <row r="224">
          <cell r="A224" t="str">
            <v>Tokelau</v>
          </cell>
          <cell r="B224" t="str">
            <v>RoW 2</v>
          </cell>
          <cell r="D224" t="str">
            <v>TKL</v>
          </cell>
          <cell r="E224" t="str">
            <v>TKL</v>
          </cell>
          <cell r="F224" t="str">
            <v>TK</v>
          </cell>
        </row>
        <row r="225">
          <cell r="A225" t="str">
            <v>Tonga</v>
          </cell>
          <cell r="B225" t="str">
            <v>RoW 2</v>
          </cell>
          <cell r="D225" t="str">
            <v>TON</v>
          </cell>
          <cell r="E225" t="str">
            <v>TON</v>
          </cell>
          <cell r="F225" t="str">
            <v>TO</v>
          </cell>
        </row>
        <row r="226">
          <cell r="A226" t="str">
            <v>Trinidad &amp; Tobago</v>
          </cell>
          <cell r="B226" t="str">
            <v>RoW 2</v>
          </cell>
          <cell r="D226" t="str">
            <v>TTO</v>
          </cell>
          <cell r="E226" t="str">
            <v>TTO</v>
          </cell>
          <cell r="F226" t="str">
            <v>TT</v>
          </cell>
        </row>
        <row r="227">
          <cell r="A227" t="str">
            <v>Tunisia</v>
          </cell>
          <cell r="B227" t="str">
            <v>RoW 2</v>
          </cell>
          <cell r="D227" t="str">
            <v>TUN</v>
          </cell>
          <cell r="E227" t="str">
            <v>TUN</v>
          </cell>
          <cell r="F227" t="str">
            <v>TN</v>
          </cell>
        </row>
        <row r="228">
          <cell r="A228" t="str">
            <v>Turkey</v>
          </cell>
          <cell r="B228" t="str">
            <v>Eur 2</v>
          </cell>
          <cell r="D228" t="str">
            <v>TUR</v>
          </cell>
          <cell r="E228" t="str">
            <v>TUR</v>
          </cell>
          <cell r="F228" t="str">
            <v>TR</v>
          </cell>
        </row>
        <row r="229">
          <cell r="A229" t="str">
            <v>Turkmenistan</v>
          </cell>
          <cell r="B229" t="str">
            <v>Eur 2</v>
          </cell>
          <cell r="D229" t="str">
            <v>TKM</v>
          </cell>
          <cell r="E229" t="str">
            <v>TKM</v>
          </cell>
          <cell r="F229" t="str">
            <v>TM</v>
          </cell>
        </row>
        <row r="230">
          <cell r="A230" t="str">
            <v>Turks &amp; Caicos Is</v>
          </cell>
          <cell r="B230" t="str">
            <v>RoW 2</v>
          </cell>
          <cell r="D230" t="str">
            <v>TCA</v>
          </cell>
          <cell r="E230" t="str">
            <v>TCA</v>
          </cell>
          <cell r="F230" t="str">
            <v>TC</v>
          </cell>
        </row>
        <row r="231">
          <cell r="A231" t="str">
            <v>Tuvalu</v>
          </cell>
          <cell r="B231" t="str">
            <v>RoW 2</v>
          </cell>
          <cell r="D231" t="str">
            <v>TUV</v>
          </cell>
          <cell r="E231" t="str">
            <v>TUV</v>
          </cell>
          <cell r="F231" t="str">
            <v>TV</v>
          </cell>
        </row>
        <row r="232">
          <cell r="A232" t="str">
            <v>Uganda</v>
          </cell>
          <cell r="B232" t="str">
            <v>RoW 2</v>
          </cell>
          <cell r="D232" t="str">
            <v>UGA</v>
          </cell>
          <cell r="E232" t="str">
            <v>UGA</v>
          </cell>
          <cell r="F232" t="str">
            <v>UG</v>
          </cell>
        </row>
        <row r="233">
          <cell r="A233" t="str">
            <v>Ukraine</v>
          </cell>
          <cell r="B233" t="str">
            <v>Eur 2</v>
          </cell>
          <cell r="D233" t="str">
            <v>UKR</v>
          </cell>
          <cell r="E233" t="str">
            <v>UKR</v>
          </cell>
          <cell r="F233" t="str">
            <v>UA</v>
          </cell>
        </row>
        <row r="234">
          <cell r="A234" t="str">
            <v>United Arab Emirates</v>
          </cell>
          <cell r="B234" t="str">
            <v>RoW 1</v>
          </cell>
          <cell r="D234" t="str">
            <v>ARE</v>
          </cell>
          <cell r="E234" t="str">
            <v>ARE</v>
          </cell>
          <cell r="F234" t="str">
            <v>AE</v>
          </cell>
        </row>
        <row r="235">
          <cell r="A235" t="str">
            <v>United Kingdom</v>
          </cell>
          <cell r="B235" t="str">
            <v>Eur 1</v>
          </cell>
          <cell r="D235" t="str">
            <v>GBR</v>
          </cell>
          <cell r="E235" t="str">
            <v>GBR</v>
          </cell>
          <cell r="F235" t="str">
            <v>GB</v>
          </cell>
        </row>
        <row r="236">
          <cell r="A236" t="str">
            <v>United Nations Kosovo</v>
          </cell>
          <cell r="B236" t="str">
            <v>Eur 2</v>
          </cell>
          <cell r="D236" t="str">
            <v>XKO</v>
          </cell>
          <cell r="E236" t="str">
            <v>XKO</v>
          </cell>
        </row>
        <row r="237">
          <cell r="A237" t="str">
            <v>Uruguay</v>
          </cell>
          <cell r="B237" t="str">
            <v>RoW 2</v>
          </cell>
          <cell r="D237" t="str">
            <v>URY</v>
          </cell>
          <cell r="E237" t="str">
            <v>URY</v>
          </cell>
          <cell r="F237" t="str">
            <v>UY</v>
          </cell>
        </row>
        <row r="238">
          <cell r="A238" t="str">
            <v>USA</v>
          </cell>
          <cell r="B238" t="str">
            <v>NAM</v>
          </cell>
          <cell r="D238" t="str">
            <v>USA</v>
          </cell>
          <cell r="E238" t="str">
            <v>USA</v>
          </cell>
          <cell r="F238" t="str">
            <v>US</v>
          </cell>
        </row>
        <row r="239">
          <cell r="A239" t="str">
            <v>Uzbekistan</v>
          </cell>
          <cell r="B239" t="str">
            <v>Eur 2</v>
          </cell>
          <cell r="D239" t="str">
            <v>UZB</v>
          </cell>
          <cell r="E239" t="str">
            <v>UZB</v>
          </cell>
          <cell r="F239" t="str">
            <v>UZ</v>
          </cell>
        </row>
        <row r="240">
          <cell r="A240" t="str">
            <v>Vanuatu</v>
          </cell>
          <cell r="B240" t="str">
            <v>RoW 2</v>
          </cell>
          <cell r="D240" t="str">
            <v>VUT</v>
          </cell>
          <cell r="E240" t="str">
            <v>VUT</v>
          </cell>
          <cell r="F240" t="str">
            <v>VU</v>
          </cell>
        </row>
        <row r="241">
          <cell r="A241" t="str">
            <v>Vatican City</v>
          </cell>
          <cell r="B241" t="str">
            <v>Eur 1</v>
          </cell>
          <cell r="D241" t="str">
            <v>VAT</v>
          </cell>
          <cell r="E241" t="str">
            <v>VAT</v>
          </cell>
          <cell r="F241" t="str">
            <v>VA</v>
          </cell>
        </row>
        <row r="242">
          <cell r="A242" t="str">
            <v>Venezuela</v>
          </cell>
          <cell r="B242" t="str">
            <v>RoW 2</v>
          </cell>
          <cell r="D242" t="str">
            <v>VEN</v>
          </cell>
          <cell r="E242" t="str">
            <v>VEN</v>
          </cell>
          <cell r="F242" t="str">
            <v>VE</v>
          </cell>
        </row>
        <row r="243">
          <cell r="A243" t="str">
            <v>Vietnam</v>
          </cell>
          <cell r="B243" t="str">
            <v>Asia 2</v>
          </cell>
          <cell r="D243" t="str">
            <v>VNM</v>
          </cell>
          <cell r="E243" t="str">
            <v>VNM</v>
          </cell>
          <cell r="F243" t="str">
            <v>VN</v>
          </cell>
        </row>
        <row r="244">
          <cell r="A244" t="str">
            <v>VIP</v>
          </cell>
          <cell r="B244" t="str">
            <v>RoW 2</v>
          </cell>
          <cell r="D244" t="str">
            <v>VIP</v>
          </cell>
          <cell r="E244" t="str">
            <v>na</v>
          </cell>
          <cell r="F244" t="str">
            <v>na</v>
          </cell>
        </row>
        <row r="245">
          <cell r="A245" t="str">
            <v>Virgin Is (UK)</v>
          </cell>
          <cell r="B245" t="str">
            <v>RoW 2</v>
          </cell>
          <cell r="D245" t="str">
            <v>VGB</v>
          </cell>
          <cell r="E245" t="str">
            <v>VGB</v>
          </cell>
          <cell r="F245" t="str">
            <v>VG</v>
          </cell>
        </row>
        <row r="246">
          <cell r="A246" t="str">
            <v>Virgin Is (US)</v>
          </cell>
          <cell r="B246" t="str">
            <v>RoW 2</v>
          </cell>
          <cell r="D246" t="str">
            <v>VIR</v>
          </cell>
          <cell r="E246" t="str">
            <v>VIR</v>
          </cell>
          <cell r="F246" t="str">
            <v>VI</v>
          </cell>
        </row>
        <row r="247">
          <cell r="A247" t="str">
            <v>Wallis &amp; Futuna</v>
          </cell>
          <cell r="B247" t="str">
            <v>RoW 2</v>
          </cell>
          <cell r="D247" t="str">
            <v>WLF</v>
          </cell>
          <cell r="E247" t="str">
            <v>WLF</v>
          </cell>
          <cell r="F247" t="str">
            <v>WF</v>
          </cell>
        </row>
        <row r="248">
          <cell r="A248" t="str">
            <v>Yemen</v>
          </cell>
          <cell r="B248" t="str">
            <v>RoW 2</v>
          </cell>
          <cell r="D248" t="str">
            <v>YEM</v>
          </cell>
          <cell r="E248" t="str">
            <v>YEM</v>
          </cell>
          <cell r="F248" t="str">
            <v>YE</v>
          </cell>
        </row>
        <row r="249">
          <cell r="A249" t="str">
            <v>Zambia</v>
          </cell>
          <cell r="B249" t="str">
            <v>RoW 2</v>
          </cell>
          <cell r="D249" t="str">
            <v>ZMB</v>
          </cell>
          <cell r="E249" t="str">
            <v>ZMB</v>
          </cell>
          <cell r="F249" t="str">
            <v>ZM</v>
          </cell>
        </row>
        <row r="250">
          <cell r="A250" t="str">
            <v>Zimbabwe</v>
          </cell>
          <cell r="B250" t="str">
            <v>RoW 2</v>
          </cell>
          <cell r="D250" t="str">
            <v>ZWE</v>
          </cell>
          <cell r="E250" t="str">
            <v>ZWE</v>
          </cell>
          <cell r="F250" t="str">
            <v>ZW</v>
          </cell>
        </row>
        <row r="251">
          <cell r="E251" t="str">
            <v>XKX</v>
          </cell>
        </row>
      </sheetData>
      <sheetData sheetId="7"/>
      <sheetData sheetId="8">
        <row r="2">
          <cell r="A2" t="str">
            <v>PSTNAlbania</v>
          </cell>
        </row>
      </sheetData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ZYMUSINSKA Natalia SCE/CSO" refreshedDate="43306.685324652775" createdVersion="4" refreshedVersion="4" minRefreshableVersion="3" recordCount="369" xr:uid="{00000000-000A-0000-FFFF-FFFF05000000}">
  <cacheSource type="worksheet">
    <worksheetSource ref="A1:C370" sheet="country code mapping"/>
  </cacheSource>
  <cacheFields count="3">
    <cacheField name="country" numFmtId="0">
      <sharedItems count="369">
        <s v="Afghanistan"/>
        <s v="Albania"/>
        <s v="Algeria"/>
        <s v="American Samoa"/>
        <s v="Andorra"/>
        <s v="Angola"/>
        <s v="Anguilla"/>
        <s v="Antarctica"/>
        <s v="Antigua &amp;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"/>
        <s v="Bonnaire St Eustache Saba"/>
        <s v="Bosnia &amp; Herzegovina"/>
        <s v="Botswana"/>
        <s v="Brazil"/>
        <s v="Brunei"/>
        <s v="Bulgaria"/>
        <s v="Burkina Faso"/>
        <s v="Burundi"/>
        <s v="Cambodia"/>
        <s v="Cameroon"/>
        <s v="Canada"/>
        <s v="Cape Verde"/>
        <s v="Cayman Is"/>
        <s v="Central African Republic"/>
        <s v="Chad"/>
        <s v="Chile"/>
        <s v="China"/>
        <s v="Colombia"/>
        <s v="Comoros"/>
        <s v="Congo"/>
        <s v="Congo Dem. Rep."/>
        <s v="Cook Is"/>
        <s v="Costa Rica"/>
        <s v="Cote d'Ivoire"/>
        <s v="Croatia"/>
        <s v="Cuba"/>
        <s v="Curacao"/>
        <s v="Cyprus"/>
        <s v="Czech Republic"/>
        <s v="Denmark"/>
        <s v="Djibouti"/>
        <s v="Dominica"/>
        <s v="Dominican Republic"/>
        <s v="East Timor"/>
        <s v="Ecuador"/>
        <s v="Egypt"/>
        <s v="El Salvador"/>
        <s v="Equatorial Guinea"/>
        <s v="Eritrea"/>
        <s v="Estonia"/>
        <s v="Ethiopia"/>
        <s v="Faeroe Is"/>
        <s v="Falkland Is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orea North"/>
        <s v="Korea South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cao"/>
        <s v="Macedonia"/>
        <s v="Madagascar"/>
        <s v="Malawi"/>
        <s v="Malaysia"/>
        <s v="Maldives"/>
        <s v="Mali"/>
        <s v="Malta"/>
        <s v="Marshall Is"/>
        <s v="Martinique"/>
        <s v="Mauritania"/>
        <s v="Mauritius"/>
        <s v="Mayotte"/>
        <s v="Mexico"/>
        <s v="Micronesia"/>
        <s v="Midway Is"/>
        <s v="Moldova"/>
        <s v="Monaco"/>
        <s v="Mongolia"/>
        <s v="Montenegro"/>
        <s v="Montserrat"/>
        <s v="Morocco"/>
        <s v="Mozambique"/>
        <s v="Myanmar"/>
        <s v="Namibia"/>
        <s v="Nauru Is"/>
        <s v="Nepal"/>
        <s v="Netherlands"/>
        <s v="New Caledonia"/>
        <s v="New Zealand"/>
        <s v="Nicaragua"/>
        <s v="Niger"/>
        <s v="Nigeria"/>
        <s v="Niue Is"/>
        <s v="Northern Mariana Is"/>
        <s v="Norway"/>
        <s v="Oman"/>
        <s v="Pakistan"/>
        <s v="Palau"/>
        <s v="Palestine"/>
        <s v="Panama"/>
        <s v="Papua New Guinea"/>
        <s v="Paraguay"/>
        <s v="Peru"/>
        <s v="Philippines"/>
        <s v="Poland"/>
        <s v="Portugal"/>
        <s v="Puerto Rico"/>
        <s v="Qatar"/>
        <s v="Reunion Is"/>
        <s v="Romania"/>
        <s v="Russia"/>
        <s v="Rwanda"/>
        <s v="Samoa"/>
        <s v="San Marino"/>
        <s v="Sao Tome &amp; Principe"/>
        <s v="Saudi Arabia"/>
        <s v="Senegal"/>
        <s v="Serbia"/>
        <s v="Seychelles"/>
        <s v="Sierra Leone"/>
        <s v="Singapore"/>
        <s v="Sint Marteen (dutch part)"/>
        <s v="Slovakia"/>
        <s v="Slovenia"/>
        <s v="Solomon Is"/>
        <s v="Somalia"/>
        <s v="South Africa"/>
        <s v="South Sudan"/>
        <s v="Spain"/>
        <s v="Sri Lanka"/>
        <s v="St Helena"/>
        <s v="St Kitts &amp; Nevis"/>
        <s v="St Lucia"/>
        <s v="St Pierre &amp; Miquelon"/>
        <s v="St Vincent &amp; the Grenadines"/>
        <s v="Sudan"/>
        <s v="Suriname"/>
        <s v="Swaziland"/>
        <s v="Sweden"/>
        <s v="Switzerland"/>
        <s v="Syria"/>
        <s v="Taiwan"/>
        <s v="Tajikistan"/>
        <s v="Tanzania"/>
        <s v="Thailand"/>
        <s v="Togo"/>
        <s v="Tokelau"/>
        <s v="Tonga"/>
        <s v="Trinidad &amp; Tobago"/>
        <s v="Tunisia"/>
        <s v="Turks &amp; Caicos Is"/>
        <s v="Turkey"/>
        <s v="Turkmenistan"/>
        <s v="Tuvalu"/>
        <s v="Uganda"/>
        <s v="Ukraine"/>
        <s v="United Arab Emirates"/>
        <s v="United Kingdom"/>
        <s v="Uruguay"/>
        <s v="USA"/>
        <s v="Uzbekistan"/>
        <s v="Vanuatu"/>
        <s v="Vatican City"/>
        <s v="Venezuela"/>
        <s v="Vietnam"/>
        <s v="Virgin Is (UK)"/>
        <s v="Virgin Is (US)"/>
        <s v="Wallis &amp; Futuna"/>
        <s v="Yemen"/>
        <s v="Zambia"/>
        <s v="Zimbabwe"/>
        <s v="Saint Martin"/>
        <s v="Kosovo"/>
        <s v="Bonaire"/>
        <s v="Bosnia/Herzegovina"/>
        <s v="Burkina"/>
        <s v="Cayman Isl"/>
        <s v="Central African Rep"/>
        <s v="Cook Isl"/>
        <s v="Dem Rep of Congo"/>
        <s v="Dominican Rep"/>
        <s v="Faeroe Isl"/>
        <s v="Falkland Isl"/>
        <s v="French Guyana"/>
        <s v="Ivory Coast"/>
        <s v="Marshall Isl"/>
        <s v="Mayotte Isl"/>
        <s v="Nauru"/>
        <s v="Niue"/>
        <s v="North Korea"/>
        <s v="Northern Mariana Islands"/>
        <s v="Palestinian territory"/>
        <s v="Saint Maarten"/>
        <s v="Samoa (Western)"/>
        <s v="Sao Tome/Principe"/>
        <s v="Solomon Isl"/>
        <s v="South Korea"/>
        <s v="St. Helena"/>
        <s v="St. Kitts/Nevis"/>
        <s v="St. Lucia"/>
        <s v="St. Pierre/Miquelon"/>
        <s v="St. Vincent/Grenadines"/>
        <s v="Turks &amp; Caicos Isl"/>
        <s v="Virgin Isl (UK)"/>
        <s v="Wallis/Futuna Isls"/>
        <s v="Diego Garcia"/>
        <s v="Bosnia"/>
        <s v="British Virgin Islands"/>
        <s v="Cayman Islands"/>
        <s v="Guadaloupe"/>
        <s v="Northern Mariana Isl"/>
        <s v="Reunion"/>
        <s v="St. Kitts &amp; Nevis"/>
        <s v="St. Vincent &amp; Grenadines"/>
        <s v="Turks &amp; Caicos Islands"/>
        <s v="Us Virgin Islands"/>
        <s v="Usa Alabama"/>
        <s v="Usa Alaska"/>
        <s v="Usa Arizona"/>
        <s v="Usa Arkansas"/>
        <s v="Usa California"/>
        <s v="Usa Colorado"/>
        <s v="Usa Connecticut"/>
        <s v="Usa Delaware"/>
        <s v="Usa Florida"/>
        <s v="Usa Georgia"/>
        <s v="Usa Hawaii"/>
        <s v="Usa Idaho"/>
        <s v="Usa Illinois"/>
        <s v="Usa Indiana"/>
        <s v="Usa Iowa"/>
        <s v="Usa Kansas"/>
        <s v="Usa Kentucky"/>
        <s v="Usa Louisiana"/>
        <s v="Usa Maine"/>
        <s v="Usa Maryland"/>
        <s v="Usa Massachusetts"/>
        <s v="Usa Michigan"/>
        <s v="Usa Minnesota"/>
        <s v="Usa Mississippi"/>
        <s v="Usa Missouri"/>
        <s v="Usa Montana"/>
        <s v="Usa Nebraska"/>
        <s v="Usa Nevada"/>
        <s v="Usa New Hampshire"/>
        <s v="Usa New Jersey"/>
        <s v="Usa New Mexico"/>
        <s v="Usa New York"/>
        <s v="Usa North Carolina"/>
        <s v="Usa North Dakota"/>
        <s v="Usa Ohio"/>
        <s v="Usa Oklahoma"/>
        <s v="Usa Oregon"/>
        <s v="Usa Pennsylvania"/>
        <s v="Usa Rhode Island"/>
        <s v="Usa South Carolina"/>
        <s v="Usa South Dakota"/>
        <s v="Usa Tennessee"/>
        <s v="Usa Texas"/>
        <s v="Usa Utah"/>
        <s v="Usa Vermont"/>
        <s v="Usa Virginia"/>
        <s v="Usa Washington"/>
        <s v="Usa Washington Dc"/>
        <s v="Usa West Virginia"/>
        <s v="Usa Wisconsin"/>
        <s v="Usa Wyoming"/>
        <s v="Ascension Is"/>
        <s v="Azores"/>
        <s v="Bonaire St Eust Saba"/>
        <s v="Bonaire St Eust Saba Mobile"/>
        <s v="Canary Is"/>
        <s v="Global Networks 88234"/>
        <s v="Global Satellite Gmss"/>
        <s v="Globalstar"/>
        <s v="Guantanamo"/>
        <s v="Inmarsat"/>
        <s v="Inmarsat B"/>
        <s v="Inmarsat B Hsd"/>
        <s v="Inmarsat Bgan"/>
        <s v="Inmarsat Bgan Hsd"/>
        <s v="Inmarsat GAN FLEET HSD SWIFT 64"/>
        <s v="Inmarsat M"/>
        <s v="Inmarsat M4 Hsd"/>
        <s v="Inmarsat Mm"/>
        <s v="International Networks"/>
        <s v="International Toll Free"/>
        <s v="Madeira"/>
        <s v="Maritime Comms Partner 88232"/>
        <s v="Midway Islands (Hawaii)"/>
        <s v="Network Global Personnal NB"/>
        <s v="Network Int DTAG"/>
        <s v="Network Int MEDIALINCC"/>
        <s v="Network Int MT MARITIME SVC"/>
        <s v="Network Int Orange 90131"/>
        <s v="Network Int TRANSATEL"/>
        <s v="Network Int Vodafone"/>
        <s v="Norfolk Is"/>
        <s v="Russia Kaliningrad"/>
        <s v="Russia Moscow"/>
        <s v="Russia St Petersburg"/>
        <s v="Russia Vas Globalstar"/>
        <s v="Satellite Elsacom"/>
        <s v="Satellite Iridium P"/>
        <s v="Satellite Sita On Air"/>
        <s v="Telespazio 88213"/>
        <s v="Thuraya 88216"/>
        <s v="Turkey North Cyprus"/>
      </sharedItems>
    </cacheField>
    <cacheField name="ISO 3 Code" numFmtId="0">
      <sharedItems/>
    </cacheField>
    <cacheField name="ISO 2 Code" numFmtId="0">
      <sharedItems count="238">
        <s v="AF"/>
        <s v="AL"/>
        <s v="DZ"/>
        <s v="AS"/>
        <s v="AD"/>
        <s v="AO"/>
        <s v="AI"/>
        <s v="AQ"/>
        <s v="AG"/>
        <s v="AR"/>
        <s v="AM"/>
        <s v="AW"/>
        <s v="AU"/>
        <s v="AT"/>
        <s v="AZ"/>
        <s v="BS"/>
        <s v="BH"/>
        <s v="BD"/>
        <s v="BB"/>
        <s v="BY"/>
        <s v="BE"/>
        <s v="BZ"/>
        <s v="BJ"/>
        <s v="BM"/>
        <s v="BT"/>
        <s v="BO"/>
        <s v="BQ"/>
        <s v="BA"/>
        <s v="BW"/>
        <s v="BR"/>
        <s v="BN"/>
        <s v="BG"/>
        <s v="BF"/>
        <s v="BI"/>
        <s v="KH"/>
        <s v="CM"/>
        <s v="CA"/>
        <s v="CV"/>
        <s v="KY"/>
        <s v="CF"/>
        <s v="TD"/>
        <s v="CL"/>
        <s v="CN"/>
        <s v="CO"/>
        <s v="KM"/>
        <s v="CG"/>
        <s v="CD"/>
        <s v="CK"/>
        <s v="CR"/>
        <s v="CI"/>
        <s v="HR"/>
        <s v="CU"/>
        <s v="CW"/>
        <s v="CY"/>
        <s v="CZ"/>
        <s v="DK"/>
        <s v="DJ"/>
        <s v="DM"/>
        <s v="DO"/>
        <s v="TL"/>
        <s v="EC"/>
        <s v="EG"/>
        <s v="SV"/>
        <s v="GQ"/>
        <s v="ER"/>
        <s v="EE"/>
        <s v="ET"/>
        <s v="FO"/>
        <s v="FK"/>
        <s v="FJ"/>
        <s v="FI"/>
        <s v="FR"/>
        <s v="GF"/>
        <s v="PF"/>
        <s v="GA"/>
        <s v="GM"/>
        <s v="GE"/>
        <s v="DE"/>
        <s v="GH"/>
        <s v="GI"/>
        <s v="GR"/>
        <s v="GL"/>
        <s v="GD"/>
        <s v="GP"/>
        <s v="GU"/>
        <s v="GT"/>
        <s v="GN"/>
        <s v="GW"/>
        <s v="GY"/>
        <s v="HT"/>
        <s v="HN"/>
        <s v="HK"/>
        <s v="HU"/>
        <s v="IS"/>
        <s v="IN"/>
        <s v="ID"/>
        <s v="IR"/>
        <s v="IQ"/>
        <s v="IE"/>
        <s v="IL"/>
        <s v="IT"/>
        <s v="JM"/>
        <s v="JP"/>
        <s v="JO"/>
        <s v="KZ"/>
        <s v="KE"/>
        <s v="KI"/>
        <s v="KP"/>
        <s v="KR"/>
        <s v="KW"/>
        <s v="KG"/>
        <s v="LA"/>
        <s v="LV"/>
        <s v="LB"/>
        <s v="LS"/>
        <s v="LR"/>
        <s v="LY"/>
        <s v="LI"/>
        <s v="LT"/>
        <s v="LU"/>
        <s v="MO"/>
        <s v="MK"/>
        <s v="MG"/>
        <s v="MW"/>
        <s v="MY"/>
        <s v="MV"/>
        <s v="ML"/>
        <s v="MT"/>
        <s v="MH"/>
        <s v="MQ"/>
        <s v="MR"/>
        <s v="MU"/>
        <s v="YT"/>
        <s v="MX"/>
        <s v="FM"/>
        <s v="UM"/>
        <s v="MD"/>
        <s v="MC"/>
        <s v="MN"/>
        <s v="ME"/>
        <s v="MS"/>
        <s v="MA"/>
        <s v="MZ"/>
        <s v="MM"/>
        <s v="NA"/>
        <s v="NR"/>
        <s v="NP"/>
        <s v="NL"/>
        <s v="NC"/>
        <s v="NZ"/>
        <s v="NI"/>
        <s v="NE"/>
        <s v="NG"/>
        <s v="NU"/>
        <s v="MP"/>
        <s v="NO"/>
        <s v="OM"/>
        <s v="PK"/>
        <s v="PW"/>
        <s v="PS"/>
        <s v="PA"/>
        <s v="PG"/>
        <s v="PY"/>
        <s v="PE"/>
        <s v="PH"/>
        <s v="PL"/>
        <s v="PT"/>
        <s v="PR"/>
        <s v="QA"/>
        <s v="RE"/>
        <s v="RO"/>
        <s v="RU"/>
        <s v="RW"/>
        <s v="WS"/>
        <s v="SM"/>
        <s v="ST"/>
        <s v="SA"/>
        <s v="SN"/>
        <s v="RS"/>
        <s v="SC"/>
        <s v="SL"/>
        <s v="SG"/>
        <s v="SX"/>
        <s v="SK"/>
        <s v="SI"/>
        <s v="SB"/>
        <s v="SO"/>
        <s v="ZA"/>
        <s v="SS"/>
        <s v="ES"/>
        <s v="LK"/>
        <s v="SH"/>
        <s v="KN"/>
        <s v="LC"/>
        <s v="PM"/>
        <s v="VC"/>
        <s v="SD"/>
        <s v="SR"/>
        <s v="SZ"/>
        <s v="SE"/>
        <s v="CH"/>
        <s v="SY"/>
        <s v="TW"/>
        <s v="TJ"/>
        <s v="TZ"/>
        <s v="TH"/>
        <s v="TG"/>
        <s v="TK"/>
        <s v="TO"/>
        <s v="TT"/>
        <s v="TN"/>
        <s v="TC"/>
        <s v="TR"/>
        <s v="TM"/>
        <s v="TV"/>
        <s v="UG"/>
        <s v="UA"/>
        <s v="AE"/>
        <s v="GB"/>
        <s v="UY"/>
        <s v="US"/>
        <s v="UZ"/>
        <s v="VU"/>
        <s v="VA"/>
        <s v="VE"/>
        <s v="VN"/>
        <s v="VG"/>
        <s v="VI"/>
        <s v="WF"/>
        <s v="YE"/>
        <s v="ZM"/>
        <s v="ZW"/>
        <s v="MF"/>
        <s v="KV"/>
        <s v="IO"/>
        <s v="AC"/>
        <s v="AN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s v="AFG"/>
    <x v="0"/>
  </r>
  <r>
    <x v="1"/>
    <s v="ALB"/>
    <x v="1"/>
  </r>
  <r>
    <x v="2"/>
    <s v="DZA"/>
    <x v="2"/>
  </r>
  <r>
    <x v="3"/>
    <s v="ASM"/>
    <x v="3"/>
  </r>
  <r>
    <x v="4"/>
    <s v="AND"/>
    <x v="4"/>
  </r>
  <r>
    <x v="5"/>
    <s v="AGO"/>
    <x v="5"/>
  </r>
  <r>
    <x v="6"/>
    <s v="AIA"/>
    <x v="6"/>
  </r>
  <r>
    <x v="7"/>
    <s v="ATA"/>
    <x v="7"/>
  </r>
  <r>
    <x v="8"/>
    <s v="ATG"/>
    <x v="8"/>
  </r>
  <r>
    <x v="9"/>
    <s v="ARG"/>
    <x v="9"/>
  </r>
  <r>
    <x v="10"/>
    <s v="ARM"/>
    <x v="10"/>
  </r>
  <r>
    <x v="11"/>
    <s v="ABW"/>
    <x v="11"/>
  </r>
  <r>
    <x v="12"/>
    <s v="AUS"/>
    <x v="12"/>
  </r>
  <r>
    <x v="13"/>
    <s v="AUT"/>
    <x v="13"/>
  </r>
  <r>
    <x v="14"/>
    <s v="AZE"/>
    <x v="14"/>
  </r>
  <r>
    <x v="15"/>
    <s v="BHS"/>
    <x v="15"/>
  </r>
  <r>
    <x v="16"/>
    <s v="BHR"/>
    <x v="16"/>
  </r>
  <r>
    <x v="17"/>
    <s v="BGD"/>
    <x v="17"/>
  </r>
  <r>
    <x v="18"/>
    <s v="BRB"/>
    <x v="18"/>
  </r>
  <r>
    <x v="19"/>
    <s v="BLR"/>
    <x v="19"/>
  </r>
  <r>
    <x v="20"/>
    <s v="BEL"/>
    <x v="20"/>
  </r>
  <r>
    <x v="21"/>
    <s v="BLZ"/>
    <x v="21"/>
  </r>
  <r>
    <x v="22"/>
    <s v="BEN"/>
    <x v="22"/>
  </r>
  <r>
    <x v="23"/>
    <s v="BMU"/>
    <x v="23"/>
  </r>
  <r>
    <x v="24"/>
    <s v="BTN"/>
    <x v="24"/>
  </r>
  <r>
    <x v="25"/>
    <s v="BOL"/>
    <x v="25"/>
  </r>
  <r>
    <x v="26"/>
    <s v="BES"/>
    <x v="26"/>
  </r>
  <r>
    <x v="27"/>
    <s v="BIH"/>
    <x v="27"/>
  </r>
  <r>
    <x v="28"/>
    <s v="BWA"/>
    <x v="28"/>
  </r>
  <r>
    <x v="29"/>
    <s v="BRA"/>
    <x v="29"/>
  </r>
  <r>
    <x v="30"/>
    <s v="BRN"/>
    <x v="30"/>
  </r>
  <r>
    <x v="31"/>
    <s v="BGR"/>
    <x v="31"/>
  </r>
  <r>
    <x v="32"/>
    <s v="BFA"/>
    <x v="32"/>
  </r>
  <r>
    <x v="33"/>
    <s v="BDI"/>
    <x v="33"/>
  </r>
  <r>
    <x v="34"/>
    <s v="KHM"/>
    <x v="34"/>
  </r>
  <r>
    <x v="35"/>
    <s v="CMR"/>
    <x v="35"/>
  </r>
  <r>
    <x v="36"/>
    <s v="CAN"/>
    <x v="36"/>
  </r>
  <r>
    <x v="37"/>
    <s v="CPV"/>
    <x v="37"/>
  </r>
  <r>
    <x v="38"/>
    <s v="CYM"/>
    <x v="38"/>
  </r>
  <r>
    <x v="39"/>
    <s v="CAF"/>
    <x v="39"/>
  </r>
  <r>
    <x v="40"/>
    <s v="TCD"/>
    <x v="40"/>
  </r>
  <r>
    <x v="41"/>
    <s v="CHL"/>
    <x v="41"/>
  </r>
  <r>
    <x v="42"/>
    <s v="CHN"/>
    <x v="42"/>
  </r>
  <r>
    <x v="43"/>
    <s v="COL"/>
    <x v="43"/>
  </r>
  <r>
    <x v="44"/>
    <s v="COM"/>
    <x v="44"/>
  </r>
  <r>
    <x v="45"/>
    <s v="COG"/>
    <x v="45"/>
  </r>
  <r>
    <x v="46"/>
    <s v="COD"/>
    <x v="46"/>
  </r>
  <r>
    <x v="47"/>
    <s v="COK"/>
    <x v="47"/>
  </r>
  <r>
    <x v="48"/>
    <s v="CRI"/>
    <x v="48"/>
  </r>
  <r>
    <x v="49"/>
    <s v="CIV"/>
    <x v="49"/>
  </r>
  <r>
    <x v="50"/>
    <s v="HRV"/>
    <x v="50"/>
  </r>
  <r>
    <x v="51"/>
    <s v="CUB"/>
    <x v="51"/>
  </r>
  <r>
    <x v="52"/>
    <s v="CUW"/>
    <x v="52"/>
  </r>
  <r>
    <x v="53"/>
    <s v="CYP"/>
    <x v="53"/>
  </r>
  <r>
    <x v="54"/>
    <s v="CZE"/>
    <x v="54"/>
  </r>
  <r>
    <x v="55"/>
    <s v="DNK"/>
    <x v="55"/>
  </r>
  <r>
    <x v="56"/>
    <s v="DJI"/>
    <x v="56"/>
  </r>
  <r>
    <x v="57"/>
    <s v="DMA"/>
    <x v="57"/>
  </r>
  <r>
    <x v="58"/>
    <s v="DOM"/>
    <x v="58"/>
  </r>
  <r>
    <x v="59"/>
    <s v="TLS"/>
    <x v="59"/>
  </r>
  <r>
    <x v="60"/>
    <s v="ECU"/>
    <x v="60"/>
  </r>
  <r>
    <x v="61"/>
    <s v="EGY"/>
    <x v="61"/>
  </r>
  <r>
    <x v="62"/>
    <s v="SLV"/>
    <x v="62"/>
  </r>
  <r>
    <x v="63"/>
    <s v="GNQ"/>
    <x v="63"/>
  </r>
  <r>
    <x v="64"/>
    <s v="ERI"/>
    <x v="64"/>
  </r>
  <r>
    <x v="65"/>
    <s v="EST"/>
    <x v="65"/>
  </r>
  <r>
    <x v="66"/>
    <s v="ETH"/>
    <x v="66"/>
  </r>
  <r>
    <x v="67"/>
    <s v="FRO"/>
    <x v="67"/>
  </r>
  <r>
    <x v="68"/>
    <s v="FLK"/>
    <x v="68"/>
  </r>
  <r>
    <x v="69"/>
    <s v="FJI"/>
    <x v="69"/>
  </r>
  <r>
    <x v="70"/>
    <s v="FIN"/>
    <x v="70"/>
  </r>
  <r>
    <x v="71"/>
    <s v="FRA"/>
    <x v="71"/>
  </r>
  <r>
    <x v="72"/>
    <s v="GUF"/>
    <x v="72"/>
  </r>
  <r>
    <x v="73"/>
    <s v="PYF"/>
    <x v="73"/>
  </r>
  <r>
    <x v="74"/>
    <s v="GAB"/>
    <x v="74"/>
  </r>
  <r>
    <x v="75"/>
    <s v="GMB"/>
    <x v="75"/>
  </r>
  <r>
    <x v="76"/>
    <s v="GEO"/>
    <x v="76"/>
  </r>
  <r>
    <x v="77"/>
    <s v="DEU"/>
    <x v="77"/>
  </r>
  <r>
    <x v="78"/>
    <s v="GHA"/>
    <x v="78"/>
  </r>
  <r>
    <x v="79"/>
    <s v="GIB"/>
    <x v="79"/>
  </r>
  <r>
    <x v="80"/>
    <s v="GRC"/>
    <x v="80"/>
  </r>
  <r>
    <x v="81"/>
    <s v="GRL"/>
    <x v="81"/>
  </r>
  <r>
    <x v="82"/>
    <s v="GRD"/>
    <x v="82"/>
  </r>
  <r>
    <x v="83"/>
    <s v="GLP"/>
    <x v="83"/>
  </r>
  <r>
    <x v="84"/>
    <s v="GUM"/>
    <x v="84"/>
  </r>
  <r>
    <x v="85"/>
    <s v="GTM"/>
    <x v="85"/>
  </r>
  <r>
    <x v="86"/>
    <s v="GIN"/>
    <x v="86"/>
  </r>
  <r>
    <x v="87"/>
    <s v="GNB"/>
    <x v="87"/>
  </r>
  <r>
    <x v="88"/>
    <s v="GUY"/>
    <x v="88"/>
  </r>
  <r>
    <x v="89"/>
    <s v="HTI"/>
    <x v="89"/>
  </r>
  <r>
    <x v="90"/>
    <s v="HND"/>
    <x v="90"/>
  </r>
  <r>
    <x v="91"/>
    <s v="HKG"/>
    <x v="91"/>
  </r>
  <r>
    <x v="92"/>
    <s v="HUN"/>
    <x v="92"/>
  </r>
  <r>
    <x v="93"/>
    <s v="ISL"/>
    <x v="93"/>
  </r>
  <r>
    <x v="94"/>
    <s v="IND"/>
    <x v="94"/>
  </r>
  <r>
    <x v="95"/>
    <s v="IDN"/>
    <x v="95"/>
  </r>
  <r>
    <x v="96"/>
    <s v="IRN"/>
    <x v="96"/>
  </r>
  <r>
    <x v="97"/>
    <s v="IRQ"/>
    <x v="97"/>
  </r>
  <r>
    <x v="98"/>
    <s v="IRL"/>
    <x v="98"/>
  </r>
  <r>
    <x v="99"/>
    <s v="ISR"/>
    <x v="99"/>
  </r>
  <r>
    <x v="100"/>
    <s v="ITA"/>
    <x v="100"/>
  </r>
  <r>
    <x v="101"/>
    <s v="JAM"/>
    <x v="101"/>
  </r>
  <r>
    <x v="102"/>
    <s v="JPN"/>
    <x v="102"/>
  </r>
  <r>
    <x v="103"/>
    <s v="JOR"/>
    <x v="103"/>
  </r>
  <r>
    <x v="104"/>
    <s v="KAZ"/>
    <x v="104"/>
  </r>
  <r>
    <x v="105"/>
    <s v="KEN"/>
    <x v="105"/>
  </r>
  <r>
    <x v="106"/>
    <s v="KIR"/>
    <x v="106"/>
  </r>
  <r>
    <x v="107"/>
    <s v="PRK"/>
    <x v="107"/>
  </r>
  <r>
    <x v="108"/>
    <s v="KOR"/>
    <x v="108"/>
  </r>
  <r>
    <x v="109"/>
    <s v="KWT"/>
    <x v="109"/>
  </r>
  <r>
    <x v="110"/>
    <s v="KGZ"/>
    <x v="110"/>
  </r>
  <r>
    <x v="111"/>
    <s v="LAO"/>
    <x v="111"/>
  </r>
  <r>
    <x v="112"/>
    <s v="LVA"/>
    <x v="112"/>
  </r>
  <r>
    <x v="113"/>
    <s v="LBN"/>
    <x v="113"/>
  </r>
  <r>
    <x v="114"/>
    <s v="LSO"/>
    <x v="114"/>
  </r>
  <r>
    <x v="115"/>
    <s v="LBR"/>
    <x v="115"/>
  </r>
  <r>
    <x v="116"/>
    <s v="LBY"/>
    <x v="116"/>
  </r>
  <r>
    <x v="117"/>
    <s v="LIE"/>
    <x v="117"/>
  </r>
  <r>
    <x v="118"/>
    <s v="LTU"/>
    <x v="118"/>
  </r>
  <r>
    <x v="119"/>
    <s v="LUX"/>
    <x v="119"/>
  </r>
  <r>
    <x v="120"/>
    <s v="MAC"/>
    <x v="120"/>
  </r>
  <r>
    <x v="121"/>
    <s v="MKD"/>
    <x v="121"/>
  </r>
  <r>
    <x v="122"/>
    <s v="MDG"/>
    <x v="122"/>
  </r>
  <r>
    <x v="123"/>
    <s v="MWI"/>
    <x v="123"/>
  </r>
  <r>
    <x v="124"/>
    <s v="MYS"/>
    <x v="124"/>
  </r>
  <r>
    <x v="125"/>
    <s v="MDV"/>
    <x v="125"/>
  </r>
  <r>
    <x v="126"/>
    <s v="MLI"/>
    <x v="126"/>
  </r>
  <r>
    <x v="127"/>
    <s v="MLT"/>
    <x v="127"/>
  </r>
  <r>
    <x v="128"/>
    <s v="MHL"/>
    <x v="128"/>
  </r>
  <r>
    <x v="129"/>
    <s v="MTQ"/>
    <x v="129"/>
  </r>
  <r>
    <x v="130"/>
    <s v="MRT"/>
    <x v="130"/>
  </r>
  <r>
    <x v="131"/>
    <s v="MUS"/>
    <x v="131"/>
  </r>
  <r>
    <x v="132"/>
    <s v="MYT"/>
    <x v="132"/>
  </r>
  <r>
    <x v="133"/>
    <s v="MEX"/>
    <x v="133"/>
  </r>
  <r>
    <x v="134"/>
    <s v="FSM"/>
    <x v="134"/>
  </r>
  <r>
    <x v="135"/>
    <s v="UMI"/>
    <x v="135"/>
  </r>
  <r>
    <x v="136"/>
    <s v="MDA"/>
    <x v="136"/>
  </r>
  <r>
    <x v="137"/>
    <s v="MCO"/>
    <x v="137"/>
  </r>
  <r>
    <x v="138"/>
    <s v="MNG"/>
    <x v="138"/>
  </r>
  <r>
    <x v="139"/>
    <s v="MNE"/>
    <x v="139"/>
  </r>
  <r>
    <x v="140"/>
    <s v="MSR"/>
    <x v="140"/>
  </r>
  <r>
    <x v="141"/>
    <s v="MAR"/>
    <x v="141"/>
  </r>
  <r>
    <x v="142"/>
    <s v="MOZ"/>
    <x v="142"/>
  </r>
  <r>
    <x v="143"/>
    <s v="MMR"/>
    <x v="143"/>
  </r>
  <r>
    <x v="144"/>
    <s v="NAM"/>
    <x v="144"/>
  </r>
  <r>
    <x v="145"/>
    <s v="NRU"/>
    <x v="145"/>
  </r>
  <r>
    <x v="146"/>
    <s v="NPL"/>
    <x v="146"/>
  </r>
  <r>
    <x v="147"/>
    <s v="NLD"/>
    <x v="147"/>
  </r>
  <r>
    <x v="148"/>
    <s v="NCL"/>
    <x v="148"/>
  </r>
  <r>
    <x v="149"/>
    <s v="NZL"/>
    <x v="149"/>
  </r>
  <r>
    <x v="150"/>
    <s v="NIC"/>
    <x v="150"/>
  </r>
  <r>
    <x v="151"/>
    <s v="NER"/>
    <x v="151"/>
  </r>
  <r>
    <x v="152"/>
    <s v="NGA"/>
    <x v="152"/>
  </r>
  <r>
    <x v="153"/>
    <s v="NIU"/>
    <x v="153"/>
  </r>
  <r>
    <x v="154"/>
    <s v="MNP"/>
    <x v="154"/>
  </r>
  <r>
    <x v="155"/>
    <s v="NOR"/>
    <x v="155"/>
  </r>
  <r>
    <x v="156"/>
    <s v="OMN"/>
    <x v="156"/>
  </r>
  <r>
    <x v="157"/>
    <s v="PAK"/>
    <x v="157"/>
  </r>
  <r>
    <x v="158"/>
    <s v="PLW"/>
    <x v="158"/>
  </r>
  <r>
    <x v="159"/>
    <s v="PSE"/>
    <x v="159"/>
  </r>
  <r>
    <x v="160"/>
    <s v="PAN"/>
    <x v="160"/>
  </r>
  <r>
    <x v="161"/>
    <s v="PNG"/>
    <x v="161"/>
  </r>
  <r>
    <x v="162"/>
    <s v="PRY"/>
    <x v="162"/>
  </r>
  <r>
    <x v="163"/>
    <s v="PER"/>
    <x v="163"/>
  </r>
  <r>
    <x v="164"/>
    <s v="PHL"/>
    <x v="164"/>
  </r>
  <r>
    <x v="165"/>
    <s v="POL"/>
    <x v="165"/>
  </r>
  <r>
    <x v="166"/>
    <s v="PRT"/>
    <x v="166"/>
  </r>
  <r>
    <x v="167"/>
    <s v="PRI"/>
    <x v="167"/>
  </r>
  <r>
    <x v="168"/>
    <s v="QAT"/>
    <x v="168"/>
  </r>
  <r>
    <x v="169"/>
    <s v="REU"/>
    <x v="169"/>
  </r>
  <r>
    <x v="170"/>
    <s v="ROU"/>
    <x v="170"/>
  </r>
  <r>
    <x v="171"/>
    <s v="RUS"/>
    <x v="171"/>
  </r>
  <r>
    <x v="172"/>
    <s v="RWA"/>
    <x v="172"/>
  </r>
  <r>
    <x v="173"/>
    <s v="WSM"/>
    <x v="173"/>
  </r>
  <r>
    <x v="174"/>
    <s v="SMR"/>
    <x v="174"/>
  </r>
  <r>
    <x v="175"/>
    <s v="STP"/>
    <x v="175"/>
  </r>
  <r>
    <x v="176"/>
    <s v="SAU"/>
    <x v="176"/>
  </r>
  <r>
    <x v="177"/>
    <s v="SEN"/>
    <x v="177"/>
  </r>
  <r>
    <x v="178"/>
    <s v="SRB"/>
    <x v="178"/>
  </r>
  <r>
    <x v="179"/>
    <s v="SYC"/>
    <x v="179"/>
  </r>
  <r>
    <x v="180"/>
    <s v="SLE"/>
    <x v="180"/>
  </r>
  <r>
    <x v="181"/>
    <s v="SGP"/>
    <x v="181"/>
  </r>
  <r>
    <x v="182"/>
    <s v="SXM"/>
    <x v="182"/>
  </r>
  <r>
    <x v="183"/>
    <s v="SVK"/>
    <x v="183"/>
  </r>
  <r>
    <x v="184"/>
    <s v="SVN"/>
    <x v="184"/>
  </r>
  <r>
    <x v="185"/>
    <s v="SLB"/>
    <x v="185"/>
  </r>
  <r>
    <x v="186"/>
    <s v="SOM"/>
    <x v="186"/>
  </r>
  <r>
    <x v="187"/>
    <s v="ZAF"/>
    <x v="187"/>
  </r>
  <r>
    <x v="188"/>
    <s v="SSD"/>
    <x v="188"/>
  </r>
  <r>
    <x v="189"/>
    <s v="ESP"/>
    <x v="189"/>
  </r>
  <r>
    <x v="190"/>
    <s v="LKA"/>
    <x v="190"/>
  </r>
  <r>
    <x v="191"/>
    <s v="SHN"/>
    <x v="191"/>
  </r>
  <r>
    <x v="192"/>
    <s v="KNA"/>
    <x v="192"/>
  </r>
  <r>
    <x v="193"/>
    <s v="LCA"/>
    <x v="193"/>
  </r>
  <r>
    <x v="194"/>
    <s v="SPM"/>
    <x v="194"/>
  </r>
  <r>
    <x v="195"/>
    <s v="VCT"/>
    <x v="195"/>
  </r>
  <r>
    <x v="196"/>
    <s v="SDN"/>
    <x v="196"/>
  </r>
  <r>
    <x v="197"/>
    <s v="SUR"/>
    <x v="197"/>
  </r>
  <r>
    <x v="198"/>
    <s v="SWZ"/>
    <x v="198"/>
  </r>
  <r>
    <x v="199"/>
    <s v="SWE"/>
    <x v="199"/>
  </r>
  <r>
    <x v="200"/>
    <s v="CHE"/>
    <x v="200"/>
  </r>
  <r>
    <x v="201"/>
    <s v="SYR"/>
    <x v="201"/>
  </r>
  <r>
    <x v="202"/>
    <s v="TWN"/>
    <x v="202"/>
  </r>
  <r>
    <x v="203"/>
    <s v="TJK"/>
    <x v="203"/>
  </r>
  <r>
    <x v="204"/>
    <s v="TZA"/>
    <x v="204"/>
  </r>
  <r>
    <x v="205"/>
    <s v="THA"/>
    <x v="205"/>
  </r>
  <r>
    <x v="206"/>
    <s v="TGO"/>
    <x v="206"/>
  </r>
  <r>
    <x v="207"/>
    <s v="TKL"/>
    <x v="207"/>
  </r>
  <r>
    <x v="208"/>
    <s v="TON"/>
    <x v="208"/>
  </r>
  <r>
    <x v="209"/>
    <s v="TTO"/>
    <x v="209"/>
  </r>
  <r>
    <x v="210"/>
    <s v="TUN"/>
    <x v="210"/>
  </r>
  <r>
    <x v="211"/>
    <s v="TCA"/>
    <x v="211"/>
  </r>
  <r>
    <x v="212"/>
    <s v="TUR"/>
    <x v="212"/>
  </r>
  <r>
    <x v="213"/>
    <s v="TKM"/>
    <x v="213"/>
  </r>
  <r>
    <x v="214"/>
    <s v="TUV"/>
    <x v="214"/>
  </r>
  <r>
    <x v="215"/>
    <s v="UGA"/>
    <x v="215"/>
  </r>
  <r>
    <x v="216"/>
    <s v="UKR"/>
    <x v="216"/>
  </r>
  <r>
    <x v="217"/>
    <s v="ARE"/>
    <x v="217"/>
  </r>
  <r>
    <x v="218"/>
    <s v="GBR"/>
    <x v="218"/>
  </r>
  <r>
    <x v="219"/>
    <s v="URY"/>
    <x v="219"/>
  </r>
  <r>
    <x v="220"/>
    <s v="USA"/>
    <x v="220"/>
  </r>
  <r>
    <x v="221"/>
    <s v="UZB"/>
    <x v="221"/>
  </r>
  <r>
    <x v="222"/>
    <s v="VUT"/>
    <x v="222"/>
  </r>
  <r>
    <x v="223"/>
    <s v="VAT"/>
    <x v="223"/>
  </r>
  <r>
    <x v="224"/>
    <s v="VEN"/>
    <x v="224"/>
  </r>
  <r>
    <x v="225"/>
    <s v="VNM"/>
    <x v="225"/>
  </r>
  <r>
    <x v="226"/>
    <s v="VGB"/>
    <x v="226"/>
  </r>
  <r>
    <x v="227"/>
    <s v="VIR"/>
    <x v="227"/>
  </r>
  <r>
    <x v="228"/>
    <s v="WLF"/>
    <x v="228"/>
  </r>
  <r>
    <x v="229"/>
    <s v="YEM"/>
    <x v="229"/>
  </r>
  <r>
    <x v="230"/>
    <s v="ZMB"/>
    <x v="230"/>
  </r>
  <r>
    <x v="231"/>
    <s v="ZWE"/>
    <x v="231"/>
  </r>
  <r>
    <x v="232"/>
    <s v="MAF"/>
    <x v="232"/>
  </r>
  <r>
    <x v="233"/>
    <s v="XKX"/>
    <x v="233"/>
  </r>
  <r>
    <x v="234"/>
    <s v="BES"/>
    <x v="26"/>
  </r>
  <r>
    <x v="235"/>
    <s v="BIH"/>
    <x v="27"/>
  </r>
  <r>
    <x v="236"/>
    <s v="BFA"/>
    <x v="32"/>
  </r>
  <r>
    <x v="237"/>
    <s v="CYM"/>
    <x v="38"/>
  </r>
  <r>
    <x v="238"/>
    <s v="CAF"/>
    <x v="39"/>
  </r>
  <r>
    <x v="239"/>
    <s v="COK"/>
    <x v="47"/>
  </r>
  <r>
    <x v="240"/>
    <s v="COD"/>
    <x v="46"/>
  </r>
  <r>
    <x v="241"/>
    <s v="DOM"/>
    <x v="58"/>
  </r>
  <r>
    <x v="242"/>
    <s v="FRO"/>
    <x v="67"/>
  </r>
  <r>
    <x v="243"/>
    <s v="FLK"/>
    <x v="68"/>
  </r>
  <r>
    <x v="244"/>
    <s v="GUF"/>
    <x v="72"/>
  </r>
  <r>
    <x v="245"/>
    <s v="CIV"/>
    <x v="49"/>
  </r>
  <r>
    <x v="246"/>
    <s v="MHL"/>
    <x v="128"/>
  </r>
  <r>
    <x v="247"/>
    <s v="MYT"/>
    <x v="132"/>
  </r>
  <r>
    <x v="248"/>
    <s v="NRU"/>
    <x v="145"/>
  </r>
  <r>
    <x v="249"/>
    <s v="NIU"/>
    <x v="153"/>
  </r>
  <r>
    <x v="250"/>
    <s v="PRK"/>
    <x v="107"/>
  </r>
  <r>
    <x v="251"/>
    <s v="MNP"/>
    <x v="154"/>
  </r>
  <r>
    <x v="252"/>
    <s v="PSE"/>
    <x v="159"/>
  </r>
  <r>
    <x v="253"/>
    <s v="SXM"/>
    <x v="182"/>
  </r>
  <r>
    <x v="254"/>
    <s v="WSM"/>
    <x v="173"/>
  </r>
  <r>
    <x v="255"/>
    <s v="STP"/>
    <x v="175"/>
  </r>
  <r>
    <x v="256"/>
    <s v="SLB"/>
    <x v="185"/>
  </r>
  <r>
    <x v="257"/>
    <s v="KOR"/>
    <x v="108"/>
  </r>
  <r>
    <x v="258"/>
    <s v="SHN"/>
    <x v="191"/>
  </r>
  <r>
    <x v="259"/>
    <s v="KNA"/>
    <x v="192"/>
  </r>
  <r>
    <x v="260"/>
    <s v="LCA"/>
    <x v="193"/>
  </r>
  <r>
    <x v="261"/>
    <s v="SPM"/>
    <x v="194"/>
  </r>
  <r>
    <x v="262"/>
    <s v="VCT"/>
    <x v="195"/>
  </r>
  <r>
    <x v="263"/>
    <s v="TCA"/>
    <x v="211"/>
  </r>
  <r>
    <x v="264"/>
    <s v="VGB"/>
    <x v="226"/>
  </r>
  <r>
    <x v="265"/>
    <s v="WLF"/>
    <x v="228"/>
  </r>
  <r>
    <x v="266"/>
    <s v="IOT"/>
    <x v="234"/>
  </r>
  <r>
    <x v="267"/>
    <s v="BIH"/>
    <x v="27"/>
  </r>
  <r>
    <x v="268"/>
    <s v="VGB"/>
    <x v="226"/>
  </r>
  <r>
    <x v="269"/>
    <s v="CYM"/>
    <x v="38"/>
  </r>
  <r>
    <x v="270"/>
    <s v="GLP"/>
    <x v="83"/>
  </r>
  <r>
    <x v="271"/>
    <s v="MNP"/>
    <x v="154"/>
  </r>
  <r>
    <x v="272"/>
    <s v="REU"/>
    <x v="169"/>
  </r>
  <r>
    <x v="273"/>
    <s v="KNA"/>
    <x v="192"/>
  </r>
  <r>
    <x v="274"/>
    <s v="VCT"/>
    <x v="195"/>
  </r>
  <r>
    <x v="275"/>
    <s v="TCA"/>
    <x v="211"/>
  </r>
  <r>
    <x v="276"/>
    <s v="VIR"/>
    <x v="227"/>
  </r>
  <r>
    <x v="277"/>
    <s v="USA"/>
    <x v="220"/>
  </r>
  <r>
    <x v="278"/>
    <s v="USA"/>
    <x v="220"/>
  </r>
  <r>
    <x v="279"/>
    <s v="USA"/>
    <x v="220"/>
  </r>
  <r>
    <x v="280"/>
    <s v="USA"/>
    <x v="220"/>
  </r>
  <r>
    <x v="281"/>
    <s v="USA"/>
    <x v="220"/>
  </r>
  <r>
    <x v="282"/>
    <s v="USA"/>
    <x v="220"/>
  </r>
  <r>
    <x v="283"/>
    <s v="USA"/>
    <x v="220"/>
  </r>
  <r>
    <x v="284"/>
    <s v="USA"/>
    <x v="220"/>
  </r>
  <r>
    <x v="285"/>
    <s v="USA"/>
    <x v="220"/>
  </r>
  <r>
    <x v="286"/>
    <s v="USA"/>
    <x v="220"/>
  </r>
  <r>
    <x v="287"/>
    <s v="USA"/>
    <x v="220"/>
  </r>
  <r>
    <x v="288"/>
    <s v="USA"/>
    <x v="220"/>
  </r>
  <r>
    <x v="289"/>
    <s v="USA"/>
    <x v="220"/>
  </r>
  <r>
    <x v="290"/>
    <s v="USA"/>
    <x v="220"/>
  </r>
  <r>
    <x v="291"/>
    <s v="USA"/>
    <x v="220"/>
  </r>
  <r>
    <x v="292"/>
    <s v="USA"/>
    <x v="220"/>
  </r>
  <r>
    <x v="293"/>
    <s v="USA"/>
    <x v="220"/>
  </r>
  <r>
    <x v="294"/>
    <s v="USA"/>
    <x v="220"/>
  </r>
  <r>
    <x v="295"/>
    <s v="USA"/>
    <x v="220"/>
  </r>
  <r>
    <x v="296"/>
    <s v="USA"/>
    <x v="220"/>
  </r>
  <r>
    <x v="297"/>
    <s v="USA"/>
    <x v="220"/>
  </r>
  <r>
    <x v="298"/>
    <s v="USA"/>
    <x v="220"/>
  </r>
  <r>
    <x v="299"/>
    <s v="USA"/>
    <x v="220"/>
  </r>
  <r>
    <x v="300"/>
    <s v="USA"/>
    <x v="220"/>
  </r>
  <r>
    <x v="301"/>
    <s v="USA"/>
    <x v="220"/>
  </r>
  <r>
    <x v="302"/>
    <s v="USA"/>
    <x v="220"/>
  </r>
  <r>
    <x v="303"/>
    <s v="USA"/>
    <x v="220"/>
  </r>
  <r>
    <x v="304"/>
    <s v="USA"/>
    <x v="220"/>
  </r>
  <r>
    <x v="305"/>
    <s v="USA"/>
    <x v="220"/>
  </r>
  <r>
    <x v="306"/>
    <s v="USA"/>
    <x v="220"/>
  </r>
  <r>
    <x v="307"/>
    <s v="USA"/>
    <x v="220"/>
  </r>
  <r>
    <x v="308"/>
    <s v="USA"/>
    <x v="220"/>
  </r>
  <r>
    <x v="309"/>
    <s v="USA"/>
    <x v="220"/>
  </r>
  <r>
    <x v="310"/>
    <s v="USA"/>
    <x v="220"/>
  </r>
  <r>
    <x v="311"/>
    <s v="USA"/>
    <x v="220"/>
  </r>
  <r>
    <x v="312"/>
    <s v="USA"/>
    <x v="220"/>
  </r>
  <r>
    <x v="313"/>
    <s v="USA"/>
    <x v="220"/>
  </r>
  <r>
    <x v="314"/>
    <s v="USA"/>
    <x v="220"/>
  </r>
  <r>
    <x v="315"/>
    <s v="USA"/>
    <x v="220"/>
  </r>
  <r>
    <x v="316"/>
    <s v="USA"/>
    <x v="220"/>
  </r>
  <r>
    <x v="317"/>
    <s v="USA"/>
    <x v="220"/>
  </r>
  <r>
    <x v="318"/>
    <s v="USA"/>
    <x v="220"/>
  </r>
  <r>
    <x v="319"/>
    <s v="USA"/>
    <x v="220"/>
  </r>
  <r>
    <x v="320"/>
    <s v="USA"/>
    <x v="220"/>
  </r>
  <r>
    <x v="321"/>
    <s v="USA"/>
    <x v="220"/>
  </r>
  <r>
    <x v="322"/>
    <s v="USA"/>
    <x v="220"/>
  </r>
  <r>
    <x v="323"/>
    <s v="USA"/>
    <x v="220"/>
  </r>
  <r>
    <x v="324"/>
    <s v="USA"/>
    <x v="220"/>
  </r>
  <r>
    <x v="325"/>
    <s v="USA"/>
    <x v="220"/>
  </r>
  <r>
    <x v="326"/>
    <s v="USA"/>
    <x v="220"/>
  </r>
  <r>
    <x v="327"/>
    <s v="USA"/>
    <x v="220"/>
  </r>
  <r>
    <x v="328"/>
    <s v="ASC"/>
    <x v="235"/>
  </r>
  <r>
    <x v="329"/>
    <s v="PRT"/>
    <x v="166"/>
  </r>
  <r>
    <x v="330"/>
    <s v="BES"/>
    <x v="236"/>
  </r>
  <r>
    <x v="331"/>
    <s v="BES"/>
    <x v="236"/>
  </r>
  <r>
    <x v="332"/>
    <s v="ESP"/>
    <x v="189"/>
  </r>
  <r>
    <x v="333"/>
    <s v="GMS"/>
    <x v="237"/>
  </r>
  <r>
    <x v="334"/>
    <s v="GMS"/>
    <x v="237"/>
  </r>
  <r>
    <x v="335"/>
    <s v="GMS"/>
    <x v="237"/>
  </r>
  <r>
    <x v="336"/>
    <s v="CUB"/>
    <x v="51"/>
  </r>
  <r>
    <x v="337"/>
    <s v="GMS"/>
    <x v="237"/>
  </r>
  <r>
    <x v="338"/>
    <s v="GMS"/>
    <x v="237"/>
  </r>
  <r>
    <x v="339"/>
    <s v="GMS"/>
    <x v="237"/>
  </r>
  <r>
    <x v="340"/>
    <s v="GMS"/>
    <x v="237"/>
  </r>
  <r>
    <x v="341"/>
    <s v="GMS"/>
    <x v="237"/>
  </r>
  <r>
    <x v="342"/>
    <s v="GMS"/>
    <x v="237"/>
  </r>
  <r>
    <x v="343"/>
    <s v="GMS"/>
    <x v="237"/>
  </r>
  <r>
    <x v="344"/>
    <s v="GMS"/>
    <x v="237"/>
  </r>
  <r>
    <x v="345"/>
    <s v="GMS"/>
    <x v="237"/>
  </r>
  <r>
    <x v="346"/>
    <s v="GMS"/>
    <x v="237"/>
  </r>
  <r>
    <x v="347"/>
    <s v="UNK"/>
    <x v="237"/>
  </r>
  <r>
    <x v="348"/>
    <s v="PRT"/>
    <x v="166"/>
  </r>
  <r>
    <x v="349"/>
    <s v="GMS"/>
    <x v="237"/>
  </r>
  <r>
    <x v="350"/>
    <s v="USA"/>
    <x v="220"/>
  </r>
  <r>
    <x v="351"/>
    <s v="GMS"/>
    <x v="237"/>
  </r>
  <r>
    <x v="352"/>
    <s v="GMS"/>
    <x v="237"/>
  </r>
  <r>
    <x v="353"/>
    <s v="GMS"/>
    <x v="237"/>
  </r>
  <r>
    <x v="354"/>
    <s v="GMS"/>
    <x v="237"/>
  </r>
  <r>
    <x v="355"/>
    <s v="GMS"/>
    <x v="237"/>
  </r>
  <r>
    <x v="356"/>
    <s v="GMS"/>
    <x v="237"/>
  </r>
  <r>
    <x v="357"/>
    <s v="GMS"/>
    <x v="237"/>
  </r>
  <r>
    <x v="358"/>
    <s v="ATA"/>
    <x v="237"/>
  </r>
  <r>
    <x v="359"/>
    <s v="RUS"/>
    <x v="171"/>
  </r>
  <r>
    <x v="360"/>
    <s v="RUS"/>
    <x v="171"/>
  </r>
  <r>
    <x v="361"/>
    <s v="RUS"/>
    <x v="171"/>
  </r>
  <r>
    <x v="362"/>
    <s v="RUS"/>
    <x v="171"/>
  </r>
  <r>
    <x v="363"/>
    <s v="GMS"/>
    <x v="237"/>
  </r>
  <r>
    <x v="364"/>
    <s v="GMS"/>
    <x v="237"/>
  </r>
  <r>
    <x v="365"/>
    <s v="GMS"/>
    <x v="237"/>
  </r>
  <r>
    <x v="366"/>
    <s v="GMS"/>
    <x v="237"/>
  </r>
  <r>
    <x v="367"/>
    <s v="GMS"/>
    <x v="237"/>
  </r>
  <r>
    <x v="368"/>
    <s v="TUR"/>
    <x v="2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G1:I372" firstHeaderRow="2" firstDataRow="2" firstDataCol="2"/>
  <pivotFields count="3">
    <pivotField axis="axisRow" dataField="1" compact="0" outline="0" showAll="0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34"/>
        <item x="26"/>
        <item x="27"/>
        <item x="235"/>
        <item x="28"/>
        <item x="29"/>
        <item x="30"/>
        <item x="31"/>
        <item x="236"/>
        <item x="32"/>
        <item x="33"/>
        <item x="34"/>
        <item x="35"/>
        <item x="36"/>
        <item x="37"/>
        <item x="38"/>
        <item x="237"/>
        <item x="238"/>
        <item x="39"/>
        <item x="40"/>
        <item x="41"/>
        <item x="42"/>
        <item x="43"/>
        <item x="44"/>
        <item x="45"/>
        <item x="46"/>
        <item x="47"/>
        <item x="239"/>
        <item x="48"/>
        <item x="49"/>
        <item x="50"/>
        <item x="51"/>
        <item x="52"/>
        <item x="53"/>
        <item x="54"/>
        <item x="240"/>
        <item x="55"/>
        <item x="56"/>
        <item x="57"/>
        <item x="241"/>
        <item x="58"/>
        <item x="59"/>
        <item x="60"/>
        <item x="61"/>
        <item x="62"/>
        <item x="63"/>
        <item x="64"/>
        <item x="65"/>
        <item x="66"/>
        <item x="67"/>
        <item x="242"/>
        <item x="68"/>
        <item x="243"/>
        <item x="69"/>
        <item x="70"/>
        <item x="71"/>
        <item x="72"/>
        <item x="244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45"/>
        <item x="101"/>
        <item x="102"/>
        <item x="103"/>
        <item x="104"/>
        <item x="105"/>
        <item x="106"/>
        <item x="107"/>
        <item x="108"/>
        <item x="233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246"/>
        <item x="129"/>
        <item x="130"/>
        <item x="131"/>
        <item x="132"/>
        <item x="247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48"/>
        <item x="145"/>
        <item x="146"/>
        <item x="147"/>
        <item x="148"/>
        <item x="149"/>
        <item x="150"/>
        <item x="151"/>
        <item x="152"/>
        <item x="249"/>
        <item x="153"/>
        <item x="250"/>
        <item x="154"/>
        <item x="251"/>
        <item x="155"/>
        <item x="156"/>
        <item x="157"/>
        <item x="158"/>
        <item x="159"/>
        <item x="252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253"/>
        <item x="232"/>
        <item x="173"/>
        <item x="254"/>
        <item x="174"/>
        <item x="175"/>
        <item x="255"/>
        <item x="176"/>
        <item x="177"/>
        <item x="178"/>
        <item x="179"/>
        <item x="180"/>
        <item x="181"/>
        <item x="182"/>
        <item x="183"/>
        <item x="184"/>
        <item x="185"/>
        <item x="256"/>
        <item x="186"/>
        <item x="187"/>
        <item x="257"/>
        <item x="188"/>
        <item x="189"/>
        <item x="190"/>
        <item x="191"/>
        <item x="192"/>
        <item x="193"/>
        <item x="194"/>
        <item x="195"/>
        <item x="258"/>
        <item x="259"/>
        <item x="260"/>
        <item x="261"/>
        <item x="262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1"/>
        <item x="26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64"/>
        <item x="228"/>
        <item x="265"/>
        <item x="229"/>
        <item x="230"/>
        <item x="23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compact="0" outline="0" showAll="0"/>
    <pivotField axis="axisRow" compact="0" outline="0" showAll="0" defaultSubtotal="0">
      <items count="238">
        <item x="4"/>
        <item x="217"/>
        <item x="0"/>
        <item x="8"/>
        <item x="6"/>
        <item x="1"/>
        <item x="10"/>
        <item x="5"/>
        <item x="7"/>
        <item x="9"/>
        <item x="3"/>
        <item x="13"/>
        <item x="12"/>
        <item x="11"/>
        <item x="14"/>
        <item x="27"/>
        <item x="18"/>
        <item x="17"/>
        <item x="20"/>
        <item x="32"/>
        <item x="31"/>
        <item x="16"/>
        <item x="33"/>
        <item x="22"/>
        <item x="23"/>
        <item x="30"/>
        <item x="25"/>
        <item x="26"/>
        <item x="29"/>
        <item x="15"/>
        <item x="24"/>
        <item x="28"/>
        <item x="19"/>
        <item x="21"/>
        <item x="36"/>
        <item x="46"/>
        <item x="39"/>
        <item x="45"/>
        <item x="200"/>
        <item x="49"/>
        <item x="47"/>
        <item x="41"/>
        <item x="35"/>
        <item x="42"/>
        <item x="43"/>
        <item x="48"/>
        <item x="51"/>
        <item x="37"/>
        <item x="52"/>
        <item x="53"/>
        <item x="54"/>
        <item x="77"/>
        <item x="56"/>
        <item x="55"/>
        <item x="57"/>
        <item x="58"/>
        <item x="2"/>
        <item x="60"/>
        <item x="65"/>
        <item x="61"/>
        <item x="64"/>
        <item x="189"/>
        <item x="66"/>
        <item x="70"/>
        <item x="69"/>
        <item x="68"/>
        <item x="134"/>
        <item x="67"/>
        <item x="71"/>
        <item x="74"/>
        <item x="218"/>
        <item x="82"/>
        <item x="76"/>
        <item x="72"/>
        <item x="78"/>
        <item x="79"/>
        <item x="81"/>
        <item x="75"/>
        <item x="86"/>
        <item x="83"/>
        <item x="63"/>
        <item x="80"/>
        <item x="85"/>
        <item x="84"/>
        <item x="87"/>
        <item x="88"/>
        <item x="91"/>
        <item x="90"/>
        <item x="50"/>
        <item x="89"/>
        <item x="92"/>
        <item x="95"/>
        <item x="98"/>
        <item x="99"/>
        <item x="94"/>
        <item x="97"/>
        <item x="96"/>
        <item x="93"/>
        <item x="100"/>
        <item x="101"/>
        <item x="103"/>
        <item x="102"/>
        <item x="105"/>
        <item x="110"/>
        <item x="34"/>
        <item x="106"/>
        <item x="44"/>
        <item x="192"/>
        <item x="107"/>
        <item x="108"/>
        <item x="233"/>
        <item x="109"/>
        <item x="38"/>
        <item x="104"/>
        <item x="111"/>
        <item x="113"/>
        <item x="193"/>
        <item x="117"/>
        <item x="190"/>
        <item x="115"/>
        <item x="114"/>
        <item x="118"/>
        <item x="119"/>
        <item x="112"/>
        <item x="116"/>
        <item x="141"/>
        <item x="137"/>
        <item x="136"/>
        <item x="139"/>
        <item x="232"/>
        <item x="122"/>
        <item x="128"/>
        <item x="121"/>
        <item x="126"/>
        <item x="143"/>
        <item x="138"/>
        <item x="120"/>
        <item x="154"/>
        <item x="129"/>
        <item x="130"/>
        <item x="140"/>
        <item x="127"/>
        <item x="131"/>
        <item x="125"/>
        <item x="123"/>
        <item x="133"/>
        <item x="124"/>
        <item x="142"/>
        <item x="144"/>
        <item x="148"/>
        <item x="151"/>
        <item x="152"/>
        <item x="150"/>
        <item x="147"/>
        <item x="155"/>
        <item x="146"/>
        <item x="145"/>
        <item x="153"/>
        <item x="149"/>
        <item x="156"/>
        <item x="160"/>
        <item x="163"/>
        <item x="73"/>
        <item x="161"/>
        <item x="164"/>
        <item x="157"/>
        <item x="165"/>
        <item x="194"/>
        <item x="167"/>
        <item x="159"/>
        <item x="166"/>
        <item x="158"/>
        <item x="162"/>
        <item x="168"/>
        <item x="169"/>
        <item x="170"/>
        <item x="178"/>
        <item x="171"/>
        <item x="172"/>
        <item x="176"/>
        <item x="185"/>
        <item x="179"/>
        <item x="196"/>
        <item x="199"/>
        <item x="181"/>
        <item x="191"/>
        <item x="184"/>
        <item x="183"/>
        <item x="180"/>
        <item x="174"/>
        <item x="177"/>
        <item x="186"/>
        <item x="197"/>
        <item x="188"/>
        <item x="175"/>
        <item x="62"/>
        <item x="182"/>
        <item x="201"/>
        <item x="198"/>
        <item x="211"/>
        <item x="40"/>
        <item x="206"/>
        <item x="205"/>
        <item x="203"/>
        <item x="207"/>
        <item x="59"/>
        <item x="213"/>
        <item x="210"/>
        <item x="208"/>
        <item x="212"/>
        <item x="209"/>
        <item x="214"/>
        <item x="202"/>
        <item x="204"/>
        <item x="216"/>
        <item x="215"/>
        <item x="135"/>
        <item x="220"/>
        <item x="219"/>
        <item x="221"/>
        <item x="223"/>
        <item x="195"/>
        <item x="224"/>
        <item x="226"/>
        <item x="227"/>
        <item x="225"/>
        <item x="222"/>
        <item x="228"/>
        <item x="173"/>
        <item x="229"/>
        <item x="132"/>
        <item x="187"/>
        <item x="230"/>
        <item x="231"/>
        <item x="234"/>
        <item x="235"/>
        <item x="236"/>
        <item x="237"/>
      </items>
    </pivotField>
  </pivotFields>
  <rowFields count="2">
    <field x="2"/>
    <field x="0"/>
  </rowFields>
  <rowItems count="370">
    <i>
      <x/>
      <x v="4"/>
    </i>
    <i>
      <x v="1"/>
      <x v="249"/>
    </i>
    <i>
      <x v="2"/>
      <x/>
    </i>
    <i>
      <x v="3"/>
      <x v="8"/>
    </i>
    <i>
      <x v="4"/>
      <x v="6"/>
    </i>
    <i>
      <x v="5"/>
      <x v="1"/>
    </i>
    <i>
      <x v="6"/>
      <x v="10"/>
    </i>
    <i>
      <x v="7"/>
      <x v="5"/>
    </i>
    <i>
      <x v="8"/>
      <x v="7"/>
    </i>
    <i>
      <x v="9"/>
      <x v="9"/>
    </i>
    <i>
      <x v="10"/>
      <x v="3"/>
    </i>
    <i>
      <x v="11"/>
      <x v="13"/>
    </i>
    <i>
      <x v="12"/>
      <x v="12"/>
    </i>
    <i>
      <x v="13"/>
      <x v="11"/>
    </i>
    <i>
      <x v="14"/>
      <x v="14"/>
    </i>
    <i>
      <x v="15"/>
      <x v="28"/>
    </i>
    <i r="1">
      <x v="29"/>
    </i>
    <i r="1">
      <x v="267"/>
    </i>
    <i>
      <x v="16"/>
      <x v="18"/>
    </i>
    <i>
      <x v="17"/>
      <x v="17"/>
    </i>
    <i>
      <x v="18"/>
      <x v="20"/>
    </i>
    <i>
      <x v="19"/>
      <x v="34"/>
    </i>
    <i r="1">
      <x v="35"/>
    </i>
    <i>
      <x v="20"/>
      <x v="33"/>
    </i>
    <i>
      <x v="21"/>
      <x v="16"/>
    </i>
    <i>
      <x v="22"/>
      <x v="36"/>
    </i>
    <i>
      <x v="23"/>
      <x v="22"/>
    </i>
    <i>
      <x v="24"/>
      <x v="23"/>
    </i>
    <i>
      <x v="25"/>
      <x v="32"/>
    </i>
    <i>
      <x v="26"/>
      <x v="25"/>
    </i>
    <i>
      <x v="27"/>
      <x v="26"/>
    </i>
    <i r="1">
      <x v="27"/>
    </i>
    <i>
      <x v="28"/>
      <x v="31"/>
    </i>
    <i>
      <x v="29"/>
      <x v="15"/>
    </i>
    <i>
      <x v="30"/>
      <x v="24"/>
    </i>
    <i>
      <x v="31"/>
      <x v="30"/>
    </i>
    <i>
      <x v="32"/>
      <x v="19"/>
    </i>
    <i>
      <x v="33"/>
      <x v="21"/>
    </i>
    <i>
      <x v="34"/>
      <x v="39"/>
    </i>
    <i>
      <x v="35"/>
      <x v="51"/>
    </i>
    <i r="1">
      <x v="61"/>
    </i>
    <i>
      <x v="36"/>
      <x v="43"/>
    </i>
    <i r="1">
      <x v="44"/>
    </i>
    <i>
      <x v="37"/>
      <x v="50"/>
    </i>
    <i>
      <x v="38"/>
      <x v="231"/>
    </i>
    <i>
      <x v="39"/>
      <x v="55"/>
    </i>
    <i r="1">
      <x v="112"/>
    </i>
    <i>
      <x v="40"/>
      <x v="52"/>
    </i>
    <i r="1">
      <x v="53"/>
    </i>
    <i>
      <x v="41"/>
      <x v="46"/>
    </i>
    <i>
      <x v="42"/>
      <x v="38"/>
    </i>
    <i>
      <x v="43"/>
      <x v="47"/>
    </i>
    <i>
      <x v="44"/>
      <x v="48"/>
    </i>
    <i>
      <x v="45"/>
      <x v="54"/>
    </i>
    <i>
      <x v="46"/>
      <x v="57"/>
    </i>
    <i r="1">
      <x v="336"/>
    </i>
    <i>
      <x v="47"/>
      <x v="40"/>
    </i>
    <i>
      <x v="48"/>
      <x v="58"/>
    </i>
    <i>
      <x v="49"/>
      <x v="59"/>
    </i>
    <i>
      <x v="50"/>
      <x v="60"/>
    </i>
    <i>
      <x v="51"/>
      <x v="88"/>
    </i>
    <i>
      <x v="52"/>
      <x v="63"/>
    </i>
    <i>
      <x v="53"/>
      <x v="62"/>
    </i>
    <i>
      <x v="54"/>
      <x v="64"/>
    </i>
    <i>
      <x v="55"/>
      <x v="65"/>
    </i>
    <i r="1">
      <x v="66"/>
    </i>
    <i>
      <x v="56"/>
      <x v="2"/>
    </i>
    <i>
      <x v="57"/>
      <x v="68"/>
    </i>
    <i>
      <x v="58"/>
      <x v="73"/>
    </i>
    <i>
      <x v="59"/>
      <x v="69"/>
    </i>
    <i>
      <x v="60"/>
      <x v="72"/>
    </i>
    <i>
      <x v="61"/>
      <x v="215"/>
    </i>
    <i r="1">
      <x v="332"/>
    </i>
    <i>
      <x v="62"/>
      <x v="74"/>
    </i>
    <i>
      <x v="63"/>
      <x v="80"/>
    </i>
    <i>
      <x v="64"/>
      <x v="79"/>
    </i>
    <i>
      <x v="65"/>
      <x v="77"/>
    </i>
    <i r="1">
      <x v="78"/>
    </i>
    <i>
      <x v="66"/>
      <x v="149"/>
    </i>
    <i>
      <x v="67"/>
      <x v="75"/>
    </i>
    <i r="1">
      <x v="76"/>
    </i>
    <i>
      <x v="68"/>
      <x v="81"/>
    </i>
    <i>
      <x v="69"/>
      <x v="85"/>
    </i>
    <i>
      <x v="70"/>
      <x v="250"/>
    </i>
    <i>
      <x v="71"/>
      <x v="93"/>
    </i>
    <i>
      <x v="72"/>
      <x v="87"/>
    </i>
    <i>
      <x v="73"/>
      <x v="82"/>
    </i>
    <i r="1">
      <x v="83"/>
    </i>
    <i>
      <x v="74"/>
      <x v="89"/>
    </i>
    <i>
      <x v="75"/>
      <x v="90"/>
    </i>
    <i>
      <x v="76"/>
      <x v="92"/>
    </i>
    <i>
      <x v="77"/>
      <x v="86"/>
    </i>
    <i>
      <x v="78"/>
      <x v="97"/>
    </i>
    <i>
      <x v="79"/>
      <x v="94"/>
    </i>
    <i r="1">
      <x v="270"/>
    </i>
    <i>
      <x v="80"/>
      <x v="71"/>
    </i>
    <i>
      <x v="81"/>
      <x v="91"/>
    </i>
    <i>
      <x v="82"/>
      <x v="96"/>
    </i>
    <i>
      <x v="83"/>
      <x v="95"/>
    </i>
    <i>
      <x v="84"/>
      <x v="98"/>
    </i>
    <i>
      <x v="85"/>
      <x v="99"/>
    </i>
    <i>
      <x v="86"/>
      <x v="102"/>
    </i>
    <i>
      <x v="87"/>
      <x v="101"/>
    </i>
    <i>
      <x v="88"/>
      <x v="56"/>
    </i>
    <i>
      <x v="89"/>
      <x v="100"/>
    </i>
    <i>
      <x v="90"/>
      <x v="103"/>
    </i>
    <i>
      <x v="91"/>
      <x v="106"/>
    </i>
    <i>
      <x v="92"/>
      <x v="109"/>
    </i>
    <i>
      <x v="93"/>
      <x v="110"/>
    </i>
    <i>
      <x v="94"/>
      <x v="105"/>
    </i>
    <i>
      <x v="95"/>
      <x v="108"/>
    </i>
    <i>
      <x v="96"/>
      <x v="107"/>
    </i>
    <i>
      <x v="97"/>
      <x v="104"/>
    </i>
    <i>
      <x v="98"/>
      <x v="111"/>
    </i>
    <i>
      <x v="99"/>
      <x v="113"/>
    </i>
    <i>
      <x v="100"/>
      <x v="115"/>
    </i>
    <i>
      <x v="101"/>
      <x v="114"/>
    </i>
    <i>
      <x v="102"/>
      <x v="117"/>
    </i>
    <i>
      <x v="103"/>
      <x v="123"/>
    </i>
    <i>
      <x v="104"/>
      <x v="37"/>
    </i>
    <i>
      <x v="105"/>
      <x v="118"/>
    </i>
    <i>
      <x v="106"/>
      <x v="49"/>
    </i>
    <i>
      <x v="107"/>
      <x v="218"/>
    </i>
    <i r="1">
      <x v="223"/>
    </i>
    <i r="1">
      <x v="273"/>
    </i>
    <i>
      <x v="108"/>
      <x v="119"/>
    </i>
    <i r="1">
      <x v="171"/>
    </i>
    <i>
      <x v="109"/>
      <x v="120"/>
    </i>
    <i r="1">
      <x v="213"/>
    </i>
    <i>
      <x v="110"/>
      <x v="121"/>
    </i>
    <i>
      <x v="111"/>
      <x v="122"/>
    </i>
    <i>
      <x v="112"/>
      <x v="41"/>
    </i>
    <i r="1">
      <x v="42"/>
    </i>
    <i r="1">
      <x v="269"/>
    </i>
    <i>
      <x v="113"/>
      <x v="116"/>
    </i>
    <i>
      <x v="114"/>
      <x v="124"/>
    </i>
    <i>
      <x v="115"/>
      <x v="126"/>
    </i>
    <i>
      <x v="116"/>
      <x v="219"/>
    </i>
    <i r="1">
      <x v="224"/>
    </i>
    <i>
      <x v="117"/>
      <x v="130"/>
    </i>
    <i>
      <x v="118"/>
      <x v="216"/>
    </i>
    <i>
      <x v="119"/>
      <x v="128"/>
    </i>
    <i>
      <x v="120"/>
      <x v="127"/>
    </i>
    <i>
      <x v="121"/>
      <x v="131"/>
    </i>
    <i>
      <x v="122"/>
      <x v="132"/>
    </i>
    <i>
      <x v="123"/>
      <x v="125"/>
    </i>
    <i>
      <x v="124"/>
      <x v="129"/>
    </i>
    <i>
      <x v="125"/>
      <x v="156"/>
    </i>
    <i>
      <x v="126"/>
      <x v="152"/>
    </i>
    <i>
      <x v="127"/>
      <x v="151"/>
    </i>
    <i>
      <x v="128"/>
      <x v="154"/>
    </i>
    <i>
      <x v="129"/>
      <x v="194"/>
    </i>
    <i>
      <x v="130"/>
      <x v="135"/>
    </i>
    <i>
      <x v="131"/>
      <x v="141"/>
    </i>
    <i r="1">
      <x v="142"/>
    </i>
    <i>
      <x v="132"/>
      <x v="134"/>
    </i>
    <i>
      <x v="133"/>
      <x v="139"/>
    </i>
    <i>
      <x v="134"/>
      <x v="158"/>
    </i>
    <i>
      <x v="135"/>
      <x v="153"/>
    </i>
    <i>
      <x v="136"/>
      <x v="133"/>
    </i>
    <i>
      <x v="137"/>
      <x v="172"/>
    </i>
    <i r="1">
      <x v="173"/>
    </i>
    <i r="1">
      <x v="271"/>
    </i>
    <i>
      <x v="138"/>
      <x v="143"/>
    </i>
    <i>
      <x v="139"/>
      <x v="144"/>
    </i>
    <i>
      <x v="140"/>
      <x v="155"/>
    </i>
    <i>
      <x v="141"/>
      <x v="140"/>
    </i>
    <i>
      <x v="142"/>
      <x v="145"/>
    </i>
    <i>
      <x v="143"/>
      <x v="138"/>
    </i>
    <i>
      <x v="144"/>
      <x v="136"/>
    </i>
    <i>
      <x v="145"/>
      <x v="148"/>
    </i>
    <i>
      <x v="146"/>
      <x v="137"/>
    </i>
    <i>
      <x v="147"/>
      <x v="157"/>
    </i>
    <i>
      <x v="148"/>
      <x v="159"/>
    </i>
    <i>
      <x v="149"/>
      <x v="164"/>
    </i>
    <i>
      <x v="150"/>
      <x v="167"/>
    </i>
    <i>
      <x v="151"/>
      <x v="168"/>
    </i>
    <i>
      <x v="152"/>
      <x v="166"/>
    </i>
    <i>
      <x v="153"/>
      <x v="163"/>
    </i>
    <i>
      <x v="154"/>
      <x v="174"/>
    </i>
    <i>
      <x v="155"/>
      <x v="162"/>
    </i>
    <i>
      <x v="156"/>
      <x v="160"/>
    </i>
    <i r="1">
      <x v="161"/>
    </i>
    <i>
      <x v="157"/>
      <x v="169"/>
    </i>
    <i r="1">
      <x v="170"/>
    </i>
    <i>
      <x v="158"/>
      <x v="165"/>
    </i>
    <i>
      <x v="159"/>
      <x v="175"/>
    </i>
    <i>
      <x v="160"/>
      <x v="180"/>
    </i>
    <i>
      <x v="161"/>
      <x v="183"/>
    </i>
    <i>
      <x v="162"/>
      <x v="84"/>
    </i>
    <i>
      <x v="163"/>
      <x v="181"/>
    </i>
    <i>
      <x v="164"/>
      <x v="184"/>
    </i>
    <i>
      <x v="165"/>
      <x v="176"/>
    </i>
    <i>
      <x v="166"/>
      <x v="185"/>
    </i>
    <i>
      <x v="167"/>
      <x v="220"/>
    </i>
    <i r="1">
      <x v="225"/>
    </i>
    <i>
      <x v="168"/>
      <x v="187"/>
    </i>
    <i>
      <x v="169"/>
      <x v="178"/>
    </i>
    <i r="1">
      <x v="179"/>
    </i>
    <i>
      <x v="170"/>
      <x v="186"/>
    </i>
    <i r="1">
      <x v="329"/>
    </i>
    <i r="1">
      <x v="348"/>
    </i>
    <i>
      <x v="171"/>
      <x v="177"/>
    </i>
    <i>
      <x v="172"/>
      <x v="182"/>
    </i>
    <i>
      <x v="173"/>
      <x v="188"/>
    </i>
    <i>
      <x v="174"/>
      <x v="189"/>
    </i>
    <i r="1">
      <x v="272"/>
    </i>
    <i>
      <x v="175"/>
      <x v="190"/>
    </i>
    <i>
      <x v="176"/>
      <x v="202"/>
    </i>
    <i>
      <x v="177"/>
      <x v="191"/>
    </i>
    <i r="1">
      <x v="359"/>
    </i>
    <i r="1">
      <x v="360"/>
    </i>
    <i r="1">
      <x v="361"/>
    </i>
    <i r="1">
      <x v="362"/>
    </i>
    <i>
      <x v="178"/>
      <x v="192"/>
    </i>
    <i>
      <x v="179"/>
      <x v="200"/>
    </i>
    <i>
      <x v="180"/>
      <x v="209"/>
    </i>
    <i r="1">
      <x v="210"/>
    </i>
    <i>
      <x v="181"/>
      <x v="203"/>
    </i>
    <i>
      <x v="182"/>
      <x v="227"/>
    </i>
    <i>
      <x v="183"/>
      <x v="230"/>
    </i>
    <i>
      <x v="184"/>
      <x v="205"/>
    </i>
    <i>
      <x v="185"/>
      <x v="217"/>
    </i>
    <i r="1">
      <x v="222"/>
    </i>
    <i>
      <x v="186"/>
      <x v="208"/>
    </i>
    <i>
      <x v="187"/>
      <x v="207"/>
    </i>
    <i>
      <x v="188"/>
      <x v="204"/>
    </i>
    <i>
      <x v="189"/>
      <x v="197"/>
    </i>
    <i>
      <x v="190"/>
      <x v="201"/>
    </i>
    <i>
      <x v="191"/>
      <x v="211"/>
    </i>
    <i>
      <x v="192"/>
      <x v="228"/>
    </i>
    <i>
      <x v="193"/>
      <x v="214"/>
    </i>
    <i>
      <x v="194"/>
      <x v="198"/>
    </i>
    <i r="1">
      <x v="199"/>
    </i>
    <i>
      <x v="195"/>
      <x v="70"/>
    </i>
    <i>
      <x v="196"/>
      <x v="193"/>
    </i>
    <i r="1">
      <x v="206"/>
    </i>
    <i>
      <x v="197"/>
      <x v="232"/>
    </i>
    <i>
      <x v="198"/>
      <x v="229"/>
    </i>
    <i>
      <x v="199"/>
      <x v="244"/>
    </i>
    <i r="1">
      <x v="245"/>
    </i>
    <i r="1">
      <x v="275"/>
    </i>
    <i>
      <x v="200"/>
      <x v="45"/>
    </i>
    <i>
      <x v="201"/>
      <x v="237"/>
    </i>
    <i>
      <x v="202"/>
      <x v="236"/>
    </i>
    <i>
      <x v="203"/>
      <x v="234"/>
    </i>
    <i>
      <x v="204"/>
      <x v="238"/>
    </i>
    <i>
      <x v="205"/>
      <x v="67"/>
    </i>
    <i>
      <x v="206"/>
      <x v="243"/>
    </i>
    <i>
      <x v="207"/>
      <x v="241"/>
    </i>
    <i>
      <x v="208"/>
      <x v="239"/>
    </i>
    <i>
      <x v="209"/>
      <x v="242"/>
    </i>
    <i r="1">
      <x v="368"/>
    </i>
    <i>
      <x v="210"/>
      <x v="240"/>
    </i>
    <i>
      <x v="211"/>
      <x v="246"/>
    </i>
    <i>
      <x v="212"/>
      <x v="233"/>
    </i>
    <i>
      <x v="213"/>
      <x v="235"/>
    </i>
    <i>
      <x v="214"/>
      <x v="248"/>
    </i>
    <i>
      <x v="215"/>
      <x v="247"/>
    </i>
    <i>
      <x v="216"/>
      <x v="150"/>
    </i>
    <i>
      <x v="217"/>
      <x v="252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50"/>
    </i>
    <i>
      <x v="218"/>
      <x v="251"/>
    </i>
    <i>
      <x v="219"/>
      <x v="253"/>
    </i>
    <i>
      <x v="220"/>
      <x v="255"/>
    </i>
    <i>
      <x v="221"/>
      <x v="221"/>
    </i>
    <i r="1">
      <x v="226"/>
    </i>
    <i r="1">
      <x v="274"/>
    </i>
    <i>
      <x v="222"/>
      <x v="256"/>
    </i>
    <i>
      <x v="223"/>
      <x v="258"/>
    </i>
    <i r="1">
      <x v="260"/>
    </i>
    <i r="1">
      <x v="268"/>
    </i>
    <i>
      <x v="224"/>
      <x v="259"/>
    </i>
    <i r="1">
      <x v="276"/>
    </i>
    <i>
      <x v="225"/>
      <x v="257"/>
    </i>
    <i>
      <x v="226"/>
      <x v="254"/>
    </i>
    <i>
      <x v="227"/>
      <x v="261"/>
    </i>
    <i r="1">
      <x v="262"/>
    </i>
    <i>
      <x v="228"/>
      <x v="195"/>
    </i>
    <i r="1">
      <x v="196"/>
    </i>
    <i>
      <x v="229"/>
      <x v="263"/>
    </i>
    <i>
      <x v="230"/>
      <x v="146"/>
    </i>
    <i r="1">
      <x v="147"/>
    </i>
    <i>
      <x v="231"/>
      <x v="212"/>
    </i>
    <i>
      <x v="232"/>
      <x v="264"/>
    </i>
    <i>
      <x v="233"/>
      <x v="265"/>
    </i>
    <i>
      <x v="234"/>
      <x v="266"/>
    </i>
    <i>
      <x v="235"/>
      <x v="328"/>
    </i>
    <i>
      <x v="236"/>
      <x v="330"/>
    </i>
    <i r="1">
      <x v="331"/>
    </i>
    <i>
      <x v="237"/>
      <x v="333"/>
    </i>
    <i r="1">
      <x v="334"/>
    </i>
    <i r="1">
      <x v="335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9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63"/>
    </i>
    <i r="1">
      <x v="364"/>
    </i>
    <i r="1">
      <x v="365"/>
    </i>
    <i r="1">
      <x v="366"/>
    </i>
    <i r="1">
      <x v="367"/>
    </i>
    <i t="grand">
      <x/>
    </i>
  </rowItems>
  <colItems count="1">
    <i/>
  </colItems>
  <dataFields count="1">
    <dataField name="Count of country" fld="0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7"/>
  <dimension ref="A1:AA49"/>
  <sheetViews>
    <sheetView topLeftCell="A21" zoomScale="70" zoomScaleNormal="70" workbookViewId="0">
      <selection activeCell="E22" sqref="E22"/>
    </sheetView>
  </sheetViews>
  <sheetFormatPr defaultColWidth="9.28515625" defaultRowHeight="12.75"/>
  <cols>
    <col min="1" max="1" width="9.28515625" style="36"/>
    <col min="2" max="2" width="7.28515625" style="36" customWidth="1"/>
    <col min="3" max="3" width="15.7109375" style="36" customWidth="1"/>
    <col min="4" max="4" width="11.7109375" style="36" customWidth="1"/>
    <col min="5" max="5" width="9" style="36" customWidth="1"/>
    <col min="6" max="6" width="13" style="36" customWidth="1"/>
    <col min="7" max="7" width="9.42578125" style="36" customWidth="1"/>
    <col min="8" max="8" width="8.5703125" style="36" customWidth="1"/>
    <col min="9" max="15" width="4.7109375" style="36" customWidth="1"/>
    <col min="16" max="16" width="7.7109375" style="36" customWidth="1"/>
    <col min="17" max="26" width="4.7109375" style="36" customWidth="1"/>
    <col min="27" max="27" width="5.7109375" style="36" customWidth="1"/>
    <col min="28" max="16384" width="9.28515625" style="36"/>
  </cols>
  <sheetData>
    <row r="1" spans="1:27" ht="33.75" customHeight="1">
      <c r="D1" s="132" t="s">
        <v>2654</v>
      </c>
    </row>
    <row r="2" spans="1:27" ht="26.25" customHeight="1">
      <c r="D2" s="39" t="s">
        <v>2432</v>
      </c>
      <c r="G2" s="37"/>
    </row>
    <row r="3" spans="1:27" ht="10.5" customHeight="1">
      <c r="E3" s="38"/>
    </row>
    <row r="4" spans="1:27" ht="23.25" customHeight="1">
      <c r="D4" s="39"/>
      <c r="E4" s="40"/>
      <c r="X4" s="41"/>
      <c r="Y4" s="42"/>
      <c r="Z4" s="43"/>
    </row>
    <row r="5" spans="1:27" ht="15.75" customHeight="1">
      <c r="E5" s="40"/>
      <c r="X5" s="41"/>
      <c r="Y5" s="42"/>
      <c r="Z5" s="43"/>
    </row>
    <row r="6" spans="1:27" ht="10.5" customHeight="1">
      <c r="E6" s="40"/>
      <c r="X6" s="41"/>
      <c r="Y6" s="42"/>
      <c r="Z6" s="43"/>
    </row>
    <row r="7" spans="1:27" ht="18">
      <c r="A7" s="42"/>
      <c r="B7" s="44" t="e">
        <f>INDEX(MenuItems,'[8]Main menu'!$A$7,0)</f>
        <v>#NAME?</v>
      </c>
      <c r="C7" s="45"/>
      <c r="D7" s="39" t="s">
        <v>1844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7"/>
      <c r="Y7" s="48"/>
      <c r="Z7" s="49"/>
    </row>
    <row r="8" spans="1:27" ht="12" customHeight="1">
      <c r="A8" s="42"/>
      <c r="C8" s="45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51"/>
      <c r="Z8" s="52"/>
      <c r="AA8" s="52"/>
    </row>
    <row r="9" spans="1:27" ht="10.5" customHeight="1">
      <c r="C9" s="45"/>
      <c r="D9" s="50"/>
      <c r="E9" s="50"/>
      <c r="F9" s="46"/>
      <c r="G9" s="46"/>
      <c r="H9" s="46"/>
      <c r="I9" s="46"/>
      <c r="J9" s="46"/>
      <c r="K9" s="46"/>
      <c r="L9" s="46"/>
      <c r="M9" s="46"/>
      <c r="N9" s="46"/>
      <c r="O9" s="53"/>
      <c r="P9" s="53"/>
      <c r="Q9" s="53"/>
      <c r="R9" s="53"/>
      <c r="S9" s="53"/>
      <c r="T9" s="53"/>
      <c r="U9" s="53"/>
      <c r="V9" s="53"/>
      <c r="W9" s="53"/>
      <c r="X9" s="45"/>
      <c r="Y9" s="45"/>
    </row>
    <row r="10" spans="1:27" s="21" customFormat="1" ht="13.5" customHeight="1">
      <c r="C10" s="45"/>
      <c r="D10" s="54"/>
      <c r="E10" s="55"/>
      <c r="F10" s="55"/>
      <c r="G10" s="55"/>
      <c r="H10" s="55"/>
      <c r="I10" s="55"/>
      <c r="J10" s="55"/>
      <c r="K10" s="55"/>
      <c r="L10" s="55"/>
      <c r="M10" s="55"/>
      <c r="N10" s="45"/>
      <c r="O10" s="56"/>
      <c r="P10" s="161" t="s">
        <v>24</v>
      </c>
      <c r="Q10" s="161"/>
      <c r="R10" s="161"/>
      <c r="S10" s="161"/>
      <c r="T10" s="161"/>
      <c r="U10" s="161"/>
      <c r="V10" s="161"/>
      <c r="W10" s="161"/>
      <c r="X10" s="45"/>
      <c r="Y10" s="45"/>
    </row>
    <row r="11" spans="1:27" s="21" customFormat="1" ht="9.75" customHeight="1">
      <c r="C11" s="45"/>
      <c r="D11" s="54" t="s">
        <v>25</v>
      </c>
      <c r="E11" s="55"/>
      <c r="F11" s="45"/>
      <c r="G11" s="45"/>
      <c r="H11" s="45"/>
      <c r="I11" s="45"/>
      <c r="J11" s="45"/>
      <c r="K11" s="45"/>
      <c r="L11" s="45"/>
      <c r="M11" s="45"/>
      <c r="N11" s="56"/>
      <c r="O11" s="56"/>
      <c r="P11" s="51"/>
      <c r="Q11" s="51"/>
      <c r="R11" s="45"/>
      <c r="S11" s="45"/>
      <c r="T11" s="45"/>
      <c r="U11" s="45"/>
      <c r="V11" s="45"/>
      <c r="W11" s="45"/>
      <c r="X11" s="45"/>
      <c r="Y11" s="45"/>
    </row>
    <row r="12" spans="1:27" s="21" customFormat="1" ht="12.75" customHeight="1">
      <c r="C12" s="45"/>
      <c r="D12" s="66" t="s">
        <v>968</v>
      </c>
      <c r="E12" s="56"/>
      <c r="F12" s="36"/>
      <c r="G12" s="36"/>
      <c r="H12" s="36"/>
      <c r="I12" s="36"/>
      <c r="J12" s="36"/>
      <c r="K12" s="36"/>
      <c r="L12" s="36"/>
      <c r="M12" s="36"/>
      <c r="N12" s="67"/>
      <c r="O12" s="57"/>
      <c r="P12" s="51"/>
      <c r="Q12" s="160" t="s">
        <v>376</v>
      </c>
      <c r="R12" s="160"/>
      <c r="S12" s="160"/>
      <c r="T12" s="160"/>
      <c r="U12" s="160"/>
      <c r="V12" s="160"/>
      <c r="W12" s="160"/>
      <c r="X12" s="160"/>
      <c r="Y12" s="160"/>
    </row>
    <row r="13" spans="1:27" s="21" customFormat="1" ht="12.75" customHeight="1">
      <c r="C13" s="45"/>
      <c r="D13" s="56"/>
      <c r="E13" s="56"/>
      <c r="F13" s="36"/>
      <c r="G13" s="36"/>
      <c r="H13" s="36"/>
      <c r="I13" s="36"/>
      <c r="J13" s="36"/>
      <c r="K13" s="36"/>
      <c r="L13" s="36"/>
      <c r="M13" s="36"/>
      <c r="N13" s="67"/>
      <c r="O13" s="56"/>
      <c r="P13" s="51"/>
      <c r="Q13" s="162"/>
      <c r="R13" s="162"/>
      <c r="S13" s="162"/>
      <c r="T13" s="162"/>
      <c r="U13" s="162"/>
      <c r="V13" s="162"/>
      <c r="W13" s="162"/>
      <c r="X13" s="162"/>
      <c r="Y13" s="162"/>
    </row>
    <row r="14" spans="1:27" s="21" customFormat="1" ht="12.75" customHeight="1">
      <c r="C14" s="45"/>
      <c r="D14" s="57"/>
      <c r="E14" s="160" t="s">
        <v>379</v>
      </c>
      <c r="F14" s="160"/>
      <c r="G14" s="160"/>
      <c r="H14" s="160"/>
      <c r="I14" s="160"/>
      <c r="J14" s="160"/>
      <c r="K14" s="160"/>
      <c r="L14" s="160"/>
      <c r="M14" s="160"/>
      <c r="N14" s="160"/>
      <c r="O14" s="57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spans="1:27" s="21" customFormat="1" ht="12.75" customHeight="1">
      <c r="C15" s="45"/>
      <c r="D15" s="56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6"/>
      <c r="P15" s="51"/>
      <c r="Q15" s="163"/>
      <c r="R15" s="163"/>
      <c r="S15" s="163"/>
      <c r="T15" s="163"/>
      <c r="U15" s="163"/>
      <c r="V15" s="163"/>
      <c r="W15" s="163"/>
      <c r="X15" s="45"/>
      <c r="Y15" s="45"/>
    </row>
    <row r="16" spans="1:27" s="21" customFormat="1" ht="12.75" customHeight="1">
      <c r="C16" s="45"/>
      <c r="D16" s="57"/>
      <c r="E16" s="165" t="s">
        <v>380</v>
      </c>
      <c r="F16" s="165"/>
      <c r="G16" s="165"/>
      <c r="H16" s="165"/>
      <c r="I16" s="165"/>
      <c r="J16" s="165"/>
      <c r="K16" s="165"/>
      <c r="L16" s="165"/>
      <c r="M16" s="165"/>
      <c r="N16" s="165"/>
      <c r="O16" s="60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spans="3:26" s="21" customFormat="1" ht="12.75" customHeight="1">
      <c r="C17" s="45"/>
      <c r="D17" s="56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60"/>
      <c r="P17" s="54" t="s">
        <v>377</v>
      </c>
      <c r="Q17" s="45"/>
      <c r="R17" s="45"/>
      <c r="S17" s="45"/>
      <c r="T17" s="45"/>
      <c r="U17" s="45"/>
      <c r="V17" s="45"/>
      <c r="W17" s="45"/>
      <c r="X17" s="45"/>
      <c r="Y17" s="45"/>
    </row>
    <row r="18" spans="3:26" s="21" customFormat="1" ht="12.75" customHeight="1">
      <c r="C18" s="45"/>
      <c r="D18" s="57"/>
      <c r="E18" s="59" t="s">
        <v>381</v>
      </c>
      <c r="F18" s="58"/>
      <c r="G18" s="58"/>
      <c r="H18" s="58"/>
      <c r="I18" s="58"/>
      <c r="J18" s="58"/>
      <c r="K18" s="58"/>
      <c r="L18" s="58"/>
      <c r="M18" s="58"/>
      <c r="N18" s="58"/>
      <c r="O18" s="60"/>
      <c r="P18" s="164"/>
      <c r="Q18" s="164"/>
      <c r="R18" s="164"/>
      <c r="S18" s="164"/>
      <c r="T18" s="164"/>
      <c r="U18" s="164"/>
      <c r="V18" s="164"/>
      <c r="W18" s="164"/>
      <c r="X18" s="45"/>
      <c r="Y18" s="45"/>
    </row>
    <row r="19" spans="3:26" s="21" customFormat="1" ht="12.75" customHeight="1">
      <c r="C19" s="45"/>
      <c r="D19" s="56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6"/>
      <c r="P19" s="51"/>
      <c r="Q19" s="160" t="s">
        <v>378</v>
      </c>
      <c r="R19" s="160"/>
      <c r="S19" s="160"/>
      <c r="T19" s="160"/>
      <c r="U19" s="160"/>
      <c r="V19" s="160"/>
      <c r="W19" s="160"/>
      <c r="X19" s="45"/>
      <c r="Y19" s="45"/>
    </row>
    <row r="20" spans="3:26" s="21" customFormat="1" ht="12.75" customHeight="1">
      <c r="C20" s="45"/>
      <c r="D20" s="57"/>
      <c r="E20" s="165" t="s">
        <v>382</v>
      </c>
      <c r="F20" s="165"/>
      <c r="G20" s="165"/>
      <c r="H20" s="165"/>
      <c r="I20" s="165"/>
      <c r="J20" s="165"/>
      <c r="K20" s="165"/>
      <c r="L20" s="165"/>
      <c r="M20" s="165"/>
      <c r="N20" s="165"/>
      <c r="O20" s="57"/>
      <c r="P20" s="51"/>
      <c r="Q20" s="160"/>
      <c r="R20" s="160"/>
      <c r="S20" s="160"/>
      <c r="T20" s="160"/>
      <c r="U20" s="160"/>
      <c r="V20" s="160"/>
      <c r="W20" s="160"/>
      <c r="X20" s="45"/>
      <c r="Y20" s="45"/>
    </row>
    <row r="21" spans="3:26" s="21" customFormat="1" ht="12.75" customHeight="1">
      <c r="C21" s="45"/>
      <c r="D21" s="56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56"/>
      <c r="P21" s="62"/>
      <c r="Q21" s="160"/>
      <c r="R21" s="160"/>
      <c r="S21" s="160"/>
      <c r="T21" s="160"/>
      <c r="U21" s="160"/>
      <c r="V21" s="160"/>
      <c r="W21" s="160"/>
      <c r="X21" s="45"/>
      <c r="Y21" s="45"/>
    </row>
    <row r="22" spans="3:26" s="21" customFormat="1" ht="12.75" customHeight="1">
      <c r="C22" s="45"/>
      <c r="D22" s="62"/>
      <c r="E22" s="59"/>
      <c r="F22" s="61"/>
      <c r="G22" s="61"/>
      <c r="H22" s="61"/>
      <c r="I22" s="61"/>
      <c r="J22" s="61"/>
      <c r="K22" s="61"/>
      <c r="L22" s="61"/>
      <c r="M22" s="61"/>
      <c r="N22" s="61"/>
      <c r="O22" s="57"/>
      <c r="P22" s="51"/>
      <c r="Q22" s="160"/>
      <c r="R22" s="160"/>
      <c r="S22" s="160"/>
      <c r="T22" s="160"/>
      <c r="U22" s="160"/>
      <c r="V22" s="160"/>
      <c r="W22" s="160"/>
      <c r="X22" s="45"/>
      <c r="Y22" s="45"/>
    </row>
    <row r="23" spans="3:26" s="21" customFormat="1" ht="12.75" customHeight="1">
      <c r="C23" s="45"/>
      <c r="D23" s="56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56"/>
      <c r="P23" s="51"/>
      <c r="Q23" s="160"/>
      <c r="R23" s="160"/>
      <c r="S23" s="160"/>
      <c r="T23" s="160"/>
      <c r="U23" s="160"/>
      <c r="V23" s="160"/>
      <c r="W23" s="160"/>
      <c r="X23" s="45"/>
      <c r="Y23" s="45"/>
    </row>
    <row r="24" spans="3:26" s="21" customFormat="1" ht="12.75" customHeight="1">
      <c r="C24" s="45"/>
      <c r="D24" s="62"/>
      <c r="E24" s="160" t="s">
        <v>383</v>
      </c>
      <c r="F24" s="160"/>
      <c r="G24" s="160"/>
      <c r="H24" s="160"/>
      <c r="I24" s="160"/>
      <c r="J24" s="160"/>
      <c r="K24" s="160"/>
      <c r="L24" s="160"/>
      <c r="M24" s="160"/>
      <c r="N24" s="160"/>
      <c r="O24" s="56"/>
      <c r="P24" s="50"/>
      <c r="Q24" s="160"/>
      <c r="R24" s="160"/>
      <c r="S24" s="160"/>
      <c r="T24" s="160"/>
      <c r="U24" s="160"/>
      <c r="V24" s="160"/>
      <c r="W24" s="160"/>
      <c r="X24" s="45"/>
      <c r="Y24" s="45"/>
    </row>
    <row r="25" spans="3:26" s="21" customFormat="1" ht="12.75" customHeight="1">
      <c r="C25" s="45"/>
      <c r="D25" s="56"/>
      <c r="E25" s="58"/>
      <c r="F25" s="58"/>
      <c r="G25" s="58"/>
      <c r="H25" s="58"/>
      <c r="I25" s="58"/>
      <c r="J25" s="58"/>
      <c r="K25" s="58"/>
      <c r="L25" s="58"/>
      <c r="M25" s="58"/>
      <c r="N25" s="61"/>
      <c r="O25" s="56"/>
      <c r="P25" s="50"/>
      <c r="Q25" s="160"/>
      <c r="R25" s="160"/>
      <c r="S25" s="160"/>
      <c r="T25" s="160"/>
      <c r="U25" s="160"/>
      <c r="V25" s="160"/>
      <c r="W25" s="160"/>
      <c r="X25" s="45"/>
      <c r="Y25" s="45"/>
    </row>
    <row r="26" spans="3:26" s="21" customFormat="1" ht="12.75" customHeight="1">
      <c r="C26" s="45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56"/>
      <c r="P26" s="45"/>
      <c r="Q26" s="160"/>
      <c r="R26" s="160"/>
      <c r="S26" s="160"/>
      <c r="T26" s="160"/>
      <c r="U26" s="160"/>
      <c r="V26" s="160"/>
      <c r="W26" s="160"/>
      <c r="X26" s="45"/>
      <c r="Y26" s="45"/>
      <c r="Z26" s="63"/>
    </row>
    <row r="27" spans="3:26" s="21" customFormat="1" ht="18.75" customHeight="1">
      <c r="C27" s="45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57"/>
      <c r="P27" s="64"/>
      <c r="Q27" s="160"/>
      <c r="R27" s="160"/>
      <c r="S27" s="160"/>
      <c r="T27" s="160"/>
      <c r="U27" s="160"/>
      <c r="V27" s="160"/>
      <c r="W27" s="160"/>
      <c r="X27" s="65"/>
      <c r="Y27" s="51"/>
      <c r="Z27" s="63"/>
    </row>
    <row r="28" spans="3:26" s="21" customFormat="1" ht="12.75" customHeight="1">
      <c r="C28" s="45"/>
      <c r="O28" s="57"/>
      <c r="P28" s="64"/>
      <c r="Q28" s="65"/>
      <c r="R28" s="65"/>
      <c r="S28" s="65"/>
      <c r="T28" s="65"/>
      <c r="U28" s="65"/>
      <c r="V28" s="65"/>
      <c r="W28" s="65"/>
      <c r="X28" s="65"/>
      <c r="Y28" s="51"/>
      <c r="Z28" s="63"/>
    </row>
    <row r="29" spans="3:26" s="21" customFormat="1" ht="12.75" customHeight="1">
      <c r="C29" s="45"/>
      <c r="O29" s="56"/>
      <c r="P29" s="55"/>
      <c r="Q29" s="51"/>
      <c r="R29" s="51"/>
      <c r="S29" s="51"/>
      <c r="T29" s="51"/>
      <c r="U29" s="51"/>
      <c r="V29" s="51"/>
      <c r="W29" s="51"/>
      <c r="X29" s="51"/>
      <c r="Y29" s="51"/>
      <c r="Z29" s="63"/>
    </row>
    <row r="30" spans="3:26" s="21" customFormat="1" ht="12.75" customHeight="1">
      <c r="C30" s="45"/>
      <c r="O30" s="57"/>
      <c r="P30" s="54"/>
      <c r="X30" s="51"/>
      <c r="Y30" s="51"/>
      <c r="Z30" s="63"/>
    </row>
    <row r="31" spans="3:26" s="21" customFormat="1" ht="12.75" customHeight="1">
      <c r="C31" s="45"/>
      <c r="O31" s="56"/>
      <c r="X31" s="51"/>
      <c r="Y31" s="51"/>
      <c r="Z31" s="63"/>
    </row>
    <row r="32" spans="3:26" s="21" customFormat="1" ht="12.75" customHeight="1">
      <c r="C32" s="45"/>
      <c r="O32" s="55"/>
      <c r="P32" s="45"/>
      <c r="Q32" s="160"/>
      <c r="R32" s="160"/>
      <c r="S32" s="160"/>
      <c r="T32" s="160"/>
      <c r="U32" s="160"/>
      <c r="X32" s="51"/>
      <c r="Y32" s="51"/>
      <c r="Z32" s="63"/>
    </row>
    <row r="33" spans="2:26" ht="12.75" customHeight="1">
      <c r="C33" s="45"/>
      <c r="O33" s="64"/>
      <c r="P33" s="45"/>
      <c r="X33" s="51"/>
      <c r="Y33" s="51"/>
      <c r="Z33" s="52"/>
    </row>
    <row r="34" spans="2:26" ht="12.75" customHeight="1">
      <c r="C34" s="45"/>
      <c r="O34" s="55"/>
      <c r="P34" s="45"/>
      <c r="Q34" s="167"/>
      <c r="R34" s="167"/>
      <c r="S34" s="167"/>
      <c r="T34" s="167"/>
      <c r="U34" s="167"/>
      <c r="V34" s="167"/>
      <c r="W34" s="167"/>
      <c r="X34" s="167"/>
      <c r="Y34" s="45"/>
    </row>
    <row r="35" spans="2:26" ht="12.75" customHeight="1">
      <c r="C35" s="45"/>
      <c r="O35" s="64"/>
      <c r="Y35" s="45"/>
    </row>
    <row r="36" spans="2:26" ht="12.75" customHeight="1">
      <c r="C36" s="45"/>
      <c r="O36" s="55"/>
      <c r="P36" s="45"/>
      <c r="Y36" s="45"/>
    </row>
    <row r="37" spans="2:26" ht="12.75" customHeight="1">
      <c r="C37" s="45"/>
      <c r="O37" s="55"/>
      <c r="Y37" s="45"/>
    </row>
    <row r="38" spans="2:26" ht="13.5" customHeight="1">
      <c r="C38" s="45"/>
      <c r="O38" s="50"/>
    </row>
    <row r="39" spans="2:26">
      <c r="C39" s="45"/>
      <c r="O39" s="53"/>
    </row>
    <row r="40" spans="2:26">
      <c r="O40" s="45"/>
    </row>
    <row r="41" spans="2:26">
      <c r="O41" s="45"/>
      <c r="T41" s="68"/>
    </row>
    <row r="42" spans="2:26">
      <c r="O42" s="45"/>
    </row>
    <row r="43" spans="2:26">
      <c r="O43" s="45"/>
    </row>
    <row r="44" spans="2:26">
      <c r="O44" s="45"/>
    </row>
    <row r="45" spans="2:26" ht="15">
      <c r="D45" s="62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45"/>
    </row>
    <row r="46" spans="2:26" ht="15">
      <c r="B46" s="69"/>
      <c r="C46" s="69"/>
      <c r="D46" s="62"/>
      <c r="E46" s="57"/>
      <c r="F46" s="57"/>
      <c r="G46" s="57"/>
      <c r="H46" s="57"/>
      <c r="I46" s="57"/>
      <c r="J46" s="57"/>
      <c r="K46" s="57"/>
      <c r="L46" s="57"/>
      <c r="M46" s="57"/>
      <c r="N46" s="57"/>
    </row>
    <row r="47" spans="2:26" ht="15">
      <c r="B47" s="69"/>
      <c r="C47" s="69"/>
      <c r="D47" s="62"/>
      <c r="E47" s="57"/>
      <c r="F47" s="57"/>
      <c r="G47" s="57"/>
      <c r="H47" s="57"/>
      <c r="I47" s="57"/>
      <c r="J47" s="57"/>
      <c r="K47" s="70"/>
      <c r="L47" s="70"/>
      <c r="M47" s="70"/>
      <c r="N47" s="56"/>
    </row>
    <row r="48" spans="2:26" ht="15">
      <c r="D48" s="62"/>
      <c r="E48" s="57"/>
      <c r="F48" s="57"/>
      <c r="G48" s="57"/>
      <c r="H48" s="57"/>
      <c r="I48" s="57"/>
      <c r="J48" s="57"/>
      <c r="K48" s="69"/>
      <c r="L48" s="69"/>
      <c r="M48" s="69"/>
      <c r="N48" s="69"/>
    </row>
    <row r="49" spans="5:14">
      <c r="E49" s="166"/>
      <c r="F49" s="166"/>
      <c r="G49" s="166"/>
      <c r="H49" s="166"/>
      <c r="I49" s="166"/>
      <c r="J49" s="166"/>
      <c r="K49" s="166"/>
      <c r="L49" s="166"/>
      <c r="M49" s="166"/>
      <c r="N49" s="166"/>
    </row>
  </sheetData>
  <mergeCells count="23">
    <mergeCell ref="E14:N14"/>
    <mergeCell ref="Q34:X34"/>
    <mergeCell ref="E16:N16"/>
    <mergeCell ref="E20:N20"/>
    <mergeCell ref="E24:N24"/>
    <mergeCell ref="E49:N49"/>
    <mergeCell ref="E27:N27"/>
    <mergeCell ref="Q27:W27"/>
    <mergeCell ref="Q32:U32"/>
    <mergeCell ref="Q23:W23"/>
    <mergeCell ref="Q24:W24"/>
    <mergeCell ref="Q25:W25"/>
    <mergeCell ref="E26:N26"/>
    <mergeCell ref="Q26:W26"/>
    <mergeCell ref="Q22:W22"/>
    <mergeCell ref="P10:W10"/>
    <mergeCell ref="Q12:Y12"/>
    <mergeCell ref="Q13:Y13"/>
    <mergeCell ref="Q15:W15"/>
    <mergeCell ref="P18:W18"/>
    <mergeCell ref="Q19:W19"/>
    <mergeCell ref="Q20:W20"/>
    <mergeCell ref="Q21:W21"/>
  </mergeCells>
  <hyperlinks>
    <hyperlink ref="E18" location="'shared cost numbers Price List'!A1" tooltip="Shared cost numbers rates" display="&gt;&gt; Contact Center for IP VPN shared costs numbers Surcharges" xr:uid="{00000000-0004-0000-0000-000000000000}"/>
    <hyperlink ref="E14" location="'ITFS Price List'!A1" tooltip="ITFS rates" display="&gt;&gt; Contact Center for IP VPN Toll Free (ITFS) rates" xr:uid="{00000000-0004-0000-0000-000001000000}"/>
    <hyperlink ref="E16" location="'UIFN Price List'!A1" tooltip="UIFN rates" display="&gt;&gt; Contact Center for IP VPN Toll Free (UIFN) rates" xr:uid="{00000000-0004-0000-0000-000002000000}"/>
    <hyperlink ref="E20" location="'ITFS Price List'!A1" tooltip="ITFS rates" display="&gt;&gt; Contact Center for IP VPN Toll Free (ITFS) rates" xr:uid="{00000000-0004-0000-0000-000003000000}"/>
    <hyperlink ref="Q12" location="'shared cost numbers Price List'!A1" tooltip="Shared cost numbers rates" display="&gt;&gt; Contact Center for IP VPN shared costs numbers Surcharges" xr:uid="{00000000-0004-0000-0000-000004000000}"/>
    <hyperlink ref="Q12:T12" location="'ITFS Price List'!A1" tooltip="ITFS rates" display="&gt;&gt; Contact Center for IP VPN Toll Free (ITFS) rates" xr:uid="{00000000-0004-0000-0000-000005000000}"/>
    <hyperlink ref="Q12:W12" location="'SA Surcharges'!A1" tooltip="SA Surcharges" display="&gt;&gt; SA Surcharges (Business Talk Global)" xr:uid="{00000000-0004-0000-0000-000006000000}"/>
    <hyperlink ref="F15:N15" location="'Off-net Domestic'!A1" tooltip="Per-minute prices for domestic off-net calls" display="&gt;&gt; Off-net Domestic pricing" xr:uid="{00000000-0004-0000-0000-000007000000}"/>
    <hyperlink ref="F17:N17" location="'Off-net International'!A1" tooltip="Per-minute prices for international off-net calls" display="&gt;&gt; Off-net International pricing" xr:uid="{00000000-0004-0000-0000-000008000000}"/>
    <hyperlink ref="C38" location="'Termination prices'!A1" tooltip="Mobile surcharges" display="&gt;&gt; Termination surcharges" xr:uid="{00000000-0004-0000-0000-00000A000000}"/>
    <hyperlink ref="E24" location="'ITFS Price List'!A1" tooltip="ITFS rates" display="&gt;&gt; Contact Center for IP VPN Toll Free (ITFS) rates" xr:uid="{00000000-0004-0000-0000-00000B000000}"/>
    <hyperlink ref="C40" location="'Termination prices'!A1" tooltip="Mobile surcharges" display="&gt;&gt; Termination surcharges" xr:uid="{00000000-0004-0000-0000-00000C000000}"/>
    <hyperlink ref="C40:N40" location="'Network Contact Manager (NCM)'!A1" tooltip="Pricing for Network Contact Manager (NCM) solution" display="&gt;&gt; Network Contact Manager (NCM)" xr:uid="{00000000-0004-0000-0000-00000D000000}"/>
    <hyperlink ref="C42:H42" location="'Mobile surcharges'!A1" tooltip="Mobile surcharges" display="&gt;&gt; Mobile surcharges" xr:uid="{00000000-0004-0000-0000-00000E000000}"/>
    <hyperlink ref="C42:J42" location="'Termination prices'!A1" tooltip="Mobile surcharges" display="&gt;&gt; Termination surcharges" xr:uid="{00000000-0004-0000-0000-00000F000000}"/>
    <hyperlink ref="C42:N42" location="'NIVR Fixed Charges'!A1" tooltip="NIVR monthly recurring and installation prices" display="&gt;&gt; NIVR Fixed Charges" xr:uid="{00000000-0004-0000-0000-000010000000}"/>
    <hyperlink ref="C45:N45" location="'Customer Select Program'!A1" tooltip="Customer Select Programme (CSP)" display="&gt;&gt; Customer Select Program (CSP)" xr:uid="{00000000-0004-0000-0000-000011000000}"/>
    <hyperlink ref="Q19:W19" location="'Country &amp; dest. codes'!B1" tooltip="Information on codes used in billing to identify countries and destinations" display="&gt;&gt; Country &amp; destination codes" xr:uid="{00000000-0004-0000-0000-000012000000}"/>
    <hyperlink ref="E14:J14" location="PSTN!A1" tooltip="PSTN" display="&gt;&gt; PSTN call collection" xr:uid="{00000000-0004-0000-0000-000015000000}"/>
    <hyperlink ref="E16:J16" location="'Toll Free'!A1" tooltip="Toll Free" display="&gt;&gt; Toll Free call collection" xr:uid="{00000000-0004-0000-0000-000016000000}"/>
    <hyperlink ref="E18:J18" location="UIFN!A1" tooltip="UIFN" display="&gt;&gt; UIFN call collection" xr:uid="{00000000-0004-0000-0000-000017000000}"/>
    <hyperlink ref="E20:J20" location="'Toll Share Surcharge'!A1" tooltip="Toll Share surcharge" display="&gt;&gt; Toll Share surcharges" xr:uid="{00000000-0004-0000-0000-000018000000}"/>
    <hyperlink ref="E24:J24" location="'Network Contact Manager (NCM)'!A1" tooltip="NCM" display="&gt;&gt; Network Contact Manager (NCM)" xr:uid="{00000000-0004-0000-0000-00001A000000}"/>
    <hyperlink ref="Q47:U47" location="'Non Std Routes Pricing'!B1" display="&gt;&gt; Non Standard Routes" xr:uid="{00000000-0004-0000-0000-000021000000}"/>
    <hyperlink ref="E20:N20" location="'Toll Share Surcharge'!B1" tooltip="Toll Share surcharge" display="&gt;&gt; Toll Share surcharges" xr:uid="{00000000-0004-0000-0000-000029000000}"/>
    <hyperlink ref="Q12:Y12" location="'PSTN Termination'!A1" tooltip="SA Surcharges" display="&gt;&gt; PSTN Termination" xr:uid="{00000000-0004-0000-0000-00002D000000}"/>
  </hyperlinks>
  <pageMargins left="0.7" right="0.7" top="0.75" bottom="0.75" header="0.3" footer="0.3"/>
  <pageSetup paperSize="9" orientation="portrait" r:id="rId1"/>
  <headerFooter>
    <oddFooter>&amp;C&amp;1#&amp;"Helvetica 75 Bold"&amp;8&amp;KED7D31Orange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0">
    <pageSetUpPr autoPageBreaks="0" fitToPage="1"/>
  </sheetPr>
  <dimension ref="A1:F475"/>
  <sheetViews>
    <sheetView showGridLines="0" zoomScale="115" zoomScaleNormal="115" workbookViewId="0">
      <pane ySplit="12" topLeftCell="A13" activePane="bottomLeft" state="frozen"/>
      <selection pane="bottomLeft" activeCell="H10" sqref="H10"/>
    </sheetView>
  </sheetViews>
  <sheetFormatPr defaultColWidth="8.7109375" defaultRowHeight="11.25"/>
  <cols>
    <col min="1" max="1" width="4.42578125" style="25" customWidth="1"/>
    <col min="2" max="2" width="18" style="25" bestFit="1" customWidth="1"/>
    <col min="3" max="3" width="24.5703125" style="1" customWidth="1"/>
    <col min="4" max="4" width="15.7109375" style="1" bestFit="1" customWidth="1"/>
    <col min="5" max="5" width="18.28515625" style="1" customWidth="1"/>
    <col min="6" max="6" width="17.28515625" style="1" customWidth="1"/>
    <col min="7" max="16384" width="8.7109375" style="1"/>
  </cols>
  <sheetData>
    <row r="1" spans="1:6" ht="15.75" customHeight="1">
      <c r="B1" s="152" t="s">
        <v>108</v>
      </c>
    </row>
    <row r="2" spans="1:6" ht="15.75" customHeight="1">
      <c r="B2" s="1"/>
    </row>
    <row r="3" spans="1:6" ht="20.25">
      <c r="B3" s="153" t="s">
        <v>367</v>
      </c>
      <c r="D3" s="24"/>
      <c r="E3" s="24"/>
    </row>
    <row r="4" spans="1:6" ht="20.25">
      <c r="B4" s="153" t="s">
        <v>369</v>
      </c>
      <c r="D4" s="24"/>
      <c r="E4" s="24"/>
    </row>
    <row r="5" spans="1:6">
      <c r="B5" s="1"/>
      <c r="D5" s="22"/>
      <c r="E5" s="22"/>
    </row>
    <row r="6" spans="1:6">
      <c r="B6" s="22"/>
      <c r="D6" s="22"/>
      <c r="E6" s="22"/>
    </row>
    <row r="7" spans="1:6">
      <c r="B7" s="2" t="s">
        <v>115</v>
      </c>
      <c r="D7" s="2"/>
      <c r="E7" s="2"/>
    </row>
    <row r="8" spans="1:6">
      <c r="B8" s="2" t="s">
        <v>107</v>
      </c>
      <c r="D8" s="2"/>
      <c r="E8" s="2"/>
    </row>
    <row r="9" spans="1:6">
      <c r="C9" s="2"/>
      <c r="D9" s="2"/>
      <c r="E9" s="2"/>
      <c r="F9" s="154"/>
    </row>
    <row r="11" spans="1:6">
      <c r="F11" s="150" t="s">
        <v>26</v>
      </c>
    </row>
    <row r="12" spans="1:6">
      <c r="A12" s="96"/>
      <c r="B12" s="150" t="s">
        <v>1850</v>
      </c>
      <c r="C12" s="150" t="s">
        <v>365</v>
      </c>
      <c r="D12" s="150" t="s">
        <v>890</v>
      </c>
      <c r="E12" s="150" t="s">
        <v>930</v>
      </c>
      <c r="F12" s="150" t="s">
        <v>106</v>
      </c>
    </row>
    <row r="13" spans="1:6" s="8" customFormat="1">
      <c r="A13" s="96"/>
      <c r="B13" s="138" t="s">
        <v>1383</v>
      </c>
      <c r="C13" s="93" t="s">
        <v>171</v>
      </c>
      <c r="D13" s="93" t="s">
        <v>464</v>
      </c>
      <c r="E13" s="93"/>
      <c r="F13" s="94">
        <v>0.1578</v>
      </c>
    </row>
    <row r="14" spans="1:6">
      <c r="A14" s="96"/>
      <c r="B14" s="138" t="s">
        <v>1382</v>
      </c>
      <c r="C14" s="93" t="s">
        <v>171</v>
      </c>
      <c r="D14" s="93" t="s">
        <v>464</v>
      </c>
      <c r="E14" s="93" t="s">
        <v>1849</v>
      </c>
      <c r="F14" s="94">
        <v>0.1578</v>
      </c>
    </row>
    <row r="15" spans="1:6">
      <c r="A15" s="96"/>
      <c r="B15" s="138" t="s">
        <v>1385</v>
      </c>
      <c r="C15" s="93" t="s">
        <v>172</v>
      </c>
      <c r="D15" s="93" t="s">
        <v>467</v>
      </c>
      <c r="E15" s="93"/>
      <c r="F15" s="94">
        <v>0.16400000000000001</v>
      </c>
    </row>
    <row r="16" spans="1:6">
      <c r="A16" s="96"/>
      <c r="B16" s="138" t="s">
        <v>1384</v>
      </c>
      <c r="C16" s="93" t="s">
        <v>172</v>
      </c>
      <c r="D16" s="93" t="s">
        <v>467</v>
      </c>
      <c r="E16" s="93" t="s">
        <v>1849</v>
      </c>
      <c r="F16" s="94">
        <v>0.43049999999999999</v>
      </c>
    </row>
    <row r="17" spans="1:6">
      <c r="A17" s="96"/>
      <c r="B17" s="138" t="s">
        <v>1387</v>
      </c>
      <c r="C17" s="93" t="s">
        <v>173</v>
      </c>
      <c r="D17" s="93" t="s">
        <v>506</v>
      </c>
      <c r="E17" s="93"/>
      <c r="F17" s="94">
        <v>6.25E-2</v>
      </c>
    </row>
    <row r="18" spans="1:6">
      <c r="A18" s="96"/>
      <c r="B18" s="138" t="s">
        <v>1386</v>
      </c>
      <c r="C18" s="93" t="s">
        <v>173</v>
      </c>
      <c r="D18" s="93" t="s">
        <v>506</v>
      </c>
      <c r="E18" s="93" t="s">
        <v>1849</v>
      </c>
      <c r="F18" s="94">
        <v>0.7026</v>
      </c>
    </row>
    <row r="19" spans="1:6">
      <c r="A19" s="96"/>
      <c r="B19" s="138" t="s">
        <v>1389</v>
      </c>
      <c r="C19" s="93" t="s">
        <v>174</v>
      </c>
      <c r="D19" s="93" t="s">
        <v>472</v>
      </c>
      <c r="E19" s="93"/>
      <c r="F19" s="94">
        <v>1.3021</v>
      </c>
    </row>
    <row r="20" spans="1:6">
      <c r="A20" s="96"/>
      <c r="B20" s="138" t="s">
        <v>1388</v>
      </c>
      <c r="C20" s="93" t="s">
        <v>174</v>
      </c>
      <c r="D20" s="93" t="s">
        <v>472</v>
      </c>
      <c r="E20" s="93" t="s">
        <v>1849</v>
      </c>
      <c r="F20" s="94">
        <v>1.3021</v>
      </c>
    </row>
    <row r="21" spans="1:6">
      <c r="A21" s="96"/>
      <c r="B21" s="138" t="s">
        <v>1391</v>
      </c>
      <c r="C21" s="93" t="s">
        <v>175</v>
      </c>
      <c r="D21" s="93" t="s">
        <v>468</v>
      </c>
      <c r="E21" s="93"/>
      <c r="F21" s="94">
        <v>2.0299999999999999E-2</v>
      </c>
    </row>
    <row r="22" spans="1:6">
      <c r="A22" s="96"/>
      <c r="B22" s="138" t="s">
        <v>1390</v>
      </c>
      <c r="C22" s="93" t="s">
        <v>175</v>
      </c>
      <c r="D22" s="93" t="s">
        <v>468</v>
      </c>
      <c r="E22" s="93" t="s">
        <v>1849</v>
      </c>
      <c r="F22" s="94">
        <v>0.13700000000000001</v>
      </c>
    </row>
    <row r="23" spans="1:6">
      <c r="A23" s="96"/>
      <c r="B23" s="138" t="s">
        <v>1393</v>
      </c>
      <c r="C23" s="93" t="s">
        <v>176</v>
      </c>
      <c r="D23" s="93" t="s">
        <v>465</v>
      </c>
      <c r="E23" s="93"/>
      <c r="F23" s="94">
        <v>4.9700000000000001E-2</v>
      </c>
    </row>
    <row r="24" spans="1:6">
      <c r="A24" s="96"/>
      <c r="B24" s="138" t="s">
        <v>1392</v>
      </c>
      <c r="C24" s="93" t="s">
        <v>176</v>
      </c>
      <c r="D24" s="93" t="s">
        <v>465</v>
      </c>
      <c r="E24" s="93" t="s">
        <v>1849</v>
      </c>
      <c r="F24" s="94">
        <v>0.19769999999999999</v>
      </c>
    </row>
    <row r="25" spans="1:6">
      <c r="A25" s="96"/>
      <c r="B25" s="138" t="s">
        <v>1395</v>
      </c>
      <c r="C25" s="93" t="s">
        <v>177</v>
      </c>
      <c r="D25" s="93" t="s">
        <v>466</v>
      </c>
      <c r="E25" s="93"/>
      <c r="F25" s="94">
        <v>0.2545</v>
      </c>
    </row>
    <row r="26" spans="1:6">
      <c r="A26" s="96"/>
      <c r="B26" s="138" t="s">
        <v>1394</v>
      </c>
      <c r="C26" s="93" t="s">
        <v>177</v>
      </c>
      <c r="D26" s="93" t="s">
        <v>466</v>
      </c>
      <c r="E26" s="93" t="s">
        <v>1849</v>
      </c>
      <c r="F26" s="94">
        <v>0.2545</v>
      </c>
    </row>
    <row r="27" spans="1:6">
      <c r="A27" s="96"/>
      <c r="B27" s="138" t="s">
        <v>1397</v>
      </c>
      <c r="C27" s="93" t="s">
        <v>23</v>
      </c>
      <c r="D27" s="93" t="s">
        <v>473</v>
      </c>
      <c r="E27" s="93"/>
      <c r="F27" s="94">
        <v>1.4001999999999999</v>
      </c>
    </row>
    <row r="28" spans="1:6">
      <c r="A28" s="96"/>
      <c r="B28" s="138" t="s">
        <v>1396</v>
      </c>
      <c r="C28" s="93" t="s">
        <v>23</v>
      </c>
      <c r="D28" s="93" t="s">
        <v>473</v>
      </c>
      <c r="E28" s="93" t="s">
        <v>1849</v>
      </c>
      <c r="F28" s="94">
        <v>1.4001999999999999</v>
      </c>
    </row>
    <row r="29" spans="1:6">
      <c r="A29" s="96"/>
      <c r="B29" s="138" t="s">
        <v>1399</v>
      </c>
      <c r="C29" s="93" t="s">
        <v>178</v>
      </c>
      <c r="D29" s="93" t="s">
        <v>474</v>
      </c>
      <c r="E29" s="93"/>
      <c r="F29" s="94">
        <v>0.3004</v>
      </c>
    </row>
    <row r="30" spans="1:6">
      <c r="A30" s="96"/>
      <c r="B30" s="138" t="s">
        <v>1398</v>
      </c>
      <c r="C30" s="93" t="s">
        <v>178</v>
      </c>
      <c r="D30" s="93" t="s">
        <v>474</v>
      </c>
      <c r="E30" s="93" t="s">
        <v>1849</v>
      </c>
      <c r="F30" s="94">
        <v>0.3004</v>
      </c>
    </row>
    <row r="31" spans="1:6">
      <c r="A31" s="96"/>
      <c r="B31" s="138" t="s">
        <v>1401</v>
      </c>
      <c r="C31" s="93" t="s">
        <v>68</v>
      </c>
      <c r="D31" s="93" t="s">
        <v>470</v>
      </c>
      <c r="E31" s="93"/>
      <c r="F31" s="94">
        <v>1.24E-2</v>
      </c>
    </row>
    <row r="32" spans="1:6">
      <c r="A32" s="96"/>
      <c r="B32" s="138" t="s">
        <v>1400</v>
      </c>
      <c r="C32" s="93" t="s">
        <v>68</v>
      </c>
      <c r="D32" s="93" t="s">
        <v>470</v>
      </c>
      <c r="E32" s="93" t="s">
        <v>1849</v>
      </c>
      <c r="F32" s="94">
        <v>0.1799</v>
      </c>
    </row>
    <row r="33" spans="1:6">
      <c r="A33" s="96"/>
      <c r="B33" s="138" t="s">
        <v>1403</v>
      </c>
      <c r="C33" s="93" t="s">
        <v>179</v>
      </c>
      <c r="D33" s="93" t="s">
        <v>471</v>
      </c>
      <c r="E33" s="93"/>
      <c r="F33" s="94">
        <v>0.2165</v>
      </c>
    </row>
    <row r="34" spans="1:6">
      <c r="A34" s="96"/>
      <c r="B34" s="138" t="s">
        <v>1402</v>
      </c>
      <c r="C34" s="93" t="s">
        <v>179</v>
      </c>
      <c r="D34" s="93" t="s">
        <v>471</v>
      </c>
      <c r="E34" s="93" t="s">
        <v>1849</v>
      </c>
      <c r="F34" s="94">
        <v>0.2354</v>
      </c>
    </row>
    <row r="35" spans="1:6">
      <c r="A35" s="96"/>
      <c r="B35" s="138" t="s">
        <v>1405</v>
      </c>
      <c r="C35" s="93" t="s">
        <v>180</v>
      </c>
      <c r="D35" s="93" t="s">
        <v>463</v>
      </c>
      <c r="E35" s="93"/>
      <c r="F35" s="94">
        <v>0.1104</v>
      </c>
    </row>
    <row r="36" spans="1:6">
      <c r="A36" s="96"/>
      <c r="B36" s="138" t="s">
        <v>1404</v>
      </c>
      <c r="C36" s="93" t="s">
        <v>180</v>
      </c>
      <c r="D36" s="93" t="s">
        <v>463</v>
      </c>
      <c r="E36" s="93" t="s">
        <v>1849</v>
      </c>
      <c r="F36" s="94">
        <v>0.22850000000000001</v>
      </c>
    </row>
    <row r="37" spans="1:6">
      <c r="A37" s="96"/>
      <c r="B37" s="138" t="s">
        <v>1407</v>
      </c>
      <c r="C37" s="93" t="s">
        <v>43</v>
      </c>
      <c r="D37" s="93" t="s">
        <v>385</v>
      </c>
      <c r="E37" s="93"/>
      <c r="F37" s="94">
        <v>1.17E-2</v>
      </c>
    </row>
    <row r="38" spans="1:6">
      <c r="A38" s="96"/>
      <c r="B38" s="138" t="s">
        <v>1406</v>
      </c>
      <c r="C38" s="93" t="s">
        <v>43</v>
      </c>
      <c r="D38" s="93" t="s">
        <v>385</v>
      </c>
      <c r="E38" s="93" t="s">
        <v>1849</v>
      </c>
      <c r="F38" s="94">
        <v>4.0300000000000002E-2</v>
      </c>
    </row>
    <row r="39" spans="1:6">
      <c r="A39" s="96"/>
      <c r="B39" s="138" t="s">
        <v>1409</v>
      </c>
      <c r="C39" s="93" t="s">
        <v>44</v>
      </c>
      <c r="D39" s="93" t="s">
        <v>386</v>
      </c>
      <c r="E39" s="93"/>
      <c r="F39" s="94">
        <v>5.7000000000000002E-3</v>
      </c>
    </row>
    <row r="40" spans="1:6">
      <c r="A40" s="96"/>
      <c r="B40" s="138" t="s">
        <v>1408</v>
      </c>
      <c r="C40" s="93" t="s">
        <v>44</v>
      </c>
      <c r="D40" s="93" t="s">
        <v>386</v>
      </c>
      <c r="E40" s="93" t="s">
        <v>1849</v>
      </c>
      <c r="F40" s="94">
        <v>1.6500000000000001E-2</v>
      </c>
    </row>
    <row r="41" spans="1:6">
      <c r="A41" s="96"/>
      <c r="B41" s="138" t="s">
        <v>1411</v>
      </c>
      <c r="C41" s="93" t="s">
        <v>181</v>
      </c>
      <c r="D41" s="93" t="s">
        <v>475</v>
      </c>
      <c r="E41" s="93"/>
      <c r="F41" s="94">
        <v>0.20119999999999999</v>
      </c>
    </row>
    <row r="42" spans="1:6">
      <c r="A42" s="96"/>
      <c r="B42" s="138" t="s">
        <v>1410</v>
      </c>
      <c r="C42" s="93" t="s">
        <v>181</v>
      </c>
      <c r="D42" s="93" t="s">
        <v>475</v>
      </c>
      <c r="E42" s="93" t="s">
        <v>1849</v>
      </c>
      <c r="F42" s="94">
        <v>0.32429999999999998</v>
      </c>
    </row>
    <row r="43" spans="1:6">
      <c r="A43" s="96"/>
      <c r="B43" s="138" t="s">
        <v>1413</v>
      </c>
      <c r="C43" s="93" t="s">
        <v>183</v>
      </c>
      <c r="D43" s="93" t="s">
        <v>481</v>
      </c>
      <c r="E43" s="93"/>
      <c r="F43" s="94">
        <v>0.25419999999999998</v>
      </c>
    </row>
    <row r="44" spans="1:6">
      <c r="A44" s="96"/>
      <c r="B44" s="138" t="s">
        <v>1412</v>
      </c>
      <c r="C44" s="93" t="s">
        <v>183</v>
      </c>
      <c r="D44" s="93" t="s">
        <v>481</v>
      </c>
      <c r="E44" s="93" t="s">
        <v>1849</v>
      </c>
      <c r="F44" s="94">
        <v>0.25419999999999998</v>
      </c>
    </row>
    <row r="45" spans="1:6">
      <c r="A45" s="96"/>
      <c r="B45" s="138" t="s">
        <v>1415</v>
      </c>
      <c r="C45" s="93" t="s">
        <v>69</v>
      </c>
      <c r="D45" s="93" t="s">
        <v>389</v>
      </c>
      <c r="E45" s="93"/>
      <c r="F45" s="94">
        <v>0.1285</v>
      </c>
    </row>
    <row r="46" spans="1:6">
      <c r="A46" s="96"/>
      <c r="B46" s="138" t="s">
        <v>1414</v>
      </c>
      <c r="C46" s="93" t="s">
        <v>69</v>
      </c>
      <c r="D46" s="93" t="s">
        <v>389</v>
      </c>
      <c r="E46" s="93" t="s">
        <v>1849</v>
      </c>
      <c r="F46" s="94">
        <v>0.1285</v>
      </c>
    </row>
    <row r="47" spans="1:6">
      <c r="A47" s="96"/>
      <c r="B47" s="138" t="s">
        <v>1417</v>
      </c>
      <c r="C47" s="93" t="s">
        <v>184</v>
      </c>
      <c r="D47" s="93" t="s">
        <v>480</v>
      </c>
      <c r="E47" s="93"/>
      <c r="F47" s="94">
        <v>3.95E-2</v>
      </c>
    </row>
    <row r="48" spans="1:6">
      <c r="A48" s="96"/>
      <c r="B48" s="138" t="s">
        <v>1416</v>
      </c>
      <c r="C48" s="93" t="s">
        <v>184</v>
      </c>
      <c r="D48" s="93" t="s">
        <v>480</v>
      </c>
      <c r="E48" s="93" t="s">
        <v>1849</v>
      </c>
      <c r="F48" s="94">
        <v>3.3300000000000003E-2</v>
      </c>
    </row>
    <row r="49" spans="1:6">
      <c r="A49" s="96"/>
      <c r="B49" s="138" t="s">
        <v>1419</v>
      </c>
      <c r="C49" s="93" t="s">
        <v>185</v>
      </c>
      <c r="D49" s="93" t="s">
        <v>486</v>
      </c>
      <c r="E49" s="93"/>
      <c r="F49" s="94">
        <v>0.25319999999999998</v>
      </c>
    </row>
    <row r="50" spans="1:6">
      <c r="A50" s="96"/>
      <c r="B50" s="138" t="s">
        <v>1418</v>
      </c>
      <c r="C50" s="93" t="s">
        <v>185</v>
      </c>
      <c r="D50" s="93" t="s">
        <v>486</v>
      </c>
      <c r="E50" s="93" t="s">
        <v>1849</v>
      </c>
      <c r="F50" s="94">
        <v>0.25319999999999998</v>
      </c>
    </row>
    <row r="51" spans="1:6">
      <c r="A51" s="96"/>
      <c r="B51" s="138" t="s">
        <v>1421</v>
      </c>
      <c r="C51" s="93" t="s">
        <v>186</v>
      </c>
      <c r="D51" s="93" t="s">
        <v>483</v>
      </c>
      <c r="E51" s="93"/>
      <c r="F51" s="94">
        <v>0.37459999999999999</v>
      </c>
    </row>
    <row r="52" spans="1:6">
      <c r="A52" s="96"/>
      <c r="B52" s="138" t="s">
        <v>1420</v>
      </c>
      <c r="C52" s="93" t="s">
        <v>186</v>
      </c>
      <c r="D52" s="93" t="s">
        <v>483</v>
      </c>
      <c r="E52" s="93" t="s">
        <v>1849</v>
      </c>
      <c r="F52" s="94">
        <v>0.3679</v>
      </c>
    </row>
    <row r="53" spans="1:6">
      <c r="A53" s="96"/>
      <c r="B53" s="138" t="s">
        <v>1423</v>
      </c>
      <c r="C53" s="93" t="s">
        <v>65</v>
      </c>
      <c r="D53" s="93" t="s">
        <v>387</v>
      </c>
      <c r="E53" s="93"/>
      <c r="F53" s="94">
        <v>1.0800000000000001E-2</v>
      </c>
    </row>
    <row r="54" spans="1:6">
      <c r="A54" s="96"/>
      <c r="B54" s="138" t="s">
        <v>1422</v>
      </c>
      <c r="C54" s="93" t="s">
        <v>65</v>
      </c>
      <c r="D54" s="93" t="s">
        <v>387</v>
      </c>
      <c r="E54" s="93" t="s">
        <v>1849</v>
      </c>
      <c r="F54" s="94">
        <v>1.61E-2</v>
      </c>
    </row>
    <row r="55" spans="1:6">
      <c r="A55" s="96"/>
      <c r="B55" s="138" t="s">
        <v>1425</v>
      </c>
      <c r="C55" s="93" t="s">
        <v>187</v>
      </c>
      <c r="D55" s="93" t="s">
        <v>484</v>
      </c>
      <c r="E55" s="93"/>
      <c r="F55" s="94">
        <v>0.23400000000000001</v>
      </c>
    </row>
    <row r="56" spans="1:6">
      <c r="A56" s="96"/>
      <c r="B56" s="138" t="s">
        <v>1424</v>
      </c>
      <c r="C56" s="93" t="s">
        <v>187</v>
      </c>
      <c r="D56" s="93" t="s">
        <v>484</v>
      </c>
      <c r="E56" s="93" t="s">
        <v>1849</v>
      </c>
      <c r="F56" s="94">
        <v>0.23380000000000001</v>
      </c>
    </row>
    <row r="57" spans="1:6">
      <c r="A57" s="96"/>
      <c r="B57" s="138" t="s">
        <v>1427</v>
      </c>
      <c r="C57" s="93" t="s">
        <v>188</v>
      </c>
      <c r="D57" s="93" t="s">
        <v>477</v>
      </c>
      <c r="E57" s="93"/>
      <c r="F57" s="94">
        <v>0.25419999999999998</v>
      </c>
    </row>
    <row r="58" spans="1:6">
      <c r="A58" s="96"/>
      <c r="B58" s="138" t="s">
        <v>1426</v>
      </c>
      <c r="C58" s="93" t="s">
        <v>188</v>
      </c>
      <c r="D58" s="93" t="s">
        <v>477</v>
      </c>
      <c r="E58" s="93" t="s">
        <v>1849</v>
      </c>
      <c r="F58" s="94">
        <v>0.33500000000000002</v>
      </c>
    </row>
    <row r="59" spans="1:6">
      <c r="A59" s="96"/>
      <c r="B59" s="138" t="s">
        <v>1429</v>
      </c>
      <c r="C59" s="93" t="s">
        <v>189</v>
      </c>
      <c r="D59" s="93" t="s">
        <v>390</v>
      </c>
      <c r="E59" s="93"/>
      <c r="F59" s="94">
        <v>5.62E-2</v>
      </c>
    </row>
    <row r="60" spans="1:6">
      <c r="A60" s="96"/>
      <c r="B60" s="138" t="s">
        <v>1428</v>
      </c>
      <c r="C60" s="93" t="s">
        <v>189</v>
      </c>
      <c r="D60" s="93" t="s">
        <v>390</v>
      </c>
      <c r="E60" s="93" t="s">
        <v>1849</v>
      </c>
      <c r="F60" s="94">
        <v>5.62E-2</v>
      </c>
    </row>
    <row r="61" spans="1:6">
      <c r="A61" s="96"/>
      <c r="B61" s="138" t="s">
        <v>1431</v>
      </c>
      <c r="C61" s="93" t="s">
        <v>190</v>
      </c>
      <c r="D61" s="93" t="s">
        <v>488</v>
      </c>
      <c r="E61" s="93"/>
      <c r="F61" s="94">
        <v>6.3299999999999995E-2</v>
      </c>
    </row>
    <row r="62" spans="1:6">
      <c r="A62" s="96"/>
      <c r="B62" s="138" t="s">
        <v>1430</v>
      </c>
      <c r="C62" s="93" t="s">
        <v>190</v>
      </c>
      <c r="D62" s="93" t="s">
        <v>488</v>
      </c>
      <c r="E62" s="93" t="s">
        <v>1849</v>
      </c>
      <c r="F62" s="94">
        <v>6.3299999999999995E-2</v>
      </c>
    </row>
    <row r="63" spans="1:6">
      <c r="A63" s="96"/>
      <c r="B63" s="138" t="s">
        <v>1433</v>
      </c>
      <c r="C63" s="93" t="s">
        <v>191</v>
      </c>
      <c r="D63" s="93" t="s">
        <v>485</v>
      </c>
      <c r="E63" s="93"/>
      <c r="F63" s="94">
        <v>0.11899999999999999</v>
      </c>
    </row>
    <row r="64" spans="1:6">
      <c r="A64" s="96"/>
      <c r="B64" s="138" t="s">
        <v>1432</v>
      </c>
      <c r="C64" s="93" t="s">
        <v>191</v>
      </c>
      <c r="D64" s="93" t="s">
        <v>485</v>
      </c>
      <c r="E64" s="93" t="s">
        <v>1849</v>
      </c>
      <c r="F64" s="94">
        <v>0.21440000000000001</v>
      </c>
    </row>
    <row r="65" spans="1:6">
      <c r="A65" s="96"/>
      <c r="B65" s="138" t="s">
        <v>1435</v>
      </c>
      <c r="C65" s="93" t="s">
        <v>891</v>
      </c>
      <c r="D65" s="93" t="s">
        <v>478</v>
      </c>
      <c r="E65" s="93"/>
      <c r="F65" s="94">
        <v>0.16289999999999999</v>
      </c>
    </row>
    <row r="66" spans="1:6">
      <c r="A66" s="96"/>
      <c r="B66" s="138" t="s">
        <v>1434</v>
      </c>
      <c r="C66" s="93" t="s">
        <v>891</v>
      </c>
      <c r="D66" s="93" t="s">
        <v>478</v>
      </c>
      <c r="E66" s="93" t="s">
        <v>1849</v>
      </c>
      <c r="F66" s="94">
        <v>0.19800000000000001</v>
      </c>
    </row>
    <row r="67" spans="1:6">
      <c r="A67" s="96"/>
      <c r="B67" s="138" t="s">
        <v>1437</v>
      </c>
      <c r="C67" s="93" t="s">
        <v>892</v>
      </c>
      <c r="D67" s="93" t="s">
        <v>482</v>
      </c>
      <c r="E67" s="93"/>
      <c r="F67" s="94">
        <v>0.15540000000000001</v>
      </c>
    </row>
    <row r="68" spans="1:6">
      <c r="A68" s="96"/>
      <c r="B68" s="138" t="s">
        <v>1436</v>
      </c>
      <c r="C68" s="93" t="s">
        <v>892</v>
      </c>
      <c r="D68" s="93" t="s">
        <v>482</v>
      </c>
      <c r="E68" s="93" t="s">
        <v>1849</v>
      </c>
      <c r="F68" s="94">
        <v>0.39839999999999998</v>
      </c>
    </row>
    <row r="69" spans="1:6">
      <c r="A69" s="96"/>
      <c r="B69" s="138" t="s">
        <v>1439</v>
      </c>
      <c r="C69" s="93" t="s">
        <v>192</v>
      </c>
      <c r="D69" s="93" t="s">
        <v>489</v>
      </c>
      <c r="E69" s="93"/>
      <c r="F69" s="94">
        <v>0.184</v>
      </c>
    </row>
    <row r="70" spans="1:6">
      <c r="A70" s="96"/>
      <c r="B70" s="138" t="s">
        <v>1438</v>
      </c>
      <c r="C70" s="93" t="s">
        <v>192</v>
      </c>
      <c r="D70" s="93" t="s">
        <v>489</v>
      </c>
      <c r="E70" s="93" t="s">
        <v>1849</v>
      </c>
      <c r="F70" s="94">
        <v>0.26640000000000003</v>
      </c>
    </row>
    <row r="71" spans="1:6">
      <c r="A71" s="96"/>
      <c r="B71" s="138" t="s">
        <v>1441</v>
      </c>
      <c r="C71" s="93" t="s">
        <v>45</v>
      </c>
      <c r="D71" s="93" t="s">
        <v>391</v>
      </c>
      <c r="E71" s="93"/>
      <c r="F71" s="94">
        <v>5.0000000000000001E-3</v>
      </c>
    </row>
    <row r="72" spans="1:6">
      <c r="A72" s="96"/>
      <c r="B72" s="138" t="s">
        <v>1440</v>
      </c>
      <c r="C72" s="93" t="s">
        <v>45</v>
      </c>
      <c r="D72" s="93" t="s">
        <v>391</v>
      </c>
      <c r="E72" s="93" t="s">
        <v>1849</v>
      </c>
      <c r="F72" s="94">
        <v>1.18E-2</v>
      </c>
    </row>
    <row r="73" spans="1:6">
      <c r="A73" s="96"/>
      <c r="B73" s="138" t="s">
        <v>1443</v>
      </c>
      <c r="C73" s="93" t="s">
        <v>7</v>
      </c>
      <c r="D73" s="93" t="s">
        <v>487</v>
      </c>
      <c r="E73" s="93"/>
      <c r="F73" s="94">
        <v>3.6499999999999998E-2</v>
      </c>
    </row>
    <row r="74" spans="1:6">
      <c r="A74" s="96"/>
      <c r="B74" s="138" t="s">
        <v>1442</v>
      </c>
      <c r="C74" s="93" t="s">
        <v>7</v>
      </c>
      <c r="D74" s="93" t="s">
        <v>487</v>
      </c>
      <c r="E74" s="93" t="s">
        <v>1849</v>
      </c>
      <c r="F74" s="94">
        <v>3.32E-2</v>
      </c>
    </row>
    <row r="75" spans="1:6">
      <c r="A75" s="96"/>
      <c r="B75" s="138" t="s">
        <v>1445</v>
      </c>
      <c r="C75" s="93" t="s">
        <v>70</v>
      </c>
      <c r="D75" s="93" t="s">
        <v>388</v>
      </c>
      <c r="E75" s="93"/>
      <c r="F75" s="94">
        <v>2.2499999999999999E-2</v>
      </c>
    </row>
    <row r="76" spans="1:6">
      <c r="A76" s="96"/>
      <c r="B76" s="138" t="s">
        <v>1444</v>
      </c>
      <c r="C76" s="93" t="s">
        <v>70</v>
      </c>
      <c r="D76" s="93" t="s">
        <v>388</v>
      </c>
      <c r="E76" s="93" t="s">
        <v>1849</v>
      </c>
      <c r="F76" s="94">
        <v>2.5600000000000001E-2</v>
      </c>
    </row>
    <row r="77" spans="1:6">
      <c r="A77" s="96"/>
      <c r="B77" s="138" t="s">
        <v>1447</v>
      </c>
      <c r="C77" s="93" t="s">
        <v>893</v>
      </c>
      <c r="D77" s="93" t="s">
        <v>479</v>
      </c>
      <c r="E77" s="93"/>
      <c r="F77" s="94">
        <v>0.3916</v>
      </c>
    </row>
    <row r="78" spans="1:6">
      <c r="A78" s="96"/>
      <c r="B78" s="138" t="s">
        <v>1446</v>
      </c>
      <c r="C78" s="93" t="s">
        <v>893</v>
      </c>
      <c r="D78" s="93" t="s">
        <v>479</v>
      </c>
      <c r="E78" s="93" t="s">
        <v>1849</v>
      </c>
      <c r="F78" s="94">
        <v>0.39140000000000003</v>
      </c>
    </row>
    <row r="79" spans="1:6">
      <c r="A79" s="96"/>
      <c r="B79" s="138" t="s">
        <v>1449</v>
      </c>
      <c r="C79" s="93" t="s">
        <v>9</v>
      </c>
      <c r="D79" s="93" t="s">
        <v>476</v>
      </c>
      <c r="E79" s="93"/>
      <c r="F79" s="94">
        <v>0.60580000000000001</v>
      </c>
    </row>
    <row r="80" spans="1:6">
      <c r="A80" s="96"/>
      <c r="B80" s="138" t="s">
        <v>1448</v>
      </c>
      <c r="C80" s="93" t="s">
        <v>9</v>
      </c>
      <c r="D80" s="93" t="s">
        <v>476</v>
      </c>
      <c r="E80" s="93" t="s">
        <v>1849</v>
      </c>
      <c r="F80" s="94">
        <v>0.61950000000000005</v>
      </c>
    </row>
    <row r="81" spans="1:6">
      <c r="A81" s="96"/>
      <c r="B81" s="138" t="s">
        <v>1451</v>
      </c>
      <c r="C81" s="93" t="s">
        <v>10</v>
      </c>
      <c r="D81" s="93" t="s">
        <v>532</v>
      </c>
      <c r="E81" s="93"/>
      <c r="F81" s="94">
        <v>7.6399999999999996E-2</v>
      </c>
    </row>
    <row r="82" spans="1:6">
      <c r="A82" s="96"/>
      <c r="B82" s="138" t="s">
        <v>1450</v>
      </c>
      <c r="C82" s="93" t="s">
        <v>10</v>
      </c>
      <c r="D82" s="93" t="s">
        <v>532</v>
      </c>
      <c r="E82" s="93" t="s">
        <v>1849</v>
      </c>
      <c r="F82" s="94">
        <v>7.5200000000000003E-2</v>
      </c>
    </row>
    <row r="83" spans="1:6">
      <c r="A83" s="96"/>
      <c r="B83" s="138" t="s">
        <v>1453</v>
      </c>
      <c r="C83" s="93" t="s">
        <v>11</v>
      </c>
      <c r="D83" s="93" t="s">
        <v>493</v>
      </c>
      <c r="E83" s="93"/>
      <c r="F83" s="94">
        <v>0.128</v>
      </c>
    </row>
    <row r="84" spans="1:6">
      <c r="A84" s="96"/>
      <c r="B84" s="138" t="s">
        <v>1452</v>
      </c>
      <c r="C84" s="93" t="s">
        <v>11</v>
      </c>
      <c r="D84" s="93" t="s">
        <v>493</v>
      </c>
      <c r="E84" s="93" t="s">
        <v>1849</v>
      </c>
      <c r="F84" s="94">
        <v>0.36470000000000002</v>
      </c>
    </row>
    <row r="85" spans="1:6">
      <c r="A85" s="96"/>
      <c r="B85" s="138" t="s">
        <v>1455</v>
      </c>
      <c r="C85" s="93" t="s">
        <v>46</v>
      </c>
      <c r="D85" s="93" t="s">
        <v>392</v>
      </c>
      <c r="E85" s="93"/>
      <c r="F85" s="94">
        <v>7.1000000000000004E-3</v>
      </c>
    </row>
    <row r="86" spans="1:6">
      <c r="A86" s="96"/>
      <c r="B86" s="138" t="s">
        <v>1454</v>
      </c>
      <c r="C86" s="93" t="s">
        <v>46</v>
      </c>
      <c r="D86" s="93" t="s">
        <v>392</v>
      </c>
      <c r="E86" s="93" t="s">
        <v>1849</v>
      </c>
      <c r="F86" s="94">
        <v>7.1000000000000004E-3</v>
      </c>
    </row>
    <row r="87" spans="1:6">
      <c r="A87" s="96"/>
      <c r="B87" s="138" t="s">
        <v>1457</v>
      </c>
      <c r="C87" s="93" t="s">
        <v>13</v>
      </c>
      <c r="D87" s="93" t="s">
        <v>498</v>
      </c>
      <c r="E87" s="93"/>
      <c r="F87" s="94">
        <v>0.26229999999999998</v>
      </c>
    </row>
    <row r="88" spans="1:6">
      <c r="A88" s="96"/>
      <c r="B88" s="138" t="s">
        <v>1456</v>
      </c>
      <c r="C88" s="93" t="s">
        <v>13</v>
      </c>
      <c r="D88" s="93" t="s">
        <v>498</v>
      </c>
      <c r="E88" s="93" t="s">
        <v>1849</v>
      </c>
      <c r="F88" s="94">
        <v>0.26229999999999998</v>
      </c>
    </row>
    <row r="89" spans="1:6">
      <c r="A89" s="96"/>
      <c r="B89" s="138" t="s">
        <v>1459</v>
      </c>
      <c r="C89" s="93" t="s">
        <v>894</v>
      </c>
      <c r="D89" s="93" t="s">
        <v>501</v>
      </c>
      <c r="E89" s="93"/>
      <c r="F89" s="94">
        <v>0.16950000000000001</v>
      </c>
    </row>
    <row r="90" spans="1:6">
      <c r="A90" s="96"/>
      <c r="B90" s="138" t="s">
        <v>1458</v>
      </c>
      <c r="C90" s="93" t="s">
        <v>894</v>
      </c>
      <c r="D90" s="93" t="s">
        <v>501</v>
      </c>
      <c r="E90" s="93" t="s">
        <v>1849</v>
      </c>
      <c r="F90" s="94">
        <v>0.16600000000000001</v>
      </c>
    </row>
    <row r="91" spans="1:6">
      <c r="A91" s="96"/>
      <c r="B91" s="138" t="s">
        <v>1461</v>
      </c>
      <c r="C91" s="93" t="s">
        <v>895</v>
      </c>
      <c r="D91" s="93" t="s">
        <v>490</v>
      </c>
      <c r="E91" s="93"/>
      <c r="F91" s="94">
        <v>0.29759999999999998</v>
      </c>
    </row>
    <row r="92" spans="1:6">
      <c r="A92" s="96"/>
      <c r="B92" s="138" t="s">
        <v>1460</v>
      </c>
      <c r="C92" s="93" t="s">
        <v>895</v>
      </c>
      <c r="D92" s="93" t="s">
        <v>490</v>
      </c>
      <c r="E92" s="93" t="s">
        <v>1849</v>
      </c>
      <c r="F92" s="94">
        <v>0.59930000000000005</v>
      </c>
    </row>
    <row r="93" spans="1:6">
      <c r="A93" s="96"/>
      <c r="B93" s="138" t="s">
        <v>1463</v>
      </c>
      <c r="C93" s="93" t="s">
        <v>16</v>
      </c>
      <c r="D93" s="93" t="s">
        <v>597</v>
      </c>
      <c r="E93" s="93"/>
      <c r="F93" s="94">
        <v>0.55920000000000003</v>
      </c>
    </row>
    <row r="94" spans="1:6">
      <c r="A94" s="96"/>
      <c r="B94" s="138" t="s">
        <v>1462</v>
      </c>
      <c r="C94" s="93" t="s">
        <v>16</v>
      </c>
      <c r="D94" s="93" t="s">
        <v>597</v>
      </c>
      <c r="E94" s="93" t="s">
        <v>1849</v>
      </c>
      <c r="F94" s="94">
        <v>0.55920000000000003</v>
      </c>
    </row>
    <row r="95" spans="1:6">
      <c r="A95" s="96"/>
      <c r="B95" s="138" t="s">
        <v>1465</v>
      </c>
      <c r="C95" s="93" t="s">
        <v>71</v>
      </c>
      <c r="D95" s="93" t="s">
        <v>394</v>
      </c>
      <c r="E95" s="93"/>
      <c r="F95" s="94">
        <v>1.29E-2</v>
      </c>
    </row>
    <row r="96" spans="1:6">
      <c r="A96" s="96"/>
      <c r="B96" s="138" t="s">
        <v>1464</v>
      </c>
      <c r="C96" s="93" t="s">
        <v>71</v>
      </c>
      <c r="D96" s="93" t="s">
        <v>394</v>
      </c>
      <c r="E96" s="93" t="s">
        <v>1849</v>
      </c>
      <c r="F96" s="94">
        <v>2.76E-2</v>
      </c>
    </row>
    <row r="97" spans="1:6">
      <c r="A97" s="96"/>
      <c r="B97" s="138" t="s">
        <v>1467</v>
      </c>
      <c r="C97" s="93" t="s">
        <v>72</v>
      </c>
      <c r="D97" s="93" t="s">
        <v>395</v>
      </c>
      <c r="E97" s="93"/>
      <c r="F97" s="94">
        <v>2.1999999999999999E-2</v>
      </c>
    </row>
    <row r="98" spans="1:6">
      <c r="A98" s="96"/>
      <c r="B98" s="138" t="s">
        <v>1466</v>
      </c>
      <c r="C98" s="93" t="s">
        <v>72</v>
      </c>
      <c r="D98" s="93" t="s">
        <v>395</v>
      </c>
      <c r="E98" s="93" t="s">
        <v>1849</v>
      </c>
      <c r="F98" s="94">
        <v>2.46E-2</v>
      </c>
    </row>
    <row r="99" spans="1:6">
      <c r="A99" s="96"/>
      <c r="B99" s="138" t="s">
        <v>1469</v>
      </c>
      <c r="C99" s="93" t="s">
        <v>73</v>
      </c>
      <c r="D99" s="93" t="s">
        <v>496</v>
      </c>
      <c r="E99" s="93"/>
      <c r="F99" s="94">
        <v>0.02</v>
      </c>
    </row>
    <row r="100" spans="1:6">
      <c r="A100" s="96"/>
      <c r="B100" s="138" t="s">
        <v>1468</v>
      </c>
      <c r="C100" s="93" t="s">
        <v>73</v>
      </c>
      <c r="D100" s="93" t="s">
        <v>496</v>
      </c>
      <c r="E100" s="93" t="s">
        <v>1849</v>
      </c>
      <c r="F100" s="94">
        <v>1.8599999999999998E-2</v>
      </c>
    </row>
    <row r="101" spans="1:6">
      <c r="A101" s="96"/>
      <c r="B101" s="138" t="s">
        <v>1471</v>
      </c>
      <c r="C101" s="93" t="s">
        <v>17</v>
      </c>
      <c r="D101" s="93" t="s">
        <v>497</v>
      </c>
      <c r="E101" s="93"/>
      <c r="F101" s="94">
        <v>0.56010000000000004</v>
      </c>
    </row>
    <row r="102" spans="1:6">
      <c r="A102" s="96"/>
      <c r="B102" s="138" t="s">
        <v>1470</v>
      </c>
      <c r="C102" s="93" t="s">
        <v>17</v>
      </c>
      <c r="D102" s="93" t="s">
        <v>497</v>
      </c>
      <c r="E102" s="93" t="s">
        <v>1849</v>
      </c>
      <c r="F102" s="94">
        <v>0.53420000000000001</v>
      </c>
    </row>
    <row r="103" spans="1:6">
      <c r="A103" s="96"/>
      <c r="B103" s="138" t="s">
        <v>1473</v>
      </c>
      <c r="C103" s="93" t="s">
        <v>18</v>
      </c>
      <c r="D103" s="93" t="s">
        <v>396</v>
      </c>
      <c r="E103" s="93"/>
      <c r="F103" s="94">
        <v>0.40610000000000002</v>
      </c>
    </row>
    <row r="104" spans="1:6">
      <c r="A104" s="96"/>
      <c r="B104" s="138" t="s">
        <v>1472</v>
      </c>
      <c r="C104" s="93" t="s">
        <v>18</v>
      </c>
      <c r="D104" s="93" t="s">
        <v>396</v>
      </c>
      <c r="E104" s="93" t="s">
        <v>1849</v>
      </c>
      <c r="F104" s="94">
        <v>0.44350000000000001</v>
      </c>
    </row>
    <row r="105" spans="1:6">
      <c r="A105" s="96"/>
      <c r="B105" s="138" t="s">
        <v>1475</v>
      </c>
      <c r="C105" s="93" t="s">
        <v>896</v>
      </c>
      <c r="D105" s="93" t="s">
        <v>495</v>
      </c>
      <c r="E105" s="93"/>
      <c r="F105" s="94">
        <v>1.8594999999999999</v>
      </c>
    </row>
    <row r="106" spans="1:6">
      <c r="A106" s="96"/>
      <c r="B106" s="138" t="s">
        <v>1474</v>
      </c>
      <c r="C106" s="93" t="s">
        <v>896</v>
      </c>
      <c r="D106" s="93" t="s">
        <v>495</v>
      </c>
      <c r="E106" s="93" t="s">
        <v>1849</v>
      </c>
      <c r="F106" s="94">
        <v>1.8582000000000001</v>
      </c>
    </row>
    <row r="107" spans="1:6">
      <c r="A107" s="96"/>
      <c r="B107" s="138" t="s">
        <v>1477</v>
      </c>
      <c r="C107" s="93" t="s">
        <v>20</v>
      </c>
      <c r="D107" s="93" t="s">
        <v>397</v>
      </c>
      <c r="E107" s="93"/>
      <c r="F107" s="94">
        <v>4.4600000000000001E-2</v>
      </c>
    </row>
    <row r="108" spans="1:6">
      <c r="A108" s="96"/>
      <c r="B108" s="138" t="s">
        <v>1476</v>
      </c>
      <c r="C108" s="93" t="s">
        <v>20</v>
      </c>
      <c r="D108" s="93" t="s">
        <v>397</v>
      </c>
      <c r="E108" s="93" t="s">
        <v>1849</v>
      </c>
      <c r="F108" s="94">
        <v>6.9099999999999995E-2</v>
      </c>
    </row>
    <row r="109" spans="1:6">
      <c r="A109" s="96"/>
      <c r="B109" s="138" t="s">
        <v>1479</v>
      </c>
      <c r="C109" s="93" t="s">
        <v>21</v>
      </c>
      <c r="D109" s="93" t="s">
        <v>417</v>
      </c>
      <c r="E109" s="93"/>
      <c r="F109" s="94">
        <v>7.1000000000000004E-3</v>
      </c>
    </row>
    <row r="110" spans="1:6">
      <c r="A110" s="96"/>
      <c r="B110" s="138" t="s">
        <v>1478</v>
      </c>
      <c r="C110" s="93" t="s">
        <v>21</v>
      </c>
      <c r="D110" s="93" t="s">
        <v>417</v>
      </c>
      <c r="E110" s="93" t="s">
        <v>1849</v>
      </c>
      <c r="F110" s="94">
        <v>2.1499999999999998E-2</v>
      </c>
    </row>
    <row r="111" spans="1:6">
      <c r="A111" s="96"/>
      <c r="B111" s="138" t="s">
        <v>1481</v>
      </c>
      <c r="C111" s="93" t="s">
        <v>22</v>
      </c>
      <c r="D111" s="93" t="s">
        <v>499</v>
      </c>
      <c r="E111" s="93"/>
      <c r="F111" s="94">
        <v>0.74729999999999996</v>
      </c>
    </row>
    <row r="112" spans="1:6">
      <c r="A112" s="96"/>
      <c r="B112" s="138" t="s">
        <v>1480</v>
      </c>
      <c r="C112" s="93" t="s">
        <v>22</v>
      </c>
      <c r="D112" s="93" t="s">
        <v>499</v>
      </c>
      <c r="E112" s="93" t="s">
        <v>1849</v>
      </c>
      <c r="F112" s="94">
        <v>0.70189999999999997</v>
      </c>
    </row>
    <row r="113" spans="1:6">
      <c r="A113" s="96"/>
      <c r="B113" s="138" t="s">
        <v>1483</v>
      </c>
      <c r="C113" s="93" t="s">
        <v>238</v>
      </c>
      <c r="D113" s="93" t="s">
        <v>500</v>
      </c>
      <c r="E113" s="93"/>
      <c r="F113" s="94">
        <v>0.16289999999999999</v>
      </c>
    </row>
    <row r="114" spans="1:6">
      <c r="A114" s="96"/>
      <c r="B114" s="138" t="s">
        <v>1482</v>
      </c>
      <c r="C114" s="93" t="s">
        <v>238</v>
      </c>
      <c r="D114" s="93" t="s">
        <v>500</v>
      </c>
      <c r="E114" s="93" t="s">
        <v>1849</v>
      </c>
      <c r="F114" s="94">
        <v>0.19800000000000001</v>
      </c>
    </row>
    <row r="115" spans="1:6">
      <c r="A115" s="96"/>
      <c r="B115" s="138" t="s">
        <v>1485</v>
      </c>
      <c r="C115" s="93" t="s">
        <v>240</v>
      </c>
      <c r="D115" s="93" t="s">
        <v>503</v>
      </c>
      <c r="E115" s="93"/>
      <c r="F115" s="94">
        <v>3.6499999999999998E-2</v>
      </c>
    </row>
    <row r="116" spans="1:6">
      <c r="A116" s="96"/>
      <c r="B116" s="138" t="s">
        <v>1484</v>
      </c>
      <c r="C116" s="93" t="s">
        <v>240</v>
      </c>
      <c r="D116" s="93" t="s">
        <v>503</v>
      </c>
      <c r="E116" s="93" t="s">
        <v>1849</v>
      </c>
      <c r="F116" s="94">
        <v>5.1299999999999998E-2</v>
      </c>
    </row>
    <row r="117" spans="1:6">
      <c r="A117" s="96"/>
      <c r="B117" s="138" t="s">
        <v>1487</v>
      </c>
      <c r="C117" s="93" t="s">
        <v>74</v>
      </c>
      <c r="D117" s="93" t="s">
        <v>398</v>
      </c>
      <c r="E117" s="93"/>
      <c r="F117" s="94">
        <v>1.83E-2</v>
      </c>
    </row>
    <row r="118" spans="1:6">
      <c r="A118" s="96"/>
      <c r="B118" s="138" t="s">
        <v>1486</v>
      </c>
      <c r="C118" s="93" t="s">
        <v>74</v>
      </c>
      <c r="D118" s="93" t="s">
        <v>398</v>
      </c>
      <c r="E118" s="93" t="s">
        <v>1849</v>
      </c>
      <c r="F118" s="94">
        <v>1.89E-2</v>
      </c>
    </row>
    <row r="119" spans="1:6">
      <c r="A119" s="96"/>
      <c r="B119" s="138" t="s">
        <v>1489</v>
      </c>
      <c r="C119" s="93" t="s">
        <v>897</v>
      </c>
      <c r="D119" s="93" t="s">
        <v>494</v>
      </c>
      <c r="E119" s="93"/>
      <c r="F119" s="94">
        <v>0.49220000000000003</v>
      </c>
    </row>
    <row r="120" spans="1:6">
      <c r="A120" s="96"/>
      <c r="B120" s="138" t="s">
        <v>1488</v>
      </c>
      <c r="C120" s="93" t="s">
        <v>897</v>
      </c>
      <c r="D120" s="93" t="s">
        <v>494</v>
      </c>
      <c r="E120" s="93" t="s">
        <v>1849</v>
      </c>
      <c r="F120" s="94">
        <v>0.43580000000000002</v>
      </c>
    </row>
    <row r="121" spans="1:6">
      <c r="A121" s="96"/>
      <c r="B121" s="138" t="s">
        <v>1491</v>
      </c>
      <c r="C121" s="93" t="s">
        <v>47</v>
      </c>
      <c r="D121" s="93" t="s">
        <v>400</v>
      </c>
      <c r="E121" s="93"/>
      <c r="F121" s="94">
        <v>8.3999999999999995E-3</v>
      </c>
    </row>
    <row r="122" spans="1:6">
      <c r="A122" s="96"/>
      <c r="B122" s="138" t="s">
        <v>1490</v>
      </c>
      <c r="C122" s="93" t="s">
        <v>47</v>
      </c>
      <c r="D122" s="93" t="s">
        <v>400</v>
      </c>
      <c r="E122" s="93" t="s">
        <v>1849</v>
      </c>
      <c r="F122" s="94">
        <v>1.11E-2</v>
      </c>
    </row>
    <row r="123" spans="1:6">
      <c r="A123" s="96"/>
      <c r="B123" s="138" t="s">
        <v>1493</v>
      </c>
      <c r="C123" s="93" t="s">
        <v>241</v>
      </c>
      <c r="D123" s="93" t="s">
        <v>526</v>
      </c>
      <c r="E123" s="93"/>
      <c r="F123" s="94">
        <v>2.1023000000000001</v>
      </c>
    </row>
    <row r="124" spans="1:6">
      <c r="A124" s="96"/>
      <c r="B124" s="138" t="s">
        <v>1492</v>
      </c>
      <c r="C124" s="93" t="s">
        <v>241</v>
      </c>
      <c r="D124" s="93" t="s">
        <v>526</v>
      </c>
      <c r="E124" s="93" t="s">
        <v>1849</v>
      </c>
      <c r="F124" s="94">
        <v>2.1023000000000001</v>
      </c>
    </row>
    <row r="125" spans="1:6">
      <c r="A125" s="96"/>
      <c r="B125" s="138" t="s">
        <v>1495</v>
      </c>
      <c r="C125" s="93" t="s">
        <v>242</v>
      </c>
      <c r="D125" s="93" t="s">
        <v>504</v>
      </c>
      <c r="E125" s="93"/>
      <c r="F125" s="94">
        <v>0.32690000000000002</v>
      </c>
    </row>
    <row r="126" spans="1:6">
      <c r="A126" s="96"/>
      <c r="B126" s="138" t="s">
        <v>1494</v>
      </c>
      <c r="C126" s="93" t="s">
        <v>242</v>
      </c>
      <c r="D126" s="93" t="s">
        <v>504</v>
      </c>
      <c r="E126" s="93" t="s">
        <v>1849</v>
      </c>
      <c r="F126" s="94">
        <v>0.32690000000000002</v>
      </c>
    </row>
    <row r="127" spans="1:6">
      <c r="A127" s="96"/>
      <c r="B127" s="138" t="s">
        <v>1499</v>
      </c>
      <c r="C127" s="93" t="s">
        <v>249</v>
      </c>
      <c r="D127" s="93" t="s">
        <v>505</v>
      </c>
      <c r="E127" s="93"/>
      <c r="F127" s="94">
        <v>0.25180000000000002</v>
      </c>
    </row>
    <row r="128" spans="1:6">
      <c r="A128" s="96"/>
      <c r="B128" s="138" t="s">
        <v>1496</v>
      </c>
      <c r="C128" s="93" t="s">
        <v>249</v>
      </c>
      <c r="D128" s="93" t="s">
        <v>505</v>
      </c>
      <c r="E128" s="93" t="s">
        <v>1849</v>
      </c>
      <c r="F128" s="94">
        <v>0.25219999999999998</v>
      </c>
    </row>
    <row r="129" spans="1:6">
      <c r="A129" s="96"/>
      <c r="B129" s="138" t="s">
        <v>1498</v>
      </c>
      <c r="C129" s="93" t="s">
        <v>898</v>
      </c>
      <c r="D129" s="93" t="s">
        <v>401</v>
      </c>
      <c r="E129" s="93"/>
      <c r="F129" s="94">
        <v>3.9899999999999998E-2</v>
      </c>
    </row>
    <row r="130" spans="1:6">
      <c r="A130" s="96"/>
      <c r="B130" s="138" t="s">
        <v>1497</v>
      </c>
      <c r="C130" s="93" t="s">
        <v>898</v>
      </c>
      <c r="D130" s="93" t="s">
        <v>401</v>
      </c>
      <c r="E130" s="93" t="s">
        <v>1849</v>
      </c>
      <c r="F130" s="94">
        <v>0.10970000000000001</v>
      </c>
    </row>
    <row r="131" spans="1:6">
      <c r="A131" s="96"/>
      <c r="B131" s="138" t="s">
        <v>1501</v>
      </c>
      <c r="C131" s="93" t="s">
        <v>251</v>
      </c>
      <c r="D131" s="93" t="s">
        <v>603</v>
      </c>
      <c r="E131" s="93"/>
      <c r="F131" s="94">
        <v>0.47599999999999998</v>
      </c>
    </row>
    <row r="132" spans="1:6">
      <c r="A132" s="96"/>
      <c r="B132" s="138" t="s">
        <v>1500</v>
      </c>
      <c r="C132" s="93" t="s">
        <v>251</v>
      </c>
      <c r="D132" s="93" t="s">
        <v>603</v>
      </c>
      <c r="E132" s="93" t="s">
        <v>1849</v>
      </c>
      <c r="F132" s="94">
        <v>0.57010000000000005</v>
      </c>
    </row>
    <row r="133" spans="1:6">
      <c r="A133" s="96"/>
      <c r="B133" s="138" t="s">
        <v>1503</v>
      </c>
      <c r="C133" s="93" t="s">
        <v>252</v>
      </c>
      <c r="D133" s="93" t="s">
        <v>507</v>
      </c>
      <c r="E133" s="93"/>
      <c r="F133" s="94">
        <v>0.1837</v>
      </c>
    </row>
    <row r="134" spans="1:6">
      <c r="A134" s="96"/>
      <c r="B134" s="138" t="s">
        <v>1502</v>
      </c>
      <c r="C134" s="93" t="s">
        <v>252</v>
      </c>
      <c r="D134" s="93" t="s">
        <v>507</v>
      </c>
      <c r="E134" s="93" t="s">
        <v>1849</v>
      </c>
      <c r="F134" s="94">
        <v>0.24049999999999999</v>
      </c>
    </row>
    <row r="135" spans="1:6">
      <c r="A135" s="96"/>
      <c r="B135" s="138" t="s">
        <v>1505</v>
      </c>
      <c r="C135" s="93" t="s">
        <v>253</v>
      </c>
      <c r="D135" s="93" t="s">
        <v>508</v>
      </c>
      <c r="E135" s="93"/>
      <c r="F135" s="94">
        <v>0.1023</v>
      </c>
    </row>
    <row r="136" spans="1:6">
      <c r="A136" s="96"/>
      <c r="B136" s="138" t="s">
        <v>1504</v>
      </c>
      <c r="C136" s="93" t="s">
        <v>253</v>
      </c>
      <c r="D136" s="93" t="s">
        <v>508</v>
      </c>
      <c r="E136" s="93" t="s">
        <v>1849</v>
      </c>
      <c r="F136" s="94">
        <v>0.13669999999999999</v>
      </c>
    </row>
    <row r="137" spans="1:6">
      <c r="A137" s="96"/>
      <c r="B137" s="138" t="s">
        <v>1507</v>
      </c>
      <c r="C137" s="93" t="s">
        <v>254</v>
      </c>
      <c r="D137" s="93" t="s">
        <v>586</v>
      </c>
      <c r="E137" s="93"/>
      <c r="F137" s="94">
        <v>0.19139999999999999</v>
      </c>
    </row>
    <row r="138" spans="1:6">
      <c r="A138" s="96"/>
      <c r="B138" s="138" t="s">
        <v>1506</v>
      </c>
      <c r="C138" s="93" t="s">
        <v>254</v>
      </c>
      <c r="D138" s="93" t="s">
        <v>586</v>
      </c>
      <c r="E138" s="93" t="s">
        <v>1849</v>
      </c>
      <c r="F138" s="94">
        <v>0.14280000000000001</v>
      </c>
    </row>
    <row r="139" spans="1:6">
      <c r="A139" s="96"/>
      <c r="B139" s="138" t="s">
        <v>1509</v>
      </c>
      <c r="C139" s="93" t="s">
        <v>255</v>
      </c>
      <c r="D139" s="93" t="s">
        <v>518</v>
      </c>
      <c r="E139" s="93"/>
      <c r="F139" s="94">
        <v>0.47199999999999998</v>
      </c>
    </row>
    <row r="140" spans="1:6">
      <c r="A140" s="96"/>
      <c r="B140" s="138" t="s">
        <v>1508</v>
      </c>
      <c r="C140" s="93" t="s">
        <v>255</v>
      </c>
      <c r="D140" s="93" t="s">
        <v>518</v>
      </c>
      <c r="E140" s="93" t="s">
        <v>1849</v>
      </c>
      <c r="F140" s="94">
        <v>0.46279999999999999</v>
      </c>
    </row>
    <row r="141" spans="1:6">
      <c r="A141" s="96"/>
      <c r="B141" s="138" t="s">
        <v>1511</v>
      </c>
      <c r="C141" s="93" t="s">
        <v>256</v>
      </c>
      <c r="D141" s="93" t="s">
        <v>509</v>
      </c>
      <c r="E141" s="93"/>
      <c r="F141" s="94">
        <v>0.23300000000000001</v>
      </c>
    </row>
    <row r="142" spans="1:6">
      <c r="A142" s="96"/>
      <c r="B142" s="138" t="s">
        <v>1510</v>
      </c>
      <c r="C142" s="93" t="s">
        <v>256</v>
      </c>
      <c r="D142" s="93" t="s">
        <v>509</v>
      </c>
      <c r="E142" s="93" t="s">
        <v>1849</v>
      </c>
      <c r="F142" s="94">
        <v>0.23300000000000001</v>
      </c>
    </row>
    <row r="143" spans="1:6">
      <c r="A143" s="96"/>
      <c r="B143" s="138" t="s">
        <v>1513</v>
      </c>
      <c r="C143" s="93" t="s">
        <v>75</v>
      </c>
      <c r="D143" s="93" t="s">
        <v>403</v>
      </c>
      <c r="E143" s="93"/>
      <c r="F143" s="94">
        <v>1.2999999999999999E-2</v>
      </c>
    </row>
    <row r="144" spans="1:6">
      <c r="A144" s="96"/>
      <c r="B144" s="138" t="s">
        <v>1512</v>
      </c>
      <c r="C144" s="93" t="s">
        <v>75</v>
      </c>
      <c r="D144" s="93" t="s">
        <v>403</v>
      </c>
      <c r="E144" s="93" t="s">
        <v>1849</v>
      </c>
      <c r="F144" s="94">
        <v>3.5700000000000003E-2</v>
      </c>
    </row>
    <row r="145" spans="1:6">
      <c r="A145" s="96"/>
      <c r="B145" s="138" t="s">
        <v>1515</v>
      </c>
      <c r="C145" s="93" t="s">
        <v>257</v>
      </c>
      <c r="D145" s="93" t="s">
        <v>510</v>
      </c>
      <c r="E145" s="93"/>
      <c r="F145" s="94">
        <v>0.23910000000000001</v>
      </c>
    </row>
    <row r="146" spans="1:6">
      <c r="A146" s="96"/>
      <c r="B146" s="138" t="s">
        <v>1514</v>
      </c>
      <c r="C146" s="93" t="s">
        <v>257</v>
      </c>
      <c r="D146" s="93" t="s">
        <v>510</v>
      </c>
      <c r="E146" s="93" t="s">
        <v>1849</v>
      </c>
      <c r="F146" s="94">
        <v>0.23899999999999999</v>
      </c>
    </row>
    <row r="147" spans="1:6">
      <c r="A147" s="96"/>
      <c r="B147" s="138" t="s">
        <v>1517</v>
      </c>
      <c r="C147" s="93" t="s">
        <v>899</v>
      </c>
      <c r="D147" s="93" t="s">
        <v>513</v>
      </c>
      <c r="E147" s="93"/>
      <c r="F147" s="94">
        <v>2.6200000000000001E-2</v>
      </c>
    </row>
    <row r="148" spans="1:6">
      <c r="A148" s="96"/>
      <c r="B148" s="138" t="s">
        <v>1516</v>
      </c>
      <c r="C148" s="93" t="s">
        <v>899</v>
      </c>
      <c r="D148" s="93" t="s">
        <v>513</v>
      </c>
      <c r="E148" s="93" t="s">
        <v>1849</v>
      </c>
      <c r="F148" s="94">
        <v>2.7E-2</v>
      </c>
    </row>
    <row r="149" spans="1:6">
      <c r="A149" s="96"/>
      <c r="B149" s="138" t="s">
        <v>1519</v>
      </c>
      <c r="C149" s="93" t="s">
        <v>900</v>
      </c>
      <c r="D149" s="93" t="s">
        <v>512</v>
      </c>
      <c r="E149" s="93"/>
      <c r="F149" s="94">
        <v>2.2158000000000002</v>
      </c>
    </row>
    <row r="150" spans="1:6">
      <c r="A150" s="96"/>
      <c r="B150" s="138" t="s">
        <v>1518</v>
      </c>
      <c r="C150" s="93" t="s">
        <v>900</v>
      </c>
      <c r="D150" s="93" t="s">
        <v>512</v>
      </c>
      <c r="E150" s="93" t="s">
        <v>1849</v>
      </c>
      <c r="F150" s="94">
        <v>2.2158000000000002</v>
      </c>
    </row>
    <row r="151" spans="1:6">
      <c r="A151" s="96"/>
      <c r="B151" s="138" t="s">
        <v>1521</v>
      </c>
      <c r="C151" s="93" t="s">
        <v>260</v>
      </c>
      <c r="D151" s="93" t="s">
        <v>511</v>
      </c>
      <c r="E151" s="93"/>
      <c r="F151" s="94">
        <v>0.26479999999999998</v>
      </c>
    </row>
    <row r="152" spans="1:6">
      <c r="A152" s="96"/>
      <c r="B152" s="138" t="s">
        <v>1520</v>
      </c>
      <c r="C152" s="93" t="s">
        <v>260</v>
      </c>
      <c r="D152" s="93" t="s">
        <v>511</v>
      </c>
      <c r="E152" s="93" t="s">
        <v>1849</v>
      </c>
      <c r="F152" s="94">
        <v>0.26479999999999998</v>
      </c>
    </row>
    <row r="153" spans="1:6">
      <c r="A153" s="96"/>
      <c r="B153" s="138" t="s">
        <v>1523</v>
      </c>
      <c r="C153" s="93" t="s">
        <v>48</v>
      </c>
      <c r="D153" s="93" t="s">
        <v>404</v>
      </c>
      <c r="E153" s="93"/>
      <c r="F153" s="94">
        <v>4.3400000000000001E-2</v>
      </c>
    </row>
    <row r="154" spans="1:6">
      <c r="A154" s="96"/>
      <c r="B154" s="138" t="s">
        <v>1522</v>
      </c>
      <c r="C154" s="93" t="s">
        <v>48</v>
      </c>
      <c r="D154" s="93" t="s">
        <v>404</v>
      </c>
      <c r="E154" s="93" t="s">
        <v>1849</v>
      </c>
      <c r="F154" s="94">
        <v>1.84E-2</v>
      </c>
    </row>
    <row r="155" spans="1:6">
      <c r="A155" s="96"/>
      <c r="B155" s="138" t="s">
        <v>1525</v>
      </c>
      <c r="C155" s="93" t="s">
        <v>67</v>
      </c>
      <c r="D155" s="93" t="s">
        <v>405</v>
      </c>
      <c r="E155" s="93"/>
      <c r="F155" s="94">
        <v>3.8999999999999998E-3</v>
      </c>
    </row>
    <row r="156" spans="1:6">
      <c r="A156" s="96"/>
      <c r="B156" s="138" t="s">
        <v>1524</v>
      </c>
      <c r="C156" s="93" t="s">
        <v>67</v>
      </c>
      <c r="D156" s="93" t="s">
        <v>405</v>
      </c>
      <c r="E156" s="93" t="s">
        <v>1849</v>
      </c>
      <c r="F156" s="94">
        <v>1.9300000000000001E-2</v>
      </c>
    </row>
    <row r="157" spans="1:6">
      <c r="A157" s="96"/>
      <c r="B157" s="138" t="s">
        <v>1527</v>
      </c>
      <c r="C157" s="93" t="s">
        <v>413</v>
      </c>
      <c r="D157" s="93" t="s">
        <v>414</v>
      </c>
      <c r="E157" s="93"/>
      <c r="F157" s="94">
        <v>9.7999999999999997E-3</v>
      </c>
    </row>
    <row r="158" spans="1:6">
      <c r="A158" s="96"/>
      <c r="B158" s="138" t="s">
        <v>1526</v>
      </c>
      <c r="C158" s="93" t="s">
        <v>413</v>
      </c>
      <c r="D158" s="93" t="s">
        <v>414</v>
      </c>
      <c r="E158" s="93" t="s">
        <v>1849</v>
      </c>
      <c r="F158" s="94">
        <v>1.83E-2</v>
      </c>
    </row>
    <row r="159" spans="1:6">
      <c r="A159" s="96"/>
      <c r="B159" s="138" t="s">
        <v>1529</v>
      </c>
      <c r="C159" s="93" t="s">
        <v>141</v>
      </c>
      <c r="D159" s="93" t="s">
        <v>577</v>
      </c>
      <c r="E159" s="93"/>
      <c r="F159" s="94">
        <v>0.1731</v>
      </c>
    </row>
    <row r="160" spans="1:6">
      <c r="A160" s="96"/>
      <c r="B160" s="138" t="s">
        <v>1528</v>
      </c>
      <c r="C160" s="93" t="s">
        <v>141</v>
      </c>
      <c r="D160" s="93" t="s">
        <v>577</v>
      </c>
      <c r="E160" s="93" t="s">
        <v>1849</v>
      </c>
      <c r="F160" s="94">
        <v>0.23250000000000001</v>
      </c>
    </row>
    <row r="161" spans="1:6">
      <c r="A161" s="96"/>
      <c r="B161" s="138" t="s">
        <v>1531</v>
      </c>
      <c r="C161" s="93" t="s">
        <v>142</v>
      </c>
      <c r="D161" s="93" t="s">
        <v>515</v>
      </c>
      <c r="E161" s="93"/>
      <c r="F161" s="94">
        <v>0.39419999999999999</v>
      </c>
    </row>
    <row r="162" spans="1:6">
      <c r="A162" s="96"/>
      <c r="B162" s="138" t="s">
        <v>1530</v>
      </c>
      <c r="C162" s="93" t="s">
        <v>142</v>
      </c>
      <c r="D162" s="93" t="s">
        <v>515</v>
      </c>
      <c r="E162" s="93" t="s">
        <v>1849</v>
      </c>
      <c r="F162" s="94">
        <v>0.57120000000000004</v>
      </c>
    </row>
    <row r="163" spans="1:6">
      <c r="A163" s="96"/>
      <c r="B163" s="138" t="s">
        <v>1533</v>
      </c>
      <c r="C163" s="93" t="s">
        <v>143</v>
      </c>
      <c r="D163" s="93" t="s">
        <v>516</v>
      </c>
      <c r="E163" s="93"/>
      <c r="F163" s="94">
        <v>0.40570000000000001</v>
      </c>
    </row>
    <row r="164" spans="1:6">
      <c r="A164" s="96"/>
      <c r="B164" s="138" t="s">
        <v>1532</v>
      </c>
      <c r="C164" s="93" t="s">
        <v>143</v>
      </c>
      <c r="D164" s="93" t="s">
        <v>516</v>
      </c>
      <c r="E164" s="93" t="s">
        <v>1849</v>
      </c>
      <c r="F164" s="94">
        <v>0.41710000000000003</v>
      </c>
    </row>
    <row r="165" spans="1:6">
      <c r="A165" s="96"/>
      <c r="B165" s="138" t="s">
        <v>1535</v>
      </c>
      <c r="C165" s="93" t="s">
        <v>144</v>
      </c>
      <c r="D165" s="93" t="s">
        <v>407</v>
      </c>
      <c r="E165" s="93"/>
      <c r="F165" s="94">
        <v>0.16339999999999999</v>
      </c>
    </row>
    <row r="166" spans="1:6">
      <c r="A166" s="96"/>
      <c r="B166" s="138" t="s">
        <v>1534</v>
      </c>
      <c r="C166" s="93" t="s">
        <v>144</v>
      </c>
      <c r="D166" s="93" t="s">
        <v>407</v>
      </c>
      <c r="E166" s="93" t="s">
        <v>1849</v>
      </c>
      <c r="F166" s="94">
        <v>0.29620000000000002</v>
      </c>
    </row>
    <row r="167" spans="1:6">
      <c r="A167" s="96"/>
      <c r="B167" s="138" t="s">
        <v>1537</v>
      </c>
      <c r="C167" s="93" t="s">
        <v>66</v>
      </c>
      <c r="D167" s="93" t="s">
        <v>399</v>
      </c>
      <c r="E167" s="93"/>
      <c r="F167" s="94">
        <v>2.5999999999999999E-3</v>
      </c>
    </row>
    <row r="168" spans="1:6">
      <c r="A168" s="96"/>
      <c r="B168" s="138" t="s">
        <v>1536</v>
      </c>
      <c r="C168" s="93" t="s">
        <v>66</v>
      </c>
      <c r="D168" s="93" t="s">
        <v>399</v>
      </c>
      <c r="E168" s="93" t="s">
        <v>1849</v>
      </c>
      <c r="F168" s="94">
        <v>1.5599999999999999E-2</v>
      </c>
    </row>
    <row r="169" spans="1:6">
      <c r="A169" s="96"/>
      <c r="B169" s="138" t="s">
        <v>1539</v>
      </c>
      <c r="C169" s="93" t="s">
        <v>145</v>
      </c>
      <c r="D169" s="93" t="s">
        <v>408</v>
      </c>
      <c r="E169" s="93"/>
      <c r="F169" s="94">
        <v>0.3039</v>
      </c>
    </row>
    <row r="170" spans="1:6">
      <c r="A170" s="96"/>
      <c r="B170" s="138" t="s">
        <v>1538</v>
      </c>
      <c r="C170" s="93" t="s">
        <v>145</v>
      </c>
      <c r="D170" s="93" t="s">
        <v>408</v>
      </c>
      <c r="E170" s="93" t="s">
        <v>1849</v>
      </c>
      <c r="F170" s="94">
        <v>0.3165</v>
      </c>
    </row>
    <row r="171" spans="1:6">
      <c r="A171" s="96"/>
      <c r="B171" s="138" t="s">
        <v>1541</v>
      </c>
      <c r="C171" s="93" t="s">
        <v>159</v>
      </c>
      <c r="D171" s="93" t="s">
        <v>409</v>
      </c>
      <c r="E171" s="93"/>
      <c r="F171" s="94">
        <v>0.13700000000000001</v>
      </c>
    </row>
    <row r="172" spans="1:6">
      <c r="A172" s="96"/>
      <c r="B172" s="138" t="s">
        <v>1540</v>
      </c>
      <c r="C172" s="93" t="s">
        <v>159</v>
      </c>
      <c r="D172" s="93" t="s">
        <v>409</v>
      </c>
      <c r="E172" s="93" t="s">
        <v>1849</v>
      </c>
      <c r="F172" s="94">
        <v>0.13700000000000001</v>
      </c>
    </row>
    <row r="173" spans="1:6">
      <c r="A173" s="96"/>
      <c r="B173" s="138" t="s">
        <v>1543</v>
      </c>
      <c r="C173" s="93" t="s">
        <v>76</v>
      </c>
      <c r="D173" s="93" t="s">
        <v>412</v>
      </c>
      <c r="E173" s="93"/>
      <c r="F173" s="94">
        <v>7.9000000000000008E-3</v>
      </c>
    </row>
    <row r="174" spans="1:6">
      <c r="A174" s="96"/>
      <c r="B174" s="138" t="s">
        <v>1542</v>
      </c>
      <c r="C174" s="93" t="s">
        <v>76</v>
      </c>
      <c r="D174" s="93" t="s">
        <v>412</v>
      </c>
      <c r="E174" s="93" t="s">
        <v>1849</v>
      </c>
      <c r="F174" s="94">
        <v>1.5599999999999999E-2</v>
      </c>
    </row>
    <row r="175" spans="1:6">
      <c r="A175" s="96"/>
      <c r="B175" s="138" t="s">
        <v>1545</v>
      </c>
      <c r="C175" s="93" t="s">
        <v>160</v>
      </c>
      <c r="D175" s="93" t="s">
        <v>520</v>
      </c>
      <c r="E175" s="93"/>
      <c r="F175" s="94">
        <v>5.21E-2</v>
      </c>
    </row>
    <row r="176" spans="1:6">
      <c r="A176" s="96"/>
      <c r="B176" s="138" t="s">
        <v>1544</v>
      </c>
      <c r="C176" s="93" t="s">
        <v>160</v>
      </c>
      <c r="D176" s="93" t="s">
        <v>520</v>
      </c>
      <c r="E176" s="93" t="s">
        <v>1849</v>
      </c>
      <c r="F176" s="94">
        <v>5.21E-2</v>
      </c>
    </row>
    <row r="177" spans="1:6">
      <c r="A177" s="96"/>
      <c r="B177" s="138" t="s">
        <v>1547</v>
      </c>
      <c r="C177" s="93" t="s">
        <v>146</v>
      </c>
      <c r="D177" s="93" t="s">
        <v>519</v>
      </c>
      <c r="E177" s="93"/>
      <c r="F177" s="94">
        <v>0.22800000000000001</v>
      </c>
    </row>
    <row r="178" spans="1:6">
      <c r="A178" s="96"/>
      <c r="B178" s="138" t="s">
        <v>1546</v>
      </c>
      <c r="C178" s="93" t="s">
        <v>146</v>
      </c>
      <c r="D178" s="93" t="s">
        <v>519</v>
      </c>
      <c r="E178" s="93" t="s">
        <v>1849</v>
      </c>
      <c r="F178" s="94">
        <v>0.27229999999999999</v>
      </c>
    </row>
    <row r="179" spans="1:6">
      <c r="A179" s="96"/>
      <c r="B179" s="138" t="s">
        <v>1549</v>
      </c>
      <c r="C179" s="93" t="s">
        <v>161</v>
      </c>
      <c r="D179" s="93" t="s">
        <v>411</v>
      </c>
      <c r="E179" s="93"/>
      <c r="F179" s="94">
        <v>1.9599999999999999E-2</v>
      </c>
    </row>
    <row r="180" spans="1:6">
      <c r="A180" s="96"/>
      <c r="B180" s="138" t="s">
        <v>1548</v>
      </c>
      <c r="C180" s="93" t="s">
        <v>161</v>
      </c>
      <c r="D180" s="93" t="s">
        <v>411</v>
      </c>
      <c r="E180" s="93" t="s">
        <v>1849</v>
      </c>
      <c r="F180" s="94">
        <v>9.1999999999999998E-2</v>
      </c>
    </row>
    <row r="181" spans="1:6">
      <c r="A181" s="96"/>
      <c r="B181" s="138" t="s">
        <v>1551</v>
      </c>
      <c r="C181" s="93" t="s">
        <v>162</v>
      </c>
      <c r="D181" s="93" t="s">
        <v>415</v>
      </c>
      <c r="E181" s="93"/>
      <c r="F181" s="94">
        <v>2.01E-2</v>
      </c>
    </row>
    <row r="182" spans="1:6">
      <c r="A182" s="96"/>
      <c r="B182" s="138" t="s">
        <v>1550</v>
      </c>
      <c r="C182" s="93" t="s">
        <v>162</v>
      </c>
      <c r="D182" s="93" t="s">
        <v>415</v>
      </c>
      <c r="E182" s="93" t="s">
        <v>1849</v>
      </c>
      <c r="F182" s="94">
        <v>2.01E-2</v>
      </c>
    </row>
    <row r="183" spans="1:6">
      <c r="A183" s="96"/>
      <c r="B183" s="138" t="s">
        <v>1553</v>
      </c>
      <c r="C183" s="93" t="s">
        <v>148</v>
      </c>
      <c r="D183" s="93" t="s">
        <v>521</v>
      </c>
      <c r="E183" s="93"/>
      <c r="F183" s="94">
        <v>0.16009999999999999</v>
      </c>
    </row>
    <row r="184" spans="1:6">
      <c r="A184" s="96"/>
      <c r="B184" s="138" t="s">
        <v>1552</v>
      </c>
      <c r="C184" s="93" t="s">
        <v>148</v>
      </c>
      <c r="D184" s="93" t="s">
        <v>521</v>
      </c>
      <c r="E184" s="93" t="s">
        <v>1849</v>
      </c>
      <c r="F184" s="94">
        <v>0.154</v>
      </c>
    </row>
    <row r="185" spans="1:6">
      <c r="A185" s="96"/>
      <c r="B185" s="138" t="s">
        <v>1557</v>
      </c>
      <c r="C185" s="93" t="s">
        <v>153</v>
      </c>
      <c r="D185" s="93" t="s">
        <v>410</v>
      </c>
      <c r="E185" s="93"/>
      <c r="F185" s="94">
        <v>0.58199999999999996</v>
      </c>
    </row>
    <row r="186" spans="1:6">
      <c r="A186" s="96"/>
      <c r="B186" s="138" t="s">
        <v>1556</v>
      </c>
      <c r="C186" s="93" t="s">
        <v>153</v>
      </c>
      <c r="D186" s="93" t="s">
        <v>410</v>
      </c>
      <c r="E186" s="93" t="s">
        <v>1849</v>
      </c>
      <c r="F186" s="94">
        <v>0.44419999999999998</v>
      </c>
    </row>
    <row r="187" spans="1:6">
      <c r="A187" s="96"/>
      <c r="B187" s="138" t="s">
        <v>1555</v>
      </c>
      <c r="C187" s="93" t="s">
        <v>149</v>
      </c>
      <c r="D187" s="93" t="s">
        <v>517</v>
      </c>
      <c r="E187" s="93"/>
      <c r="F187" s="94">
        <v>0.67259999999999998</v>
      </c>
    </row>
    <row r="188" spans="1:6">
      <c r="A188" s="96"/>
      <c r="B188" s="138" t="s">
        <v>1554</v>
      </c>
      <c r="C188" s="93" t="s">
        <v>149</v>
      </c>
      <c r="D188" s="93" t="s">
        <v>517</v>
      </c>
      <c r="E188" s="93" t="s">
        <v>1849</v>
      </c>
      <c r="F188" s="94">
        <v>0.67259999999999998</v>
      </c>
    </row>
    <row r="189" spans="1:6">
      <c r="A189" s="96"/>
      <c r="B189" s="138" t="s">
        <v>1559</v>
      </c>
      <c r="C189" s="93" t="s">
        <v>150</v>
      </c>
      <c r="D189" s="93" t="s">
        <v>522</v>
      </c>
      <c r="E189" s="93"/>
      <c r="F189" s="94">
        <v>0.3231</v>
      </c>
    </row>
    <row r="190" spans="1:6">
      <c r="A190" s="96"/>
      <c r="B190" s="138" t="s">
        <v>1558</v>
      </c>
      <c r="C190" s="93" t="s">
        <v>150</v>
      </c>
      <c r="D190" s="93" t="s">
        <v>522</v>
      </c>
      <c r="E190" s="93" t="s">
        <v>1849</v>
      </c>
      <c r="F190" s="94">
        <v>0.3231</v>
      </c>
    </row>
    <row r="191" spans="1:6">
      <c r="A191" s="96"/>
      <c r="B191" s="138" t="s">
        <v>1561</v>
      </c>
      <c r="C191" s="93" t="s">
        <v>151</v>
      </c>
      <c r="D191" s="93" t="s">
        <v>524</v>
      </c>
      <c r="E191" s="93"/>
      <c r="F191" s="94">
        <v>0.28460000000000002</v>
      </c>
    </row>
    <row r="192" spans="1:6">
      <c r="A192" s="96"/>
      <c r="B192" s="138" t="s">
        <v>1560</v>
      </c>
      <c r="C192" s="93" t="s">
        <v>151</v>
      </c>
      <c r="D192" s="93" t="s">
        <v>524</v>
      </c>
      <c r="E192" s="93" t="s">
        <v>1849</v>
      </c>
      <c r="F192" s="94">
        <v>0.29289999999999999</v>
      </c>
    </row>
    <row r="193" spans="1:6">
      <c r="A193" s="96"/>
      <c r="B193" s="138" t="s">
        <v>1563</v>
      </c>
      <c r="C193" s="93" t="s">
        <v>152</v>
      </c>
      <c r="D193" s="93" t="s">
        <v>523</v>
      </c>
      <c r="E193" s="93"/>
      <c r="F193" s="94">
        <v>0.12989999999999999</v>
      </c>
    </row>
    <row r="194" spans="1:6">
      <c r="A194" s="96"/>
      <c r="B194" s="138" t="s">
        <v>1562</v>
      </c>
      <c r="C194" s="93" t="s">
        <v>152</v>
      </c>
      <c r="D194" s="93" t="s">
        <v>523</v>
      </c>
      <c r="E194" s="93" t="s">
        <v>1849</v>
      </c>
      <c r="F194" s="94">
        <v>0.16800000000000001</v>
      </c>
    </row>
    <row r="195" spans="1:6">
      <c r="A195" s="96"/>
      <c r="B195" s="138" t="s">
        <v>1565</v>
      </c>
      <c r="C195" s="93" t="s">
        <v>77</v>
      </c>
      <c r="D195" s="93" t="s">
        <v>416</v>
      </c>
      <c r="E195" s="93"/>
      <c r="F195" s="94">
        <v>5.0599999999999999E-2</v>
      </c>
    </row>
    <row r="196" spans="1:6">
      <c r="A196" s="96"/>
      <c r="B196" s="138" t="s">
        <v>1564</v>
      </c>
      <c r="C196" s="93" t="s">
        <v>77</v>
      </c>
      <c r="D196" s="93" t="s">
        <v>416</v>
      </c>
      <c r="E196" s="93" t="s">
        <v>1849</v>
      </c>
      <c r="F196" s="94">
        <v>5.0700000000000002E-2</v>
      </c>
    </row>
    <row r="197" spans="1:6">
      <c r="A197" s="96"/>
      <c r="B197" s="138" t="s">
        <v>1567</v>
      </c>
      <c r="C197" s="93" t="s">
        <v>78</v>
      </c>
      <c r="D197" s="93" t="s">
        <v>418</v>
      </c>
      <c r="E197" s="93"/>
      <c r="F197" s="94">
        <v>7.0000000000000001E-3</v>
      </c>
    </row>
    <row r="198" spans="1:6">
      <c r="A198" s="96"/>
      <c r="B198" s="138" t="s">
        <v>1566</v>
      </c>
      <c r="C198" s="93" t="s">
        <v>78</v>
      </c>
      <c r="D198" s="93" t="s">
        <v>418</v>
      </c>
      <c r="E198" s="93" t="s">
        <v>1849</v>
      </c>
      <c r="F198" s="94">
        <v>2.2800000000000001E-2</v>
      </c>
    </row>
    <row r="199" spans="1:6">
      <c r="A199" s="96"/>
      <c r="B199" s="138" t="s">
        <v>1569</v>
      </c>
      <c r="C199" s="93" t="s">
        <v>79</v>
      </c>
      <c r="D199" s="93" t="s">
        <v>421</v>
      </c>
      <c r="E199" s="93"/>
      <c r="F199" s="94">
        <v>1.2500000000000001E-2</v>
      </c>
    </row>
    <row r="200" spans="1:6">
      <c r="A200" s="96"/>
      <c r="B200" s="138" t="s">
        <v>1568</v>
      </c>
      <c r="C200" s="93" t="s">
        <v>79</v>
      </c>
      <c r="D200" s="93" t="s">
        <v>421</v>
      </c>
      <c r="E200" s="93" t="s">
        <v>1849</v>
      </c>
      <c r="F200" s="94">
        <v>0.02</v>
      </c>
    </row>
    <row r="201" spans="1:6">
      <c r="A201" s="96"/>
      <c r="B201" s="138" t="s">
        <v>1571</v>
      </c>
      <c r="C201" s="93" t="s">
        <v>80</v>
      </c>
      <c r="D201" s="93" t="s">
        <v>419</v>
      </c>
      <c r="E201" s="93"/>
      <c r="F201" s="94">
        <v>1.54E-2</v>
      </c>
    </row>
    <row r="202" spans="1:6">
      <c r="A202" s="96"/>
      <c r="B202" s="138" t="s">
        <v>1570</v>
      </c>
      <c r="C202" s="93" t="s">
        <v>80</v>
      </c>
      <c r="D202" s="93" t="s">
        <v>419</v>
      </c>
      <c r="E202" s="93" t="s">
        <v>1849</v>
      </c>
      <c r="F202" s="94">
        <v>1.26E-2</v>
      </c>
    </row>
    <row r="203" spans="1:6">
      <c r="A203" s="96"/>
      <c r="B203" s="138" t="s">
        <v>1573</v>
      </c>
      <c r="C203" s="93" t="s">
        <v>81</v>
      </c>
      <c r="D203" s="93" t="s">
        <v>525</v>
      </c>
      <c r="E203" s="93"/>
      <c r="F203" s="94">
        <v>3.4000000000000002E-2</v>
      </c>
    </row>
    <row r="204" spans="1:6">
      <c r="A204" s="96"/>
      <c r="B204" s="138" t="s">
        <v>1572</v>
      </c>
      <c r="C204" s="93" t="s">
        <v>81</v>
      </c>
      <c r="D204" s="93" t="s">
        <v>525</v>
      </c>
      <c r="E204" s="93" t="s">
        <v>1849</v>
      </c>
      <c r="F204" s="94">
        <v>4.6899999999999997E-2</v>
      </c>
    </row>
    <row r="205" spans="1:6">
      <c r="A205" s="96"/>
      <c r="B205" s="138" t="s">
        <v>1575</v>
      </c>
      <c r="C205" s="93" t="s">
        <v>121</v>
      </c>
      <c r="D205" s="93" t="s">
        <v>527</v>
      </c>
      <c r="E205" s="93"/>
      <c r="F205" s="94">
        <v>0.17979999999999999</v>
      </c>
    </row>
    <row r="206" spans="1:6">
      <c r="A206" s="96"/>
      <c r="B206" s="138" t="s">
        <v>1574</v>
      </c>
      <c r="C206" s="93" t="s">
        <v>121</v>
      </c>
      <c r="D206" s="93" t="s">
        <v>527</v>
      </c>
      <c r="E206" s="93" t="s">
        <v>1849</v>
      </c>
      <c r="F206" s="94">
        <v>0.1729</v>
      </c>
    </row>
    <row r="207" spans="1:6">
      <c r="A207" s="96"/>
      <c r="B207" s="138" t="s">
        <v>1577</v>
      </c>
      <c r="C207" s="93" t="s">
        <v>122</v>
      </c>
      <c r="D207" s="93" t="s">
        <v>528</v>
      </c>
      <c r="E207" s="93"/>
      <c r="F207" s="94">
        <v>0.21479999999999999</v>
      </c>
    </row>
    <row r="208" spans="1:6">
      <c r="A208" s="96"/>
      <c r="B208" s="138" t="s">
        <v>1576</v>
      </c>
      <c r="C208" s="93" t="s">
        <v>122</v>
      </c>
      <c r="D208" s="93" t="s">
        <v>528</v>
      </c>
      <c r="E208" s="93" t="s">
        <v>1849</v>
      </c>
      <c r="F208" s="94">
        <v>0.21479999999999999</v>
      </c>
    </row>
    <row r="209" spans="1:6">
      <c r="A209" s="96"/>
      <c r="B209" s="138" t="s">
        <v>1579</v>
      </c>
      <c r="C209" s="93" t="s">
        <v>49</v>
      </c>
      <c r="D209" s="93" t="s">
        <v>420</v>
      </c>
      <c r="E209" s="93"/>
      <c r="F209" s="94">
        <v>5.7999999999999996E-3</v>
      </c>
    </row>
    <row r="210" spans="1:6">
      <c r="A210" s="96"/>
      <c r="B210" s="138" t="s">
        <v>1578</v>
      </c>
      <c r="C210" s="93" t="s">
        <v>49</v>
      </c>
      <c r="D210" s="93" t="s">
        <v>420</v>
      </c>
      <c r="E210" s="93" t="s">
        <v>1849</v>
      </c>
      <c r="F210" s="94">
        <v>1.4500000000000001E-2</v>
      </c>
    </row>
    <row r="211" spans="1:6">
      <c r="A211" s="96"/>
      <c r="B211" s="138" t="s">
        <v>1581</v>
      </c>
      <c r="C211" s="93" t="s">
        <v>82</v>
      </c>
      <c r="D211" s="93" t="s">
        <v>422</v>
      </c>
      <c r="E211" s="93"/>
      <c r="F211" s="94">
        <v>7.7000000000000002E-3</v>
      </c>
    </row>
    <row r="212" spans="1:6">
      <c r="A212" s="96"/>
      <c r="B212" s="138" t="s">
        <v>1580</v>
      </c>
      <c r="C212" s="93" t="s">
        <v>82</v>
      </c>
      <c r="D212" s="93" t="s">
        <v>422</v>
      </c>
      <c r="E212" s="93" t="s">
        <v>1849</v>
      </c>
      <c r="F212" s="94">
        <v>2.1299999999999999E-2</v>
      </c>
    </row>
    <row r="213" spans="1:6">
      <c r="A213" s="96"/>
      <c r="B213" s="138" t="s">
        <v>1583</v>
      </c>
      <c r="C213" s="93" t="s">
        <v>50</v>
      </c>
      <c r="D213" s="93" t="s">
        <v>423</v>
      </c>
      <c r="E213" s="93"/>
      <c r="F213" s="94">
        <v>3.8E-3</v>
      </c>
    </row>
    <row r="214" spans="1:6">
      <c r="A214" s="96"/>
      <c r="B214" s="138" t="s">
        <v>1582</v>
      </c>
      <c r="C214" s="93" t="s">
        <v>50</v>
      </c>
      <c r="D214" s="93" t="s">
        <v>423</v>
      </c>
      <c r="E214" s="93" t="s">
        <v>1849</v>
      </c>
      <c r="F214" s="94">
        <v>2.0199999999999999E-2</v>
      </c>
    </row>
    <row r="215" spans="1:6">
      <c r="A215" s="96"/>
      <c r="B215" s="138" t="s">
        <v>1585</v>
      </c>
      <c r="C215" s="93" t="s">
        <v>297</v>
      </c>
      <c r="D215" s="93" t="s">
        <v>491</v>
      </c>
      <c r="E215" s="93"/>
      <c r="F215" s="94">
        <v>0.35010000000000002</v>
      </c>
    </row>
    <row r="216" spans="1:6">
      <c r="A216" s="96"/>
      <c r="B216" s="138" t="s">
        <v>1584</v>
      </c>
      <c r="C216" s="93" t="s">
        <v>297</v>
      </c>
      <c r="D216" s="93" t="s">
        <v>491</v>
      </c>
      <c r="E216" s="93" t="s">
        <v>1849</v>
      </c>
      <c r="F216" s="94">
        <v>0.43269999999999997</v>
      </c>
    </row>
    <row r="217" spans="1:6">
      <c r="A217" s="96"/>
      <c r="B217" s="138" t="s">
        <v>1587</v>
      </c>
      <c r="C217" s="93" t="s">
        <v>123</v>
      </c>
      <c r="D217" s="93" t="s">
        <v>424</v>
      </c>
      <c r="E217" s="93"/>
      <c r="F217" s="94">
        <v>0.24340000000000001</v>
      </c>
    </row>
    <row r="218" spans="1:6">
      <c r="A218" s="96"/>
      <c r="B218" s="138" t="s">
        <v>1586</v>
      </c>
      <c r="C218" s="93" t="s">
        <v>123</v>
      </c>
      <c r="D218" s="93" t="s">
        <v>424</v>
      </c>
      <c r="E218" s="93" t="s">
        <v>1849</v>
      </c>
      <c r="F218" s="94">
        <v>0.2404</v>
      </c>
    </row>
    <row r="219" spans="1:6">
      <c r="A219" s="96"/>
      <c r="B219" s="138" t="s">
        <v>1589</v>
      </c>
      <c r="C219" s="93" t="s">
        <v>51</v>
      </c>
      <c r="D219" s="93" t="s">
        <v>425</v>
      </c>
      <c r="E219" s="93"/>
      <c r="F219" s="94">
        <v>2.3699999999999999E-2</v>
      </c>
    </row>
    <row r="220" spans="1:6">
      <c r="A220" s="96"/>
      <c r="B220" s="138" t="s">
        <v>1588</v>
      </c>
      <c r="C220" s="93" t="s">
        <v>51</v>
      </c>
      <c r="D220" s="93" t="s">
        <v>425</v>
      </c>
      <c r="E220" s="93" t="s">
        <v>1849</v>
      </c>
      <c r="F220" s="94">
        <v>4.2200000000000001E-2</v>
      </c>
    </row>
    <row r="221" spans="1:6">
      <c r="A221" s="96"/>
      <c r="B221" s="138" t="s">
        <v>1591</v>
      </c>
      <c r="C221" s="93" t="s">
        <v>124</v>
      </c>
      <c r="D221" s="93" t="s">
        <v>529</v>
      </c>
      <c r="E221" s="93"/>
      <c r="F221" s="94">
        <v>0.15840000000000001</v>
      </c>
    </row>
    <row r="222" spans="1:6">
      <c r="A222" s="96"/>
      <c r="B222" s="138" t="s">
        <v>1590</v>
      </c>
      <c r="C222" s="93" t="s">
        <v>124</v>
      </c>
      <c r="D222" s="93" t="s">
        <v>529</v>
      </c>
      <c r="E222" s="93" t="s">
        <v>1849</v>
      </c>
      <c r="F222" s="94">
        <v>0.18729999999999999</v>
      </c>
    </row>
    <row r="223" spans="1:6">
      <c r="A223" s="96"/>
      <c r="B223" s="138" t="s">
        <v>1593</v>
      </c>
      <c r="C223" s="93" t="s">
        <v>125</v>
      </c>
      <c r="D223" s="93" t="s">
        <v>530</v>
      </c>
      <c r="E223" s="93"/>
      <c r="F223" s="94">
        <v>4.7699999999999999E-2</v>
      </c>
    </row>
    <row r="224" spans="1:6">
      <c r="A224" s="96"/>
      <c r="B224" s="138" t="s">
        <v>1592</v>
      </c>
      <c r="C224" s="93" t="s">
        <v>125</v>
      </c>
      <c r="D224" s="93" t="s">
        <v>530</v>
      </c>
      <c r="E224" s="93" t="s">
        <v>1849</v>
      </c>
      <c r="F224" s="94">
        <v>0.25069999999999998</v>
      </c>
    </row>
    <row r="225" spans="1:6">
      <c r="A225" s="96"/>
      <c r="B225" s="138" t="s">
        <v>1595</v>
      </c>
      <c r="C225" s="93" t="s">
        <v>83</v>
      </c>
      <c r="D225" s="93" t="s">
        <v>426</v>
      </c>
      <c r="E225" s="93"/>
      <c r="F225" s="94">
        <v>0.19020000000000001</v>
      </c>
    </row>
    <row r="226" spans="1:6">
      <c r="A226" s="96"/>
      <c r="B226" s="138" t="s">
        <v>1594</v>
      </c>
      <c r="C226" s="93" t="s">
        <v>83</v>
      </c>
      <c r="D226" s="93" t="s">
        <v>426</v>
      </c>
      <c r="E226" s="93" t="s">
        <v>1849</v>
      </c>
      <c r="F226" s="94">
        <v>0.12709999999999999</v>
      </c>
    </row>
    <row r="227" spans="1:6">
      <c r="A227" s="96"/>
      <c r="B227" s="138" t="s">
        <v>1597</v>
      </c>
      <c r="C227" s="93" t="s">
        <v>126</v>
      </c>
      <c r="D227" s="93" t="s">
        <v>533</v>
      </c>
      <c r="E227" s="93"/>
      <c r="F227" s="94">
        <v>1.5119</v>
      </c>
    </row>
    <row r="228" spans="1:6">
      <c r="A228" s="96"/>
      <c r="B228" s="138" t="s">
        <v>1596</v>
      </c>
      <c r="C228" s="93" t="s">
        <v>126</v>
      </c>
      <c r="D228" s="93" t="s">
        <v>533</v>
      </c>
      <c r="E228" s="93" t="s">
        <v>1849</v>
      </c>
      <c r="F228" s="94">
        <v>1.5119</v>
      </c>
    </row>
    <row r="229" spans="1:6">
      <c r="A229" s="96"/>
      <c r="B229" s="138" t="s">
        <v>1599</v>
      </c>
      <c r="C229" s="93" t="s">
        <v>127</v>
      </c>
      <c r="D229" s="93" t="s">
        <v>535</v>
      </c>
      <c r="E229" s="93"/>
      <c r="F229" s="94">
        <v>0.1022</v>
      </c>
    </row>
    <row r="230" spans="1:6">
      <c r="A230" s="96"/>
      <c r="B230" s="138" t="s">
        <v>1598</v>
      </c>
      <c r="C230" s="93" t="s">
        <v>127</v>
      </c>
      <c r="D230" s="93" t="s">
        <v>535</v>
      </c>
      <c r="E230" s="93" t="s">
        <v>1849</v>
      </c>
      <c r="F230" s="94">
        <v>0.1023</v>
      </c>
    </row>
    <row r="231" spans="1:6">
      <c r="A231" s="96"/>
      <c r="B231" s="138" t="s">
        <v>1601</v>
      </c>
      <c r="C231" s="93" t="s">
        <v>204</v>
      </c>
      <c r="D231" s="93" t="s">
        <v>531</v>
      </c>
      <c r="E231" s="93"/>
      <c r="F231" s="94">
        <v>0.22090000000000001</v>
      </c>
    </row>
    <row r="232" spans="1:6">
      <c r="A232" s="96"/>
      <c r="B232" s="138" t="s">
        <v>1600</v>
      </c>
      <c r="C232" s="93" t="s">
        <v>204</v>
      </c>
      <c r="D232" s="93" t="s">
        <v>531</v>
      </c>
      <c r="E232" s="93" t="s">
        <v>1849</v>
      </c>
      <c r="F232" s="94">
        <v>0.22090000000000001</v>
      </c>
    </row>
    <row r="233" spans="1:6">
      <c r="A233" s="96"/>
      <c r="B233" s="138" t="s">
        <v>1603</v>
      </c>
      <c r="C233" s="93" t="s">
        <v>128</v>
      </c>
      <c r="D233" s="93" t="s">
        <v>536</v>
      </c>
      <c r="E233" s="93"/>
      <c r="F233" s="94">
        <v>8.0100000000000005E-2</v>
      </c>
    </row>
    <row r="234" spans="1:6">
      <c r="A234" s="96"/>
      <c r="B234" s="138" t="s">
        <v>1602</v>
      </c>
      <c r="C234" s="93" t="s">
        <v>128</v>
      </c>
      <c r="D234" s="93" t="s">
        <v>536</v>
      </c>
      <c r="E234" s="93" t="s">
        <v>1849</v>
      </c>
      <c r="F234" s="94">
        <v>8.0100000000000005E-2</v>
      </c>
    </row>
    <row r="235" spans="1:6">
      <c r="A235" s="96"/>
      <c r="B235" s="138" t="s">
        <v>1605</v>
      </c>
      <c r="C235" s="93" t="s">
        <v>84</v>
      </c>
      <c r="D235" s="93" t="s">
        <v>431</v>
      </c>
      <c r="E235" s="93"/>
      <c r="F235" s="94">
        <v>8.3999999999999995E-3</v>
      </c>
    </row>
    <row r="236" spans="1:6">
      <c r="A236" s="96"/>
      <c r="B236" s="138" t="s">
        <v>1604</v>
      </c>
      <c r="C236" s="93" t="s">
        <v>84</v>
      </c>
      <c r="D236" s="93" t="s">
        <v>431</v>
      </c>
      <c r="E236" s="93" t="s">
        <v>1849</v>
      </c>
      <c r="F236" s="94">
        <v>2.3800000000000002E-2</v>
      </c>
    </row>
    <row r="237" spans="1:6">
      <c r="A237" s="96"/>
      <c r="B237" s="138" t="s">
        <v>1607</v>
      </c>
      <c r="C237" s="93" t="s">
        <v>85</v>
      </c>
      <c r="D237" s="93" t="s">
        <v>537</v>
      </c>
      <c r="E237" s="93"/>
      <c r="F237" s="94">
        <v>0.17680000000000001</v>
      </c>
    </row>
    <row r="238" spans="1:6">
      <c r="A238" s="96"/>
      <c r="B238" s="138" t="s">
        <v>1606</v>
      </c>
      <c r="C238" s="93" t="s">
        <v>85</v>
      </c>
      <c r="D238" s="93" t="s">
        <v>537</v>
      </c>
      <c r="E238" s="93" t="s">
        <v>1849</v>
      </c>
      <c r="F238" s="94">
        <v>0.1759</v>
      </c>
    </row>
    <row r="239" spans="1:6">
      <c r="A239" s="96"/>
      <c r="B239" s="138" t="s">
        <v>1609</v>
      </c>
      <c r="C239" s="93" t="s">
        <v>129</v>
      </c>
      <c r="D239" s="93" t="s">
        <v>542</v>
      </c>
      <c r="E239" s="93"/>
      <c r="F239" s="94">
        <v>0.4254</v>
      </c>
    </row>
    <row r="240" spans="1:6">
      <c r="A240" s="96"/>
      <c r="B240" s="138" t="s">
        <v>1608</v>
      </c>
      <c r="C240" s="93" t="s">
        <v>129</v>
      </c>
      <c r="D240" s="93" t="s">
        <v>542</v>
      </c>
      <c r="E240" s="93" t="s">
        <v>1849</v>
      </c>
      <c r="F240" s="94">
        <v>0.39910000000000001</v>
      </c>
    </row>
    <row r="241" spans="1:6">
      <c r="A241" s="96"/>
      <c r="B241" s="138" t="s">
        <v>1611</v>
      </c>
      <c r="C241" s="93" t="s">
        <v>130</v>
      </c>
      <c r="D241" s="93" t="s">
        <v>538</v>
      </c>
      <c r="E241" s="93"/>
      <c r="F241" s="94">
        <v>0.44819999999999999</v>
      </c>
    </row>
    <row r="242" spans="1:6">
      <c r="A242" s="96"/>
      <c r="B242" s="138" t="s">
        <v>1610</v>
      </c>
      <c r="C242" s="93" t="s">
        <v>130</v>
      </c>
      <c r="D242" s="93" t="s">
        <v>538</v>
      </c>
      <c r="E242" s="93" t="s">
        <v>1849</v>
      </c>
      <c r="F242" s="94">
        <v>0.51549999999999996</v>
      </c>
    </row>
    <row r="243" spans="1:6">
      <c r="A243" s="96"/>
      <c r="B243" s="138" t="s">
        <v>1613</v>
      </c>
      <c r="C243" s="93" t="s">
        <v>131</v>
      </c>
      <c r="D243" s="93" t="s">
        <v>539</v>
      </c>
      <c r="E243" s="93"/>
      <c r="F243" s="94">
        <v>0.23930000000000001</v>
      </c>
    </row>
    <row r="244" spans="1:6">
      <c r="A244" s="96"/>
      <c r="B244" s="138" t="s">
        <v>1612</v>
      </c>
      <c r="C244" s="93" t="s">
        <v>131</v>
      </c>
      <c r="D244" s="93" t="s">
        <v>539</v>
      </c>
      <c r="E244" s="93" t="s">
        <v>1849</v>
      </c>
      <c r="F244" s="94">
        <v>0.3468</v>
      </c>
    </row>
    <row r="245" spans="1:6">
      <c r="A245" s="96"/>
      <c r="B245" s="138" t="s">
        <v>1615</v>
      </c>
      <c r="C245" s="93" t="s">
        <v>163</v>
      </c>
      <c r="D245" s="93" t="s">
        <v>428</v>
      </c>
      <c r="E245" s="93"/>
      <c r="F245" s="94">
        <v>7.1300000000000002E-2</v>
      </c>
    </row>
    <row r="246" spans="1:6">
      <c r="A246" s="96"/>
      <c r="B246" s="138" t="s">
        <v>1614</v>
      </c>
      <c r="C246" s="93" t="s">
        <v>163</v>
      </c>
      <c r="D246" s="93" t="s">
        <v>428</v>
      </c>
      <c r="E246" s="93" t="s">
        <v>1849</v>
      </c>
      <c r="F246" s="94">
        <v>0.1116</v>
      </c>
    </row>
    <row r="247" spans="1:6">
      <c r="A247" s="96"/>
      <c r="B247" s="138" t="s">
        <v>1617</v>
      </c>
      <c r="C247" s="93" t="s">
        <v>86</v>
      </c>
      <c r="D247" s="93" t="s">
        <v>429</v>
      </c>
      <c r="E247" s="93"/>
      <c r="F247" s="94">
        <v>1.17E-2</v>
      </c>
    </row>
    <row r="248" spans="1:6">
      <c r="A248" s="96"/>
      <c r="B248" s="138" t="s">
        <v>1616</v>
      </c>
      <c r="C248" s="93" t="s">
        <v>86</v>
      </c>
      <c r="D248" s="93" t="s">
        <v>429</v>
      </c>
      <c r="E248" s="93" t="s">
        <v>1849</v>
      </c>
      <c r="F248" s="94">
        <v>1.8800000000000001E-2</v>
      </c>
    </row>
    <row r="249" spans="1:6">
      <c r="A249" s="96"/>
      <c r="B249" s="138" t="s">
        <v>1619</v>
      </c>
      <c r="C249" s="93" t="s">
        <v>52</v>
      </c>
      <c r="D249" s="93" t="s">
        <v>430</v>
      </c>
      <c r="E249" s="93"/>
      <c r="F249" s="94">
        <v>1.01E-2</v>
      </c>
    </row>
    <row r="250" spans="1:6">
      <c r="A250" s="96"/>
      <c r="B250" s="138" t="s">
        <v>1618</v>
      </c>
      <c r="C250" s="93" t="s">
        <v>52</v>
      </c>
      <c r="D250" s="93" t="s">
        <v>430</v>
      </c>
      <c r="E250" s="93" t="s">
        <v>1849</v>
      </c>
      <c r="F250" s="94">
        <v>1.9599999999999999E-2</v>
      </c>
    </row>
    <row r="251" spans="1:6">
      <c r="A251" s="96"/>
      <c r="B251" s="138" t="s">
        <v>1621</v>
      </c>
      <c r="C251" s="93" t="s">
        <v>132</v>
      </c>
      <c r="D251" s="93" t="s">
        <v>543</v>
      </c>
      <c r="E251" s="93"/>
      <c r="F251" s="94">
        <v>0.1017</v>
      </c>
    </row>
    <row r="252" spans="1:6">
      <c r="A252" s="96"/>
      <c r="B252" s="138" t="s">
        <v>1620</v>
      </c>
      <c r="C252" s="93" t="s">
        <v>132</v>
      </c>
      <c r="D252" s="93" t="s">
        <v>543</v>
      </c>
      <c r="E252" s="93" t="s">
        <v>1849</v>
      </c>
      <c r="F252" s="94">
        <v>0.1017</v>
      </c>
    </row>
    <row r="253" spans="1:6">
      <c r="A253" s="96"/>
      <c r="B253" s="138" t="s">
        <v>1623</v>
      </c>
      <c r="C253" s="93" t="s">
        <v>133</v>
      </c>
      <c r="D253" s="93" t="s">
        <v>548</v>
      </c>
      <c r="E253" s="93"/>
      <c r="F253" s="94">
        <v>0.16769999999999999</v>
      </c>
    </row>
    <row r="254" spans="1:6">
      <c r="A254" s="96"/>
      <c r="B254" s="138" t="s">
        <v>1622</v>
      </c>
      <c r="C254" s="93" t="s">
        <v>133</v>
      </c>
      <c r="D254" s="93" t="s">
        <v>548</v>
      </c>
      <c r="E254" s="93" t="s">
        <v>1849</v>
      </c>
      <c r="F254" s="94">
        <v>0.41860000000000003</v>
      </c>
    </row>
    <row r="255" spans="1:6">
      <c r="A255" s="96"/>
      <c r="B255" s="138" t="s">
        <v>1625</v>
      </c>
      <c r="C255" s="93" t="s">
        <v>205</v>
      </c>
      <c r="D255" s="93" t="s">
        <v>545</v>
      </c>
      <c r="E255" s="93"/>
      <c r="F255" s="94">
        <v>0.56230000000000002</v>
      </c>
    </row>
    <row r="256" spans="1:6">
      <c r="A256" s="96"/>
      <c r="B256" s="138" t="s">
        <v>1624</v>
      </c>
      <c r="C256" s="93" t="s">
        <v>205</v>
      </c>
      <c r="D256" s="93" t="s">
        <v>545</v>
      </c>
      <c r="E256" s="93" t="s">
        <v>1849</v>
      </c>
      <c r="F256" s="94">
        <v>0.66879999999999995</v>
      </c>
    </row>
    <row r="257" spans="1:6">
      <c r="A257" s="96"/>
      <c r="B257" s="138" t="s">
        <v>1627</v>
      </c>
      <c r="C257" s="93" t="s">
        <v>207</v>
      </c>
      <c r="D257" s="93" t="s">
        <v>557</v>
      </c>
      <c r="E257" s="93"/>
      <c r="F257" s="94">
        <v>0.4194</v>
      </c>
    </row>
    <row r="258" spans="1:6">
      <c r="A258" s="96"/>
      <c r="B258" s="138" t="s">
        <v>1626</v>
      </c>
      <c r="C258" s="93" t="s">
        <v>207</v>
      </c>
      <c r="D258" s="93" t="s">
        <v>557</v>
      </c>
      <c r="E258" s="93" t="s">
        <v>1849</v>
      </c>
      <c r="F258" s="94">
        <v>0.4194</v>
      </c>
    </row>
    <row r="259" spans="1:6">
      <c r="A259" s="96"/>
      <c r="B259" s="138" t="s">
        <v>1629</v>
      </c>
      <c r="C259" s="93" t="s">
        <v>87</v>
      </c>
      <c r="D259" s="93" t="s">
        <v>439</v>
      </c>
      <c r="E259" s="93"/>
      <c r="F259" s="94">
        <v>2.3800000000000002E-2</v>
      </c>
    </row>
    <row r="260" spans="1:6">
      <c r="A260" s="96"/>
      <c r="B260" s="138" t="s">
        <v>1628</v>
      </c>
      <c r="C260" s="93" t="s">
        <v>87</v>
      </c>
      <c r="D260" s="93" t="s">
        <v>439</v>
      </c>
      <c r="E260" s="93" t="s">
        <v>1849</v>
      </c>
      <c r="F260" s="94">
        <v>2.4400000000000002E-2</v>
      </c>
    </row>
    <row r="261" spans="1:6">
      <c r="A261" s="96"/>
      <c r="B261" s="138" t="s">
        <v>1631</v>
      </c>
      <c r="C261" s="93" t="s">
        <v>208</v>
      </c>
      <c r="D261" s="93" t="s">
        <v>546</v>
      </c>
      <c r="E261" s="93"/>
      <c r="F261" s="94">
        <v>0.84840000000000004</v>
      </c>
    </row>
    <row r="262" spans="1:6">
      <c r="A262" s="96"/>
      <c r="B262" s="138" t="s">
        <v>1630</v>
      </c>
      <c r="C262" s="93" t="s">
        <v>208</v>
      </c>
      <c r="D262" s="93" t="s">
        <v>546</v>
      </c>
      <c r="E262" s="93" t="s">
        <v>1849</v>
      </c>
      <c r="F262" s="94">
        <v>0.84840000000000004</v>
      </c>
    </row>
    <row r="263" spans="1:6">
      <c r="A263" s="96"/>
      <c r="B263" s="138" t="s">
        <v>1633</v>
      </c>
      <c r="C263" s="93" t="s">
        <v>209</v>
      </c>
      <c r="D263" s="93" t="s">
        <v>435</v>
      </c>
      <c r="E263" s="93"/>
      <c r="F263" s="94">
        <v>0.38640000000000002</v>
      </c>
    </row>
    <row r="264" spans="1:6">
      <c r="A264" s="96"/>
      <c r="B264" s="138" t="s">
        <v>1632</v>
      </c>
      <c r="C264" s="93" t="s">
        <v>209</v>
      </c>
      <c r="D264" s="93" t="s">
        <v>435</v>
      </c>
      <c r="E264" s="93" t="s">
        <v>1849</v>
      </c>
      <c r="F264" s="94">
        <v>0.38640000000000002</v>
      </c>
    </row>
    <row r="265" spans="1:6">
      <c r="A265" s="96"/>
      <c r="B265" s="138" t="s">
        <v>1635</v>
      </c>
      <c r="C265" s="93" t="s">
        <v>164</v>
      </c>
      <c r="D265" s="93" t="s">
        <v>436</v>
      </c>
      <c r="E265" s="93"/>
      <c r="F265" s="94">
        <v>6.8400000000000002E-2</v>
      </c>
    </row>
    <row r="266" spans="1:6">
      <c r="A266" s="96"/>
      <c r="B266" s="138" t="s">
        <v>1634</v>
      </c>
      <c r="C266" s="93" t="s">
        <v>164</v>
      </c>
      <c r="D266" s="93" t="s">
        <v>436</v>
      </c>
      <c r="E266" s="93" t="s">
        <v>1849</v>
      </c>
      <c r="F266" s="94">
        <v>0.29770000000000002</v>
      </c>
    </row>
    <row r="267" spans="1:6">
      <c r="A267" s="96"/>
      <c r="B267" s="138" t="s">
        <v>1637</v>
      </c>
      <c r="C267" s="93" t="s">
        <v>901</v>
      </c>
      <c r="D267" s="93" t="s">
        <v>547</v>
      </c>
      <c r="E267" s="93"/>
      <c r="F267" s="94">
        <v>0.27479999999999999</v>
      </c>
    </row>
    <row r="268" spans="1:6">
      <c r="A268" s="96"/>
      <c r="B268" s="138" t="s">
        <v>1636</v>
      </c>
      <c r="C268" s="93" t="s">
        <v>901</v>
      </c>
      <c r="D268" s="93" t="s">
        <v>547</v>
      </c>
      <c r="E268" s="93" t="s">
        <v>1849</v>
      </c>
      <c r="F268" s="94">
        <v>0.27479999999999999</v>
      </c>
    </row>
    <row r="269" spans="1:6">
      <c r="A269" s="96"/>
      <c r="B269" s="138" t="s">
        <v>1639</v>
      </c>
      <c r="C269" s="93" t="s">
        <v>165</v>
      </c>
      <c r="D269" s="93" t="s">
        <v>437</v>
      </c>
      <c r="E269" s="93"/>
      <c r="F269" s="94">
        <v>8.6E-3</v>
      </c>
    </row>
    <row r="270" spans="1:6">
      <c r="A270" s="96"/>
      <c r="B270" s="138" t="s">
        <v>1638</v>
      </c>
      <c r="C270" s="93" t="s">
        <v>165</v>
      </c>
      <c r="D270" s="93" t="s">
        <v>437</v>
      </c>
      <c r="E270" s="93" t="s">
        <v>1849</v>
      </c>
      <c r="F270" s="94">
        <v>1.9599999999999999E-2</v>
      </c>
    </row>
    <row r="271" spans="1:6">
      <c r="A271" s="96"/>
      <c r="B271" s="138" t="s">
        <v>1641</v>
      </c>
      <c r="C271" s="93" t="s">
        <v>211</v>
      </c>
      <c r="D271" s="93" t="s">
        <v>555</v>
      </c>
      <c r="E271" s="93"/>
      <c r="F271" s="94">
        <v>0.54820000000000002</v>
      </c>
    </row>
    <row r="272" spans="1:6">
      <c r="A272" s="96"/>
      <c r="B272" s="138" t="s">
        <v>1640</v>
      </c>
      <c r="C272" s="93" t="s">
        <v>211</v>
      </c>
      <c r="D272" s="93" t="s">
        <v>555</v>
      </c>
      <c r="E272" s="93" t="s">
        <v>1849</v>
      </c>
      <c r="F272" s="94">
        <v>0.54820000000000002</v>
      </c>
    </row>
    <row r="273" spans="1:6">
      <c r="A273" s="96"/>
      <c r="B273" s="138" t="s">
        <v>1643</v>
      </c>
      <c r="C273" s="93" t="s">
        <v>212</v>
      </c>
      <c r="D273" s="93" t="s">
        <v>438</v>
      </c>
      <c r="E273" s="93"/>
      <c r="F273" s="94">
        <v>0.15790000000000001</v>
      </c>
    </row>
    <row r="274" spans="1:6">
      <c r="A274" s="96"/>
      <c r="B274" s="138" t="s">
        <v>1642</v>
      </c>
      <c r="C274" s="93" t="s">
        <v>212</v>
      </c>
      <c r="D274" s="93" t="s">
        <v>438</v>
      </c>
      <c r="E274" s="93" t="s">
        <v>1849</v>
      </c>
      <c r="F274" s="94">
        <v>0.15790000000000001</v>
      </c>
    </row>
    <row r="275" spans="1:6">
      <c r="A275" s="96"/>
      <c r="B275" s="138" t="s">
        <v>1645</v>
      </c>
      <c r="C275" s="93" t="s">
        <v>902</v>
      </c>
      <c r="D275" s="93" t="s">
        <v>440</v>
      </c>
      <c r="E275" s="93"/>
      <c r="F275" s="94">
        <v>1.8700000000000001E-2</v>
      </c>
    </row>
    <row r="276" spans="1:6">
      <c r="A276" s="96"/>
      <c r="B276" s="138" t="s">
        <v>1644</v>
      </c>
      <c r="C276" s="93" t="s">
        <v>902</v>
      </c>
      <c r="D276" s="93" t="s">
        <v>440</v>
      </c>
      <c r="E276" s="93" t="s">
        <v>1849</v>
      </c>
      <c r="F276" s="94">
        <v>1.8700000000000001E-2</v>
      </c>
    </row>
    <row r="277" spans="1:6">
      <c r="A277" s="96"/>
      <c r="B277" s="138" t="s">
        <v>1647</v>
      </c>
      <c r="C277" s="93" t="s">
        <v>88</v>
      </c>
      <c r="D277" s="93" t="s">
        <v>434</v>
      </c>
      <c r="E277" s="93"/>
      <c r="F277" s="94">
        <v>1.29E-2</v>
      </c>
    </row>
    <row r="278" spans="1:6">
      <c r="A278" s="96"/>
      <c r="B278" s="138" t="s">
        <v>1646</v>
      </c>
      <c r="C278" s="93" t="s">
        <v>88</v>
      </c>
      <c r="D278" s="93" t="s">
        <v>434</v>
      </c>
      <c r="E278" s="93" t="s">
        <v>1849</v>
      </c>
      <c r="F278" s="94">
        <v>2.52E-2</v>
      </c>
    </row>
    <row r="279" spans="1:6">
      <c r="A279" s="96"/>
      <c r="B279" s="138" t="s">
        <v>1649</v>
      </c>
      <c r="C279" s="93" t="s">
        <v>214</v>
      </c>
      <c r="D279" s="93" t="s">
        <v>514</v>
      </c>
      <c r="E279" s="93"/>
      <c r="F279" s="94">
        <v>0.53659999999999997</v>
      </c>
    </row>
    <row r="280" spans="1:6">
      <c r="A280" s="96"/>
      <c r="B280" s="138" t="s">
        <v>1648</v>
      </c>
      <c r="C280" s="93" t="s">
        <v>214</v>
      </c>
      <c r="D280" s="93" t="s">
        <v>514</v>
      </c>
      <c r="E280" s="93" t="s">
        <v>1849</v>
      </c>
      <c r="F280" s="94">
        <v>0.53659999999999997</v>
      </c>
    </row>
    <row r="281" spans="1:6">
      <c r="A281" s="96"/>
      <c r="B281" s="138" t="s">
        <v>1651</v>
      </c>
      <c r="C281" s="93" t="s">
        <v>215</v>
      </c>
      <c r="D281" s="93" t="s">
        <v>544</v>
      </c>
      <c r="E281" s="93"/>
      <c r="F281" s="94">
        <v>0.34200000000000003</v>
      </c>
    </row>
    <row r="282" spans="1:6">
      <c r="A282" s="96"/>
      <c r="B282" s="138" t="s">
        <v>1650</v>
      </c>
      <c r="C282" s="93" t="s">
        <v>215</v>
      </c>
      <c r="D282" s="93" t="s">
        <v>544</v>
      </c>
      <c r="E282" s="93" t="s">
        <v>1849</v>
      </c>
      <c r="F282" s="94">
        <v>0.29980000000000001</v>
      </c>
    </row>
    <row r="283" spans="1:6">
      <c r="A283" s="96"/>
      <c r="B283" s="138" t="s">
        <v>1653</v>
      </c>
      <c r="C283" s="93" t="s">
        <v>166</v>
      </c>
      <c r="D283" s="93" t="s">
        <v>433</v>
      </c>
      <c r="E283" s="93"/>
      <c r="F283" s="94">
        <v>6.5199999999999994E-2</v>
      </c>
    </row>
    <row r="284" spans="1:6">
      <c r="A284" s="96"/>
      <c r="B284" s="138" t="s">
        <v>1652</v>
      </c>
      <c r="C284" s="93" t="s">
        <v>166</v>
      </c>
      <c r="D284" s="93" t="s">
        <v>433</v>
      </c>
      <c r="E284" s="93" t="s">
        <v>1849</v>
      </c>
      <c r="F284" s="94">
        <v>0.28320000000000001</v>
      </c>
    </row>
    <row r="285" spans="1:6">
      <c r="A285" s="96"/>
      <c r="B285" s="138" t="s">
        <v>1655</v>
      </c>
      <c r="C285" s="93" t="s">
        <v>39</v>
      </c>
      <c r="D285" s="93" t="s">
        <v>551</v>
      </c>
      <c r="E285" s="93"/>
      <c r="F285" s="94">
        <v>1.67E-2</v>
      </c>
    </row>
    <row r="286" spans="1:6">
      <c r="A286" s="96"/>
      <c r="B286" s="138" t="s">
        <v>1654</v>
      </c>
      <c r="C286" s="93" t="s">
        <v>39</v>
      </c>
      <c r="D286" s="93" t="s">
        <v>551</v>
      </c>
      <c r="E286" s="93" t="s">
        <v>1849</v>
      </c>
      <c r="F286" s="94">
        <v>1.6199999999999999E-2</v>
      </c>
    </row>
    <row r="287" spans="1:6">
      <c r="A287" s="96"/>
      <c r="B287" s="138" t="s">
        <v>1657</v>
      </c>
      <c r="C287" s="93" t="s">
        <v>156</v>
      </c>
      <c r="D287" s="93" t="s">
        <v>550</v>
      </c>
      <c r="E287" s="93"/>
      <c r="F287" s="94">
        <v>0.19939999999999999</v>
      </c>
    </row>
    <row r="288" spans="1:6">
      <c r="A288" s="96"/>
      <c r="B288" s="138" t="s">
        <v>1656</v>
      </c>
      <c r="C288" s="93" t="s">
        <v>156</v>
      </c>
      <c r="D288" s="93" t="s">
        <v>550</v>
      </c>
      <c r="E288" s="93" t="s">
        <v>1849</v>
      </c>
      <c r="F288" s="94">
        <v>0.19939999999999999</v>
      </c>
    </row>
    <row r="289" spans="1:6">
      <c r="A289" s="96"/>
      <c r="B289" s="138" t="s">
        <v>1659</v>
      </c>
      <c r="C289" s="93" t="s">
        <v>40</v>
      </c>
      <c r="D289" s="93" t="s">
        <v>556</v>
      </c>
      <c r="E289" s="93"/>
      <c r="F289" s="94">
        <v>0.26919999999999999</v>
      </c>
    </row>
    <row r="290" spans="1:6">
      <c r="A290" s="96"/>
      <c r="B290" s="138" t="s">
        <v>1658</v>
      </c>
      <c r="C290" s="93" t="s">
        <v>40</v>
      </c>
      <c r="D290" s="93" t="s">
        <v>556</v>
      </c>
      <c r="E290" s="93" t="s">
        <v>1849</v>
      </c>
      <c r="F290" s="94">
        <v>0.26919999999999999</v>
      </c>
    </row>
    <row r="291" spans="1:6">
      <c r="A291" s="96"/>
      <c r="B291" s="138" t="s">
        <v>1661</v>
      </c>
      <c r="C291" s="93" t="s">
        <v>89</v>
      </c>
      <c r="D291" s="93" t="s">
        <v>432</v>
      </c>
      <c r="E291" s="93"/>
      <c r="F291" s="94">
        <v>0.15409999999999999</v>
      </c>
    </row>
    <row r="292" spans="1:6">
      <c r="A292" s="96"/>
      <c r="B292" s="138" t="s">
        <v>1660</v>
      </c>
      <c r="C292" s="93" t="s">
        <v>89</v>
      </c>
      <c r="D292" s="93" t="s">
        <v>432</v>
      </c>
      <c r="E292" s="93" t="s">
        <v>1849</v>
      </c>
      <c r="F292" s="94">
        <v>0.49220000000000003</v>
      </c>
    </row>
    <row r="293" spans="1:6">
      <c r="A293" s="96"/>
      <c r="B293" s="138" t="s">
        <v>1663</v>
      </c>
      <c r="C293" s="93" t="s">
        <v>221</v>
      </c>
      <c r="D293" s="93" t="s">
        <v>554</v>
      </c>
      <c r="E293" s="93"/>
      <c r="F293" s="94">
        <v>0.20180000000000001</v>
      </c>
    </row>
    <row r="294" spans="1:6">
      <c r="A294" s="96"/>
      <c r="B294" s="138" t="s">
        <v>1662</v>
      </c>
      <c r="C294" s="93" t="s">
        <v>221</v>
      </c>
      <c r="D294" s="93" t="s">
        <v>554</v>
      </c>
      <c r="E294" s="93" t="s">
        <v>1849</v>
      </c>
      <c r="F294" s="94">
        <v>0.30830000000000002</v>
      </c>
    </row>
    <row r="295" spans="1:6">
      <c r="A295" s="96"/>
      <c r="B295" s="138" t="s">
        <v>1665</v>
      </c>
      <c r="C295" s="93" t="s">
        <v>157</v>
      </c>
      <c r="D295" s="93" t="s">
        <v>549</v>
      </c>
      <c r="E295" s="93"/>
      <c r="F295" s="94">
        <v>0.27429999999999999</v>
      </c>
    </row>
    <row r="296" spans="1:6">
      <c r="A296" s="96"/>
      <c r="B296" s="138" t="s">
        <v>1664</v>
      </c>
      <c r="C296" s="93" t="s">
        <v>157</v>
      </c>
      <c r="D296" s="93" t="s">
        <v>549</v>
      </c>
      <c r="E296" s="93" t="s">
        <v>1849</v>
      </c>
      <c r="F296" s="94">
        <v>0.18429999999999999</v>
      </c>
    </row>
    <row r="297" spans="1:6">
      <c r="A297" s="96"/>
      <c r="B297" s="138" t="s">
        <v>1667</v>
      </c>
      <c r="C297" s="93" t="s">
        <v>222</v>
      </c>
      <c r="D297" s="93" t="s">
        <v>196</v>
      </c>
      <c r="E297" s="93"/>
      <c r="F297" s="94">
        <v>9.7699999999999995E-2</v>
      </c>
    </row>
    <row r="298" spans="1:6">
      <c r="A298" s="96"/>
      <c r="B298" s="138" t="s">
        <v>1666</v>
      </c>
      <c r="C298" s="93" t="s">
        <v>222</v>
      </c>
      <c r="D298" s="93" t="s">
        <v>196</v>
      </c>
      <c r="E298" s="93" t="s">
        <v>1849</v>
      </c>
      <c r="F298" s="94">
        <v>7.1900000000000006E-2</v>
      </c>
    </row>
    <row r="299" spans="1:6">
      <c r="A299" s="96"/>
      <c r="B299" s="138" t="s">
        <v>1669</v>
      </c>
      <c r="C299" s="93" t="s">
        <v>564</v>
      </c>
      <c r="D299" s="93" t="s">
        <v>563</v>
      </c>
      <c r="E299" s="93"/>
      <c r="F299" s="94">
        <v>1.4044000000000001</v>
      </c>
    </row>
    <row r="300" spans="1:6">
      <c r="A300" s="96"/>
      <c r="B300" s="138" t="s">
        <v>1668</v>
      </c>
      <c r="C300" s="93" t="s">
        <v>564</v>
      </c>
      <c r="D300" s="93" t="s">
        <v>563</v>
      </c>
      <c r="E300" s="93" t="s">
        <v>1849</v>
      </c>
      <c r="F300" s="94">
        <v>1.4044000000000001</v>
      </c>
    </row>
    <row r="301" spans="1:6">
      <c r="A301" s="96"/>
      <c r="B301" s="138" t="s">
        <v>1671</v>
      </c>
      <c r="C301" s="93" t="s">
        <v>224</v>
      </c>
      <c r="D301" s="93" t="s">
        <v>562</v>
      </c>
      <c r="E301" s="93"/>
      <c r="F301" s="94">
        <v>0.1658</v>
      </c>
    </row>
    <row r="302" spans="1:6">
      <c r="A302" s="96"/>
      <c r="B302" s="138" t="s">
        <v>1670</v>
      </c>
      <c r="C302" s="93" t="s">
        <v>224</v>
      </c>
      <c r="D302" s="93" t="s">
        <v>562</v>
      </c>
      <c r="E302" s="93" t="s">
        <v>1849</v>
      </c>
      <c r="F302" s="94">
        <v>0.1822</v>
      </c>
    </row>
    <row r="303" spans="1:6">
      <c r="A303" s="96"/>
      <c r="B303" s="138" t="s">
        <v>1673</v>
      </c>
      <c r="C303" s="93" t="s">
        <v>53</v>
      </c>
      <c r="D303" s="93" t="s">
        <v>443</v>
      </c>
      <c r="E303" s="93"/>
      <c r="F303" s="94">
        <v>5.5999999999999999E-3</v>
      </c>
    </row>
    <row r="304" spans="1:6">
      <c r="A304" s="96"/>
      <c r="B304" s="138" t="s">
        <v>1672</v>
      </c>
      <c r="C304" s="93" t="s">
        <v>53</v>
      </c>
      <c r="D304" s="93" t="s">
        <v>443</v>
      </c>
      <c r="E304" s="93" t="s">
        <v>1849</v>
      </c>
      <c r="F304" s="94">
        <v>1.14E-2</v>
      </c>
    </row>
    <row r="305" spans="1:6">
      <c r="A305" s="96"/>
      <c r="B305" s="138" t="s">
        <v>1675</v>
      </c>
      <c r="C305" s="93" t="s">
        <v>225</v>
      </c>
      <c r="D305" s="93" t="s">
        <v>558</v>
      </c>
      <c r="E305" s="93"/>
      <c r="F305" s="94">
        <v>0.2545</v>
      </c>
    </row>
    <row r="306" spans="1:6">
      <c r="A306" s="96"/>
      <c r="B306" s="138" t="s">
        <v>1674</v>
      </c>
      <c r="C306" s="93" t="s">
        <v>225</v>
      </c>
      <c r="D306" s="93" t="s">
        <v>558</v>
      </c>
      <c r="E306" s="93" t="s">
        <v>1849</v>
      </c>
      <c r="F306" s="94">
        <v>0.2545</v>
      </c>
    </row>
    <row r="307" spans="1:6">
      <c r="A307" s="96"/>
      <c r="B307" s="138" t="s">
        <v>1677</v>
      </c>
      <c r="C307" s="93" t="s">
        <v>54</v>
      </c>
      <c r="D307" s="93" t="s">
        <v>445</v>
      </c>
      <c r="E307" s="93"/>
      <c r="F307" s="94">
        <v>1.43E-2</v>
      </c>
    </row>
    <row r="308" spans="1:6">
      <c r="A308" s="96"/>
      <c r="B308" s="138" t="s">
        <v>1676</v>
      </c>
      <c r="C308" s="93" t="s">
        <v>54</v>
      </c>
      <c r="D308" s="93" t="s">
        <v>445</v>
      </c>
      <c r="E308" s="93" t="s">
        <v>1849</v>
      </c>
      <c r="F308" s="94">
        <v>4.5199999999999997E-2</v>
      </c>
    </row>
    <row r="309" spans="1:6">
      <c r="A309" s="96"/>
      <c r="B309" s="138" t="s">
        <v>1679</v>
      </c>
      <c r="C309" s="93" t="s">
        <v>167</v>
      </c>
      <c r="D309" s="93" t="s">
        <v>442</v>
      </c>
      <c r="E309" s="93"/>
      <c r="F309" s="94">
        <v>0.2127</v>
      </c>
    </row>
    <row r="310" spans="1:6">
      <c r="A310" s="96"/>
      <c r="B310" s="138" t="s">
        <v>1678</v>
      </c>
      <c r="C310" s="93" t="s">
        <v>167</v>
      </c>
      <c r="D310" s="93" t="s">
        <v>442</v>
      </c>
      <c r="E310" s="93" t="s">
        <v>1849</v>
      </c>
      <c r="F310" s="94">
        <v>0.29899999999999999</v>
      </c>
    </row>
    <row r="311" spans="1:6">
      <c r="A311" s="96"/>
      <c r="B311" s="138" t="s">
        <v>1683</v>
      </c>
      <c r="C311" s="93" t="s">
        <v>226</v>
      </c>
      <c r="D311" s="93" t="s">
        <v>441</v>
      </c>
      <c r="E311" s="93"/>
      <c r="F311" s="94">
        <v>0.45929999999999999</v>
      </c>
    </row>
    <row r="312" spans="1:6">
      <c r="A312" s="96"/>
      <c r="B312" s="138" t="s">
        <v>1682</v>
      </c>
      <c r="C312" s="93" t="s">
        <v>226</v>
      </c>
      <c r="D312" s="93" t="s">
        <v>441</v>
      </c>
      <c r="E312" s="93" t="s">
        <v>1849</v>
      </c>
      <c r="F312" s="94">
        <v>0.28499999999999998</v>
      </c>
    </row>
    <row r="313" spans="1:6">
      <c r="A313" s="96"/>
      <c r="B313" s="138" t="s">
        <v>1681</v>
      </c>
      <c r="C313" s="93" t="s">
        <v>227</v>
      </c>
      <c r="D313" s="93" t="s">
        <v>559</v>
      </c>
      <c r="E313" s="93"/>
      <c r="F313" s="94">
        <v>0.1046</v>
      </c>
    </row>
    <row r="314" spans="1:6">
      <c r="A314" s="96"/>
      <c r="B314" s="138" t="s">
        <v>1680</v>
      </c>
      <c r="C314" s="93" t="s">
        <v>227</v>
      </c>
      <c r="D314" s="93" t="s">
        <v>559</v>
      </c>
      <c r="E314" s="93" t="s">
        <v>1849</v>
      </c>
      <c r="F314" s="94">
        <v>0.1077</v>
      </c>
    </row>
    <row r="315" spans="1:6">
      <c r="A315" s="96"/>
      <c r="B315" s="138" t="s">
        <v>1685</v>
      </c>
      <c r="C315" s="93" t="s">
        <v>561</v>
      </c>
      <c r="D315" s="93" t="s">
        <v>560</v>
      </c>
      <c r="E315" s="93"/>
      <c r="F315" s="94">
        <v>1.4584999999999999</v>
      </c>
    </row>
    <row r="316" spans="1:6">
      <c r="A316" s="96"/>
      <c r="B316" s="138" t="s">
        <v>1684</v>
      </c>
      <c r="C316" s="93" t="s">
        <v>561</v>
      </c>
      <c r="D316" s="93" t="s">
        <v>560</v>
      </c>
      <c r="E316" s="93" t="s">
        <v>1849</v>
      </c>
      <c r="F316" s="94">
        <v>7.8632999999999997</v>
      </c>
    </row>
    <row r="317" spans="1:6">
      <c r="A317" s="96"/>
      <c r="B317" s="138" t="s">
        <v>1689</v>
      </c>
      <c r="C317" s="93" t="s">
        <v>574</v>
      </c>
      <c r="D317" s="93" t="s">
        <v>573</v>
      </c>
      <c r="E317" s="93"/>
      <c r="F317" s="94">
        <v>0.5786</v>
      </c>
    </row>
    <row r="318" spans="1:6">
      <c r="A318" s="96"/>
      <c r="B318" s="138" t="s">
        <v>1688</v>
      </c>
      <c r="C318" s="93" t="s">
        <v>574</v>
      </c>
      <c r="D318" s="93" t="s">
        <v>573</v>
      </c>
      <c r="E318" s="93" t="s">
        <v>1849</v>
      </c>
      <c r="F318" s="94">
        <v>0.5786</v>
      </c>
    </row>
    <row r="319" spans="1:6">
      <c r="A319" s="96"/>
      <c r="B319" s="138" t="s">
        <v>1687</v>
      </c>
      <c r="C319" s="93" t="s">
        <v>553</v>
      </c>
      <c r="D319" s="93" t="s">
        <v>552</v>
      </c>
      <c r="E319" s="93"/>
      <c r="F319" s="94">
        <v>6.3799999999999996E-2</v>
      </c>
    </row>
    <row r="320" spans="1:6">
      <c r="A320" s="96"/>
      <c r="B320" s="138" t="s">
        <v>1686</v>
      </c>
      <c r="C320" s="93" t="s">
        <v>553</v>
      </c>
      <c r="D320" s="93" t="s">
        <v>552</v>
      </c>
      <c r="E320" s="93" t="s">
        <v>1849</v>
      </c>
      <c r="F320" s="94">
        <v>6.3799999999999996E-2</v>
      </c>
    </row>
    <row r="321" spans="1:6">
      <c r="A321" s="96"/>
      <c r="B321" s="138" t="s">
        <v>1691</v>
      </c>
      <c r="C321" s="93" t="s">
        <v>55</v>
      </c>
      <c r="D321" s="93" t="s">
        <v>444</v>
      </c>
      <c r="E321" s="93"/>
      <c r="F321" s="94">
        <v>8.0000000000000002E-3</v>
      </c>
    </row>
    <row r="322" spans="1:6">
      <c r="A322" s="96"/>
      <c r="B322" s="138" t="s">
        <v>1690</v>
      </c>
      <c r="C322" s="93" t="s">
        <v>55</v>
      </c>
      <c r="D322" s="93" t="s">
        <v>444</v>
      </c>
      <c r="E322" s="93" t="s">
        <v>1849</v>
      </c>
      <c r="F322" s="94">
        <v>9.2999999999999992E-3</v>
      </c>
    </row>
    <row r="323" spans="1:6">
      <c r="A323" s="96"/>
      <c r="B323" s="138" t="s">
        <v>1693</v>
      </c>
      <c r="C323" s="93" t="s">
        <v>230</v>
      </c>
      <c r="D323" s="93" t="s">
        <v>565</v>
      </c>
      <c r="E323" s="93"/>
      <c r="F323" s="94">
        <v>0.10879999999999999</v>
      </c>
    </row>
    <row r="324" spans="1:6">
      <c r="A324" s="96"/>
      <c r="B324" s="138" t="s">
        <v>1692</v>
      </c>
      <c r="C324" s="93" t="s">
        <v>230</v>
      </c>
      <c r="D324" s="93" t="s">
        <v>565</v>
      </c>
      <c r="E324" s="93" t="s">
        <v>1849</v>
      </c>
      <c r="F324" s="94">
        <v>0.3039</v>
      </c>
    </row>
    <row r="325" spans="1:6">
      <c r="A325" s="96"/>
      <c r="B325" s="138" t="s">
        <v>1695</v>
      </c>
      <c r="C325" s="93" t="s">
        <v>231</v>
      </c>
      <c r="D325" s="93" t="s">
        <v>566</v>
      </c>
      <c r="E325" s="93"/>
      <c r="F325" s="94">
        <v>5.2200000000000003E-2</v>
      </c>
    </row>
    <row r="326" spans="1:6">
      <c r="A326" s="96"/>
      <c r="B326" s="138" t="s">
        <v>1694</v>
      </c>
      <c r="C326" s="93" t="s">
        <v>231</v>
      </c>
      <c r="D326" s="93" t="s">
        <v>566</v>
      </c>
      <c r="E326" s="93" t="s">
        <v>1849</v>
      </c>
      <c r="F326" s="94">
        <v>5.3199999999999997E-2</v>
      </c>
    </row>
    <row r="327" spans="1:6">
      <c r="A327" s="96"/>
      <c r="B327" s="138" t="s">
        <v>1697</v>
      </c>
      <c r="C327" s="93" t="s">
        <v>232</v>
      </c>
      <c r="D327" s="93" t="s">
        <v>570</v>
      </c>
      <c r="E327" s="93"/>
      <c r="F327" s="94">
        <v>0.30869999999999997</v>
      </c>
    </row>
    <row r="328" spans="1:6">
      <c r="A328" s="96"/>
      <c r="B328" s="138" t="s">
        <v>1696</v>
      </c>
      <c r="C328" s="93" t="s">
        <v>232</v>
      </c>
      <c r="D328" s="93" t="s">
        <v>570</v>
      </c>
      <c r="E328" s="93" t="s">
        <v>1849</v>
      </c>
      <c r="F328" s="94">
        <v>0.30869999999999997</v>
      </c>
    </row>
    <row r="329" spans="1:6">
      <c r="A329" s="96"/>
      <c r="B329" s="138" t="s">
        <v>1699</v>
      </c>
      <c r="C329" s="93" t="s">
        <v>903</v>
      </c>
      <c r="D329" s="93" t="s">
        <v>576</v>
      </c>
      <c r="E329" s="93"/>
      <c r="F329" s="94">
        <v>0.18579999999999999</v>
      </c>
    </row>
    <row r="330" spans="1:6">
      <c r="A330" s="96"/>
      <c r="B330" s="138" t="s">
        <v>1698</v>
      </c>
      <c r="C330" s="93" t="s">
        <v>903</v>
      </c>
      <c r="D330" s="93" t="s">
        <v>576</v>
      </c>
      <c r="E330" s="93" t="s">
        <v>1849</v>
      </c>
      <c r="F330" s="94">
        <v>0.18579999999999999</v>
      </c>
    </row>
    <row r="331" spans="1:6">
      <c r="A331" s="96"/>
      <c r="B331" s="138" t="s">
        <v>1701</v>
      </c>
      <c r="C331" s="93" t="s">
        <v>119</v>
      </c>
      <c r="D331" s="93" t="s">
        <v>567</v>
      </c>
      <c r="E331" s="93"/>
      <c r="F331" s="94">
        <v>4.41E-2</v>
      </c>
    </row>
    <row r="332" spans="1:6">
      <c r="A332" s="96"/>
      <c r="B332" s="138" t="s">
        <v>1700</v>
      </c>
      <c r="C332" s="93" t="s">
        <v>119</v>
      </c>
      <c r="D332" s="93" t="s">
        <v>567</v>
      </c>
      <c r="E332" s="93" t="s">
        <v>1849</v>
      </c>
      <c r="F332" s="94">
        <v>0.157</v>
      </c>
    </row>
    <row r="333" spans="1:6">
      <c r="A333" s="96"/>
      <c r="B333" s="138" t="s">
        <v>1703</v>
      </c>
      <c r="C333" s="93" t="s">
        <v>234</v>
      </c>
      <c r="D333" s="93" t="s">
        <v>571</v>
      </c>
      <c r="E333" s="93"/>
      <c r="F333" s="94">
        <v>1.3407</v>
      </c>
    </row>
    <row r="334" spans="1:6">
      <c r="A334" s="96"/>
      <c r="B334" s="138" t="s">
        <v>1702</v>
      </c>
      <c r="C334" s="93" t="s">
        <v>234</v>
      </c>
      <c r="D334" s="93" t="s">
        <v>571</v>
      </c>
      <c r="E334" s="93" t="s">
        <v>1849</v>
      </c>
      <c r="F334" s="94">
        <v>0.70140000000000002</v>
      </c>
    </row>
    <row r="335" spans="1:6">
      <c r="A335" s="96"/>
      <c r="B335" s="138" t="s">
        <v>1705</v>
      </c>
      <c r="C335" s="93" t="s">
        <v>235</v>
      </c>
      <c r="D335" s="93" t="s">
        <v>575</v>
      </c>
      <c r="E335" s="93"/>
      <c r="F335" s="94">
        <v>3.2800000000000003E-2</v>
      </c>
    </row>
    <row r="336" spans="1:6">
      <c r="A336" s="96"/>
      <c r="B336" s="138" t="s">
        <v>1704</v>
      </c>
      <c r="C336" s="93" t="s">
        <v>235</v>
      </c>
      <c r="D336" s="93" t="s">
        <v>575</v>
      </c>
      <c r="E336" s="93" t="s">
        <v>1849</v>
      </c>
      <c r="F336" s="94">
        <v>5.91E-2</v>
      </c>
    </row>
    <row r="337" spans="1:6">
      <c r="A337" s="96"/>
      <c r="B337" s="138" t="s">
        <v>1707</v>
      </c>
      <c r="C337" s="93" t="s">
        <v>90</v>
      </c>
      <c r="D337" s="93" t="s">
        <v>568</v>
      </c>
      <c r="E337" s="93"/>
      <c r="F337" s="94">
        <v>2.5600000000000001E-2</v>
      </c>
    </row>
    <row r="338" spans="1:6">
      <c r="A338" s="96"/>
      <c r="B338" s="138" t="s">
        <v>1706</v>
      </c>
      <c r="C338" s="93" t="s">
        <v>90</v>
      </c>
      <c r="D338" s="93" t="s">
        <v>568</v>
      </c>
      <c r="E338" s="93" t="s">
        <v>1849</v>
      </c>
      <c r="F338" s="94">
        <v>1.3299999999999999E-2</v>
      </c>
    </row>
    <row r="339" spans="1:6">
      <c r="A339" s="96"/>
      <c r="B339" s="138" t="s">
        <v>1709</v>
      </c>
      <c r="C339" s="93" t="s">
        <v>91</v>
      </c>
      <c r="D339" s="93" t="s">
        <v>569</v>
      </c>
      <c r="E339" s="93"/>
      <c r="F339" s="94">
        <v>0.1157</v>
      </c>
    </row>
    <row r="340" spans="1:6">
      <c r="A340" s="96"/>
      <c r="B340" s="138" t="s">
        <v>1708</v>
      </c>
      <c r="C340" s="93" t="s">
        <v>91</v>
      </c>
      <c r="D340" s="93" t="s">
        <v>569</v>
      </c>
      <c r="E340" s="93" t="s">
        <v>1849</v>
      </c>
      <c r="F340" s="94">
        <v>0.124</v>
      </c>
    </row>
    <row r="341" spans="1:6">
      <c r="A341" s="96"/>
      <c r="B341" s="138" t="s">
        <v>1711</v>
      </c>
      <c r="C341" s="93" t="s">
        <v>92</v>
      </c>
      <c r="D341" s="93" t="s">
        <v>446</v>
      </c>
      <c r="E341" s="93"/>
      <c r="F341" s="94">
        <v>1.14E-2</v>
      </c>
    </row>
    <row r="342" spans="1:6">
      <c r="A342" s="96"/>
      <c r="B342" s="138" t="s">
        <v>1710</v>
      </c>
      <c r="C342" s="93" t="s">
        <v>92</v>
      </c>
      <c r="D342" s="93" t="s">
        <v>446</v>
      </c>
      <c r="E342" s="93" t="s">
        <v>1849</v>
      </c>
      <c r="F342" s="94">
        <v>2.3099999999999999E-2</v>
      </c>
    </row>
    <row r="343" spans="1:6">
      <c r="A343" s="96"/>
      <c r="B343" s="138" t="s">
        <v>1713</v>
      </c>
      <c r="C343" s="93" t="s">
        <v>56</v>
      </c>
      <c r="D343" s="93" t="s">
        <v>447</v>
      </c>
      <c r="E343" s="93"/>
      <c r="F343" s="94">
        <v>6.1000000000000004E-3</v>
      </c>
    </row>
    <row r="344" spans="1:6">
      <c r="A344" s="96"/>
      <c r="B344" s="138" t="s">
        <v>1712</v>
      </c>
      <c r="C344" s="93" t="s">
        <v>56</v>
      </c>
      <c r="D344" s="93" t="s">
        <v>447</v>
      </c>
      <c r="E344" s="93" t="s">
        <v>1849</v>
      </c>
      <c r="F344" s="94">
        <v>8.8000000000000005E-3</v>
      </c>
    </row>
    <row r="345" spans="1:6">
      <c r="A345" s="96"/>
      <c r="B345" s="138" t="s">
        <v>1715</v>
      </c>
      <c r="C345" s="93" t="s">
        <v>93</v>
      </c>
      <c r="D345" s="93" t="s">
        <v>572</v>
      </c>
      <c r="E345" s="93"/>
      <c r="F345" s="94">
        <v>0.01</v>
      </c>
    </row>
    <row r="346" spans="1:6">
      <c r="A346" s="96"/>
      <c r="B346" s="138" t="s">
        <v>1714</v>
      </c>
      <c r="C346" s="93" t="s">
        <v>93</v>
      </c>
      <c r="D346" s="93" t="s">
        <v>572</v>
      </c>
      <c r="E346" s="93" t="s">
        <v>1849</v>
      </c>
      <c r="F346" s="94">
        <v>0.01</v>
      </c>
    </row>
    <row r="347" spans="1:6">
      <c r="A347" s="96"/>
      <c r="B347" s="138" t="s">
        <v>1717</v>
      </c>
      <c r="C347" s="93" t="s">
        <v>134</v>
      </c>
      <c r="D347" s="93" t="s">
        <v>578</v>
      </c>
      <c r="E347" s="93"/>
      <c r="F347" s="94">
        <v>0.1898</v>
      </c>
    </row>
    <row r="348" spans="1:6">
      <c r="A348" s="96"/>
      <c r="B348" s="138" t="s">
        <v>1716</v>
      </c>
      <c r="C348" s="93" t="s">
        <v>134</v>
      </c>
      <c r="D348" s="93" t="s">
        <v>578</v>
      </c>
      <c r="E348" s="93" t="s">
        <v>1849</v>
      </c>
      <c r="F348" s="94">
        <v>0.18779999999999999</v>
      </c>
    </row>
    <row r="349" spans="1:6">
      <c r="A349" s="96"/>
      <c r="B349" s="138" t="s">
        <v>1719</v>
      </c>
      <c r="C349" s="93" t="s">
        <v>168</v>
      </c>
      <c r="D349" s="93" t="s">
        <v>449</v>
      </c>
      <c r="E349" s="93"/>
      <c r="F349" s="94">
        <v>8.6E-3</v>
      </c>
    </row>
    <row r="350" spans="1:6">
      <c r="A350" s="96"/>
      <c r="B350" s="138" t="s">
        <v>1718</v>
      </c>
      <c r="C350" s="93" t="s">
        <v>168</v>
      </c>
      <c r="D350" s="93" t="s">
        <v>449</v>
      </c>
      <c r="E350" s="93" t="s">
        <v>1849</v>
      </c>
      <c r="F350" s="94">
        <v>1.9599999999999999E-2</v>
      </c>
    </row>
    <row r="351" spans="1:6">
      <c r="A351" s="96"/>
      <c r="B351" s="138" t="s">
        <v>1721</v>
      </c>
      <c r="C351" s="93" t="s">
        <v>94</v>
      </c>
      <c r="D351" s="93" t="s">
        <v>825</v>
      </c>
      <c r="E351" s="93"/>
      <c r="F351" s="94">
        <v>6.3E-3</v>
      </c>
    </row>
    <row r="352" spans="1:6">
      <c r="A352" s="96"/>
      <c r="B352" s="138" t="s">
        <v>1720</v>
      </c>
      <c r="C352" s="93" t="s">
        <v>94</v>
      </c>
      <c r="D352" s="93" t="s">
        <v>825</v>
      </c>
      <c r="E352" s="93" t="s">
        <v>1849</v>
      </c>
      <c r="F352" s="94">
        <v>1.44E-2</v>
      </c>
    </row>
    <row r="353" spans="1:6">
      <c r="A353" s="96"/>
      <c r="B353" s="138" t="s">
        <v>1723</v>
      </c>
      <c r="C353" s="93" t="s">
        <v>57</v>
      </c>
      <c r="D353" s="93" t="s">
        <v>450</v>
      </c>
      <c r="E353" s="93"/>
      <c r="F353" s="94">
        <v>3.5099999999999999E-2</v>
      </c>
    </row>
    <row r="354" spans="1:6">
      <c r="A354" s="96"/>
      <c r="B354" s="138" t="s">
        <v>1722</v>
      </c>
      <c r="C354" s="93" t="s">
        <v>57</v>
      </c>
      <c r="D354" s="93" t="s">
        <v>450</v>
      </c>
      <c r="E354" s="93" t="s">
        <v>1849</v>
      </c>
      <c r="F354" s="94">
        <v>0.24030000000000001</v>
      </c>
    </row>
    <row r="355" spans="1:6">
      <c r="A355" s="96"/>
      <c r="B355" s="138" t="s">
        <v>1725</v>
      </c>
      <c r="C355" s="93" t="s">
        <v>137</v>
      </c>
      <c r="D355" s="93" t="s">
        <v>579</v>
      </c>
      <c r="E355" s="93"/>
      <c r="F355" s="94">
        <v>0.31590000000000001</v>
      </c>
    </row>
    <row r="356" spans="1:6">
      <c r="A356" s="96"/>
      <c r="B356" s="138" t="s">
        <v>1724</v>
      </c>
      <c r="C356" s="93" t="s">
        <v>137</v>
      </c>
      <c r="D356" s="93" t="s">
        <v>579</v>
      </c>
      <c r="E356" s="93" t="s">
        <v>1849</v>
      </c>
      <c r="F356" s="94">
        <v>0.29899999999999999</v>
      </c>
    </row>
    <row r="357" spans="1:6">
      <c r="A357" s="96"/>
      <c r="B357" s="138" t="s">
        <v>1727</v>
      </c>
      <c r="C357" s="93" t="s">
        <v>302</v>
      </c>
      <c r="D357" s="93" t="s">
        <v>593</v>
      </c>
      <c r="E357" s="93"/>
      <c r="F357" s="94">
        <v>0.16289999999999999</v>
      </c>
    </row>
    <row r="358" spans="1:6">
      <c r="A358" s="96"/>
      <c r="B358" s="138" t="s">
        <v>1726</v>
      </c>
      <c r="C358" s="93" t="s">
        <v>302</v>
      </c>
      <c r="D358" s="93" t="s">
        <v>593</v>
      </c>
      <c r="E358" s="93" t="s">
        <v>1849</v>
      </c>
      <c r="F358" s="94">
        <v>0.16289999999999999</v>
      </c>
    </row>
    <row r="359" spans="1:6">
      <c r="A359" s="96"/>
      <c r="B359" s="138" t="s">
        <v>1729</v>
      </c>
      <c r="C359" s="93" t="s">
        <v>904</v>
      </c>
      <c r="D359" s="93" t="s">
        <v>619</v>
      </c>
      <c r="E359" s="93"/>
      <c r="F359" s="94">
        <v>1.7642</v>
      </c>
    </row>
    <row r="360" spans="1:6">
      <c r="A360" s="96"/>
      <c r="B360" s="138" t="s">
        <v>1728</v>
      </c>
      <c r="C360" s="93" t="s">
        <v>904</v>
      </c>
      <c r="D360" s="93" t="s">
        <v>619</v>
      </c>
      <c r="E360" s="93" t="s">
        <v>1849</v>
      </c>
      <c r="F360" s="94">
        <v>1.7642</v>
      </c>
    </row>
    <row r="361" spans="1:6">
      <c r="A361" s="96"/>
      <c r="B361" s="138" t="s">
        <v>1731</v>
      </c>
      <c r="C361" s="93" t="s">
        <v>169</v>
      </c>
      <c r="D361" s="93" t="s">
        <v>452</v>
      </c>
      <c r="E361" s="93"/>
      <c r="F361" s="94">
        <v>9.5600000000000004E-2</v>
      </c>
    </row>
    <row r="362" spans="1:6">
      <c r="A362" s="96"/>
      <c r="B362" s="138" t="s">
        <v>1730</v>
      </c>
      <c r="C362" s="93" t="s">
        <v>169</v>
      </c>
      <c r="D362" s="93" t="s">
        <v>452</v>
      </c>
      <c r="E362" s="93" t="s">
        <v>1849</v>
      </c>
      <c r="F362" s="94">
        <v>9.5600000000000004E-2</v>
      </c>
    </row>
    <row r="363" spans="1:6">
      <c r="A363" s="96"/>
      <c r="B363" s="138" t="s">
        <v>1733</v>
      </c>
      <c r="C363" s="93" t="s">
        <v>905</v>
      </c>
      <c r="D363" s="93" t="s">
        <v>590</v>
      </c>
      <c r="E363" s="93"/>
      <c r="F363" s="94">
        <v>1.1092</v>
      </c>
    </row>
    <row r="364" spans="1:6">
      <c r="A364" s="96"/>
      <c r="B364" s="138" t="s">
        <v>1732</v>
      </c>
      <c r="C364" s="93" t="s">
        <v>905</v>
      </c>
      <c r="D364" s="93" t="s">
        <v>590</v>
      </c>
      <c r="E364" s="93" t="s">
        <v>1849</v>
      </c>
      <c r="F364" s="94">
        <v>1.1092</v>
      </c>
    </row>
    <row r="365" spans="1:6">
      <c r="A365" s="96"/>
      <c r="B365" s="138" t="s">
        <v>1735</v>
      </c>
      <c r="C365" s="93" t="s">
        <v>95</v>
      </c>
      <c r="D365" s="93" t="s">
        <v>580</v>
      </c>
      <c r="E365" s="93"/>
      <c r="F365" s="94">
        <v>0.11799999999999999</v>
      </c>
    </row>
    <row r="366" spans="1:6">
      <c r="A366" s="96"/>
      <c r="B366" s="138" t="s">
        <v>1734</v>
      </c>
      <c r="C366" s="93" t="s">
        <v>95</v>
      </c>
      <c r="D366" s="93" t="s">
        <v>580</v>
      </c>
      <c r="E366" s="93" t="s">
        <v>1849</v>
      </c>
      <c r="F366" s="94">
        <v>0.13350000000000001</v>
      </c>
    </row>
    <row r="367" spans="1:6">
      <c r="A367" s="96"/>
      <c r="B367" s="138" t="s">
        <v>1737</v>
      </c>
      <c r="C367" s="93" t="s">
        <v>96</v>
      </c>
      <c r="D367" s="93" t="s">
        <v>582</v>
      </c>
      <c r="E367" s="93"/>
      <c r="F367" s="94">
        <v>0.21629999999999999</v>
      </c>
    </row>
    <row r="368" spans="1:6">
      <c r="A368" s="96"/>
      <c r="B368" s="138" t="s">
        <v>1736</v>
      </c>
      <c r="C368" s="93" t="s">
        <v>96</v>
      </c>
      <c r="D368" s="93" t="s">
        <v>582</v>
      </c>
      <c r="E368" s="93" t="s">
        <v>1849</v>
      </c>
      <c r="F368" s="94">
        <v>0.40129999999999999</v>
      </c>
    </row>
    <row r="369" spans="1:6">
      <c r="A369" s="96"/>
      <c r="B369" s="138" t="s">
        <v>1739</v>
      </c>
      <c r="C369" s="93" t="s">
        <v>239</v>
      </c>
      <c r="D369" s="93" t="s">
        <v>588</v>
      </c>
      <c r="E369" s="93"/>
      <c r="F369" s="94">
        <v>0.153</v>
      </c>
    </row>
    <row r="370" spans="1:6">
      <c r="A370" s="96"/>
      <c r="B370" s="138" t="s">
        <v>1738</v>
      </c>
      <c r="C370" s="93" t="s">
        <v>239</v>
      </c>
      <c r="D370" s="93" t="s">
        <v>588</v>
      </c>
      <c r="E370" s="93" t="s">
        <v>1849</v>
      </c>
      <c r="F370" s="94">
        <v>0.4022</v>
      </c>
    </row>
    <row r="371" spans="1:6">
      <c r="A371" s="96"/>
      <c r="B371" s="138" t="s">
        <v>1741</v>
      </c>
      <c r="C371" s="93" t="s">
        <v>261</v>
      </c>
      <c r="D371" s="93" t="s">
        <v>594</v>
      </c>
      <c r="E371" s="93"/>
      <c r="F371" s="94">
        <v>0.65990000000000004</v>
      </c>
    </row>
    <row r="372" spans="1:6">
      <c r="A372" s="96"/>
      <c r="B372" s="138" t="s">
        <v>1740</v>
      </c>
      <c r="C372" s="93" t="s">
        <v>261</v>
      </c>
      <c r="D372" s="93" t="s">
        <v>594</v>
      </c>
      <c r="E372" s="93" t="s">
        <v>1849</v>
      </c>
      <c r="F372" s="94">
        <v>0.65990000000000004</v>
      </c>
    </row>
    <row r="373" spans="1:6">
      <c r="A373" s="96"/>
      <c r="B373" s="138" t="s">
        <v>1743</v>
      </c>
      <c r="C373" s="93" t="s">
        <v>262</v>
      </c>
      <c r="D373" s="93" t="s">
        <v>585</v>
      </c>
      <c r="E373" s="93"/>
      <c r="F373" s="94">
        <v>0.42270000000000002</v>
      </c>
    </row>
    <row r="374" spans="1:6">
      <c r="A374" s="96"/>
      <c r="B374" s="138" t="s">
        <v>1742</v>
      </c>
      <c r="C374" s="93" t="s">
        <v>262</v>
      </c>
      <c r="D374" s="93" t="s">
        <v>585</v>
      </c>
      <c r="E374" s="93" t="s">
        <v>1849</v>
      </c>
      <c r="F374" s="94">
        <v>0.48549999999999999</v>
      </c>
    </row>
    <row r="375" spans="1:6">
      <c r="A375" s="96"/>
      <c r="B375" s="138" t="s">
        <v>1745</v>
      </c>
      <c r="C375" s="93" t="s">
        <v>58</v>
      </c>
      <c r="D375" s="93" t="s">
        <v>451</v>
      </c>
      <c r="E375" s="93"/>
      <c r="F375" s="94">
        <v>1.0500000000000001E-2</v>
      </c>
    </row>
    <row r="376" spans="1:6">
      <c r="A376" s="96"/>
      <c r="B376" s="138" t="s">
        <v>1744</v>
      </c>
      <c r="C376" s="93" t="s">
        <v>58</v>
      </c>
      <c r="D376" s="93" t="s">
        <v>451</v>
      </c>
      <c r="E376" s="93" t="s">
        <v>1849</v>
      </c>
      <c r="F376" s="94">
        <v>1.0200000000000001E-2</v>
      </c>
    </row>
    <row r="377" spans="1:6">
      <c r="A377" s="96"/>
      <c r="B377" s="138" t="s">
        <v>1747</v>
      </c>
      <c r="C377" s="93" t="s">
        <v>97</v>
      </c>
      <c r="D377" s="93" t="s">
        <v>454</v>
      </c>
      <c r="E377" s="93"/>
      <c r="F377" s="94">
        <v>4.3E-3</v>
      </c>
    </row>
    <row r="378" spans="1:6">
      <c r="A378" s="96"/>
      <c r="B378" s="138" t="s">
        <v>1746</v>
      </c>
      <c r="C378" s="93" t="s">
        <v>97</v>
      </c>
      <c r="D378" s="93" t="s">
        <v>454</v>
      </c>
      <c r="E378" s="93" t="s">
        <v>1849</v>
      </c>
      <c r="F378" s="94">
        <v>2.12E-2</v>
      </c>
    </row>
    <row r="379" spans="1:6">
      <c r="A379" s="96"/>
      <c r="B379" s="138" t="s">
        <v>1749</v>
      </c>
      <c r="C379" s="93" t="s">
        <v>170</v>
      </c>
      <c r="D379" s="93" t="s">
        <v>455</v>
      </c>
      <c r="E379" s="93"/>
      <c r="F379" s="94">
        <v>1.84E-2</v>
      </c>
    </row>
    <row r="380" spans="1:6">
      <c r="A380" s="96"/>
      <c r="B380" s="138" t="s">
        <v>1748</v>
      </c>
      <c r="C380" s="93" t="s">
        <v>170</v>
      </c>
      <c r="D380" s="93" t="s">
        <v>455</v>
      </c>
      <c r="E380" s="93" t="s">
        <v>1849</v>
      </c>
      <c r="F380" s="94">
        <v>3.44E-2</v>
      </c>
    </row>
    <row r="381" spans="1:6">
      <c r="A381" s="96"/>
      <c r="B381" s="138" t="s">
        <v>1751</v>
      </c>
      <c r="C381" s="93" t="s">
        <v>906</v>
      </c>
      <c r="D381" s="93" t="s">
        <v>584</v>
      </c>
      <c r="E381" s="93"/>
      <c r="F381" s="94">
        <v>1.4448000000000001</v>
      </c>
    </row>
    <row r="382" spans="1:6">
      <c r="A382" s="96"/>
      <c r="B382" s="138" t="s">
        <v>1750</v>
      </c>
      <c r="C382" s="93" t="s">
        <v>906</v>
      </c>
      <c r="D382" s="93" t="s">
        <v>584</v>
      </c>
      <c r="E382" s="93" t="s">
        <v>1849</v>
      </c>
      <c r="F382" s="94">
        <v>1.4448000000000001</v>
      </c>
    </row>
    <row r="383" spans="1:6">
      <c r="A383" s="96"/>
      <c r="B383" s="138" t="s">
        <v>1753</v>
      </c>
      <c r="C383" s="93" t="s">
        <v>264</v>
      </c>
      <c r="D383" s="93" t="s">
        <v>587</v>
      </c>
      <c r="E383" s="93"/>
      <c r="F383" s="94">
        <v>0.4728</v>
      </c>
    </row>
    <row r="384" spans="1:6">
      <c r="A384" s="96"/>
      <c r="B384" s="138" t="s">
        <v>1752</v>
      </c>
      <c r="C384" s="93" t="s">
        <v>264</v>
      </c>
      <c r="D384" s="93" t="s">
        <v>587</v>
      </c>
      <c r="E384" s="93" t="s">
        <v>1849</v>
      </c>
      <c r="F384" s="94">
        <v>0.4728</v>
      </c>
    </row>
    <row r="385" spans="1:6">
      <c r="A385" s="96"/>
      <c r="B385" s="138" t="s">
        <v>1755</v>
      </c>
      <c r="C385" s="93" t="s">
        <v>98</v>
      </c>
      <c r="D385" s="93" t="s">
        <v>462</v>
      </c>
      <c r="E385" s="93"/>
      <c r="F385" s="94">
        <v>0.15240000000000001</v>
      </c>
    </row>
    <row r="386" spans="1:6">
      <c r="A386" s="96"/>
      <c r="B386" s="138" t="s">
        <v>1754</v>
      </c>
      <c r="C386" s="93" t="s">
        <v>98</v>
      </c>
      <c r="D386" s="93" t="s">
        <v>462</v>
      </c>
      <c r="E386" s="93" t="s">
        <v>1849</v>
      </c>
      <c r="F386" s="94">
        <v>0.17519999999999999</v>
      </c>
    </row>
    <row r="387" spans="1:6">
      <c r="A387" s="96"/>
      <c r="B387" s="138" t="s">
        <v>1757</v>
      </c>
      <c r="C387" s="93" t="s">
        <v>366</v>
      </c>
      <c r="D387" s="93" t="s">
        <v>427</v>
      </c>
      <c r="E387" s="93"/>
      <c r="F387" s="94">
        <v>1.6400000000000001E-2</v>
      </c>
    </row>
    <row r="388" spans="1:6">
      <c r="A388" s="96"/>
      <c r="B388" s="138" t="s">
        <v>1756</v>
      </c>
      <c r="C388" s="93" t="s">
        <v>366</v>
      </c>
      <c r="D388" s="93" t="s">
        <v>427</v>
      </c>
      <c r="E388" s="93" t="s">
        <v>1849</v>
      </c>
      <c r="F388" s="94">
        <v>2.5600000000000001E-2</v>
      </c>
    </row>
    <row r="389" spans="1:6">
      <c r="A389" s="96"/>
      <c r="B389" s="138" t="s">
        <v>1759</v>
      </c>
      <c r="C389" s="93" t="s">
        <v>298</v>
      </c>
      <c r="D389" s="93" t="s">
        <v>589</v>
      </c>
      <c r="E389" s="93"/>
      <c r="F389" s="94">
        <v>0.48020000000000002</v>
      </c>
    </row>
    <row r="390" spans="1:6">
      <c r="A390" s="96"/>
      <c r="B390" s="138" t="s">
        <v>1758</v>
      </c>
      <c r="C390" s="93" t="s">
        <v>298</v>
      </c>
      <c r="D390" s="93" t="s">
        <v>589</v>
      </c>
      <c r="E390" s="93" t="s">
        <v>1849</v>
      </c>
      <c r="F390" s="94">
        <v>0.48020000000000002</v>
      </c>
    </row>
    <row r="391" spans="1:6">
      <c r="A391" s="96"/>
      <c r="B391" s="138" t="s">
        <v>1761</v>
      </c>
      <c r="C391" s="93" t="s">
        <v>59</v>
      </c>
      <c r="D391" s="93" t="s">
        <v>402</v>
      </c>
      <c r="E391" s="93"/>
      <c r="F391" s="94">
        <v>3.8E-3</v>
      </c>
    </row>
    <row r="392" spans="1:6">
      <c r="A392" s="96"/>
      <c r="B392" s="138" t="s">
        <v>1760</v>
      </c>
      <c r="C392" s="93" t="s">
        <v>59</v>
      </c>
      <c r="D392" s="93" t="s">
        <v>402</v>
      </c>
      <c r="E392" s="93" t="s">
        <v>1849</v>
      </c>
      <c r="F392" s="94">
        <v>1.26E-2</v>
      </c>
    </row>
    <row r="393" spans="1:6">
      <c r="A393" s="96"/>
      <c r="B393" s="138" t="s">
        <v>1763</v>
      </c>
      <c r="C393" s="93" t="s">
        <v>265</v>
      </c>
      <c r="D393" s="93" t="s">
        <v>541</v>
      </c>
      <c r="E393" s="93"/>
      <c r="F393" s="94">
        <v>0.1648</v>
      </c>
    </row>
    <row r="394" spans="1:6">
      <c r="A394" s="96"/>
      <c r="B394" s="138" t="s">
        <v>1762</v>
      </c>
      <c r="C394" s="93" t="s">
        <v>265</v>
      </c>
      <c r="D394" s="93" t="s">
        <v>541</v>
      </c>
      <c r="E394" s="93" t="s">
        <v>1849</v>
      </c>
      <c r="F394" s="94">
        <v>0.1643</v>
      </c>
    </row>
    <row r="395" spans="1:6">
      <c r="A395" s="96"/>
      <c r="B395" s="138" t="s">
        <v>1765</v>
      </c>
      <c r="C395" s="93" t="s">
        <v>907</v>
      </c>
      <c r="D395" s="93" t="s">
        <v>583</v>
      </c>
      <c r="E395" s="93"/>
      <c r="F395" s="94">
        <v>2.1032000000000002</v>
      </c>
    </row>
    <row r="396" spans="1:6">
      <c r="A396" s="96"/>
      <c r="B396" s="138" t="s">
        <v>1764</v>
      </c>
      <c r="C396" s="93" t="s">
        <v>907</v>
      </c>
      <c r="D396" s="93" t="s">
        <v>583</v>
      </c>
      <c r="E396" s="93" t="s">
        <v>1849</v>
      </c>
      <c r="F396" s="94">
        <v>2.1032000000000002</v>
      </c>
    </row>
    <row r="397" spans="1:6">
      <c r="A397" s="96"/>
      <c r="B397" s="138" t="s">
        <v>1767</v>
      </c>
      <c r="C397" s="93" t="s">
        <v>908</v>
      </c>
      <c r="D397" s="93" t="s">
        <v>534</v>
      </c>
      <c r="E397" s="93"/>
      <c r="F397" s="94">
        <v>0.25469999999999998</v>
      </c>
    </row>
    <row r="398" spans="1:6">
      <c r="A398" s="96"/>
      <c r="B398" s="138" t="s">
        <v>1766</v>
      </c>
      <c r="C398" s="93" t="s">
        <v>908</v>
      </c>
      <c r="D398" s="93" t="s">
        <v>534</v>
      </c>
      <c r="E398" s="93" t="s">
        <v>1849</v>
      </c>
      <c r="F398" s="94">
        <v>0.25469999999999998</v>
      </c>
    </row>
    <row r="399" spans="1:6">
      <c r="A399" s="96"/>
      <c r="B399" s="138" t="s">
        <v>1769</v>
      </c>
      <c r="C399" s="93" t="s">
        <v>909</v>
      </c>
      <c r="D399" s="93" t="s">
        <v>540</v>
      </c>
      <c r="E399" s="93"/>
      <c r="F399" s="94">
        <v>0.25230000000000002</v>
      </c>
    </row>
    <row r="400" spans="1:6">
      <c r="A400" s="96"/>
      <c r="B400" s="138" t="s">
        <v>1768</v>
      </c>
      <c r="C400" s="93" t="s">
        <v>909</v>
      </c>
      <c r="D400" s="93" t="s">
        <v>540</v>
      </c>
      <c r="E400" s="93" t="s">
        <v>1849</v>
      </c>
      <c r="F400" s="94">
        <v>0.25230000000000002</v>
      </c>
    </row>
    <row r="401" spans="1:6">
      <c r="A401" s="96"/>
      <c r="B401" s="138" t="s">
        <v>1771</v>
      </c>
      <c r="C401" s="93" t="s">
        <v>910</v>
      </c>
      <c r="D401" s="93" t="s">
        <v>453</v>
      </c>
      <c r="E401" s="93"/>
      <c r="F401" s="94">
        <v>0.1449</v>
      </c>
    </row>
    <row r="402" spans="1:6">
      <c r="A402" s="96"/>
      <c r="B402" s="138" t="s">
        <v>1770</v>
      </c>
      <c r="C402" s="93" t="s">
        <v>910</v>
      </c>
      <c r="D402" s="93" t="s">
        <v>453</v>
      </c>
      <c r="E402" s="93" t="s">
        <v>1849</v>
      </c>
      <c r="F402" s="94">
        <v>0.40960000000000002</v>
      </c>
    </row>
    <row r="403" spans="1:6">
      <c r="A403" s="96"/>
      <c r="B403" s="138" t="s">
        <v>1773</v>
      </c>
      <c r="C403" s="93" t="s">
        <v>911</v>
      </c>
      <c r="D403" s="93" t="s">
        <v>612</v>
      </c>
      <c r="E403" s="93" t="s">
        <v>1849</v>
      </c>
      <c r="F403" s="94">
        <v>0.24060000000000001</v>
      </c>
    </row>
    <row r="404" spans="1:6">
      <c r="A404" s="96"/>
      <c r="B404" s="138" t="s">
        <v>1772</v>
      </c>
      <c r="C404" s="93" t="s">
        <v>911</v>
      </c>
      <c r="D404" s="93" t="s">
        <v>612</v>
      </c>
      <c r="E404" s="93"/>
      <c r="F404" s="94">
        <v>0.24060000000000001</v>
      </c>
    </row>
    <row r="405" spans="1:6">
      <c r="A405" s="96"/>
      <c r="B405" s="138" t="s">
        <v>1775</v>
      </c>
      <c r="C405" s="93" t="s">
        <v>270</v>
      </c>
      <c r="D405" s="93" t="s">
        <v>581</v>
      </c>
      <c r="E405" s="93"/>
      <c r="F405" s="94">
        <v>0.1691</v>
      </c>
    </row>
    <row r="406" spans="1:6">
      <c r="A406" s="96"/>
      <c r="B406" s="138" t="s">
        <v>1774</v>
      </c>
      <c r="C406" s="93" t="s">
        <v>270</v>
      </c>
      <c r="D406" s="93" t="s">
        <v>581</v>
      </c>
      <c r="E406" s="93" t="s">
        <v>1849</v>
      </c>
      <c r="F406" s="94">
        <v>0.1653</v>
      </c>
    </row>
    <row r="407" spans="1:6">
      <c r="A407" s="96"/>
      <c r="B407" s="138" t="s">
        <v>1777</v>
      </c>
      <c r="C407" s="93" t="s">
        <v>271</v>
      </c>
      <c r="D407" s="93" t="s">
        <v>591</v>
      </c>
      <c r="E407" s="93"/>
      <c r="F407" s="94">
        <v>0.3105</v>
      </c>
    </row>
    <row r="408" spans="1:6">
      <c r="A408" s="96"/>
      <c r="B408" s="138" t="s">
        <v>1776</v>
      </c>
      <c r="C408" s="93" t="s">
        <v>271</v>
      </c>
      <c r="D408" s="93" t="s">
        <v>591</v>
      </c>
      <c r="E408" s="93" t="s">
        <v>1849</v>
      </c>
      <c r="F408" s="94">
        <v>0.2752</v>
      </c>
    </row>
    <row r="409" spans="1:6">
      <c r="A409" s="96"/>
      <c r="B409" s="138" t="s">
        <v>1779</v>
      </c>
      <c r="C409" s="93" t="s">
        <v>272</v>
      </c>
      <c r="D409" s="93" t="s">
        <v>592</v>
      </c>
      <c r="E409" s="93"/>
      <c r="F409" s="94">
        <v>0.15359999999999999</v>
      </c>
    </row>
    <row r="410" spans="1:6">
      <c r="A410" s="96"/>
      <c r="B410" s="138" t="s">
        <v>1778</v>
      </c>
      <c r="C410" s="93" t="s">
        <v>272</v>
      </c>
      <c r="D410" s="93" t="s">
        <v>592</v>
      </c>
      <c r="E410" s="93" t="s">
        <v>1849</v>
      </c>
      <c r="F410" s="94">
        <v>0.16669999999999999</v>
      </c>
    </row>
    <row r="411" spans="1:6">
      <c r="A411" s="96"/>
      <c r="B411" s="138" t="s">
        <v>1781</v>
      </c>
      <c r="C411" s="93" t="s">
        <v>60</v>
      </c>
      <c r="D411" s="93" t="s">
        <v>456</v>
      </c>
      <c r="E411" s="93"/>
      <c r="F411" s="94">
        <v>4.0000000000000001E-3</v>
      </c>
    </row>
    <row r="412" spans="1:6">
      <c r="A412" s="96"/>
      <c r="B412" s="138" t="s">
        <v>1780</v>
      </c>
      <c r="C412" s="93" t="s">
        <v>60</v>
      </c>
      <c r="D412" s="93" t="s">
        <v>456</v>
      </c>
      <c r="E412" s="93" t="s">
        <v>1849</v>
      </c>
      <c r="F412" s="94">
        <v>1.06E-2</v>
      </c>
    </row>
    <row r="413" spans="1:6">
      <c r="A413" s="96"/>
      <c r="B413" s="138" t="s">
        <v>1783</v>
      </c>
      <c r="C413" s="93" t="s">
        <v>61</v>
      </c>
      <c r="D413" s="93" t="s">
        <v>393</v>
      </c>
      <c r="E413" s="93"/>
      <c r="F413" s="94">
        <v>1.4200000000000001E-2</v>
      </c>
    </row>
    <row r="414" spans="1:6">
      <c r="A414" s="96"/>
      <c r="B414" s="138" t="s">
        <v>1782</v>
      </c>
      <c r="C414" s="93" t="s">
        <v>61</v>
      </c>
      <c r="D414" s="93" t="s">
        <v>393</v>
      </c>
      <c r="E414" s="93" t="s">
        <v>1849</v>
      </c>
      <c r="F414" s="94">
        <v>5.11E-2</v>
      </c>
    </row>
    <row r="415" spans="1:6">
      <c r="A415" s="96"/>
      <c r="B415" s="138" t="s">
        <v>1785</v>
      </c>
      <c r="C415" s="93" t="s">
        <v>273</v>
      </c>
      <c r="D415" s="93" t="s">
        <v>595</v>
      </c>
      <c r="E415" s="93"/>
      <c r="F415" s="94">
        <v>0.31419999999999998</v>
      </c>
    </row>
    <row r="416" spans="1:6">
      <c r="A416" s="96"/>
      <c r="B416" s="138" t="s">
        <v>1784</v>
      </c>
      <c r="C416" s="93" t="s">
        <v>273</v>
      </c>
      <c r="D416" s="93" t="s">
        <v>595</v>
      </c>
      <c r="E416" s="93" t="s">
        <v>1849</v>
      </c>
      <c r="F416" s="94">
        <v>0.31419999999999998</v>
      </c>
    </row>
    <row r="417" spans="1:6">
      <c r="A417" s="96"/>
      <c r="B417" s="138" t="s">
        <v>1787</v>
      </c>
      <c r="C417" s="93" t="s">
        <v>62</v>
      </c>
      <c r="D417" s="93" t="s">
        <v>458</v>
      </c>
      <c r="E417" s="93"/>
      <c r="F417" s="94">
        <v>2.4400000000000002E-2</v>
      </c>
    </row>
    <row r="418" spans="1:6">
      <c r="A418" s="96"/>
      <c r="B418" s="138" t="s">
        <v>1786</v>
      </c>
      <c r="C418" s="93" t="s">
        <v>62</v>
      </c>
      <c r="D418" s="93" t="s">
        <v>458</v>
      </c>
      <c r="E418" s="93" t="s">
        <v>1849</v>
      </c>
      <c r="F418" s="94">
        <v>0.1077</v>
      </c>
    </row>
    <row r="419" spans="1:6">
      <c r="A419" s="96"/>
      <c r="B419" s="138" t="s">
        <v>1789</v>
      </c>
      <c r="C419" s="93" t="s">
        <v>274</v>
      </c>
      <c r="D419" s="93" t="s">
        <v>600</v>
      </c>
      <c r="E419" s="93"/>
      <c r="F419" s="94">
        <v>0.19020000000000001</v>
      </c>
    </row>
    <row r="420" spans="1:6">
      <c r="A420" s="96"/>
      <c r="B420" s="138" t="s">
        <v>1788</v>
      </c>
      <c r="C420" s="93" t="s">
        <v>274</v>
      </c>
      <c r="D420" s="93" t="s">
        <v>600</v>
      </c>
      <c r="E420" s="93" t="s">
        <v>1849</v>
      </c>
      <c r="F420" s="94">
        <v>0.19020000000000001</v>
      </c>
    </row>
    <row r="421" spans="1:6">
      <c r="A421" s="96"/>
      <c r="B421" s="138" t="s">
        <v>1791</v>
      </c>
      <c r="C421" s="93" t="s">
        <v>275</v>
      </c>
      <c r="D421" s="93" t="s">
        <v>459</v>
      </c>
      <c r="E421" s="93"/>
      <c r="F421" s="94">
        <v>0.3362</v>
      </c>
    </row>
    <row r="422" spans="1:6">
      <c r="A422" s="96"/>
      <c r="B422" s="138" t="s">
        <v>1790</v>
      </c>
      <c r="C422" s="93" t="s">
        <v>275</v>
      </c>
      <c r="D422" s="93" t="s">
        <v>459</v>
      </c>
      <c r="E422" s="93" t="s">
        <v>1849</v>
      </c>
      <c r="F422" s="94">
        <v>0.3377</v>
      </c>
    </row>
    <row r="423" spans="1:6">
      <c r="A423" s="96"/>
      <c r="B423" s="138" t="s">
        <v>1793</v>
      </c>
      <c r="C423" s="93" t="s">
        <v>99</v>
      </c>
      <c r="D423" s="93" t="s">
        <v>599</v>
      </c>
      <c r="E423" s="93"/>
      <c r="F423" s="94">
        <v>6.4699999999999994E-2</v>
      </c>
    </row>
    <row r="424" spans="1:6">
      <c r="A424" s="96"/>
      <c r="B424" s="138" t="s">
        <v>1792</v>
      </c>
      <c r="C424" s="93" t="s">
        <v>99</v>
      </c>
      <c r="D424" s="93" t="s">
        <v>599</v>
      </c>
      <c r="E424" s="93" t="s">
        <v>1849</v>
      </c>
      <c r="F424" s="94">
        <v>6.8400000000000002E-2</v>
      </c>
    </row>
    <row r="425" spans="1:6">
      <c r="A425" s="96"/>
      <c r="B425" s="138" t="s">
        <v>1795</v>
      </c>
      <c r="C425" s="93" t="s">
        <v>276</v>
      </c>
      <c r="D425" s="93" t="s">
        <v>598</v>
      </c>
      <c r="E425" s="93"/>
      <c r="F425" s="94">
        <v>0.29849999999999999</v>
      </c>
    </row>
    <row r="426" spans="1:6">
      <c r="A426" s="96"/>
      <c r="B426" s="138" t="s">
        <v>1794</v>
      </c>
      <c r="C426" s="93" t="s">
        <v>276</v>
      </c>
      <c r="D426" s="93" t="s">
        <v>598</v>
      </c>
      <c r="E426" s="93" t="s">
        <v>1849</v>
      </c>
      <c r="F426" s="94">
        <v>0.35220000000000001</v>
      </c>
    </row>
    <row r="427" spans="1:6">
      <c r="A427" s="96"/>
      <c r="B427" s="138" t="s">
        <v>1797</v>
      </c>
      <c r="C427" s="93" t="s">
        <v>277</v>
      </c>
      <c r="D427" s="93" t="s">
        <v>601</v>
      </c>
      <c r="E427" s="93"/>
      <c r="F427" s="94">
        <v>1.8582000000000001</v>
      </c>
    </row>
    <row r="428" spans="1:6">
      <c r="A428" s="96"/>
      <c r="B428" s="138" t="s">
        <v>1796</v>
      </c>
      <c r="C428" s="93" t="s">
        <v>277</v>
      </c>
      <c r="D428" s="93" t="s">
        <v>601</v>
      </c>
      <c r="E428" s="93" t="s">
        <v>1849</v>
      </c>
      <c r="F428" s="94">
        <v>1.8582000000000001</v>
      </c>
    </row>
    <row r="429" spans="1:6">
      <c r="A429" s="96"/>
      <c r="B429" s="138" t="s">
        <v>1799</v>
      </c>
      <c r="C429" s="93" t="s">
        <v>278</v>
      </c>
      <c r="D429" s="93" t="s">
        <v>604</v>
      </c>
      <c r="E429" s="93"/>
      <c r="F429" s="94">
        <v>1.0740000000000001</v>
      </c>
    </row>
    <row r="430" spans="1:6">
      <c r="A430" s="96"/>
      <c r="B430" s="138" t="s">
        <v>1798</v>
      </c>
      <c r="C430" s="93" t="s">
        <v>278</v>
      </c>
      <c r="D430" s="93" t="s">
        <v>604</v>
      </c>
      <c r="E430" s="93" t="s">
        <v>1849</v>
      </c>
      <c r="F430" s="94">
        <v>1.6102000000000001</v>
      </c>
    </row>
    <row r="431" spans="1:6">
      <c r="A431" s="96"/>
      <c r="B431" s="138" t="s">
        <v>1801</v>
      </c>
      <c r="C431" s="93" t="s">
        <v>279</v>
      </c>
      <c r="D431" s="93" t="s">
        <v>605</v>
      </c>
      <c r="E431" s="93"/>
      <c r="F431" s="94">
        <v>0.2409</v>
      </c>
    </row>
    <row r="432" spans="1:6">
      <c r="A432" s="96"/>
      <c r="B432" s="138" t="s">
        <v>1800</v>
      </c>
      <c r="C432" s="93" t="s">
        <v>279</v>
      </c>
      <c r="D432" s="93" t="s">
        <v>605</v>
      </c>
      <c r="E432" s="93" t="s">
        <v>1849</v>
      </c>
      <c r="F432" s="94">
        <v>0.23630000000000001</v>
      </c>
    </row>
    <row r="433" spans="1:6">
      <c r="A433" s="96"/>
      <c r="B433" s="138" t="s">
        <v>1803</v>
      </c>
      <c r="C433" s="93" t="s">
        <v>100</v>
      </c>
      <c r="D433" s="93" t="s">
        <v>606</v>
      </c>
      <c r="E433" s="93"/>
      <c r="F433" s="94">
        <v>0.80079999999999996</v>
      </c>
    </row>
    <row r="434" spans="1:6">
      <c r="A434" s="96"/>
      <c r="B434" s="138" t="s">
        <v>1802</v>
      </c>
      <c r="C434" s="93" t="s">
        <v>100</v>
      </c>
      <c r="D434" s="93" t="s">
        <v>606</v>
      </c>
      <c r="E434" s="93" t="s">
        <v>1849</v>
      </c>
      <c r="F434" s="94">
        <v>0.80030000000000001</v>
      </c>
    </row>
    <row r="435" spans="1:6">
      <c r="A435" s="96"/>
      <c r="B435" s="138" t="s">
        <v>1805</v>
      </c>
      <c r="C435" s="93" t="s">
        <v>101</v>
      </c>
      <c r="D435" s="93" t="s">
        <v>457</v>
      </c>
      <c r="E435" s="93"/>
      <c r="F435" s="94">
        <v>3.0499999999999999E-2</v>
      </c>
    </row>
    <row r="436" spans="1:6">
      <c r="A436" s="96"/>
      <c r="B436" s="138" t="s">
        <v>1804</v>
      </c>
      <c r="C436" s="93" t="s">
        <v>101</v>
      </c>
      <c r="D436" s="93" t="s">
        <v>457</v>
      </c>
      <c r="E436" s="93" t="s">
        <v>1849</v>
      </c>
      <c r="F436" s="94">
        <v>0.18729999999999999</v>
      </c>
    </row>
    <row r="437" spans="1:6">
      <c r="A437" s="96"/>
      <c r="B437" s="138" t="s">
        <v>1807</v>
      </c>
      <c r="C437" s="93" t="s">
        <v>280</v>
      </c>
      <c r="D437" s="93" t="s">
        <v>602</v>
      </c>
      <c r="E437" s="93"/>
      <c r="F437" s="94">
        <v>0.1489</v>
      </c>
    </row>
    <row r="438" spans="1:6">
      <c r="A438" s="96"/>
      <c r="B438" s="138" t="s">
        <v>1806</v>
      </c>
      <c r="C438" s="93" t="s">
        <v>280</v>
      </c>
      <c r="D438" s="93" t="s">
        <v>602</v>
      </c>
      <c r="E438" s="93" t="s">
        <v>1849</v>
      </c>
      <c r="F438" s="94">
        <v>0.1489</v>
      </c>
    </row>
    <row r="439" spans="1:6">
      <c r="A439" s="96"/>
      <c r="B439" s="138" t="s">
        <v>1809</v>
      </c>
      <c r="C439" s="93" t="s">
        <v>912</v>
      </c>
      <c r="D439" s="93" t="s">
        <v>596</v>
      </c>
      <c r="E439" s="93"/>
      <c r="F439" s="94">
        <v>0.2157</v>
      </c>
    </row>
    <row r="440" spans="1:6">
      <c r="A440" s="96"/>
      <c r="B440" s="138" t="s">
        <v>1808</v>
      </c>
      <c r="C440" s="93" t="s">
        <v>912</v>
      </c>
      <c r="D440" s="93" t="s">
        <v>596</v>
      </c>
      <c r="E440" s="93" t="s">
        <v>1849</v>
      </c>
      <c r="F440" s="94">
        <v>0.2157</v>
      </c>
    </row>
    <row r="441" spans="1:6">
      <c r="A441" s="96"/>
      <c r="B441" s="138" t="s">
        <v>1811</v>
      </c>
      <c r="C441" s="93" t="s">
        <v>281</v>
      </c>
      <c r="D441" s="93" t="s">
        <v>607</v>
      </c>
      <c r="E441" s="93"/>
      <c r="F441" s="94">
        <v>2.1034000000000002</v>
      </c>
    </row>
    <row r="442" spans="1:6">
      <c r="A442" s="96"/>
      <c r="B442" s="138" t="s">
        <v>1810</v>
      </c>
      <c r="C442" s="93" t="s">
        <v>281</v>
      </c>
      <c r="D442" s="93" t="s">
        <v>607</v>
      </c>
      <c r="E442" s="93" t="s">
        <v>1849</v>
      </c>
      <c r="F442" s="94">
        <v>1.363</v>
      </c>
    </row>
    <row r="443" spans="1:6">
      <c r="A443" s="96"/>
      <c r="B443" s="138" t="s">
        <v>1813</v>
      </c>
      <c r="C443" s="93" t="s">
        <v>282</v>
      </c>
      <c r="D443" s="93" t="s">
        <v>608</v>
      </c>
      <c r="E443" s="93"/>
      <c r="F443" s="94">
        <v>0.43409999999999999</v>
      </c>
    </row>
    <row r="444" spans="1:6">
      <c r="A444" s="96"/>
      <c r="B444" s="138" t="s">
        <v>1812</v>
      </c>
      <c r="C444" s="93" t="s">
        <v>282</v>
      </c>
      <c r="D444" s="93" t="s">
        <v>608</v>
      </c>
      <c r="E444" s="93" t="s">
        <v>1849</v>
      </c>
      <c r="F444" s="94">
        <v>0.41520000000000001</v>
      </c>
    </row>
    <row r="445" spans="1:6">
      <c r="A445" s="96"/>
      <c r="B445" s="138" t="s">
        <v>1815</v>
      </c>
      <c r="C445" s="93" t="s">
        <v>283</v>
      </c>
      <c r="D445" s="93" t="s">
        <v>609</v>
      </c>
      <c r="E445" s="93"/>
      <c r="F445" s="94">
        <v>0.14199999999999999</v>
      </c>
    </row>
    <row r="446" spans="1:6">
      <c r="A446" s="96"/>
      <c r="B446" s="138" t="s">
        <v>1814</v>
      </c>
      <c r="C446" s="93" t="s">
        <v>283</v>
      </c>
      <c r="D446" s="93" t="s">
        <v>609</v>
      </c>
      <c r="E446" s="93" t="s">
        <v>1849</v>
      </c>
      <c r="F446" s="94">
        <v>0.2666</v>
      </c>
    </row>
    <row r="447" spans="1:6">
      <c r="A447" s="96"/>
      <c r="B447" s="138" t="s">
        <v>1817</v>
      </c>
      <c r="C447" s="93" t="s">
        <v>102</v>
      </c>
      <c r="D447" s="93" t="s">
        <v>469</v>
      </c>
      <c r="E447" s="93"/>
      <c r="F447" s="94">
        <v>0.17599999999999999</v>
      </c>
    </row>
    <row r="448" spans="1:6">
      <c r="A448" s="96"/>
      <c r="B448" s="138" t="s">
        <v>1816</v>
      </c>
      <c r="C448" s="93" t="s">
        <v>102</v>
      </c>
      <c r="D448" s="93" t="s">
        <v>469</v>
      </c>
      <c r="E448" s="93" t="s">
        <v>1849</v>
      </c>
      <c r="F448" s="94">
        <v>0.1648</v>
      </c>
    </row>
    <row r="449" spans="1:6">
      <c r="A449" s="96"/>
      <c r="B449" s="138" t="s">
        <v>1819</v>
      </c>
      <c r="C449" s="93" t="s">
        <v>63</v>
      </c>
      <c r="D449" s="93" t="s">
        <v>406</v>
      </c>
      <c r="E449" s="93"/>
      <c r="F449" s="94">
        <v>3.7000000000000002E-3</v>
      </c>
    </row>
    <row r="450" spans="1:6">
      <c r="A450" s="96"/>
      <c r="B450" s="138" t="s">
        <v>1818</v>
      </c>
      <c r="C450" s="93" t="s">
        <v>63</v>
      </c>
      <c r="D450" s="93" t="s">
        <v>406</v>
      </c>
      <c r="E450" s="93" t="s">
        <v>1849</v>
      </c>
      <c r="F450" s="94">
        <v>1.11E-2</v>
      </c>
    </row>
    <row r="451" spans="1:6">
      <c r="A451" s="96"/>
      <c r="B451" s="138" t="s">
        <v>1821</v>
      </c>
      <c r="C451" s="93" t="s">
        <v>284</v>
      </c>
      <c r="D451" s="93" t="s">
        <v>610</v>
      </c>
      <c r="E451" s="93"/>
      <c r="F451" s="94">
        <v>5.6399999999999999E-2</v>
      </c>
    </row>
    <row r="452" spans="1:6">
      <c r="A452" s="96"/>
      <c r="B452" s="138" t="s">
        <v>1820</v>
      </c>
      <c r="C452" s="93" t="s">
        <v>284</v>
      </c>
      <c r="D452" s="93" t="s">
        <v>610</v>
      </c>
      <c r="E452" s="93" t="s">
        <v>1849</v>
      </c>
      <c r="F452" s="94">
        <v>0.16120000000000001</v>
      </c>
    </row>
    <row r="453" spans="1:6">
      <c r="A453" s="96"/>
      <c r="B453" s="138" t="s">
        <v>1823</v>
      </c>
      <c r="C453" s="93" t="s">
        <v>299</v>
      </c>
      <c r="D453" s="93" t="s">
        <v>64</v>
      </c>
      <c r="E453" s="93"/>
      <c r="F453" s="94">
        <v>5.7999999999999996E-3</v>
      </c>
    </row>
    <row r="454" spans="1:6">
      <c r="A454" s="96"/>
      <c r="B454" s="138" t="s">
        <v>1823</v>
      </c>
      <c r="C454" s="93" t="s">
        <v>941</v>
      </c>
      <c r="D454" s="93" t="s">
        <v>64</v>
      </c>
      <c r="E454" s="93"/>
      <c r="F454" s="94">
        <v>5.7999999999999996E-3</v>
      </c>
    </row>
    <row r="455" spans="1:6">
      <c r="A455" s="96"/>
      <c r="B455" s="138" t="s">
        <v>1822</v>
      </c>
      <c r="C455" s="93" t="s">
        <v>299</v>
      </c>
      <c r="D455" s="93" t="s">
        <v>64</v>
      </c>
      <c r="E455" s="93" t="s">
        <v>1849</v>
      </c>
      <c r="F455" s="94">
        <v>5.7999999999999996E-3</v>
      </c>
    </row>
    <row r="456" spans="1:6">
      <c r="A456" s="96"/>
      <c r="B456" s="138" t="s">
        <v>1825</v>
      </c>
      <c r="C456" s="93" t="s">
        <v>285</v>
      </c>
      <c r="D456" s="93" t="s">
        <v>611</v>
      </c>
      <c r="E456" s="93"/>
      <c r="F456" s="94">
        <v>9.9500000000000005E-2</v>
      </c>
    </row>
    <row r="457" spans="1:6">
      <c r="A457" s="96"/>
      <c r="B457" s="138" t="s">
        <v>1824</v>
      </c>
      <c r="C457" s="93" t="s">
        <v>285</v>
      </c>
      <c r="D457" s="93" t="s">
        <v>611</v>
      </c>
      <c r="E457" s="93" t="s">
        <v>1849</v>
      </c>
      <c r="F457" s="94">
        <v>0.12</v>
      </c>
    </row>
    <row r="458" spans="1:6">
      <c r="A458" s="96"/>
      <c r="B458" s="138" t="s">
        <v>1827</v>
      </c>
      <c r="C458" s="93" t="s">
        <v>286</v>
      </c>
      <c r="D458" s="93" t="s">
        <v>617</v>
      </c>
      <c r="E458" s="93"/>
      <c r="F458" s="94">
        <v>1.4912000000000001</v>
      </c>
    </row>
    <row r="459" spans="1:6">
      <c r="A459" s="96"/>
      <c r="B459" s="138" t="s">
        <v>1826</v>
      </c>
      <c r="C459" s="93" t="s">
        <v>286</v>
      </c>
      <c r="D459" s="93" t="s">
        <v>617</v>
      </c>
      <c r="E459" s="93" t="s">
        <v>1849</v>
      </c>
      <c r="F459" s="94">
        <v>1.4912000000000001</v>
      </c>
    </row>
    <row r="460" spans="1:6">
      <c r="A460" s="96"/>
      <c r="B460" s="138" t="s">
        <v>1829</v>
      </c>
      <c r="C460" s="93" t="s">
        <v>103</v>
      </c>
      <c r="D460" s="93" t="s">
        <v>613</v>
      </c>
      <c r="E460" s="93"/>
      <c r="F460" s="94">
        <v>2.6800000000000001E-2</v>
      </c>
    </row>
    <row r="461" spans="1:6">
      <c r="A461" s="96"/>
      <c r="B461" s="138" t="s">
        <v>1828</v>
      </c>
      <c r="C461" s="93" t="s">
        <v>103</v>
      </c>
      <c r="D461" s="93" t="s">
        <v>613</v>
      </c>
      <c r="E461" s="93" t="s">
        <v>1849</v>
      </c>
      <c r="F461" s="94">
        <v>9.2100000000000001E-2</v>
      </c>
    </row>
    <row r="462" spans="1:6">
      <c r="A462" s="96"/>
      <c r="B462" s="138" t="s">
        <v>1831</v>
      </c>
      <c r="C462" s="93" t="s">
        <v>288</v>
      </c>
      <c r="D462" s="93" t="s">
        <v>616</v>
      </c>
      <c r="E462" s="93"/>
      <c r="F462" s="94">
        <v>7.46E-2</v>
      </c>
    </row>
    <row r="463" spans="1:6">
      <c r="A463" s="96"/>
      <c r="B463" s="138" t="s">
        <v>1830</v>
      </c>
      <c r="C463" s="93" t="s">
        <v>288</v>
      </c>
      <c r="D463" s="93" t="s">
        <v>616</v>
      </c>
      <c r="E463" s="93" t="s">
        <v>1849</v>
      </c>
      <c r="F463" s="94">
        <v>7.7100000000000002E-2</v>
      </c>
    </row>
    <row r="464" spans="1:6">
      <c r="A464" s="96"/>
      <c r="B464" s="138" t="s">
        <v>1834</v>
      </c>
      <c r="C464" s="93" t="s">
        <v>364</v>
      </c>
      <c r="D464" s="93" t="s">
        <v>614</v>
      </c>
      <c r="E464" s="93"/>
      <c r="F464" s="94">
        <v>0.27110000000000001</v>
      </c>
    </row>
    <row r="465" spans="1:6">
      <c r="A465" s="96"/>
      <c r="B465" s="138" t="s">
        <v>1833</v>
      </c>
      <c r="C465" s="93" t="s">
        <v>300</v>
      </c>
      <c r="D465" s="93" t="s">
        <v>461</v>
      </c>
      <c r="E465" s="93"/>
      <c r="F465" s="94">
        <v>2.2599999999999999E-2</v>
      </c>
    </row>
    <row r="466" spans="1:6">
      <c r="A466" s="96"/>
      <c r="B466" s="138" t="s">
        <v>1832</v>
      </c>
      <c r="C466" s="93" t="s">
        <v>300</v>
      </c>
      <c r="D466" s="93" t="s">
        <v>461</v>
      </c>
      <c r="E466" s="93" t="s">
        <v>1849</v>
      </c>
      <c r="F466" s="94">
        <v>2.2599999999999999E-2</v>
      </c>
    </row>
    <row r="467" spans="1:6">
      <c r="A467" s="96"/>
      <c r="B467" s="138" t="s">
        <v>1835</v>
      </c>
      <c r="C467" s="93" t="s">
        <v>364</v>
      </c>
      <c r="D467" s="93" t="s">
        <v>614</v>
      </c>
      <c r="E467" s="93" t="s">
        <v>1849</v>
      </c>
      <c r="F467" s="94">
        <v>0.27110000000000001</v>
      </c>
    </row>
    <row r="468" spans="1:6">
      <c r="A468" s="96"/>
      <c r="B468" s="138" t="s">
        <v>1837</v>
      </c>
      <c r="C468" s="93" t="s">
        <v>914</v>
      </c>
      <c r="D468" s="93" t="s">
        <v>618</v>
      </c>
      <c r="E468" s="93"/>
      <c r="F468" s="94">
        <v>0.2661</v>
      </c>
    </row>
    <row r="469" spans="1:6">
      <c r="A469" s="96"/>
      <c r="B469" s="138" t="s">
        <v>1836</v>
      </c>
      <c r="C469" s="93" t="s">
        <v>914</v>
      </c>
      <c r="D469" s="93" t="s">
        <v>618</v>
      </c>
      <c r="E469" s="93" t="s">
        <v>1849</v>
      </c>
      <c r="F469" s="94">
        <v>0.2661</v>
      </c>
    </row>
    <row r="470" spans="1:6">
      <c r="A470" s="96"/>
      <c r="B470" s="138" t="s">
        <v>1839</v>
      </c>
      <c r="C470" s="93" t="s">
        <v>202</v>
      </c>
      <c r="D470" s="93" t="s">
        <v>620</v>
      </c>
      <c r="E470" s="93"/>
      <c r="F470" s="94">
        <v>0.14979999999999999</v>
      </c>
    </row>
    <row r="471" spans="1:6">
      <c r="A471" s="96"/>
      <c r="B471" s="138" t="s">
        <v>1838</v>
      </c>
      <c r="C471" s="93" t="s">
        <v>202</v>
      </c>
      <c r="D471" s="93" t="s">
        <v>620</v>
      </c>
      <c r="E471" s="93" t="s">
        <v>1849</v>
      </c>
      <c r="F471" s="94">
        <v>0.14979999999999999</v>
      </c>
    </row>
    <row r="472" spans="1:6">
      <c r="A472" s="96"/>
      <c r="B472" s="138" t="s">
        <v>1841</v>
      </c>
      <c r="C472" s="93" t="s">
        <v>203</v>
      </c>
      <c r="D472" s="93" t="s">
        <v>621</v>
      </c>
      <c r="E472" s="93"/>
      <c r="F472" s="94">
        <v>0.44030000000000002</v>
      </c>
    </row>
    <row r="473" spans="1:6">
      <c r="A473" s="96"/>
      <c r="B473" s="138" t="s">
        <v>1840</v>
      </c>
      <c r="C473" s="93" t="s">
        <v>203</v>
      </c>
      <c r="D473" s="93" t="s">
        <v>621</v>
      </c>
      <c r="E473" s="93" t="s">
        <v>1849</v>
      </c>
      <c r="F473" s="94">
        <v>0.47699999999999998</v>
      </c>
    </row>
    <row r="474" spans="1:6">
      <c r="A474" s="96"/>
      <c r="B474" s="138" t="s">
        <v>1843</v>
      </c>
      <c r="C474" s="93" t="s">
        <v>104</v>
      </c>
      <c r="D474" s="93" t="s">
        <v>622</v>
      </c>
      <c r="E474" s="93"/>
      <c r="F474" s="94">
        <v>0.18909999999999999</v>
      </c>
    </row>
    <row r="475" spans="1:6">
      <c r="A475" s="96"/>
      <c r="B475" s="138" t="s">
        <v>1842</v>
      </c>
      <c r="C475" s="93" t="s">
        <v>104</v>
      </c>
      <c r="D475" s="93" t="s">
        <v>622</v>
      </c>
      <c r="E475" s="93" t="s">
        <v>1849</v>
      </c>
      <c r="F475" s="94">
        <v>0.47349999999999998</v>
      </c>
    </row>
  </sheetData>
  <hyperlinks>
    <hyperlink ref="B1" location="'Main Menu'!A1" tooltip="Go to the main menu" display="&gt;&gt; Main Menu" xr:uid="{C2059533-9282-40DC-8726-E160EDA02113}"/>
  </hyperlinks>
  <printOptions horizontalCentered="1" verticalCentered="1"/>
  <pageMargins left="0" right="0" top="0.25" bottom="0.75" header="0.5" footer="0.5"/>
  <pageSetup paperSize="9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>
    <pageSetUpPr autoPageBreaks="0" fitToPage="1"/>
  </sheetPr>
  <dimension ref="A1:S237"/>
  <sheetViews>
    <sheetView showGridLines="0" topLeftCell="A8" zoomScaleNormal="100" workbookViewId="0">
      <selection activeCell="H33" sqref="H33"/>
    </sheetView>
  </sheetViews>
  <sheetFormatPr defaultColWidth="8.7109375" defaultRowHeight="11.25"/>
  <cols>
    <col min="1" max="1" width="5.5703125" style="11" customWidth="1"/>
    <col min="2" max="2" width="15.28515625" style="3" bestFit="1" customWidth="1"/>
    <col min="3" max="3" width="20.7109375" style="3" customWidth="1"/>
    <col min="4" max="4" width="8.7109375" style="3"/>
    <col min="5" max="5" width="11" style="3" customWidth="1"/>
    <col min="6" max="6" width="8.7109375" style="3"/>
    <col min="7" max="7" width="13.5703125" style="3" bestFit="1" customWidth="1"/>
    <col min="8" max="9" width="8.7109375" style="3"/>
    <col min="10" max="10" width="6" style="3" customWidth="1"/>
    <col min="11" max="16384" width="8.7109375" style="3"/>
  </cols>
  <sheetData>
    <row r="1" spans="1:19" ht="19.5" customHeight="1">
      <c r="B1" s="152" t="s">
        <v>108</v>
      </c>
      <c r="D1" s="14"/>
      <c r="E1" s="14"/>
      <c r="F1" s="17"/>
      <c r="G1" s="17"/>
      <c r="H1" s="31"/>
      <c r="I1" s="31"/>
      <c r="S1" s="3" t="str">
        <f>_xlfn.TEXTJOIN(",",,R1:R4)</f>
        <v/>
      </c>
    </row>
    <row r="2" spans="1:19" ht="19.5" customHeight="1">
      <c r="B2" s="14"/>
      <c r="D2" s="14"/>
      <c r="E2" s="14"/>
      <c r="F2" s="17"/>
      <c r="G2" s="17"/>
      <c r="H2" s="31"/>
      <c r="I2" s="31"/>
    </row>
    <row r="3" spans="1:19" ht="20.25">
      <c r="B3" s="153" t="s">
        <v>27</v>
      </c>
      <c r="D3" s="24"/>
      <c r="E3" s="24"/>
      <c r="F3" s="17"/>
      <c r="G3" s="17"/>
      <c r="H3" s="31"/>
      <c r="I3" s="31"/>
      <c r="R3" s="1"/>
    </row>
    <row r="4" spans="1:19" s="1" customFormat="1" ht="20.25">
      <c r="A4" s="25"/>
      <c r="B4" s="153" t="s">
        <v>369</v>
      </c>
      <c r="D4" s="24"/>
      <c r="E4" s="24"/>
      <c r="F4" s="29"/>
      <c r="G4" s="29"/>
      <c r="H4" s="71"/>
    </row>
    <row r="5" spans="1:19" s="1" customFormat="1">
      <c r="A5" s="25"/>
      <c r="D5" s="22"/>
      <c r="E5" s="22"/>
      <c r="F5" s="29"/>
      <c r="G5" s="29"/>
      <c r="H5" s="71"/>
      <c r="I5" s="71"/>
      <c r="R5" s="18"/>
    </row>
    <row r="6" spans="1:19" s="1" customFormat="1">
      <c r="A6" s="25"/>
      <c r="B6" s="22"/>
      <c r="D6" s="22"/>
      <c r="E6" s="22"/>
      <c r="F6" s="29"/>
      <c r="G6" s="29"/>
      <c r="H6" s="71"/>
      <c r="R6" s="18"/>
    </row>
    <row r="7" spans="1:19" s="1" customFormat="1">
      <c r="A7" s="25"/>
      <c r="B7" s="7" t="s">
        <v>115</v>
      </c>
      <c r="D7" s="7"/>
      <c r="E7" s="7"/>
      <c r="F7" s="29"/>
      <c r="G7" s="29"/>
      <c r="H7" s="71"/>
      <c r="I7" s="71"/>
      <c r="R7" s="18"/>
    </row>
    <row r="8" spans="1:19">
      <c r="B8" s="7" t="s">
        <v>107</v>
      </c>
      <c r="D8" s="7"/>
      <c r="E8" s="7"/>
      <c r="F8" s="17"/>
      <c r="G8" s="17"/>
      <c r="H8" s="31"/>
      <c r="I8" s="31"/>
      <c r="R8" s="18"/>
    </row>
    <row r="9" spans="1:19">
      <c r="B9" s="7" t="s">
        <v>113</v>
      </c>
      <c r="D9" s="7"/>
      <c r="E9" s="7"/>
      <c r="F9" s="17"/>
      <c r="G9" s="17"/>
      <c r="H9" s="31"/>
      <c r="I9" s="31"/>
    </row>
    <row r="10" spans="1:19">
      <c r="B10" s="7" t="s">
        <v>217</v>
      </c>
      <c r="D10" s="7"/>
      <c r="E10" s="7"/>
      <c r="F10" s="17"/>
      <c r="G10" s="17"/>
      <c r="H10" s="31"/>
      <c r="I10" s="30"/>
    </row>
    <row r="11" spans="1:19">
      <c r="C11" s="7"/>
      <c r="D11" s="7"/>
      <c r="E11" s="7"/>
      <c r="F11" s="17"/>
      <c r="G11" s="17"/>
      <c r="H11" s="31"/>
      <c r="I11" s="30"/>
      <c r="K11" s="147"/>
    </row>
    <row r="12" spans="1:19">
      <c r="C12" s="7"/>
      <c r="D12" s="7"/>
      <c r="E12" s="7"/>
      <c r="F12" s="17"/>
      <c r="G12" s="17"/>
      <c r="H12" s="31"/>
      <c r="I12" s="30"/>
    </row>
    <row r="13" spans="1:19" ht="12.75" customHeight="1">
      <c r="C13" s="7"/>
      <c r="D13" s="7"/>
      <c r="E13" s="7"/>
      <c r="F13" s="170"/>
      <c r="G13" s="170"/>
      <c r="H13" s="170"/>
      <c r="I13" s="170"/>
      <c r="K13" s="147"/>
      <c r="M13" s="157"/>
    </row>
    <row r="14" spans="1:19" s="27" customFormat="1">
      <c r="A14" s="11"/>
      <c r="B14" s="3"/>
      <c r="C14" s="7"/>
      <c r="D14" s="7"/>
      <c r="E14" s="7"/>
      <c r="F14" s="19"/>
      <c r="G14" s="19"/>
      <c r="H14" s="31"/>
      <c r="I14" s="31"/>
      <c r="K14" s="147"/>
      <c r="M14" s="157"/>
    </row>
    <row r="15" spans="1:19">
      <c r="C15" s="33"/>
      <c r="D15" s="33"/>
      <c r="E15" s="33"/>
      <c r="G15" s="168" t="s">
        <v>109</v>
      </c>
      <c r="H15" s="168"/>
      <c r="I15" s="169"/>
      <c r="K15" s="147"/>
      <c r="M15" s="147"/>
    </row>
    <row r="16" spans="1:19" ht="22.5">
      <c r="A16" s="26"/>
      <c r="B16" s="27"/>
      <c r="C16" s="33"/>
      <c r="D16" s="33"/>
      <c r="E16" s="33"/>
      <c r="F16" s="150" t="s">
        <v>888</v>
      </c>
      <c r="G16" s="140" t="s">
        <v>1850</v>
      </c>
      <c r="H16" s="141" t="s">
        <v>110</v>
      </c>
      <c r="I16" s="141" t="s">
        <v>111</v>
      </c>
    </row>
    <row r="17" spans="1:9" ht="22.5">
      <c r="A17" s="11" t="s">
        <v>120</v>
      </c>
      <c r="B17" s="16" t="s">
        <v>1851</v>
      </c>
      <c r="C17" s="16" t="s">
        <v>365</v>
      </c>
      <c r="D17" s="150" t="s">
        <v>890</v>
      </c>
      <c r="E17" s="150" t="s">
        <v>931</v>
      </c>
      <c r="F17" s="150" t="s">
        <v>106</v>
      </c>
      <c r="G17" s="142" t="s">
        <v>370</v>
      </c>
      <c r="H17" s="143" t="s">
        <v>105</v>
      </c>
      <c r="I17" s="143" t="s">
        <v>112</v>
      </c>
    </row>
    <row r="18" spans="1:9">
      <c r="A18" s="28" t="s">
        <v>971</v>
      </c>
      <c r="B18" s="139" t="s">
        <v>971</v>
      </c>
      <c r="C18" s="95" t="s">
        <v>172</v>
      </c>
      <c r="D18" s="119" t="s">
        <v>467</v>
      </c>
      <c r="E18" s="119"/>
      <c r="F18" s="135">
        <v>2.7300000000000001E-2</v>
      </c>
      <c r="G18" s="135" t="s">
        <v>2543</v>
      </c>
      <c r="H18" s="100">
        <v>89.600000000000009</v>
      </c>
      <c r="I18" s="100">
        <v>13.440000000000001</v>
      </c>
    </row>
    <row r="19" spans="1:9">
      <c r="A19" s="28" t="s">
        <v>972</v>
      </c>
      <c r="B19" s="139" t="s">
        <v>2433</v>
      </c>
      <c r="C19" s="95" t="s">
        <v>172</v>
      </c>
      <c r="D19" s="119" t="s">
        <v>467</v>
      </c>
      <c r="E19" s="119" t="s">
        <v>1849</v>
      </c>
      <c r="F19" s="135">
        <v>2.7300000000000001E-2</v>
      </c>
      <c r="G19" s="135" t="s">
        <v>2282</v>
      </c>
      <c r="H19" s="100"/>
      <c r="I19" s="100"/>
    </row>
    <row r="20" spans="1:9">
      <c r="A20" s="28" t="s">
        <v>973</v>
      </c>
      <c r="B20" s="139" t="s">
        <v>972</v>
      </c>
      <c r="C20" s="95" t="s">
        <v>173</v>
      </c>
      <c r="D20" s="119" t="s">
        <v>506</v>
      </c>
      <c r="E20" s="119"/>
      <c r="F20" s="135">
        <v>7.2800000000000004E-2</v>
      </c>
      <c r="G20" s="135" t="s">
        <v>2544</v>
      </c>
      <c r="H20" s="100">
        <v>93.57</v>
      </c>
      <c r="I20" s="155">
        <v>14.875</v>
      </c>
    </row>
    <row r="21" spans="1:9">
      <c r="A21" s="28" t="s">
        <v>974</v>
      </c>
      <c r="B21" s="139" t="s">
        <v>2434</v>
      </c>
      <c r="C21" s="95" t="s">
        <v>173</v>
      </c>
      <c r="D21" s="119" t="s">
        <v>506</v>
      </c>
      <c r="E21" s="119" t="s">
        <v>1849</v>
      </c>
      <c r="F21" s="135">
        <v>7.2800000000000004E-2</v>
      </c>
      <c r="G21" s="135" t="s">
        <v>2282</v>
      </c>
      <c r="H21" s="100"/>
      <c r="I21" s="100"/>
    </row>
    <row r="22" spans="1:9">
      <c r="A22" s="28" t="s">
        <v>975</v>
      </c>
      <c r="B22" s="139" t="s">
        <v>973</v>
      </c>
      <c r="C22" s="136" t="s">
        <v>176</v>
      </c>
      <c r="D22" s="136" t="str">
        <f>VLOOKUP(C22,'Country &amp; dest. codes'!$B$7:$F$250,5,0)</f>
        <v>AGO</v>
      </c>
      <c r="E22" s="136"/>
      <c r="F22" s="135">
        <v>3.6299999999999999E-2</v>
      </c>
      <c r="G22" s="135" t="s">
        <v>2545</v>
      </c>
      <c r="H22" s="100">
        <v>89.6</v>
      </c>
      <c r="I22" s="100">
        <v>44.8</v>
      </c>
    </row>
    <row r="23" spans="1:9">
      <c r="A23" s="28" t="s">
        <v>976</v>
      </c>
      <c r="B23" s="139" t="s">
        <v>2435</v>
      </c>
      <c r="C23" s="136" t="s">
        <v>176</v>
      </c>
      <c r="D23" s="136" t="str">
        <f>VLOOKUP(C23,'Country &amp; dest. codes'!$B$7:$F$250,5,0)</f>
        <v>AGO</v>
      </c>
      <c r="E23" s="119" t="s">
        <v>1849</v>
      </c>
      <c r="F23" s="135">
        <v>3.6299999999999999E-2</v>
      </c>
      <c r="G23" s="135" t="s">
        <v>2282</v>
      </c>
      <c r="H23" s="100"/>
      <c r="I23" s="100"/>
    </row>
    <row r="24" spans="1:9">
      <c r="A24" s="28" t="s">
        <v>977</v>
      </c>
      <c r="B24" s="139" t="s">
        <v>974</v>
      </c>
      <c r="C24" s="119" t="s">
        <v>68</v>
      </c>
      <c r="D24" s="119" t="s">
        <v>470</v>
      </c>
      <c r="E24" s="119"/>
      <c r="F24" s="135">
        <v>9.4999999999999998E-3</v>
      </c>
      <c r="G24" s="135" t="s">
        <v>2546</v>
      </c>
      <c r="H24" s="100">
        <v>93.57</v>
      </c>
      <c r="I24" s="100">
        <v>12.21</v>
      </c>
    </row>
    <row r="25" spans="1:9">
      <c r="A25" s="28" t="s">
        <v>978</v>
      </c>
      <c r="B25" s="139" t="s">
        <v>2436</v>
      </c>
      <c r="C25" s="119" t="s">
        <v>68</v>
      </c>
      <c r="D25" s="119" t="s">
        <v>470</v>
      </c>
      <c r="E25" s="119" t="s">
        <v>1849</v>
      </c>
      <c r="F25" s="135">
        <v>9.4999999999999998E-3</v>
      </c>
      <c r="G25" s="135" t="s">
        <v>2282</v>
      </c>
      <c r="H25" s="100"/>
      <c r="I25" s="100"/>
    </row>
    <row r="26" spans="1:9">
      <c r="A26" s="28" t="s">
        <v>979</v>
      </c>
      <c r="B26" s="139" t="s">
        <v>975</v>
      </c>
      <c r="C26" s="119" t="s">
        <v>43</v>
      </c>
      <c r="D26" s="119" t="s">
        <v>385</v>
      </c>
      <c r="E26" s="119"/>
      <c r="F26" s="135">
        <v>6.0000000000000001E-3</v>
      </c>
      <c r="G26" s="135" t="s">
        <v>2547</v>
      </c>
      <c r="H26" s="100">
        <v>93.57</v>
      </c>
      <c r="I26" s="100">
        <v>12.21</v>
      </c>
    </row>
    <row r="27" spans="1:9">
      <c r="A27" s="28" t="s">
        <v>980</v>
      </c>
      <c r="B27" s="139" t="s">
        <v>2437</v>
      </c>
      <c r="C27" s="119" t="s">
        <v>43</v>
      </c>
      <c r="D27" s="119" t="s">
        <v>385</v>
      </c>
      <c r="E27" s="119" t="s">
        <v>1849</v>
      </c>
      <c r="F27" s="135">
        <v>6.0000000000000001E-3</v>
      </c>
      <c r="G27" s="135" t="s">
        <v>2282</v>
      </c>
      <c r="H27" s="100"/>
      <c r="I27" s="100"/>
    </row>
    <row r="28" spans="1:9">
      <c r="A28" s="28" t="s">
        <v>981</v>
      </c>
      <c r="B28" s="139" t="s">
        <v>976</v>
      </c>
      <c r="C28" s="119" t="s">
        <v>44</v>
      </c>
      <c r="D28" s="119" t="s">
        <v>386</v>
      </c>
      <c r="E28" s="119"/>
      <c r="F28" s="135">
        <v>6.0000000000000001E-3</v>
      </c>
      <c r="G28" s="135" t="s">
        <v>2548</v>
      </c>
      <c r="H28" s="100">
        <v>93.57</v>
      </c>
      <c r="I28" s="100">
        <v>4.07</v>
      </c>
    </row>
    <row r="29" spans="1:9">
      <c r="A29" s="28" t="s">
        <v>982</v>
      </c>
      <c r="B29" s="139" t="s">
        <v>2438</v>
      </c>
      <c r="C29" s="119" t="s">
        <v>44</v>
      </c>
      <c r="D29" s="119" t="s">
        <v>386</v>
      </c>
      <c r="E29" s="119" t="s">
        <v>1849</v>
      </c>
      <c r="F29" s="135">
        <v>6.0000000000000001E-3</v>
      </c>
      <c r="G29" s="135" t="s">
        <v>2282</v>
      </c>
      <c r="H29" s="100"/>
      <c r="I29" s="100"/>
    </row>
    <row r="30" spans="1:9">
      <c r="A30" s="28" t="s">
        <v>983</v>
      </c>
      <c r="B30" s="139" t="s">
        <v>977</v>
      </c>
      <c r="C30" s="119" t="s">
        <v>184</v>
      </c>
      <c r="D30" s="119" t="s">
        <v>480</v>
      </c>
      <c r="E30" s="119"/>
      <c r="F30" s="135">
        <v>0.1067</v>
      </c>
      <c r="G30" s="135" t="s">
        <v>2549</v>
      </c>
      <c r="H30" s="100">
        <v>93.57</v>
      </c>
      <c r="I30" s="100">
        <v>33.600000000000009</v>
      </c>
    </row>
    <row r="31" spans="1:9">
      <c r="A31" s="28" t="s">
        <v>984</v>
      </c>
      <c r="B31" s="139" t="s">
        <v>2439</v>
      </c>
      <c r="C31" s="119" t="s">
        <v>184</v>
      </c>
      <c r="D31" s="119" t="s">
        <v>480</v>
      </c>
      <c r="E31" s="119" t="s">
        <v>1849</v>
      </c>
      <c r="F31" s="135">
        <v>0.1067</v>
      </c>
      <c r="G31" s="135" t="s">
        <v>2282</v>
      </c>
      <c r="H31" s="100"/>
      <c r="I31" s="100"/>
    </row>
    <row r="32" spans="1:9">
      <c r="A32" s="28" t="s">
        <v>985</v>
      </c>
      <c r="B32" s="139" t="s">
        <v>978</v>
      </c>
      <c r="C32" s="136" t="s">
        <v>186</v>
      </c>
      <c r="D32" s="136" t="str">
        <f>VLOOKUP(C32,'Country &amp; dest. codes'!$B$7:$F$250,5,0)</f>
        <v>BLR</v>
      </c>
      <c r="E32" s="136"/>
      <c r="F32" s="135">
        <v>3.4299999999999997E-2</v>
      </c>
      <c r="G32" s="135" t="s">
        <v>2550</v>
      </c>
      <c r="H32" s="100">
        <v>134.4</v>
      </c>
      <c r="I32" s="100">
        <v>89.6</v>
      </c>
    </row>
    <row r="33" spans="1:9">
      <c r="A33" s="28" t="s">
        <v>986</v>
      </c>
      <c r="B33" s="139" t="s">
        <v>2440</v>
      </c>
      <c r="C33" s="136" t="s">
        <v>186</v>
      </c>
      <c r="D33" s="136" t="str">
        <f>VLOOKUP(C33,'Country &amp; dest. codes'!$B$7:$F$250,5,0)</f>
        <v>BLR</v>
      </c>
      <c r="E33" s="119" t="s">
        <v>1849</v>
      </c>
      <c r="F33" s="135">
        <v>3.4299999999999997E-2</v>
      </c>
      <c r="G33" s="135" t="s">
        <v>2282</v>
      </c>
      <c r="H33" s="100"/>
      <c r="I33" s="100"/>
    </row>
    <row r="34" spans="1:9">
      <c r="A34" s="28" t="s">
        <v>987</v>
      </c>
      <c r="B34" s="139" t="s">
        <v>979</v>
      </c>
      <c r="C34" s="119" t="s">
        <v>65</v>
      </c>
      <c r="D34" s="119" t="s">
        <v>387</v>
      </c>
      <c r="E34" s="119"/>
      <c r="F34" s="135">
        <v>6.0000000000000001E-3</v>
      </c>
      <c r="G34" s="135" t="s">
        <v>2551</v>
      </c>
      <c r="H34" s="100">
        <v>93.57</v>
      </c>
      <c r="I34" s="100">
        <v>0.68</v>
      </c>
    </row>
    <row r="35" spans="1:9">
      <c r="A35" s="28" t="s">
        <v>988</v>
      </c>
      <c r="B35" s="139" t="s">
        <v>2441</v>
      </c>
      <c r="C35" s="119" t="s">
        <v>65</v>
      </c>
      <c r="D35" s="119" t="s">
        <v>387</v>
      </c>
      <c r="E35" s="119" t="s">
        <v>1849</v>
      </c>
      <c r="F35" s="135">
        <v>6.0000000000000001E-3</v>
      </c>
      <c r="G35" s="135" t="s">
        <v>2282</v>
      </c>
      <c r="H35" s="100"/>
      <c r="I35" s="100"/>
    </row>
    <row r="36" spans="1:9">
      <c r="A36" s="28" t="s">
        <v>989</v>
      </c>
      <c r="B36" s="139" t="s">
        <v>980</v>
      </c>
      <c r="C36" s="119" t="s">
        <v>188</v>
      </c>
      <c r="D36" s="119" t="s">
        <v>477</v>
      </c>
      <c r="E36" s="119"/>
      <c r="F36" s="135">
        <v>0.2429</v>
      </c>
      <c r="G36" s="135" t="s">
        <v>2552</v>
      </c>
      <c r="H36" s="100">
        <v>93.57</v>
      </c>
      <c r="I36" s="100">
        <v>89.600000000000009</v>
      </c>
    </row>
    <row r="37" spans="1:9">
      <c r="A37" s="28" t="s">
        <v>990</v>
      </c>
      <c r="B37" s="139" t="s">
        <v>2442</v>
      </c>
      <c r="C37" s="119" t="s">
        <v>188</v>
      </c>
      <c r="D37" s="119" t="s">
        <v>477</v>
      </c>
      <c r="E37" s="119" t="s">
        <v>1849</v>
      </c>
      <c r="F37" s="135">
        <v>0.2429</v>
      </c>
      <c r="G37" s="135" t="s">
        <v>2282</v>
      </c>
      <c r="H37" s="100"/>
      <c r="I37" s="100"/>
    </row>
    <row r="38" spans="1:9">
      <c r="A38" s="28" t="s">
        <v>991</v>
      </c>
      <c r="B38" s="139" t="s">
        <v>981</v>
      </c>
      <c r="C38" s="119" t="s">
        <v>301</v>
      </c>
      <c r="D38" s="119" t="s">
        <v>482</v>
      </c>
      <c r="E38" s="119"/>
      <c r="F38" s="135">
        <v>2.69E-2</v>
      </c>
      <c r="G38" s="135" t="s">
        <v>2553</v>
      </c>
      <c r="H38" s="100">
        <v>89.600000000000009</v>
      </c>
      <c r="I38" s="100">
        <v>19.2</v>
      </c>
    </row>
    <row r="39" spans="1:9">
      <c r="A39" s="28" t="s">
        <v>992</v>
      </c>
      <c r="B39" s="139" t="s">
        <v>2443</v>
      </c>
      <c r="C39" s="119" t="s">
        <v>301</v>
      </c>
      <c r="D39" s="119" t="s">
        <v>482</v>
      </c>
      <c r="E39" s="119" t="s">
        <v>1849</v>
      </c>
      <c r="F39" s="135">
        <v>2.69E-2</v>
      </c>
      <c r="G39" s="135" t="s">
        <v>2282</v>
      </c>
      <c r="H39" s="100"/>
      <c r="I39" s="100"/>
    </row>
    <row r="40" spans="1:9">
      <c r="A40" s="28" t="s">
        <v>993</v>
      </c>
      <c r="B40" s="139" t="s">
        <v>982</v>
      </c>
      <c r="C40" s="119" t="s">
        <v>45</v>
      </c>
      <c r="D40" s="119" t="s">
        <v>391</v>
      </c>
      <c r="E40" s="119"/>
      <c r="F40" s="135">
        <v>9.4999999999999998E-3</v>
      </c>
      <c r="G40" s="135" t="s">
        <v>2554</v>
      </c>
      <c r="H40" s="100">
        <v>93.57</v>
      </c>
      <c r="I40" s="100">
        <v>12.21</v>
      </c>
    </row>
    <row r="41" spans="1:9">
      <c r="A41" s="28" t="s">
        <v>994</v>
      </c>
      <c r="B41" s="139" t="s">
        <v>2444</v>
      </c>
      <c r="C41" s="119" t="s">
        <v>45</v>
      </c>
      <c r="D41" s="119" t="s">
        <v>391</v>
      </c>
      <c r="E41" s="119" t="s">
        <v>1849</v>
      </c>
      <c r="F41" s="135">
        <v>9.4999999999999998E-3</v>
      </c>
      <c r="G41" s="135" t="s">
        <v>2282</v>
      </c>
      <c r="H41" s="100"/>
      <c r="I41" s="100"/>
    </row>
    <row r="42" spans="1:9">
      <c r="A42" s="28" t="s">
        <v>995</v>
      </c>
      <c r="B42" s="139" t="s">
        <v>983</v>
      </c>
      <c r="C42" s="119" t="s">
        <v>70</v>
      </c>
      <c r="D42" s="119" t="s">
        <v>388</v>
      </c>
      <c r="E42" s="119"/>
      <c r="F42" s="135">
        <v>9.4999999999999998E-3</v>
      </c>
      <c r="G42" s="135" t="s">
        <v>2555</v>
      </c>
      <c r="H42" s="100">
        <v>93.57</v>
      </c>
      <c r="I42" s="100">
        <v>12.21</v>
      </c>
    </row>
    <row r="43" spans="1:9">
      <c r="A43" s="28" t="s">
        <v>996</v>
      </c>
      <c r="B43" s="139" t="s">
        <v>2445</v>
      </c>
      <c r="C43" s="119" t="s">
        <v>70</v>
      </c>
      <c r="D43" s="119" t="s">
        <v>388</v>
      </c>
      <c r="E43" s="119" t="s">
        <v>1849</v>
      </c>
      <c r="F43" s="135">
        <v>9.4999999999999998E-3</v>
      </c>
      <c r="G43" s="135" t="s">
        <v>2282</v>
      </c>
      <c r="H43" s="100"/>
      <c r="I43" s="100"/>
    </row>
    <row r="44" spans="1:9">
      <c r="A44" s="28" t="s">
        <v>997</v>
      </c>
      <c r="B44" s="139" t="s">
        <v>984</v>
      </c>
      <c r="C44" s="134" t="s">
        <v>8</v>
      </c>
      <c r="D44" s="95" t="s">
        <v>479</v>
      </c>
      <c r="E44" s="95"/>
      <c r="F44" s="135">
        <v>0.3614</v>
      </c>
      <c r="G44" s="135" t="s">
        <v>2556</v>
      </c>
      <c r="H44" s="100">
        <v>134.4</v>
      </c>
      <c r="I44" s="155">
        <v>89.25</v>
      </c>
    </row>
    <row r="45" spans="1:9">
      <c r="A45" s="28" t="s">
        <v>998</v>
      </c>
      <c r="B45" s="139" t="s">
        <v>2446</v>
      </c>
      <c r="C45" s="134" t="s">
        <v>8</v>
      </c>
      <c r="D45" s="95" t="s">
        <v>479</v>
      </c>
      <c r="E45" s="119" t="s">
        <v>1849</v>
      </c>
      <c r="F45" s="135">
        <v>0.3614</v>
      </c>
      <c r="G45" s="135" t="s">
        <v>2282</v>
      </c>
      <c r="H45" s="100"/>
      <c r="I45" s="100"/>
    </row>
    <row r="46" spans="1:9">
      <c r="A46" s="28" t="s">
        <v>999</v>
      </c>
      <c r="B46" s="139" t="s">
        <v>985</v>
      </c>
      <c r="C46" s="95" t="s">
        <v>10</v>
      </c>
      <c r="D46" s="95" t="s">
        <v>532</v>
      </c>
      <c r="E46" s="95"/>
      <c r="F46" s="135">
        <v>0.28610000000000002</v>
      </c>
      <c r="G46" s="135" t="s">
        <v>2557</v>
      </c>
      <c r="H46" s="100">
        <v>179.2</v>
      </c>
      <c r="I46" s="100">
        <v>89.600000000000023</v>
      </c>
    </row>
    <row r="47" spans="1:9">
      <c r="A47" s="28" t="s">
        <v>1000</v>
      </c>
      <c r="B47" s="139" t="s">
        <v>2447</v>
      </c>
      <c r="C47" s="95" t="s">
        <v>10</v>
      </c>
      <c r="D47" s="95" t="s">
        <v>532</v>
      </c>
      <c r="E47" s="119" t="s">
        <v>1849</v>
      </c>
      <c r="F47" s="135">
        <v>0.28610000000000002</v>
      </c>
      <c r="G47" s="135" t="s">
        <v>2282</v>
      </c>
      <c r="H47" s="100"/>
      <c r="I47" s="100"/>
    </row>
    <row r="48" spans="1:9">
      <c r="A48" s="28" t="s">
        <v>1001</v>
      </c>
      <c r="B48" s="139" t="s">
        <v>986</v>
      </c>
      <c r="C48" s="95" t="s">
        <v>11</v>
      </c>
      <c r="D48" s="119" t="s">
        <v>493</v>
      </c>
      <c r="E48" s="119"/>
      <c r="F48" s="135">
        <v>0.28210000000000002</v>
      </c>
      <c r="G48" s="135" t="s">
        <v>2558</v>
      </c>
      <c r="H48" s="100">
        <v>128</v>
      </c>
      <c r="I48" s="100">
        <v>44.800000000000004</v>
      </c>
    </row>
    <row r="49" spans="1:9">
      <c r="A49" s="28" t="s">
        <v>1002</v>
      </c>
      <c r="B49" s="139" t="s">
        <v>2448</v>
      </c>
      <c r="C49" s="95" t="s">
        <v>11</v>
      </c>
      <c r="D49" s="119" t="s">
        <v>493</v>
      </c>
      <c r="E49" s="119" t="s">
        <v>1849</v>
      </c>
      <c r="F49" s="135">
        <v>0.28210000000000002</v>
      </c>
      <c r="G49" s="135" t="s">
        <v>2282</v>
      </c>
      <c r="H49" s="100"/>
      <c r="I49" s="100"/>
    </row>
    <row r="50" spans="1:9">
      <c r="A50" s="28" t="s">
        <v>1003</v>
      </c>
      <c r="B50" s="139" t="s">
        <v>987</v>
      </c>
      <c r="C50" s="119" t="s">
        <v>46</v>
      </c>
      <c r="D50" s="119" t="s">
        <v>392</v>
      </c>
      <c r="E50" s="119"/>
      <c r="F50" s="135">
        <v>6.0000000000000001E-3</v>
      </c>
      <c r="G50" s="135" t="s">
        <v>2559</v>
      </c>
      <c r="H50" s="100">
        <v>93.57</v>
      </c>
      <c r="I50" s="100">
        <v>12.21</v>
      </c>
    </row>
    <row r="51" spans="1:9">
      <c r="A51" s="28" t="s">
        <v>1004</v>
      </c>
      <c r="B51" s="139" t="s">
        <v>2449</v>
      </c>
      <c r="C51" s="119" t="s">
        <v>46</v>
      </c>
      <c r="D51" s="119" t="s">
        <v>392</v>
      </c>
      <c r="E51" s="119" t="s">
        <v>1849</v>
      </c>
      <c r="F51" s="135">
        <v>6.0000000000000001E-3</v>
      </c>
      <c r="G51" s="135" t="s">
        <v>2282</v>
      </c>
      <c r="H51" s="100"/>
      <c r="I51" s="100"/>
    </row>
    <row r="52" spans="1:9">
      <c r="A52" s="28" t="s">
        <v>1005</v>
      </c>
      <c r="B52" s="139" t="s">
        <v>988</v>
      </c>
      <c r="C52" s="136" t="s">
        <v>969</v>
      </c>
      <c r="D52" s="136" t="s">
        <v>501</v>
      </c>
      <c r="E52" s="136"/>
      <c r="F52" s="135">
        <v>1.7999999999999999E-2</v>
      </c>
      <c r="G52" s="135" t="s">
        <v>2560</v>
      </c>
      <c r="H52" s="100">
        <v>89.6</v>
      </c>
      <c r="I52" s="100">
        <v>89.6</v>
      </c>
    </row>
    <row r="53" spans="1:9">
      <c r="A53" s="28" t="s">
        <v>1006</v>
      </c>
      <c r="B53" s="139" t="s">
        <v>2450</v>
      </c>
      <c r="C53" s="136" t="s">
        <v>969</v>
      </c>
      <c r="D53" s="136" t="s">
        <v>501</v>
      </c>
      <c r="E53" s="119" t="s">
        <v>1849</v>
      </c>
      <c r="F53" s="135">
        <v>1.7999999999999999E-2</v>
      </c>
      <c r="G53" s="135" t="s">
        <v>2282</v>
      </c>
      <c r="H53" s="100"/>
      <c r="I53" s="100"/>
    </row>
    <row r="54" spans="1:9">
      <c r="A54" s="28" t="s">
        <v>1007</v>
      </c>
      <c r="B54" s="139" t="s">
        <v>989</v>
      </c>
      <c r="C54" s="119" t="s">
        <v>71</v>
      </c>
      <c r="D54" s="119" t="s">
        <v>394</v>
      </c>
      <c r="E54" s="119"/>
      <c r="F54" s="135">
        <v>9.4999999999999998E-3</v>
      </c>
      <c r="G54" s="135" t="s">
        <v>2561</v>
      </c>
      <c r="H54" s="100">
        <v>93.57</v>
      </c>
      <c r="I54" s="100">
        <v>12.21</v>
      </c>
    </row>
    <row r="55" spans="1:9">
      <c r="A55" s="28" t="s">
        <v>1008</v>
      </c>
      <c r="B55" s="139" t="s">
        <v>2451</v>
      </c>
      <c r="C55" s="119" t="s">
        <v>71</v>
      </c>
      <c r="D55" s="119" t="s">
        <v>394</v>
      </c>
      <c r="E55" s="119" t="s">
        <v>1849</v>
      </c>
      <c r="F55" s="135">
        <v>9.4999999999999998E-3</v>
      </c>
      <c r="G55" s="135" t="s">
        <v>2282</v>
      </c>
      <c r="H55" s="100"/>
      <c r="I55" s="100"/>
    </row>
    <row r="56" spans="1:9">
      <c r="A56" s="28" t="s">
        <v>1009</v>
      </c>
      <c r="B56" s="139" t="s">
        <v>990</v>
      </c>
      <c r="C56" s="119" t="s">
        <v>72</v>
      </c>
      <c r="D56" s="119" t="s">
        <v>395</v>
      </c>
      <c r="E56" s="119"/>
      <c r="F56" s="135">
        <v>3.4000000000000002E-2</v>
      </c>
      <c r="G56" s="135" t="s">
        <v>2562</v>
      </c>
      <c r="H56" s="100">
        <v>93.57</v>
      </c>
      <c r="I56" s="100">
        <v>12.21</v>
      </c>
    </row>
    <row r="57" spans="1:9">
      <c r="A57" s="28" t="s">
        <v>1010</v>
      </c>
      <c r="B57" s="139" t="s">
        <v>2452</v>
      </c>
      <c r="C57" s="119" t="s">
        <v>72</v>
      </c>
      <c r="D57" s="119" t="s">
        <v>395</v>
      </c>
      <c r="E57" s="119" t="s">
        <v>1849</v>
      </c>
      <c r="F57" s="135">
        <v>3.4000000000000002E-2</v>
      </c>
      <c r="G57" s="135" t="s">
        <v>2282</v>
      </c>
      <c r="H57" s="100"/>
      <c r="I57" s="100"/>
    </row>
    <row r="58" spans="1:9">
      <c r="A58" s="28" t="s">
        <v>1011</v>
      </c>
      <c r="B58" s="139" t="s">
        <v>991</v>
      </c>
      <c r="C58" s="119" t="s">
        <v>73</v>
      </c>
      <c r="D58" s="119" t="s">
        <v>496</v>
      </c>
      <c r="E58" s="119"/>
      <c r="F58" s="135">
        <v>6.0000000000000001E-3</v>
      </c>
      <c r="G58" s="135" t="s">
        <v>2563</v>
      </c>
      <c r="H58" s="100">
        <v>93.57</v>
      </c>
      <c r="I58" s="100">
        <v>22.400000000000002</v>
      </c>
    </row>
    <row r="59" spans="1:9">
      <c r="A59" s="28" t="s">
        <v>1012</v>
      </c>
      <c r="B59" s="139" t="s">
        <v>2453</v>
      </c>
      <c r="C59" s="119" t="s">
        <v>73</v>
      </c>
      <c r="D59" s="119" t="s">
        <v>496</v>
      </c>
      <c r="E59" s="119" t="s">
        <v>1849</v>
      </c>
      <c r="F59" s="135">
        <v>6.0000000000000001E-3</v>
      </c>
      <c r="G59" s="135" t="s">
        <v>2282</v>
      </c>
      <c r="H59" s="100"/>
      <c r="I59" s="100"/>
    </row>
    <row r="60" spans="1:9">
      <c r="A60" s="28" t="s">
        <v>1013</v>
      </c>
      <c r="B60" s="139" t="s">
        <v>992</v>
      </c>
      <c r="C60" s="119" t="s">
        <v>20</v>
      </c>
      <c r="D60" s="119" t="s">
        <v>397</v>
      </c>
      <c r="E60" s="119"/>
      <c r="F60" s="135">
        <v>1.7899999999999999E-2</v>
      </c>
      <c r="G60" s="135" t="s">
        <v>2564</v>
      </c>
      <c r="H60" s="100">
        <v>89.600000000000009</v>
      </c>
      <c r="I60" s="155">
        <v>17.849999999999998</v>
      </c>
    </row>
    <row r="61" spans="1:9">
      <c r="A61" s="28" t="s">
        <v>1014</v>
      </c>
      <c r="B61" s="139" t="s">
        <v>2454</v>
      </c>
      <c r="C61" s="119" t="s">
        <v>20</v>
      </c>
      <c r="D61" s="119" t="s">
        <v>397</v>
      </c>
      <c r="E61" s="119" t="s">
        <v>1849</v>
      </c>
      <c r="F61" s="135">
        <v>1.7899999999999999E-2</v>
      </c>
      <c r="G61" s="135" t="s">
        <v>2282</v>
      </c>
      <c r="H61" s="100"/>
      <c r="I61" s="100"/>
    </row>
    <row r="62" spans="1:9">
      <c r="A62" s="28" t="s">
        <v>1015</v>
      </c>
      <c r="B62" s="139" t="s">
        <v>993</v>
      </c>
      <c r="C62" s="119" t="s">
        <v>21</v>
      </c>
      <c r="D62" s="119" t="s">
        <v>417</v>
      </c>
      <c r="E62" s="119"/>
      <c r="F62" s="135">
        <v>9.4999999999999998E-3</v>
      </c>
      <c r="G62" s="135" t="s">
        <v>2565</v>
      </c>
      <c r="H62" s="100">
        <v>93.57</v>
      </c>
      <c r="I62" s="100">
        <v>12.21</v>
      </c>
    </row>
    <row r="63" spans="1:9">
      <c r="A63" s="28" t="s">
        <v>1016</v>
      </c>
      <c r="B63" s="139" t="s">
        <v>2455</v>
      </c>
      <c r="C63" s="119" t="s">
        <v>21</v>
      </c>
      <c r="D63" s="119" t="s">
        <v>417</v>
      </c>
      <c r="E63" s="119" t="s">
        <v>1849</v>
      </c>
      <c r="F63" s="135">
        <v>9.4999999999999998E-3</v>
      </c>
      <c r="G63" s="135" t="s">
        <v>2282</v>
      </c>
      <c r="H63" s="100"/>
      <c r="I63" s="100"/>
    </row>
    <row r="64" spans="1:9">
      <c r="A64" s="28" t="s">
        <v>1017</v>
      </c>
      <c r="B64" s="139" t="s">
        <v>994</v>
      </c>
      <c r="C64" s="119" t="s">
        <v>240</v>
      </c>
      <c r="D64" s="119" t="s">
        <v>503</v>
      </c>
      <c r="E64" s="119"/>
      <c r="F64" s="135">
        <v>1.23E-2</v>
      </c>
      <c r="G64" s="135" t="s">
        <v>2566</v>
      </c>
      <c r="H64" s="100">
        <v>93.57</v>
      </c>
      <c r="I64" s="100">
        <v>12.21</v>
      </c>
    </row>
    <row r="65" spans="1:9">
      <c r="A65" s="28" t="s">
        <v>1018</v>
      </c>
      <c r="B65" s="139" t="s">
        <v>2456</v>
      </c>
      <c r="C65" s="119" t="s">
        <v>240</v>
      </c>
      <c r="D65" s="119" t="s">
        <v>503</v>
      </c>
      <c r="E65" s="119" t="s">
        <v>1849</v>
      </c>
      <c r="F65" s="135">
        <v>1.23E-2</v>
      </c>
      <c r="G65" s="135" t="s">
        <v>2282</v>
      </c>
      <c r="H65" s="100"/>
      <c r="I65" s="100"/>
    </row>
    <row r="66" spans="1:9">
      <c r="A66" s="28" t="s">
        <v>1019</v>
      </c>
      <c r="B66" s="139" t="s">
        <v>995</v>
      </c>
      <c r="C66" s="119" t="s">
        <v>74</v>
      </c>
      <c r="D66" s="119" t="s">
        <v>398</v>
      </c>
      <c r="E66" s="119"/>
      <c r="F66" s="135">
        <v>6.0000000000000001E-3</v>
      </c>
      <c r="G66" s="135" t="s">
        <v>2567</v>
      </c>
      <c r="H66" s="100">
        <v>93.57</v>
      </c>
      <c r="I66" s="100">
        <v>12.21</v>
      </c>
    </row>
    <row r="67" spans="1:9">
      <c r="A67" s="28" t="s">
        <v>1020</v>
      </c>
      <c r="B67" s="139" t="s">
        <v>2457</v>
      </c>
      <c r="C67" s="119" t="s">
        <v>74</v>
      </c>
      <c r="D67" s="119" t="s">
        <v>398</v>
      </c>
      <c r="E67" s="119" t="s">
        <v>1849</v>
      </c>
      <c r="F67" s="135">
        <v>6.0000000000000001E-3</v>
      </c>
      <c r="G67" s="135" t="s">
        <v>2282</v>
      </c>
      <c r="H67" s="100"/>
      <c r="I67" s="100"/>
    </row>
    <row r="68" spans="1:9">
      <c r="A68" s="28" t="s">
        <v>1021</v>
      </c>
      <c r="B68" s="139" t="s">
        <v>996</v>
      </c>
      <c r="C68" s="119" t="s">
        <v>47</v>
      </c>
      <c r="D68" s="119" t="s">
        <v>400</v>
      </c>
      <c r="E68" s="119"/>
      <c r="F68" s="135">
        <v>6.0000000000000001E-3</v>
      </c>
      <c r="G68" s="135" t="s">
        <v>2568</v>
      </c>
      <c r="H68" s="100">
        <v>93.57</v>
      </c>
      <c r="I68" s="100">
        <v>4.07</v>
      </c>
    </row>
    <row r="69" spans="1:9">
      <c r="A69" s="28" t="s">
        <v>1022</v>
      </c>
      <c r="B69" s="139" t="s">
        <v>2458</v>
      </c>
      <c r="C69" s="119" t="s">
        <v>47</v>
      </c>
      <c r="D69" s="119" t="s">
        <v>400</v>
      </c>
      <c r="E69" s="119" t="s">
        <v>1849</v>
      </c>
      <c r="F69" s="135">
        <v>6.0000000000000001E-3</v>
      </c>
      <c r="G69" s="135" t="s">
        <v>2282</v>
      </c>
      <c r="H69" s="100"/>
      <c r="I69" s="100"/>
    </row>
    <row r="70" spans="1:9">
      <c r="A70" s="28" t="s">
        <v>1023</v>
      </c>
      <c r="B70" s="139" t="s">
        <v>997</v>
      </c>
      <c r="C70" s="119" t="s">
        <v>250</v>
      </c>
      <c r="D70" s="119" t="s">
        <v>401</v>
      </c>
      <c r="E70" s="119"/>
      <c r="F70" s="135">
        <v>9.4999999999999998E-3</v>
      </c>
      <c r="G70" s="135" t="s">
        <v>2569</v>
      </c>
      <c r="H70" s="100">
        <v>93.57</v>
      </c>
      <c r="I70" s="100">
        <v>12.21</v>
      </c>
    </row>
    <row r="71" spans="1:9">
      <c r="A71" s="28" t="s">
        <v>1024</v>
      </c>
      <c r="B71" s="139" t="s">
        <v>2459</v>
      </c>
      <c r="C71" s="119" t="s">
        <v>250</v>
      </c>
      <c r="D71" s="119" t="s">
        <v>401</v>
      </c>
      <c r="E71" s="119" t="s">
        <v>1849</v>
      </c>
      <c r="F71" s="135">
        <v>9.4999999999999998E-3</v>
      </c>
      <c r="G71" s="135" t="s">
        <v>2282</v>
      </c>
      <c r="H71" s="100"/>
      <c r="I71" s="100"/>
    </row>
    <row r="72" spans="1:9">
      <c r="A72" s="28" t="s">
        <v>1025</v>
      </c>
      <c r="B72" s="139" t="s">
        <v>998</v>
      </c>
      <c r="C72" s="119" t="s">
        <v>254</v>
      </c>
      <c r="D72" s="119" t="s">
        <v>586</v>
      </c>
      <c r="E72" s="119"/>
      <c r="F72" s="135">
        <v>9.4999999999999998E-3</v>
      </c>
      <c r="G72" s="135" t="s">
        <v>2570</v>
      </c>
      <c r="H72" s="100">
        <v>93.57</v>
      </c>
      <c r="I72" s="100">
        <v>12.21</v>
      </c>
    </row>
    <row r="73" spans="1:9">
      <c r="A73" s="28" t="s">
        <v>1026</v>
      </c>
      <c r="B73" s="139" t="s">
        <v>2460</v>
      </c>
      <c r="C73" s="119" t="s">
        <v>254</v>
      </c>
      <c r="D73" s="119" t="s">
        <v>586</v>
      </c>
      <c r="E73" s="119" t="s">
        <v>1849</v>
      </c>
      <c r="F73" s="135">
        <v>9.4999999999999998E-3</v>
      </c>
      <c r="G73" s="135" t="s">
        <v>2282</v>
      </c>
      <c r="H73" s="100"/>
      <c r="I73" s="100"/>
    </row>
    <row r="74" spans="1:9">
      <c r="A74" s="28" t="s">
        <v>1027</v>
      </c>
      <c r="B74" s="139" t="s">
        <v>999</v>
      </c>
      <c r="C74" s="119" t="s">
        <v>75</v>
      </c>
      <c r="D74" s="119" t="s">
        <v>403</v>
      </c>
      <c r="E74" s="119"/>
      <c r="F74" s="135">
        <v>1.2E-2</v>
      </c>
      <c r="G74" s="135" t="s">
        <v>2571</v>
      </c>
      <c r="H74" s="100">
        <v>93.57</v>
      </c>
      <c r="I74" s="100">
        <v>12.21</v>
      </c>
    </row>
    <row r="75" spans="1:9">
      <c r="A75" s="28" t="s">
        <v>1028</v>
      </c>
      <c r="B75" s="139" t="s">
        <v>2461</v>
      </c>
      <c r="C75" s="119" t="s">
        <v>75</v>
      </c>
      <c r="D75" s="119" t="s">
        <v>403</v>
      </c>
      <c r="E75" s="119" t="s">
        <v>1849</v>
      </c>
      <c r="F75" s="135">
        <v>1.2E-2</v>
      </c>
      <c r="G75" s="135" t="s">
        <v>2282</v>
      </c>
      <c r="H75" s="100"/>
      <c r="I75" s="100"/>
    </row>
    <row r="76" spans="1:9">
      <c r="A76" s="28" t="s">
        <v>1029</v>
      </c>
      <c r="B76" s="139" t="s">
        <v>1000</v>
      </c>
      <c r="C76" s="119" t="s">
        <v>48</v>
      </c>
      <c r="D76" s="119" t="s">
        <v>404</v>
      </c>
      <c r="E76" s="119"/>
      <c r="F76" s="135">
        <v>6.0000000000000001E-3</v>
      </c>
      <c r="G76" s="135" t="s">
        <v>2572</v>
      </c>
      <c r="H76" s="100">
        <v>93.57</v>
      </c>
      <c r="I76" s="100">
        <v>12.21</v>
      </c>
    </row>
    <row r="77" spans="1:9">
      <c r="A77" s="28" t="s">
        <v>1030</v>
      </c>
      <c r="B77" s="139" t="s">
        <v>2462</v>
      </c>
      <c r="C77" s="119" t="s">
        <v>48</v>
      </c>
      <c r="D77" s="119" t="s">
        <v>404</v>
      </c>
      <c r="E77" s="119" t="s">
        <v>1849</v>
      </c>
      <c r="F77" s="135">
        <v>6.0000000000000001E-3</v>
      </c>
      <c r="G77" s="135" t="s">
        <v>2282</v>
      </c>
      <c r="H77" s="100"/>
      <c r="I77" s="100"/>
    </row>
    <row r="78" spans="1:9">
      <c r="A78" s="28" t="s">
        <v>1031</v>
      </c>
      <c r="B78" s="139" t="s">
        <v>1001</v>
      </c>
      <c r="C78" s="119" t="s">
        <v>67</v>
      </c>
      <c r="D78" s="119" t="s">
        <v>405</v>
      </c>
      <c r="E78" s="119"/>
      <c r="F78" s="135">
        <v>6.0000000000000001E-3</v>
      </c>
      <c r="G78" s="135" t="s">
        <v>2573</v>
      </c>
      <c r="H78" s="100">
        <v>93.57</v>
      </c>
      <c r="I78" s="100">
        <v>0.68</v>
      </c>
    </row>
    <row r="79" spans="1:9">
      <c r="A79" s="28" t="s">
        <v>1032</v>
      </c>
      <c r="B79" s="139" t="s">
        <v>2463</v>
      </c>
      <c r="C79" s="119" t="s">
        <v>67</v>
      </c>
      <c r="D79" s="119" t="s">
        <v>405</v>
      </c>
      <c r="E79" s="119" t="s">
        <v>1849</v>
      </c>
      <c r="F79" s="135">
        <v>6.0000000000000001E-3</v>
      </c>
      <c r="G79" s="135" t="s">
        <v>2282</v>
      </c>
      <c r="H79" s="100"/>
      <c r="I79" s="100"/>
    </row>
    <row r="80" spans="1:9">
      <c r="A80" s="28" t="s">
        <v>1033</v>
      </c>
      <c r="B80" s="139" t="s">
        <v>1002</v>
      </c>
      <c r="C80" s="136" t="s">
        <v>199</v>
      </c>
      <c r="D80" s="136" t="s">
        <v>414</v>
      </c>
      <c r="E80" s="136"/>
      <c r="F80" s="135">
        <v>6.4000000000000001E-2</v>
      </c>
      <c r="G80" s="135" t="s">
        <v>2574</v>
      </c>
      <c r="H80" s="100">
        <v>93.57</v>
      </c>
      <c r="I80" s="100">
        <v>12.21</v>
      </c>
    </row>
    <row r="81" spans="1:9">
      <c r="A81" s="28" t="s">
        <v>1034</v>
      </c>
      <c r="B81" s="139" t="s">
        <v>2464</v>
      </c>
      <c r="C81" s="136" t="s">
        <v>199</v>
      </c>
      <c r="D81" s="136" t="s">
        <v>414</v>
      </c>
      <c r="E81" s="119" t="s">
        <v>1849</v>
      </c>
      <c r="F81" s="135">
        <v>6.4000000000000001E-2</v>
      </c>
      <c r="G81" s="135" t="s">
        <v>2282</v>
      </c>
      <c r="H81" s="100"/>
      <c r="I81" s="100"/>
    </row>
    <row r="82" spans="1:9">
      <c r="A82" s="11" t="s">
        <v>1846</v>
      </c>
      <c r="B82" s="139" t="s">
        <v>1003</v>
      </c>
      <c r="C82" s="119" t="s">
        <v>144</v>
      </c>
      <c r="D82" s="119" t="s">
        <v>407</v>
      </c>
      <c r="E82" s="119"/>
      <c r="F82" s="135">
        <v>1.23E-2</v>
      </c>
      <c r="G82" s="135" t="s">
        <v>2575</v>
      </c>
      <c r="H82" s="100">
        <v>89.600000000000009</v>
      </c>
      <c r="I82" s="100">
        <v>19.2</v>
      </c>
    </row>
    <row r="83" spans="1:9">
      <c r="A83" s="28" t="s">
        <v>1035</v>
      </c>
      <c r="B83" s="139" t="s">
        <v>2465</v>
      </c>
      <c r="C83" s="119" t="s">
        <v>144</v>
      </c>
      <c r="D83" s="119" t="s">
        <v>407</v>
      </c>
      <c r="E83" s="119" t="s">
        <v>1849</v>
      </c>
      <c r="F83" s="135">
        <v>1.23E-2</v>
      </c>
      <c r="G83" s="135" t="s">
        <v>2282</v>
      </c>
      <c r="H83" s="100"/>
      <c r="I83" s="100"/>
    </row>
    <row r="84" spans="1:9">
      <c r="A84" s="28" t="s">
        <v>1036</v>
      </c>
      <c r="B84" s="139" t="s">
        <v>1004</v>
      </c>
      <c r="C84" s="119" t="s">
        <v>66</v>
      </c>
      <c r="D84" s="119" t="s">
        <v>399</v>
      </c>
      <c r="E84" s="119"/>
      <c r="F84" s="135">
        <v>6.0000000000000001E-3</v>
      </c>
      <c r="G84" s="135" t="s">
        <v>2576</v>
      </c>
      <c r="H84" s="100">
        <v>93.57</v>
      </c>
      <c r="I84" s="100">
        <v>4.07</v>
      </c>
    </row>
    <row r="85" spans="1:9">
      <c r="A85" s="28" t="s">
        <v>1037</v>
      </c>
      <c r="B85" s="139" t="s">
        <v>2466</v>
      </c>
      <c r="C85" s="119" t="s">
        <v>66</v>
      </c>
      <c r="D85" s="119" t="s">
        <v>399</v>
      </c>
      <c r="E85" s="119" t="s">
        <v>1849</v>
      </c>
      <c r="F85" s="135">
        <v>6.0000000000000001E-3</v>
      </c>
      <c r="G85" s="135" t="s">
        <v>2282</v>
      </c>
      <c r="H85" s="100"/>
      <c r="I85" s="100"/>
    </row>
    <row r="86" spans="1:9">
      <c r="A86" s="28" t="s">
        <v>1038</v>
      </c>
      <c r="B86" s="139" t="s">
        <v>1005</v>
      </c>
      <c r="C86" s="136" t="s">
        <v>145</v>
      </c>
      <c r="D86" s="136" t="s">
        <v>408</v>
      </c>
      <c r="E86" s="136"/>
      <c r="F86" s="135">
        <v>9.3799999999999994E-2</v>
      </c>
      <c r="G86" s="135" t="s">
        <v>2577</v>
      </c>
      <c r="H86" s="100">
        <v>89.600000000000023</v>
      </c>
      <c r="I86" s="100">
        <v>44.800000000000011</v>
      </c>
    </row>
    <row r="87" spans="1:9">
      <c r="A87" s="28" t="s">
        <v>1039</v>
      </c>
      <c r="B87" s="139" t="s">
        <v>2467</v>
      </c>
      <c r="C87" s="136" t="s">
        <v>145</v>
      </c>
      <c r="D87" s="136" t="s">
        <v>408</v>
      </c>
      <c r="E87" s="119" t="s">
        <v>1849</v>
      </c>
      <c r="F87" s="135">
        <v>9.3799999999999994E-2</v>
      </c>
      <c r="G87" s="135" t="s">
        <v>2282</v>
      </c>
      <c r="H87" s="100"/>
      <c r="I87" s="100"/>
    </row>
    <row r="88" spans="1:9">
      <c r="A88" s="28" t="s">
        <v>1040</v>
      </c>
      <c r="B88" s="139" t="s">
        <v>1006</v>
      </c>
      <c r="C88" s="119" t="s">
        <v>76</v>
      </c>
      <c r="D88" s="119" t="s">
        <v>412</v>
      </c>
      <c r="E88" s="119"/>
      <c r="F88" s="135">
        <v>9.4999999999999998E-3</v>
      </c>
      <c r="G88" s="135" t="s">
        <v>2578</v>
      </c>
      <c r="H88" s="100">
        <v>93.57</v>
      </c>
      <c r="I88" s="100">
        <v>12.21</v>
      </c>
    </row>
    <row r="89" spans="1:9">
      <c r="A89" s="28" t="s">
        <v>1041</v>
      </c>
      <c r="B89" s="139" t="s">
        <v>2468</v>
      </c>
      <c r="C89" s="119" t="s">
        <v>76</v>
      </c>
      <c r="D89" s="119" t="s">
        <v>412</v>
      </c>
      <c r="E89" s="119" t="s">
        <v>1849</v>
      </c>
      <c r="F89" s="135">
        <v>9.4999999999999998E-3</v>
      </c>
      <c r="G89" s="135" t="s">
        <v>2282</v>
      </c>
      <c r="H89" s="100"/>
      <c r="I89" s="100"/>
    </row>
    <row r="90" spans="1:9">
      <c r="A90" s="28" t="s">
        <v>1042</v>
      </c>
      <c r="B90" s="139" t="s">
        <v>1007</v>
      </c>
      <c r="C90" s="136" t="s">
        <v>146</v>
      </c>
      <c r="D90" s="136" t="str">
        <f>VLOOKUP(C90,'Country &amp; dest. codes'!$B$7:$F$250,5,0)</f>
        <v>GRD</v>
      </c>
      <c r="E90" s="136"/>
      <c r="F90" s="135">
        <v>2.5700000000000001E-2</v>
      </c>
      <c r="G90" s="135" t="s">
        <v>2579</v>
      </c>
      <c r="H90" s="100">
        <v>89.6</v>
      </c>
      <c r="I90" s="100">
        <v>89.6</v>
      </c>
    </row>
    <row r="91" spans="1:9">
      <c r="A91" s="28" t="s">
        <v>1043</v>
      </c>
      <c r="B91" s="139" t="s">
        <v>2469</v>
      </c>
      <c r="C91" s="136" t="s">
        <v>146</v>
      </c>
      <c r="D91" s="136" t="str">
        <f>VLOOKUP(C91,'Country &amp; dest. codes'!$B$7:$F$250,5,0)</f>
        <v>GRD</v>
      </c>
      <c r="E91" s="119" t="s">
        <v>1849</v>
      </c>
      <c r="F91" s="135">
        <v>2.5700000000000001E-2</v>
      </c>
      <c r="G91" s="135" t="s">
        <v>2282</v>
      </c>
      <c r="H91" s="100"/>
      <c r="I91" s="100"/>
    </row>
    <row r="92" spans="1:9">
      <c r="A92" s="28" t="s">
        <v>1044</v>
      </c>
      <c r="B92" s="139" t="s">
        <v>1008</v>
      </c>
      <c r="C92" s="95" t="s">
        <v>933</v>
      </c>
      <c r="D92" s="119" t="s">
        <v>411</v>
      </c>
      <c r="E92" s="119"/>
      <c r="F92" s="135">
        <v>6.4000000000000001E-2</v>
      </c>
      <c r="G92" s="135" t="s">
        <v>2580</v>
      </c>
      <c r="H92" s="100">
        <v>89.600000000000023</v>
      </c>
      <c r="I92" s="100">
        <v>26.880000000000003</v>
      </c>
    </row>
    <row r="93" spans="1:9">
      <c r="A93" s="28" t="s">
        <v>1045</v>
      </c>
      <c r="B93" s="139" t="s">
        <v>2470</v>
      </c>
      <c r="C93" s="95" t="s">
        <v>933</v>
      </c>
      <c r="D93" s="119" t="s">
        <v>411</v>
      </c>
      <c r="E93" s="119" t="s">
        <v>1849</v>
      </c>
      <c r="F93" s="135">
        <v>6.4000000000000001E-2</v>
      </c>
      <c r="G93" s="135" t="s">
        <v>2282</v>
      </c>
      <c r="H93" s="100"/>
      <c r="I93" s="100"/>
    </row>
    <row r="94" spans="1:9">
      <c r="A94" s="28" t="s">
        <v>1046</v>
      </c>
      <c r="B94" s="139" t="s">
        <v>1009</v>
      </c>
      <c r="C94" s="119" t="s">
        <v>148</v>
      </c>
      <c r="D94" s="119" t="s">
        <v>521</v>
      </c>
      <c r="E94" s="119"/>
      <c r="F94" s="135">
        <v>0.44719999999999999</v>
      </c>
      <c r="G94" s="135" t="s">
        <v>2581</v>
      </c>
      <c r="H94" s="100">
        <v>128</v>
      </c>
      <c r="I94" s="100">
        <v>89.600000000000009</v>
      </c>
    </row>
    <row r="95" spans="1:9">
      <c r="A95" s="28" t="s">
        <v>1047</v>
      </c>
      <c r="B95" s="139" t="s">
        <v>2471</v>
      </c>
      <c r="C95" s="119" t="s">
        <v>148</v>
      </c>
      <c r="D95" s="119" t="s">
        <v>521</v>
      </c>
      <c r="E95" s="119" t="s">
        <v>1849</v>
      </c>
      <c r="F95" s="135">
        <v>0.44719999999999999</v>
      </c>
      <c r="G95" s="135" t="s">
        <v>2282</v>
      </c>
      <c r="H95" s="100"/>
      <c r="I95" s="100"/>
    </row>
    <row r="96" spans="1:9">
      <c r="A96" s="28" t="s">
        <v>1048</v>
      </c>
      <c r="B96" s="139" t="s">
        <v>1010</v>
      </c>
      <c r="C96" s="119" t="s">
        <v>152</v>
      </c>
      <c r="D96" s="119" t="s">
        <v>523</v>
      </c>
      <c r="E96" s="119"/>
      <c r="F96" s="135">
        <v>0.12889999999999999</v>
      </c>
      <c r="G96" s="135" t="s">
        <v>2582</v>
      </c>
      <c r="H96" s="100">
        <v>179.20000000000002</v>
      </c>
      <c r="I96" s="155">
        <v>47.6</v>
      </c>
    </row>
    <row r="97" spans="1:9">
      <c r="A97" s="28" t="s">
        <v>1049</v>
      </c>
      <c r="B97" s="139" t="s">
        <v>2472</v>
      </c>
      <c r="C97" s="119" t="s">
        <v>152</v>
      </c>
      <c r="D97" s="119" t="s">
        <v>523</v>
      </c>
      <c r="E97" s="119" t="s">
        <v>1849</v>
      </c>
      <c r="F97" s="135">
        <v>0.12889999999999999</v>
      </c>
      <c r="G97" s="135" t="s">
        <v>2282</v>
      </c>
      <c r="H97" s="100"/>
      <c r="I97" s="100"/>
    </row>
    <row r="98" spans="1:9">
      <c r="A98" s="28" t="s">
        <v>1050</v>
      </c>
      <c r="B98" s="139" t="s">
        <v>1011</v>
      </c>
      <c r="C98" s="119" t="s">
        <v>77</v>
      </c>
      <c r="D98" s="119" t="s">
        <v>416</v>
      </c>
      <c r="E98" s="119"/>
      <c r="F98" s="135">
        <v>1.3899999999999999E-2</v>
      </c>
      <c r="G98" s="135" t="s">
        <v>2583</v>
      </c>
      <c r="H98" s="100">
        <v>93.57</v>
      </c>
      <c r="I98" s="100">
        <v>0.68</v>
      </c>
    </row>
    <row r="99" spans="1:9">
      <c r="A99" s="28" t="s">
        <v>1051</v>
      </c>
      <c r="B99" s="139" t="s">
        <v>2473</v>
      </c>
      <c r="C99" s="119" t="s">
        <v>77</v>
      </c>
      <c r="D99" s="119" t="s">
        <v>416</v>
      </c>
      <c r="E99" s="119" t="s">
        <v>1849</v>
      </c>
      <c r="F99" s="135">
        <v>1.3899999999999999E-2</v>
      </c>
      <c r="G99" s="135" t="s">
        <v>2282</v>
      </c>
      <c r="H99" s="100"/>
      <c r="I99" s="100"/>
    </row>
    <row r="100" spans="1:9">
      <c r="B100" s="139" t="s">
        <v>1012</v>
      </c>
      <c r="C100" s="119" t="s">
        <v>78</v>
      </c>
      <c r="D100" s="119" t="s">
        <v>418</v>
      </c>
      <c r="E100" s="119"/>
      <c r="F100" s="135">
        <v>9.4999999999999998E-3</v>
      </c>
      <c r="G100" s="135" t="s">
        <v>2584</v>
      </c>
      <c r="H100" s="100">
        <v>93.57</v>
      </c>
      <c r="I100" s="100">
        <v>12.21</v>
      </c>
    </row>
    <row r="101" spans="1:9">
      <c r="A101" s="28" t="s">
        <v>1052</v>
      </c>
      <c r="B101" s="139" t="s">
        <v>2474</v>
      </c>
      <c r="C101" s="119" t="s">
        <v>78</v>
      </c>
      <c r="D101" s="119" t="s">
        <v>418</v>
      </c>
      <c r="E101" s="119" t="s">
        <v>1849</v>
      </c>
      <c r="F101" s="135">
        <v>9.4999999999999998E-3</v>
      </c>
      <c r="G101" s="135" t="s">
        <v>2282</v>
      </c>
      <c r="H101" s="100"/>
      <c r="I101" s="100"/>
    </row>
    <row r="102" spans="1:9">
      <c r="A102" s="28" t="s">
        <v>1053</v>
      </c>
      <c r="B102" s="139" t="s">
        <v>1013</v>
      </c>
      <c r="C102" s="136" t="s">
        <v>79</v>
      </c>
      <c r="D102" s="136" t="str">
        <f>VLOOKUP(C102,'Country &amp; dest. codes'!$B$7:$F$250,5,0)</f>
        <v>ISL</v>
      </c>
      <c r="E102" s="136"/>
      <c r="F102" s="135">
        <v>3.4299999999999997E-2</v>
      </c>
      <c r="G102" s="135" t="s">
        <v>2585</v>
      </c>
      <c r="H102" s="100">
        <v>89.6</v>
      </c>
      <c r="I102" s="100">
        <v>89.6</v>
      </c>
    </row>
    <row r="103" spans="1:9">
      <c r="A103" s="28" t="s">
        <v>1054</v>
      </c>
      <c r="B103" s="139" t="s">
        <v>2475</v>
      </c>
      <c r="C103" s="136" t="s">
        <v>79</v>
      </c>
      <c r="D103" s="136" t="str">
        <f>VLOOKUP(C103,'Country &amp; dest. codes'!$B$7:$F$250,5,0)</f>
        <v>ISL</v>
      </c>
      <c r="E103" s="119" t="s">
        <v>1849</v>
      </c>
      <c r="F103" s="135">
        <v>3.4299999999999997E-2</v>
      </c>
      <c r="G103" s="135" t="s">
        <v>2282</v>
      </c>
      <c r="H103" s="100"/>
      <c r="I103" s="100"/>
    </row>
    <row r="104" spans="1:9">
      <c r="A104" s="28" t="s">
        <v>1055</v>
      </c>
      <c r="B104" s="139" t="s">
        <v>1014</v>
      </c>
      <c r="C104" s="136" t="s">
        <v>80</v>
      </c>
      <c r="D104" s="136" t="str">
        <f>VLOOKUP(C104,'Country &amp; dest. codes'!$B$7:$F$250,5,0)</f>
        <v>IND</v>
      </c>
      <c r="E104" s="136"/>
      <c r="F104" s="135">
        <v>5.7000000000000002E-2</v>
      </c>
      <c r="G104" s="135" t="s">
        <v>2586</v>
      </c>
      <c r="H104" s="100">
        <v>179.20000000000002</v>
      </c>
      <c r="I104" s="100">
        <v>89.6</v>
      </c>
    </row>
    <row r="105" spans="1:9">
      <c r="A105" s="28" t="s">
        <v>1056</v>
      </c>
      <c r="B105" s="139" t="s">
        <v>2476</v>
      </c>
      <c r="C105" s="136" t="s">
        <v>80</v>
      </c>
      <c r="D105" s="136" t="str">
        <f>VLOOKUP(C105,'Country &amp; dest. codes'!$B$7:$F$250,5,0)</f>
        <v>IND</v>
      </c>
      <c r="E105" s="119" t="s">
        <v>1849</v>
      </c>
      <c r="F105" s="135">
        <v>5.7000000000000002E-2</v>
      </c>
      <c r="G105" s="135" t="s">
        <v>2282</v>
      </c>
      <c r="H105" s="100"/>
      <c r="I105" s="100"/>
    </row>
    <row r="106" spans="1:9">
      <c r="A106" s="28" t="s">
        <v>1057</v>
      </c>
      <c r="B106" s="139" t="s">
        <v>1015</v>
      </c>
      <c r="C106" s="119" t="s">
        <v>81</v>
      </c>
      <c r="D106" s="119" t="s">
        <v>525</v>
      </c>
      <c r="E106" s="119"/>
      <c r="F106" s="135">
        <v>5.9499999999999997E-2</v>
      </c>
      <c r="G106" s="135" t="s">
        <v>2587</v>
      </c>
      <c r="H106" s="100">
        <v>89.600000000000009</v>
      </c>
      <c r="I106" s="100">
        <v>19.2</v>
      </c>
    </row>
    <row r="107" spans="1:9">
      <c r="A107" s="28" t="s">
        <v>1058</v>
      </c>
      <c r="B107" s="139" t="s">
        <v>2477</v>
      </c>
      <c r="C107" s="119" t="s">
        <v>81</v>
      </c>
      <c r="D107" s="119" t="s">
        <v>525</v>
      </c>
      <c r="E107" s="119" t="s">
        <v>1849</v>
      </c>
      <c r="F107" s="135">
        <v>5.9499999999999997E-2</v>
      </c>
      <c r="G107" s="135" t="s">
        <v>2282</v>
      </c>
      <c r="H107" s="100"/>
      <c r="I107" s="100"/>
    </row>
    <row r="108" spans="1:9">
      <c r="A108" s="28" t="s">
        <v>1059</v>
      </c>
      <c r="B108" s="139" t="s">
        <v>1016</v>
      </c>
      <c r="C108" s="119" t="s">
        <v>49</v>
      </c>
      <c r="D108" s="119" t="s">
        <v>420</v>
      </c>
      <c r="E108" s="119"/>
      <c r="F108" s="135">
        <v>6.0000000000000001E-3</v>
      </c>
      <c r="G108" s="135" t="s">
        <v>2588</v>
      </c>
      <c r="H108" s="100">
        <v>93.57</v>
      </c>
      <c r="I108" s="100">
        <v>12.21</v>
      </c>
    </row>
    <row r="109" spans="1:9">
      <c r="A109" s="28" t="s">
        <v>1060</v>
      </c>
      <c r="B109" s="139" t="s">
        <v>2478</v>
      </c>
      <c r="C109" s="119" t="s">
        <v>49</v>
      </c>
      <c r="D109" s="119" t="s">
        <v>420</v>
      </c>
      <c r="E109" s="119" t="s">
        <v>1849</v>
      </c>
      <c r="F109" s="135">
        <v>6.0000000000000001E-3</v>
      </c>
      <c r="G109" s="135" t="s">
        <v>2282</v>
      </c>
      <c r="H109" s="100"/>
      <c r="I109" s="100"/>
    </row>
    <row r="110" spans="1:9">
      <c r="A110" s="28" t="s">
        <v>1061</v>
      </c>
      <c r="B110" s="139" t="s">
        <v>1017</v>
      </c>
      <c r="C110" s="119" t="s">
        <v>82</v>
      </c>
      <c r="D110" s="119" t="s">
        <v>422</v>
      </c>
      <c r="E110" s="119"/>
      <c r="F110" s="135">
        <v>9.4999999999999998E-3</v>
      </c>
      <c r="G110" s="135" t="s">
        <v>2589</v>
      </c>
      <c r="H110" s="100">
        <v>93.57</v>
      </c>
      <c r="I110" s="100">
        <v>12.21</v>
      </c>
    </row>
    <row r="111" spans="1:9">
      <c r="A111" s="28" t="s">
        <v>1062</v>
      </c>
      <c r="B111" s="139" t="s">
        <v>2479</v>
      </c>
      <c r="C111" s="119" t="s">
        <v>82</v>
      </c>
      <c r="D111" s="119" t="s">
        <v>422</v>
      </c>
      <c r="E111" s="119" t="s">
        <v>1849</v>
      </c>
      <c r="F111" s="135">
        <v>9.4999999999999998E-3</v>
      </c>
      <c r="G111" s="135" t="s">
        <v>2282</v>
      </c>
      <c r="H111" s="100"/>
      <c r="I111" s="100"/>
    </row>
    <row r="112" spans="1:9">
      <c r="A112" s="28" t="s">
        <v>1063</v>
      </c>
      <c r="B112" s="139" t="s">
        <v>1018</v>
      </c>
      <c r="C112" s="119" t="s">
        <v>50</v>
      </c>
      <c r="D112" s="119" t="s">
        <v>423</v>
      </c>
      <c r="E112" s="119"/>
      <c r="F112" s="135">
        <v>6.0000000000000001E-3</v>
      </c>
      <c r="G112" s="135" t="s">
        <v>2590</v>
      </c>
      <c r="H112" s="100">
        <v>93.57</v>
      </c>
      <c r="I112" s="100">
        <v>0.68</v>
      </c>
    </row>
    <row r="113" spans="1:9">
      <c r="A113" s="28" t="s">
        <v>1064</v>
      </c>
      <c r="B113" s="139" t="s">
        <v>2480</v>
      </c>
      <c r="C113" s="119" t="s">
        <v>50</v>
      </c>
      <c r="D113" s="119" t="s">
        <v>423</v>
      </c>
      <c r="E113" s="119" t="s">
        <v>1849</v>
      </c>
      <c r="F113" s="135">
        <v>6.0000000000000001E-3</v>
      </c>
      <c r="G113" s="135" t="s">
        <v>2282</v>
      </c>
      <c r="H113" s="100"/>
      <c r="I113" s="100"/>
    </row>
    <row r="114" spans="1:9">
      <c r="A114" s="28" t="s">
        <v>1067</v>
      </c>
      <c r="B114" s="139" t="s">
        <v>1020</v>
      </c>
      <c r="C114" s="136" t="s">
        <v>123</v>
      </c>
      <c r="D114" s="136" t="str">
        <f>VLOOKUP(C114,'Country &amp; dest. codes'!$B$7:$F$250,5,0)</f>
        <v>JAM</v>
      </c>
      <c r="E114" s="136"/>
      <c r="F114" s="135">
        <v>1.7100000000000001E-2</v>
      </c>
      <c r="G114" s="135" t="s">
        <v>2591</v>
      </c>
      <c r="H114" s="100">
        <v>89.6</v>
      </c>
      <c r="I114" s="100">
        <v>89.6</v>
      </c>
    </row>
    <row r="115" spans="1:9">
      <c r="A115" s="28" t="s">
        <v>1068</v>
      </c>
      <c r="B115" s="139" t="s">
        <v>2481</v>
      </c>
      <c r="C115" s="136" t="s">
        <v>123</v>
      </c>
      <c r="D115" s="136" t="str">
        <f>VLOOKUP(C115,'Country &amp; dest. codes'!$B$7:$F$250,5,0)</f>
        <v>JAM</v>
      </c>
      <c r="E115" s="119" t="s">
        <v>1849</v>
      </c>
      <c r="F115" s="135">
        <v>1.7100000000000001E-2</v>
      </c>
      <c r="G115" s="135" t="s">
        <v>2282</v>
      </c>
      <c r="H115" s="100"/>
      <c r="I115" s="100"/>
    </row>
    <row r="116" spans="1:9">
      <c r="A116" s="28" t="s">
        <v>1069</v>
      </c>
      <c r="B116" s="139" t="s">
        <v>1021</v>
      </c>
      <c r="C116" s="119" t="s">
        <v>51</v>
      </c>
      <c r="D116" s="119" t="s">
        <v>425</v>
      </c>
      <c r="E116" s="119"/>
      <c r="F116" s="135">
        <v>9.4999999999999998E-3</v>
      </c>
      <c r="G116" s="135" t="s">
        <v>2592</v>
      </c>
      <c r="H116" s="100">
        <v>93.57</v>
      </c>
      <c r="I116" s="100">
        <v>4.07</v>
      </c>
    </row>
    <row r="117" spans="1:9">
      <c r="A117" s="28" t="s">
        <v>1070</v>
      </c>
      <c r="B117" s="139" t="s">
        <v>2482</v>
      </c>
      <c r="C117" s="119" t="s">
        <v>51</v>
      </c>
      <c r="D117" s="119" t="s">
        <v>425</v>
      </c>
      <c r="E117" s="119" t="s">
        <v>1849</v>
      </c>
      <c r="F117" s="135">
        <v>9.4999999999999998E-3</v>
      </c>
      <c r="G117" s="135" t="s">
        <v>2282</v>
      </c>
      <c r="H117" s="100"/>
      <c r="I117" s="100"/>
    </row>
    <row r="118" spans="1:9">
      <c r="A118" s="28" t="s">
        <v>1071</v>
      </c>
      <c r="B118" s="139" t="s">
        <v>1022</v>
      </c>
      <c r="C118" s="119" t="s">
        <v>124</v>
      </c>
      <c r="D118" s="119" t="s">
        <v>529</v>
      </c>
      <c r="E118" s="119"/>
      <c r="F118" s="135">
        <v>5.9499999999999997E-2</v>
      </c>
      <c r="G118" s="135" t="s">
        <v>2593</v>
      </c>
      <c r="H118" s="100">
        <v>89.600000000000009</v>
      </c>
      <c r="I118" s="100">
        <v>44.800000000000004</v>
      </c>
    </row>
    <row r="119" spans="1:9">
      <c r="A119" s="28" t="s">
        <v>1072</v>
      </c>
      <c r="B119" s="139" t="s">
        <v>2483</v>
      </c>
      <c r="C119" s="119" t="s">
        <v>124</v>
      </c>
      <c r="D119" s="119" t="s">
        <v>529</v>
      </c>
      <c r="E119" s="119" t="s">
        <v>1849</v>
      </c>
      <c r="F119" s="135">
        <v>5.9499999999999997E-2</v>
      </c>
      <c r="G119" s="135" t="s">
        <v>2282</v>
      </c>
      <c r="H119" s="100"/>
      <c r="I119" s="100"/>
    </row>
    <row r="120" spans="1:9">
      <c r="A120" s="28" t="s">
        <v>1073</v>
      </c>
      <c r="B120" s="139" t="s">
        <v>1023</v>
      </c>
      <c r="C120" s="119" t="s">
        <v>125</v>
      </c>
      <c r="D120" s="119" t="s">
        <v>530</v>
      </c>
      <c r="E120" s="119"/>
      <c r="F120" s="135">
        <v>3.6200000000000003E-2</v>
      </c>
      <c r="G120" s="135" t="s">
        <v>2594</v>
      </c>
      <c r="H120" s="100">
        <v>93.57</v>
      </c>
      <c r="I120" s="100">
        <v>44.800000000000004</v>
      </c>
    </row>
    <row r="121" spans="1:9">
      <c r="A121" s="28" t="s">
        <v>1074</v>
      </c>
      <c r="B121" s="139" t="s">
        <v>2484</v>
      </c>
      <c r="C121" s="119" t="s">
        <v>125</v>
      </c>
      <c r="D121" s="119" t="s">
        <v>530</v>
      </c>
      <c r="E121" s="119" t="s">
        <v>1849</v>
      </c>
      <c r="F121" s="135">
        <v>3.6200000000000003E-2</v>
      </c>
      <c r="G121" s="135" t="s">
        <v>2282</v>
      </c>
      <c r="H121" s="100"/>
      <c r="I121" s="100"/>
    </row>
    <row r="122" spans="1:9">
      <c r="B122" s="139" t="s">
        <v>1024</v>
      </c>
      <c r="C122" s="95" t="s">
        <v>83</v>
      </c>
      <c r="D122" s="95" t="s">
        <v>426</v>
      </c>
      <c r="E122" s="95"/>
      <c r="F122" s="135">
        <v>9.1499999999999998E-2</v>
      </c>
      <c r="G122" s="135" t="s">
        <v>2595</v>
      </c>
      <c r="H122" s="100">
        <v>89.600000000000009</v>
      </c>
      <c r="I122" s="155">
        <v>33.199999999999996</v>
      </c>
    </row>
    <row r="123" spans="1:9">
      <c r="A123" s="28" t="s">
        <v>1075</v>
      </c>
      <c r="B123" s="139" t="s">
        <v>2485</v>
      </c>
      <c r="C123" s="95" t="s">
        <v>83</v>
      </c>
      <c r="D123" s="95" t="s">
        <v>426</v>
      </c>
      <c r="E123" s="119" t="s">
        <v>1849</v>
      </c>
      <c r="F123" s="135">
        <v>9.1499999999999998E-2</v>
      </c>
      <c r="G123" s="135" t="s">
        <v>2282</v>
      </c>
      <c r="H123" s="100"/>
      <c r="I123" s="100"/>
    </row>
    <row r="124" spans="1:9">
      <c r="A124" s="28" t="s">
        <v>1078</v>
      </c>
      <c r="B124" s="139" t="s">
        <v>1026</v>
      </c>
      <c r="C124" s="134" t="s">
        <v>127</v>
      </c>
      <c r="D124" s="95" t="s">
        <v>535</v>
      </c>
      <c r="E124" s="95"/>
      <c r="F124" s="135">
        <v>0.11899999999999999</v>
      </c>
      <c r="G124" s="135" t="s">
        <v>2596</v>
      </c>
      <c r="H124" s="100">
        <v>89.600000000000009</v>
      </c>
      <c r="I124" s="100">
        <v>13.440000000000001</v>
      </c>
    </row>
    <row r="125" spans="1:9">
      <c r="A125" s="28" t="s">
        <v>1079</v>
      </c>
      <c r="B125" s="139" t="s">
        <v>2486</v>
      </c>
      <c r="C125" s="134" t="s">
        <v>127</v>
      </c>
      <c r="D125" s="95" t="s">
        <v>535</v>
      </c>
      <c r="E125" s="119" t="s">
        <v>1849</v>
      </c>
      <c r="F125" s="135">
        <v>0.11899999999999999</v>
      </c>
      <c r="G125" s="135" t="s">
        <v>2282</v>
      </c>
      <c r="H125" s="100"/>
      <c r="I125" s="100"/>
    </row>
    <row r="126" spans="1:9">
      <c r="B126" s="139" t="s">
        <v>1027</v>
      </c>
      <c r="C126" s="95" t="s">
        <v>204</v>
      </c>
      <c r="D126" s="95" t="s">
        <v>531</v>
      </c>
      <c r="E126" s="95"/>
      <c r="F126" s="135">
        <v>0.1013</v>
      </c>
      <c r="G126" s="135" t="s">
        <v>2597</v>
      </c>
      <c r="H126" s="100">
        <v>134.4</v>
      </c>
      <c r="I126" s="100">
        <v>89.600000000000023</v>
      </c>
    </row>
    <row r="127" spans="1:9">
      <c r="B127" s="139" t="s">
        <v>2487</v>
      </c>
      <c r="C127" s="95" t="s">
        <v>204</v>
      </c>
      <c r="D127" s="95" t="s">
        <v>531</v>
      </c>
      <c r="E127" s="119" t="s">
        <v>1849</v>
      </c>
      <c r="F127" s="135">
        <v>0.1013</v>
      </c>
      <c r="G127" s="135" t="s">
        <v>2282</v>
      </c>
      <c r="H127" s="100"/>
      <c r="I127" s="100"/>
    </row>
    <row r="128" spans="1:9">
      <c r="B128" s="139" t="s">
        <v>1028</v>
      </c>
      <c r="C128" s="95" t="s">
        <v>84</v>
      </c>
      <c r="D128" s="95" t="s">
        <v>431</v>
      </c>
      <c r="E128" s="95"/>
      <c r="F128" s="135">
        <v>9.4999999999999998E-3</v>
      </c>
      <c r="G128" s="135" t="s">
        <v>2598</v>
      </c>
      <c r="H128" s="100">
        <v>93.57</v>
      </c>
      <c r="I128" s="100">
        <v>12.21</v>
      </c>
    </row>
    <row r="129" spans="2:9">
      <c r="B129" s="139" t="s">
        <v>2488</v>
      </c>
      <c r="C129" s="95" t="s">
        <v>84</v>
      </c>
      <c r="D129" s="95" t="s">
        <v>431</v>
      </c>
      <c r="E129" s="119" t="s">
        <v>1849</v>
      </c>
      <c r="F129" s="135">
        <v>9.4999999999999998E-3</v>
      </c>
      <c r="G129" s="135" t="s">
        <v>2282</v>
      </c>
      <c r="H129" s="100"/>
      <c r="I129" s="100"/>
    </row>
    <row r="130" spans="2:9">
      <c r="B130" s="139" t="s">
        <v>1029</v>
      </c>
      <c r="C130" s="95" t="s">
        <v>86</v>
      </c>
      <c r="D130" s="95" t="s">
        <v>429</v>
      </c>
      <c r="E130" s="95"/>
      <c r="F130" s="135">
        <v>9.4999999999999998E-3</v>
      </c>
      <c r="G130" s="135" t="s">
        <v>2599</v>
      </c>
      <c r="H130" s="100">
        <v>93.57</v>
      </c>
      <c r="I130" s="100">
        <v>12.21</v>
      </c>
    </row>
    <row r="131" spans="2:9">
      <c r="B131" s="139" t="s">
        <v>2489</v>
      </c>
      <c r="C131" s="95" t="s">
        <v>86</v>
      </c>
      <c r="D131" s="95" t="s">
        <v>429</v>
      </c>
      <c r="E131" s="119" t="s">
        <v>1849</v>
      </c>
      <c r="F131" s="135">
        <v>9.4999999999999998E-3</v>
      </c>
      <c r="G131" s="135" t="s">
        <v>2282</v>
      </c>
      <c r="H131" s="100"/>
      <c r="I131" s="100"/>
    </row>
    <row r="132" spans="2:9">
      <c r="B132" s="139" t="s">
        <v>1030</v>
      </c>
      <c r="C132" s="95" t="s">
        <v>52</v>
      </c>
      <c r="D132" s="95" t="s">
        <v>430</v>
      </c>
      <c r="E132" s="95"/>
      <c r="F132" s="135">
        <v>6.0000000000000001E-3</v>
      </c>
      <c r="G132" s="135" t="s">
        <v>2600</v>
      </c>
      <c r="H132" s="100">
        <v>93.57</v>
      </c>
      <c r="I132" s="100">
        <v>12.21</v>
      </c>
    </row>
    <row r="133" spans="2:9">
      <c r="B133" s="139" t="s">
        <v>2490</v>
      </c>
      <c r="C133" s="95" t="s">
        <v>52</v>
      </c>
      <c r="D133" s="95" t="s">
        <v>430</v>
      </c>
      <c r="E133" s="119" t="s">
        <v>1849</v>
      </c>
      <c r="F133" s="135">
        <v>6.0000000000000001E-3</v>
      </c>
      <c r="G133" s="135" t="s">
        <v>2282</v>
      </c>
      <c r="H133" s="100"/>
      <c r="I133" s="100"/>
    </row>
    <row r="134" spans="2:9">
      <c r="B134" s="139" t="s">
        <v>1031</v>
      </c>
      <c r="C134" s="95" t="s">
        <v>132</v>
      </c>
      <c r="D134" s="95" t="s">
        <v>543</v>
      </c>
      <c r="E134" s="95"/>
      <c r="F134" s="135">
        <v>0.18179999999999999</v>
      </c>
      <c r="G134" s="135" t="s">
        <v>2601</v>
      </c>
      <c r="H134" s="100">
        <v>89.600000000000009</v>
      </c>
      <c r="I134" s="100">
        <v>39.199999999999996</v>
      </c>
    </row>
    <row r="135" spans="2:9">
      <c r="B135" s="139" t="s">
        <v>2491</v>
      </c>
      <c r="C135" s="95" t="s">
        <v>132</v>
      </c>
      <c r="D135" s="95" t="s">
        <v>543</v>
      </c>
      <c r="E135" s="119" t="s">
        <v>1849</v>
      </c>
      <c r="F135" s="135">
        <v>0.18179999999999999</v>
      </c>
      <c r="G135" s="135" t="s">
        <v>2282</v>
      </c>
      <c r="H135" s="100"/>
      <c r="I135" s="100"/>
    </row>
    <row r="136" spans="2:9">
      <c r="B136" s="139" t="s">
        <v>1032</v>
      </c>
      <c r="C136" s="134" t="s">
        <v>133</v>
      </c>
      <c r="D136" s="134" t="str">
        <f>VLOOKUP(C136,'Country &amp; dest. codes'!$B$7:$F$250,5,0)</f>
        <v>MKD</v>
      </c>
      <c r="E136" s="134"/>
      <c r="F136" s="135">
        <v>2.98E-2</v>
      </c>
      <c r="G136" s="135" t="s">
        <v>2602</v>
      </c>
      <c r="H136" s="100">
        <v>89.6</v>
      </c>
      <c r="I136" s="155">
        <v>47.6</v>
      </c>
    </row>
    <row r="137" spans="2:9">
      <c r="B137" s="139" t="s">
        <v>2492</v>
      </c>
      <c r="C137" s="134" t="s">
        <v>133</v>
      </c>
      <c r="D137" s="134" t="str">
        <f>VLOOKUP(C137,'Country &amp; dest. codes'!$B$7:$F$250,5,0)</f>
        <v>MKD</v>
      </c>
      <c r="E137" s="119" t="s">
        <v>1849</v>
      </c>
      <c r="F137" s="135">
        <v>2.98E-2</v>
      </c>
      <c r="G137" s="135" t="s">
        <v>2282</v>
      </c>
      <c r="H137" s="100"/>
      <c r="I137" s="100"/>
    </row>
    <row r="138" spans="2:9">
      <c r="B138" s="139" t="s">
        <v>1033</v>
      </c>
      <c r="C138" s="95" t="s">
        <v>87</v>
      </c>
      <c r="D138" s="95" t="s">
        <v>439</v>
      </c>
      <c r="E138" s="95"/>
      <c r="F138" s="135">
        <v>9.4999999999999998E-3</v>
      </c>
      <c r="G138" s="135" t="s">
        <v>2603</v>
      </c>
      <c r="H138" s="100">
        <v>93.57</v>
      </c>
      <c r="I138" s="100">
        <v>4.07</v>
      </c>
    </row>
    <row r="139" spans="2:9">
      <c r="B139" s="139" t="s">
        <v>2493</v>
      </c>
      <c r="C139" s="95" t="s">
        <v>87</v>
      </c>
      <c r="D139" s="95" t="s">
        <v>439</v>
      </c>
      <c r="E139" s="119" t="s">
        <v>1849</v>
      </c>
      <c r="F139" s="135">
        <v>9.4999999999999998E-3</v>
      </c>
      <c r="G139" s="135" t="s">
        <v>2282</v>
      </c>
      <c r="H139" s="100"/>
      <c r="I139" s="100"/>
    </row>
    <row r="140" spans="2:9">
      <c r="B140" s="139" t="s">
        <v>1034</v>
      </c>
      <c r="C140" s="95" t="s">
        <v>164</v>
      </c>
      <c r="D140" s="95" t="s">
        <v>436</v>
      </c>
      <c r="E140" s="95"/>
      <c r="F140" s="135">
        <v>9.4999999999999998E-3</v>
      </c>
      <c r="G140" s="135" t="s">
        <v>2604</v>
      </c>
      <c r="H140" s="100">
        <v>89.600000000000009</v>
      </c>
      <c r="I140" s="100">
        <v>13.440000000000001</v>
      </c>
    </row>
    <row r="141" spans="2:9">
      <c r="B141" s="139" t="s">
        <v>2494</v>
      </c>
      <c r="C141" s="95" t="s">
        <v>164</v>
      </c>
      <c r="D141" s="95" t="s">
        <v>436</v>
      </c>
      <c r="E141" s="119" t="s">
        <v>1849</v>
      </c>
      <c r="F141" s="135">
        <v>9.4999999999999998E-3</v>
      </c>
      <c r="G141" s="135" t="s">
        <v>2282</v>
      </c>
      <c r="H141" s="100"/>
      <c r="I141" s="100"/>
    </row>
    <row r="142" spans="2:9">
      <c r="B142" s="139" t="s">
        <v>1846</v>
      </c>
      <c r="C142" s="95" t="s">
        <v>165</v>
      </c>
      <c r="D142" s="119" t="str">
        <f>VLOOKUP(C142,'Country &amp; dest. codes'!$B$7:$E$250,4,0)</f>
        <v>MTQ</v>
      </c>
      <c r="E142" s="119"/>
      <c r="F142" s="135">
        <v>6.4000000000000001E-2</v>
      </c>
      <c r="G142" s="135" t="s">
        <v>2605</v>
      </c>
      <c r="H142" s="100">
        <v>89.600000000000009</v>
      </c>
      <c r="I142" s="100">
        <v>26.880000000000003</v>
      </c>
    </row>
    <row r="143" spans="2:9">
      <c r="B143" s="139" t="s">
        <v>2495</v>
      </c>
      <c r="C143" s="95" t="s">
        <v>165</v>
      </c>
      <c r="D143" s="119" t="str">
        <f>VLOOKUP(C143,'Country &amp; dest. codes'!$B$7:$E$250,4,0)</f>
        <v>MTQ</v>
      </c>
      <c r="E143" s="119" t="s">
        <v>1849</v>
      </c>
      <c r="F143" s="135">
        <v>6.4000000000000001E-2</v>
      </c>
      <c r="G143" s="135" t="s">
        <v>2282</v>
      </c>
      <c r="H143" s="100"/>
      <c r="I143" s="100"/>
    </row>
    <row r="144" spans="2:9">
      <c r="B144" s="139" t="s">
        <v>1035</v>
      </c>
      <c r="C144" s="134" t="s">
        <v>212</v>
      </c>
      <c r="D144" s="134" t="str">
        <f>VLOOKUP(C144,'Country &amp; dest. codes'!$B$7:$F$250,5,0)</f>
        <v>MUS</v>
      </c>
      <c r="E144" s="134"/>
      <c r="F144" s="135">
        <v>0.1512</v>
      </c>
      <c r="G144" s="135" t="s">
        <v>2606</v>
      </c>
      <c r="H144" s="100">
        <v>89.6</v>
      </c>
      <c r="I144" s="100">
        <v>89.6</v>
      </c>
    </row>
    <row r="145" spans="2:9">
      <c r="B145" s="139" t="s">
        <v>2496</v>
      </c>
      <c r="C145" s="134" t="s">
        <v>212</v>
      </c>
      <c r="D145" s="134" t="str">
        <f>VLOOKUP(C145,'Country &amp; dest. codes'!$B$7:$F$250,5,0)</f>
        <v>MUS</v>
      </c>
      <c r="E145" s="119" t="s">
        <v>1849</v>
      </c>
      <c r="F145" s="135">
        <v>0.1512</v>
      </c>
      <c r="G145" s="135" t="s">
        <v>2282</v>
      </c>
      <c r="H145" s="100"/>
      <c r="I145" s="100"/>
    </row>
    <row r="146" spans="2:9">
      <c r="B146" s="139" t="s">
        <v>1036</v>
      </c>
      <c r="C146" s="95" t="s">
        <v>88</v>
      </c>
      <c r="D146" s="95" t="s">
        <v>434</v>
      </c>
      <c r="E146" s="95"/>
      <c r="F146" s="135">
        <v>9.4999999999999998E-3</v>
      </c>
      <c r="G146" s="135" t="s">
        <v>2607</v>
      </c>
      <c r="H146" s="100">
        <v>93.57</v>
      </c>
      <c r="I146" s="100">
        <v>12.21</v>
      </c>
    </row>
    <row r="147" spans="2:9">
      <c r="B147" s="139" t="s">
        <v>2497</v>
      </c>
      <c r="C147" s="95" t="s">
        <v>88</v>
      </c>
      <c r="D147" s="95" t="s">
        <v>434</v>
      </c>
      <c r="E147" s="119" t="s">
        <v>1849</v>
      </c>
      <c r="F147" s="135">
        <v>9.4999999999999998E-3</v>
      </c>
      <c r="G147" s="135" t="s">
        <v>2282</v>
      </c>
      <c r="H147" s="100"/>
      <c r="I147" s="100"/>
    </row>
    <row r="148" spans="2:9">
      <c r="B148" s="139" t="s">
        <v>1037</v>
      </c>
      <c r="C148" s="95" t="s">
        <v>215</v>
      </c>
      <c r="D148" s="95" t="s">
        <v>544</v>
      </c>
      <c r="E148" s="95"/>
      <c r="F148" s="135">
        <v>0.13389999999999999</v>
      </c>
      <c r="G148" s="135" t="s">
        <v>2608</v>
      </c>
      <c r="H148" s="100">
        <v>134.4</v>
      </c>
      <c r="I148" s="100">
        <v>89.600000000000023</v>
      </c>
    </row>
    <row r="149" spans="2:9">
      <c r="B149" s="139" t="s">
        <v>2498</v>
      </c>
      <c r="C149" s="95" t="s">
        <v>215</v>
      </c>
      <c r="D149" s="95" t="s">
        <v>544</v>
      </c>
      <c r="E149" s="119" t="s">
        <v>1849</v>
      </c>
      <c r="F149" s="135">
        <v>0.13389999999999999</v>
      </c>
      <c r="G149" s="135" t="s">
        <v>2282</v>
      </c>
      <c r="H149" s="100"/>
      <c r="I149" s="100"/>
    </row>
    <row r="150" spans="2:9">
      <c r="B150" s="139" t="s">
        <v>1038</v>
      </c>
      <c r="C150" s="95" t="s">
        <v>156</v>
      </c>
      <c r="D150" s="95" t="s">
        <v>550</v>
      </c>
      <c r="E150" s="95"/>
      <c r="F150" s="135">
        <v>4.9099999999999998E-2</v>
      </c>
      <c r="G150" s="135" t="s">
        <v>2609</v>
      </c>
      <c r="H150" s="100">
        <v>134.4</v>
      </c>
      <c r="I150" s="100">
        <v>89.600000000000023</v>
      </c>
    </row>
    <row r="151" spans="2:9">
      <c r="B151" s="139" t="s">
        <v>2499</v>
      </c>
      <c r="C151" s="95" t="s">
        <v>156</v>
      </c>
      <c r="D151" s="95" t="s">
        <v>550</v>
      </c>
      <c r="E151" s="119" t="s">
        <v>1849</v>
      </c>
      <c r="F151" s="135">
        <v>4.9099999999999998E-2</v>
      </c>
      <c r="G151" s="135" t="s">
        <v>2282</v>
      </c>
      <c r="H151" s="100"/>
      <c r="I151" s="100"/>
    </row>
    <row r="152" spans="2:9">
      <c r="B152" s="139" t="s">
        <v>1039</v>
      </c>
      <c r="C152" s="95" t="s">
        <v>89</v>
      </c>
      <c r="D152" s="95" t="s">
        <v>432</v>
      </c>
      <c r="E152" s="95"/>
      <c r="F152" s="135">
        <v>7.5700000000000003E-2</v>
      </c>
      <c r="G152" s="135" t="s">
        <v>2610</v>
      </c>
      <c r="H152" s="100">
        <v>93.57</v>
      </c>
      <c r="I152" s="100">
        <v>22.400000000000002</v>
      </c>
    </row>
    <row r="153" spans="2:9">
      <c r="B153" s="139" t="s">
        <v>2500</v>
      </c>
      <c r="C153" s="95" t="s">
        <v>89</v>
      </c>
      <c r="D153" s="95" t="s">
        <v>432</v>
      </c>
      <c r="E153" s="119" t="s">
        <v>1849</v>
      </c>
      <c r="F153" s="135">
        <v>7.5700000000000003E-2</v>
      </c>
      <c r="G153" s="135" t="s">
        <v>2282</v>
      </c>
      <c r="H153" s="100"/>
      <c r="I153" s="100"/>
    </row>
    <row r="154" spans="2:9">
      <c r="B154" s="139" t="s">
        <v>1040</v>
      </c>
      <c r="C154" s="95" t="s">
        <v>53</v>
      </c>
      <c r="D154" s="95" t="s">
        <v>443</v>
      </c>
      <c r="E154" s="95"/>
      <c r="F154" s="135">
        <v>6.0000000000000001E-3</v>
      </c>
      <c r="G154" s="135" t="s">
        <v>2611</v>
      </c>
      <c r="H154" s="100">
        <v>93.57</v>
      </c>
      <c r="I154" s="100">
        <v>0.68</v>
      </c>
    </row>
    <row r="155" spans="2:9">
      <c r="B155" s="139" t="s">
        <v>2501</v>
      </c>
      <c r="C155" s="95" t="s">
        <v>53</v>
      </c>
      <c r="D155" s="95" t="s">
        <v>443</v>
      </c>
      <c r="E155" s="119" t="s">
        <v>1849</v>
      </c>
      <c r="F155" s="135">
        <v>6.0000000000000001E-3</v>
      </c>
      <c r="G155" s="135" t="s">
        <v>2282</v>
      </c>
      <c r="H155" s="100"/>
      <c r="I155" s="100"/>
    </row>
    <row r="156" spans="2:9">
      <c r="B156" s="139" t="s">
        <v>1041</v>
      </c>
      <c r="C156" s="95" t="s">
        <v>54</v>
      </c>
      <c r="D156" s="95" t="s">
        <v>445</v>
      </c>
      <c r="E156" s="95"/>
      <c r="F156" s="135">
        <v>9.4999999999999998E-3</v>
      </c>
      <c r="G156" s="135" t="s">
        <v>2612</v>
      </c>
      <c r="H156" s="100">
        <v>93.57</v>
      </c>
      <c r="I156" s="100">
        <v>4.07</v>
      </c>
    </row>
    <row r="157" spans="2:9">
      <c r="B157" s="139" t="s">
        <v>2502</v>
      </c>
      <c r="C157" s="95" t="s">
        <v>54</v>
      </c>
      <c r="D157" s="95" t="s">
        <v>445</v>
      </c>
      <c r="E157" s="119" t="s">
        <v>1849</v>
      </c>
      <c r="F157" s="135">
        <v>9.4999999999999998E-3</v>
      </c>
      <c r="G157" s="135" t="s">
        <v>2282</v>
      </c>
      <c r="H157" s="100"/>
      <c r="I157" s="100"/>
    </row>
    <row r="158" spans="2:9">
      <c r="B158" s="139" t="s">
        <v>1042</v>
      </c>
      <c r="C158" s="119" t="s">
        <v>167</v>
      </c>
      <c r="D158" s="119" t="s">
        <v>442</v>
      </c>
      <c r="E158" s="119"/>
      <c r="F158" s="135">
        <v>0.3795</v>
      </c>
      <c r="G158" s="135" t="s">
        <v>2613</v>
      </c>
      <c r="H158" s="100">
        <v>179.20000000000002</v>
      </c>
      <c r="I158" s="100">
        <v>134.4</v>
      </c>
    </row>
    <row r="159" spans="2:9">
      <c r="B159" s="139" t="s">
        <v>2503</v>
      </c>
      <c r="C159" s="119" t="s">
        <v>167</v>
      </c>
      <c r="D159" s="119" t="s">
        <v>442</v>
      </c>
      <c r="E159" s="119" t="s">
        <v>1849</v>
      </c>
      <c r="F159" s="135">
        <v>0.3795</v>
      </c>
      <c r="G159" s="135" t="s">
        <v>2282</v>
      </c>
      <c r="H159" s="100"/>
      <c r="I159" s="100"/>
    </row>
    <row r="160" spans="2:9">
      <c r="B160" s="139" t="s">
        <v>1043</v>
      </c>
      <c r="C160" s="119" t="s">
        <v>227</v>
      </c>
      <c r="D160" s="119" t="s">
        <v>559</v>
      </c>
      <c r="E160" s="119"/>
      <c r="F160" s="135">
        <v>0.17599999999999999</v>
      </c>
      <c r="G160" s="135" t="s">
        <v>2614</v>
      </c>
      <c r="H160" s="156">
        <v>142.80000000000001</v>
      </c>
      <c r="I160" s="155">
        <v>22.3125</v>
      </c>
    </row>
    <row r="161" spans="2:9">
      <c r="B161" s="139" t="s">
        <v>2504</v>
      </c>
      <c r="C161" s="119" t="s">
        <v>227</v>
      </c>
      <c r="D161" s="119" t="s">
        <v>559</v>
      </c>
      <c r="E161" s="119" t="s">
        <v>1849</v>
      </c>
      <c r="F161" s="135">
        <v>0.17599999999999999</v>
      </c>
      <c r="G161" s="135" t="s">
        <v>2282</v>
      </c>
      <c r="H161" s="100"/>
      <c r="I161" s="100"/>
    </row>
    <row r="162" spans="2:9">
      <c r="B162" s="139" t="s">
        <v>1044</v>
      </c>
      <c r="C162" s="119" t="s">
        <v>55</v>
      </c>
      <c r="D162" s="119" t="s">
        <v>444</v>
      </c>
      <c r="E162" s="119"/>
      <c r="F162" s="135">
        <v>6.0000000000000001E-3</v>
      </c>
      <c r="G162" s="135" t="s">
        <v>2615</v>
      </c>
      <c r="H162" s="100">
        <v>93.57</v>
      </c>
      <c r="I162" s="100">
        <v>4.07</v>
      </c>
    </row>
    <row r="163" spans="2:9">
      <c r="B163" s="139" t="s">
        <v>2505</v>
      </c>
      <c r="C163" s="119" t="s">
        <v>55</v>
      </c>
      <c r="D163" s="119" t="s">
        <v>444</v>
      </c>
      <c r="E163" s="119" t="s">
        <v>1849</v>
      </c>
      <c r="F163" s="135">
        <v>6.0000000000000001E-3</v>
      </c>
      <c r="G163" s="135" t="s">
        <v>2282</v>
      </c>
      <c r="H163" s="100"/>
      <c r="I163" s="100"/>
    </row>
    <row r="164" spans="2:9">
      <c r="B164" s="139" t="s">
        <v>1045</v>
      </c>
      <c r="C164" s="119" t="s">
        <v>231</v>
      </c>
      <c r="D164" s="119" t="s">
        <v>566</v>
      </c>
      <c r="E164" s="119"/>
      <c r="F164" s="135">
        <v>8.0600000000000005E-2</v>
      </c>
      <c r="G164" s="135" t="s">
        <v>2616</v>
      </c>
      <c r="H164" s="100">
        <v>89.600000000000009</v>
      </c>
      <c r="I164" s="100">
        <v>19.2</v>
      </c>
    </row>
    <row r="165" spans="2:9">
      <c r="B165" s="139" t="s">
        <v>2506</v>
      </c>
      <c r="C165" s="119" t="s">
        <v>231</v>
      </c>
      <c r="D165" s="119" t="s">
        <v>566</v>
      </c>
      <c r="E165" s="119" t="s">
        <v>1849</v>
      </c>
      <c r="F165" s="135">
        <v>8.0600000000000005E-2</v>
      </c>
      <c r="G165" s="135" t="s">
        <v>2282</v>
      </c>
      <c r="H165" s="100"/>
      <c r="I165" s="100"/>
    </row>
    <row r="166" spans="2:9">
      <c r="B166" s="139" t="s">
        <v>1046</v>
      </c>
      <c r="C166" s="119" t="s">
        <v>119</v>
      </c>
      <c r="D166" s="119" t="s">
        <v>567</v>
      </c>
      <c r="E166" s="119"/>
      <c r="F166" s="135">
        <v>9.4999999999999998E-3</v>
      </c>
      <c r="G166" s="135" t="s">
        <v>2617</v>
      </c>
      <c r="H166" s="100">
        <v>93.57</v>
      </c>
      <c r="I166" s="100">
        <v>12.21</v>
      </c>
    </row>
    <row r="167" spans="2:9">
      <c r="B167" s="139" t="s">
        <v>2507</v>
      </c>
      <c r="C167" s="119" t="s">
        <v>119</v>
      </c>
      <c r="D167" s="119" t="s">
        <v>567</v>
      </c>
      <c r="E167" s="119" t="s">
        <v>1849</v>
      </c>
      <c r="F167" s="135">
        <v>9.4999999999999998E-3</v>
      </c>
      <c r="G167" s="135" t="s">
        <v>2282</v>
      </c>
      <c r="H167" s="100"/>
      <c r="I167" s="100"/>
    </row>
    <row r="168" spans="2:9">
      <c r="B168" s="139" t="s">
        <v>1047</v>
      </c>
      <c r="C168" s="119" t="s">
        <v>90</v>
      </c>
      <c r="D168" s="119" t="s">
        <v>568</v>
      </c>
      <c r="E168" s="119"/>
      <c r="F168" s="135">
        <v>9.4999999999999998E-3</v>
      </c>
      <c r="G168" s="135" t="s">
        <v>2618</v>
      </c>
      <c r="H168" s="100">
        <v>93.57</v>
      </c>
      <c r="I168" s="100">
        <v>12.21</v>
      </c>
    </row>
    <row r="169" spans="2:9">
      <c r="B169" s="139" t="s">
        <v>2508</v>
      </c>
      <c r="C169" s="119" t="s">
        <v>90</v>
      </c>
      <c r="D169" s="119" t="s">
        <v>568</v>
      </c>
      <c r="E169" s="119" t="s">
        <v>1849</v>
      </c>
      <c r="F169" s="135">
        <v>9.4999999999999998E-3</v>
      </c>
      <c r="G169" s="135" t="s">
        <v>2282</v>
      </c>
      <c r="H169" s="100"/>
      <c r="I169" s="100"/>
    </row>
    <row r="170" spans="2:9">
      <c r="B170" s="139" t="s">
        <v>1048</v>
      </c>
      <c r="C170" s="119" t="s">
        <v>91</v>
      </c>
      <c r="D170" s="119" t="s">
        <v>569</v>
      </c>
      <c r="E170" s="119"/>
      <c r="F170" s="135">
        <v>0.1726</v>
      </c>
      <c r="G170" s="135" t="s">
        <v>2619</v>
      </c>
      <c r="H170" s="100">
        <v>128</v>
      </c>
      <c r="I170" s="100">
        <v>39.199999999999996</v>
      </c>
    </row>
    <row r="171" spans="2:9">
      <c r="B171" s="139" t="s">
        <v>2509</v>
      </c>
      <c r="C171" s="119" t="s">
        <v>91</v>
      </c>
      <c r="D171" s="119" t="s">
        <v>569</v>
      </c>
      <c r="E171" s="119" t="s">
        <v>1849</v>
      </c>
      <c r="F171" s="135">
        <v>0.1726</v>
      </c>
      <c r="G171" s="135" t="s">
        <v>2282</v>
      </c>
      <c r="H171" s="100"/>
      <c r="I171" s="100"/>
    </row>
    <row r="172" spans="2:9">
      <c r="B172" s="139" t="s">
        <v>1049</v>
      </c>
      <c r="C172" s="119" t="s">
        <v>92</v>
      </c>
      <c r="D172" s="119" t="s">
        <v>446</v>
      </c>
      <c r="E172" s="119"/>
      <c r="F172" s="135">
        <v>9.4999999999999998E-3</v>
      </c>
      <c r="G172" s="135" t="s">
        <v>2620</v>
      </c>
      <c r="H172" s="100">
        <v>93.57</v>
      </c>
      <c r="I172" s="100">
        <v>4.07</v>
      </c>
    </row>
    <row r="173" spans="2:9">
      <c r="B173" s="139" t="s">
        <v>2510</v>
      </c>
      <c r="C173" s="119" t="s">
        <v>92</v>
      </c>
      <c r="D173" s="119" t="s">
        <v>446</v>
      </c>
      <c r="E173" s="119" t="s">
        <v>1849</v>
      </c>
      <c r="F173" s="135">
        <v>9.4999999999999998E-3</v>
      </c>
      <c r="G173" s="135" t="s">
        <v>2282</v>
      </c>
      <c r="H173" s="100"/>
      <c r="I173" s="100"/>
    </row>
    <row r="174" spans="2:9">
      <c r="B174" s="139" t="s">
        <v>1050</v>
      </c>
      <c r="C174" s="119" t="s">
        <v>56</v>
      </c>
      <c r="D174" s="119" t="s">
        <v>447</v>
      </c>
      <c r="E174" s="119"/>
      <c r="F174" s="135">
        <v>9.4999999999999998E-3</v>
      </c>
      <c r="G174" s="135" t="s">
        <v>2621</v>
      </c>
      <c r="H174" s="100">
        <v>93.57</v>
      </c>
      <c r="I174" s="100">
        <v>4.07</v>
      </c>
    </row>
    <row r="175" spans="2:9">
      <c r="B175" s="139" t="s">
        <v>2511</v>
      </c>
      <c r="C175" s="119" t="s">
        <v>56</v>
      </c>
      <c r="D175" s="119" t="s">
        <v>447</v>
      </c>
      <c r="E175" s="119" t="s">
        <v>1849</v>
      </c>
      <c r="F175" s="135">
        <v>9.4999999999999998E-3</v>
      </c>
      <c r="G175" s="135" t="s">
        <v>2282</v>
      </c>
      <c r="H175" s="100"/>
      <c r="I175" s="100"/>
    </row>
    <row r="176" spans="2:9">
      <c r="B176" s="139" t="s">
        <v>1051</v>
      </c>
      <c r="C176" s="119" t="s">
        <v>93</v>
      </c>
      <c r="D176" s="119" t="s">
        <v>572</v>
      </c>
      <c r="E176" s="119"/>
      <c r="F176" s="135">
        <v>9.4999999999999998E-3</v>
      </c>
      <c r="G176" s="135" t="s">
        <v>2622</v>
      </c>
      <c r="H176" s="100">
        <v>89.600000000000009</v>
      </c>
      <c r="I176" s="100">
        <v>19.2</v>
      </c>
    </row>
    <row r="177" spans="2:9">
      <c r="B177" s="139" t="s">
        <v>2512</v>
      </c>
      <c r="C177" s="119" t="s">
        <v>93</v>
      </c>
      <c r="D177" s="119" t="s">
        <v>572</v>
      </c>
      <c r="E177" s="119" t="s">
        <v>1849</v>
      </c>
      <c r="F177" s="135">
        <v>9.4999999999999998E-3</v>
      </c>
      <c r="G177" s="135" t="s">
        <v>2282</v>
      </c>
      <c r="H177" s="100"/>
      <c r="I177" s="100"/>
    </row>
    <row r="178" spans="2:9">
      <c r="B178" s="139" t="s">
        <v>2513</v>
      </c>
      <c r="C178" s="95" t="s">
        <v>448</v>
      </c>
      <c r="D178" s="119" t="s">
        <v>449</v>
      </c>
      <c r="E178" s="119"/>
      <c r="F178" s="135">
        <v>6.4000000000000001E-2</v>
      </c>
      <c r="G178" s="135" t="s">
        <v>2623</v>
      </c>
      <c r="H178" s="100">
        <v>89.600000000000009</v>
      </c>
      <c r="I178" s="100">
        <v>26.880000000000003</v>
      </c>
    </row>
    <row r="179" spans="2:9">
      <c r="B179" s="139" t="s">
        <v>2514</v>
      </c>
      <c r="C179" s="95" t="s">
        <v>448</v>
      </c>
      <c r="D179" s="119" t="s">
        <v>449</v>
      </c>
      <c r="E179" s="119" t="s">
        <v>1849</v>
      </c>
      <c r="F179" s="135">
        <v>6.4000000000000001E-2</v>
      </c>
      <c r="G179" s="135" t="s">
        <v>2282</v>
      </c>
      <c r="H179" s="100"/>
      <c r="I179" s="100"/>
    </row>
    <row r="180" spans="2:9">
      <c r="B180" s="139" t="s">
        <v>1052</v>
      </c>
      <c r="C180" s="95" t="s">
        <v>94</v>
      </c>
      <c r="D180" s="95" t="s">
        <v>825</v>
      </c>
      <c r="E180" s="95"/>
      <c r="F180" s="135">
        <v>9.4999999999999998E-3</v>
      </c>
      <c r="G180" s="135" t="s">
        <v>2624</v>
      </c>
      <c r="H180" s="100">
        <v>93.57</v>
      </c>
      <c r="I180" s="100">
        <v>12.21</v>
      </c>
    </row>
    <row r="181" spans="2:9">
      <c r="B181" s="139" t="s">
        <v>2515</v>
      </c>
      <c r="C181" s="95" t="s">
        <v>94</v>
      </c>
      <c r="D181" s="95" t="s">
        <v>825</v>
      </c>
      <c r="E181" s="119" t="s">
        <v>1849</v>
      </c>
      <c r="F181" s="135">
        <v>9.4999999999999998E-3</v>
      </c>
      <c r="G181" s="135" t="s">
        <v>2282</v>
      </c>
      <c r="H181" s="100"/>
      <c r="I181" s="100"/>
    </row>
    <row r="182" spans="2:9">
      <c r="B182" s="139" t="s">
        <v>1053</v>
      </c>
      <c r="C182" s="95" t="s">
        <v>57</v>
      </c>
      <c r="D182" s="95" t="s">
        <v>450</v>
      </c>
      <c r="E182" s="95"/>
      <c r="F182" s="135">
        <v>9.4999999999999998E-3</v>
      </c>
      <c r="G182" s="135" t="s">
        <v>2625</v>
      </c>
      <c r="H182" s="100">
        <v>93.57</v>
      </c>
      <c r="I182" s="100">
        <v>12.21</v>
      </c>
    </row>
    <row r="183" spans="2:9">
      <c r="B183" s="139" t="s">
        <v>2516</v>
      </c>
      <c r="C183" s="95" t="s">
        <v>57</v>
      </c>
      <c r="D183" s="95" t="s">
        <v>450</v>
      </c>
      <c r="E183" s="119" t="s">
        <v>1849</v>
      </c>
      <c r="F183" s="135">
        <v>9.4999999999999998E-3</v>
      </c>
      <c r="G183" s="135" t="s">
        <v>2282</v>
      </c>
      <c r="H183" s="100"/>
      <c r="I183" s="100"/>
    </row>
    <row r="184" spans="2:9">
      <c r="B184" s="139" t="s">
        <v>1054</v>
      </c>
      <c r="C184" s="95" t="s">
        <v>95</v>
      </c>
      <c r="D184" s="95" t="s">
        <v>580</v>
      </c>
      <c r="E184" s="95"/>
      <c r="F184" s="135">
        <v>6.8199999999999997E-2</v>
      </c>
      <c r="G184" s="135" t="s">
        <v>2626</v>
      </c>
      <c r="H184" s="100">
        <v>89.600000000000009</v>
      </c>
      <c r="I184" s="155">
        <v>239.05</v>
      </c>
    </row>
    <row r="185" spans="2:9">
      <c r="B185" s="139" t="s">
        <v>2517</v>
      </c>
      <c r="C185" s="95" t="s">
        <v>95</v>
      </c>
      <c r="D185" s="95" t="s">
        <v>580</v>
      </c>
      <c r="E185" s="119" t="s">
        <v>1849</v>
      </c>
      <c r="F185" s="135">
        <v>6.8199999999999997E-2</v>
      </c>
      <c r="G185" s="135" t="s">
        <v>2282</v>
      </c>
      <c r="H185" s="100"/>
      <c r="I185" s="100"/>
    </row>
    <row r="186" spans="2:9">
      <c r="B186" s="139" t="s">
        <v>1055</v>
      </c>
      <c r="C186" s="95" t="s">
        <v>239</v>
      </c>
      <c r="D186" s="95" t="s">
        <v>588</v>
      </c>
      <c r="E186" s="95"/>
      <c r="F186" s="135">
        <v>2.69E-2</v>
      </c>
      <c r="G186" s="135" t="s">
        <v>2627</v>
      </c>
      <c r="H186" s="100">
        <v>89.600000000000009</v>
      </c>
      <c r="I186" s="100">
        <v>15.120000000000001</v>
      </c>
    </row>
    <row r="187" spans="2:9">
      <c r="B187" s="139" t="s">
        <v>2518</v>
      </c>
      <c r="C187" s="95" t="s">
        <v>239</v>
      </c>
      <c r="D187" s="95" t="s">
        <v>588</v>
      </c>
      <c r="E187" s="119" t="s">
        <v>1849</v>
      </c>
      <c r="F187" s="135">
        <v>2.69E-2</v>
      </c>
      <c r="G187" s="135" t="s">
        <v>2282</v>
      </c>
      <c r="H187" s="100"/>
      <c r="I187" s="100"/>
    </row>
    <row r="188" spans="2:9">
      <c r="B188" s="139" t="s">
        <v>1056</v>
      </c>
      <c r="C188" s="95" t="s">
        <v>261</v>
      </c>
      <c r="D188" s="95" t="s">
        <v>594</v>
      </c>
      <c r="E188" s="95"/>
      <c r="F188" s="135">
        <v>7.1400000000000005E-2</v>
      </c>
      <c r="G188" s="135" t="s">
        <v>2628</v>
      </c>
      <c r="H188" s="100">
        <v>134.4</v>
      </c>
      <c r="I188" s="100">
        <v>89.600000000000023</v>
      </c>
    </row>
    <row r="189" spans="2:9">
      <c r="B189" s="139" t="s">
        <v>2519</v>
      </c>
      <c r="C189" s="95" t="s">
        <v>261</v>
      </c>
      <c r="D189" s="95" t="s">
        <v>594</v>
      </c>
      <c r="E189" s="119" t="s">
        <v>1849</v>
      </c>
      <c r="F189" s="135">
        <v>7.1400000000000005E-2</v>
      </c>
      <c r="G189" s="135" t="s">
        <v>2282</v>
      </c>
      <c r="H189" s="100"/>
      <c r="I189" s="100"/>
    </row>
    <row r="190" spans="2:9">
      <c r="B190" s="139" t="s">
        <v>1057</v>
      </c>
      <c r="C190" s="95" t="s">
        <v>58</v>
      </c>
      <c r="D190" s="95" t="s">
        <v>451</v>
      </c>
      <c r="E190" s="95"/>
      <c r="F190" s="135">
        <v>5.4999999999999997E-3</v>
      </c>
      <c r="G190" s="135" t="s">
        <v>2629</v>
      </c>
      <c r="H190" s="100">
        <v>93.57</v>
      </c>
      <c r="I190" s="100">
        <v>1.88</v>
      </c>
    </row>
    <row r="191" spans="2:9">
      <c r="B191" s="139" t="s">
        <v>2520</v>
      </c>
      <c r="C191" s="95" t="s">
        <v>58</v>
      </c>
      <c r="D191" s="95" t="s">
        <v>451</v>
      </c>
      <c r="E191" s="119" t="s">
        <v>1849</v>
      </c>
      <c r="F191" s="135">
        <v>5.4999999999999997E-3</v>
      </c>
      <c r="G191" s="135" t="s">
        <v>2282</v>
      </c>
      <c r="H191" s="100"/>
      <c r="I191" s="100"/>
    </row>
    <row r="192" spans="2:9">
      <c r="B192" s="139" t="s">
        <v>1058</v>
      </c>
      <c r="C192" s="95" t="s">
        <v>97</v>
      </c>
      <c r="D192" s="95" t="s">
        <v>454</v>
      </c>
      <c r="E192" s="95"/>
      <c r="F192" s="135">
        <v>9.4999999999999998E-3</v>
      </c>
      <c r="G192" s="135" t="s">
        <v>2630</v>
      </c>
      <c r="H192" s="100">
        <v>93.57</v>
      </c>
      <c r="I192" s="100">
        <v>12.21</v>
      </c>
    </row>
    <row r="193" spans="2:9">
      <c r="B193" s="139" t="s">
        <v>2521</v>
      </c>
      <c r="C193" s="95" t="s">
        <v>97</v>
      </c>
      <c r="D193" s="95" t="s">
        <v>454</v>
      </c>
      <c r="E193" s="119" t="s">
        <v>1849</v>
      </c>
      <c r="F193" s="135">
        <v>9.4999999999999998E-3</v>
      </c>
      <c r="G193" s="135" t="s">
        <v>2282</v>
      </c>
      <c r="H193" s="100"/>
      <c r="I193" s="100"/>
    </row>
    <row r="194" spans="2:9">
      <c r="B194" s="139" t="s">
        <v>1059</v>
      </c>
      <c r="C194" s="95" t="s">
        <v>170</v>
      </c>
      <c r="D194" s="95" t="s">
        <v>455</v>
      </c>
      <c r="E194" s="95"/>
      <c r="F194" s="135">
        <v>1.0200000000000001E-2</v>
      </c>
      <c r="G194" s="135" t="s">
        <v>2631</v>
      </c>
      <c r="H194" s="100">
        <v>93.57</v>
      </c>
      <c r="I194" s="100">
        <v>12.21</v>
      </c>
    </row>
    <row r="195" spans="2:9">
      <c r="B195" s="139" t="s">
        <v>2522</v>
      </c>
      <c r="C195" s="95" t="s">
        <v>170</v>
      </c>
      <c r="D195" s="95" t="s">
        <v>455</v>
      </c>
      <c r="E195" s="119" t="s">
        <v>1849</v>
      </c>
      <c r="F195" s="135">
        <v>1.0200000000000001E-2</v>
      </c>
      <c r="G195" s="135" t="s">
        <v>2282</v>
      </c>
      <c r="H195" s="100"/>
      <c r="I195" s="100"/>
    </row>
    <row r="196" spans="2:9">
      <c r="B196" s="139" t="s">
        <v>1060</v>
      </c>
      <c r="C196" s="95" t="s">
        <v>98</v>
      </c>
      <c r="D196" s="95" t="s">
        <v>462</v>
      </c>
      <c r="E196" s="95"/>
      <c r="F196" s="135">
        <v>9.4999999999999998E-3</v>
      </c>
      <c r="G196" s="135" t="s">
        <v>2632</v>
      </c>
      <c r="H196" s="100">
        <v>93.57</v>
      </c>
      <c r="I196" s="100">
        <v>12.21</v>
      </c>
    </row>
    <row r="197" spans="2:9">
      <c r="B197" s="139" t="s">
        <v>2523</v>
      </c>
      <c r="C197" s="95" t="s">
        <v>98</v>
      </c>
      <c r="D197" s="95" t="s">
        <v>462</v>
      </c>
      <c r="E197" s="119" t="s">
        <v>1849</v>
      </c>
      <c r="F197" s="135">
        <v>9.4999999999999998E-3</v>
      </c>
      <c r="G197" s="135" t="s">
        <v>2282</v>
      </c>
      <c r="H197" s="100"/>
      <c r="I197" s="100"/>
    </row>
    <row r="198" spans="2:9">
      <c r="B198" s="139" t="s">
        <v>1061</v>
      </c>
      <c r="C198" s="95" t="s">
        <v>366</v>
      </c>
      <c r="D198" s="95" t="s">
        <v>427</v>
      </c>
      <c r="E198" s="95"/>
      <c r="F198" s="135">
        <v>9.4999999999999998E-3</v>
      </c>
      <c r="G198" s="135" t="s">
        <v>2633</v>
      </c>
      <c r="H198" s="100">
        <v>89.600000000000009</v>
      </c>
      <c r="I198" s="100">
        <v>13.440000000000001</v>
      </c>
    </row>
    <row r="199" spans="2:9">
      <c r="B199" s="139" t="s">
        <v>2524</v>
      </c>
      <c r="C199" s="95" t="s">
        <v>366</v>
      </c>
      <c r="D199" s="95" t="s">
        <v>427</v>
      </c>
      <c r="E199" s="119" t="s">
        <v>1849</v>
      </c>
      <c r="F199" s="135">
        <v>9.4999999999999998E-3</v>
      </c>
      <c r="G199" s="135" t="s">
        <v>2282</v>
      </c>
      <c r="H199" s="100"/>
      <c r="I199" s="100"/>
    </row>
    <row r="200" spans="2:9">
      <c r="B200" s="139" t="s">
        <v>1062</v>
      </c>
      <c r="C200" s="95" t="s">
        <v>59</v>
      </c>
      <c r="D200" s="95" t="s">
        <v>402</v>
      </c>
      <c r="E200" s="95"/>
      <c r="F200" s="135">
        <v>6.0000000000000001E-3</v>
      </c>
      <c r="G200" s="135" t="s">
        <v>2634</v>
      </c>
      <c r="H200" s="100">
        <v>93.57</v>
      </c>
      <c r="I200" s="100">
        <v>0.68</v>
      </c>
    </row>
    <row r="201" spans="2:9">
      <c r="B201" s="139" t="s">
        <v>2525</v>
      </c>
      <c r="C201" s="95" t="s">
        <v>59</v>
      </c>
      <c r="D201" s="95" t="s">
        <v>402</v>
      </c>
      <c r="E201" s="119" t="s">
        <v>1849</v>
      </c>
      <c r="F201" s="135">
        <v>6.0000000000000001E-3</v>
      </c>
      <c r="G201" s="135" t="s">
        <v>2282</v>
      </c>
      <c r="H201" s="100"/>
      <c r="I201" s="100"/>
    </row>
    <row r="202" spans="2:9">
      <c r="B202" s="139" t="s">
        <v>1063</v>
      </c>
      <c r="C202" s="95" t="s">
        <v>265</v>
      </c>
      <c r="D202" s="95" t="s">
        <v>541</v>
      </c>
      <c r="E202" s="95"/>
      <c r="F202" s="135">
        <v>0.1313</v>
      </c>
      <c r="G202" s="135" t="s">
        <v>2635</v>
      </c>
      <c r="H202" s="100">
        <v>128</v>
      </c>
      <c r="I202" s="100">
        <v>19.2</v>
      </c>
    </row>
    <row r="203" spans="2:9">
      <c r="B203" s="139" t="s">
        <v>2526</v>
      </c>
      <c r="C203" s="95" t="s">
        <v>265</v>
      </c>
      <c r="D203" s="95" t="s">
        <v>541</v>
      </c>
      <c r="E203" s="119" t="s">
        <v>1849</v>
      </c>
      <c r="F203" s="135">
        <v>0.1313</v>
      </c>
      <c r="G203" s="135" t="s">
        <v>2282</v>
      </c>
      <c r="H203" s="100"/>
      <c r="I203" s="100"/>
    </row>
    <row r="204" spans="2:9">
      <c r="B204" s="139" t="s">
        <v>1064</v>
      </c>
      <c r="C204" s="95" t="s">
        <v>60</v>
      </c>
      <c r="D204" s="95" t="s">
        <v>456</v>
      </c>
      <c r="E204" s="95"/>
      <c r="F204" s="135">
        <v>6.0000000000000001E-3</v>
      </c>
      <c r="G204" s="135" t="s">
        <v>2636</v>
      </c>
      <c r="H204" s="100">
        <v>93.57</v>
      </c>
      <c r="I204" s="100">
        <v>0.68</v>
      </c>
    </row>
    <row r="205" spans="2:9">
      <c r="B205" s="139" t="s">
        <v>2527</v>
      </c>
      <c r="C205" s="95" t="s">
        <v>60</v>
      </c>
      <c r="D205" s="95" t="s">
        <v>456</v>
      </c>
      <c r="E205" s="119" t="s">
        <v>1849</v>
      </c>
      <c r="F205" s="135">
        <v>6.0000000000000001E-3</v>
      </c>
      <c r="G205" s="135" t="s">
        <v>2282</v>
      </c>
      <c r="H205" s="100"/>
      <c r="I205" s="100"/>
    </row>
    <row r="206" spans="2:9">
      <c r="B206" s="139" t="s">
        <v>1065</v>
      </c>
      <c r="C206" s="95" t="s">
        <v>61</v>
      </c>
      <c r="D206" s="95" t="s">
        <v>393</v>
      </c>
      <c r="E206" s="95"/>
      <c r="F206" s="135">
        <v>6.0000000000000001E-3</v>
      </c>
      <c r="G206" s="135" t="s">
        <v>2637</v>
      </c>
      <c r="H206" s="100">
        <v>93.57</v>
      </c>
      <c r="I206" s="100">
        <v>0.68</v>
      </c>
    </row>
    <row r="207" spans="2:9">
      <c r="B207" s="139" t="s">
        <v>2528</v>
      </c>
      <c r="C207" s="95" t="s">
        <v>61</v>
      </c>
      <c r="D207" s="95" t="s">
        <v>393</v>
      </c>
      <c r="E207" s="119" t="s">
        <v>1849</v>
      </c>
      <c r="F207" s="135">
        <v>6.0000000000000001E-3</v>
      </c>
      <c r="G207" s="135" t="s">
        <v>2282</v>
      </c>
      <c r="H207" s="100"/>
      <c r="I207" s="100"/>
    </row>
    <row r="208" spans="2:9">
      <c r="B208" s="139" t="s">
        <v>1066</v>
      </c>
      <c r="C208" s="95" t="s">
        <v>62</v>
      </c>
      <c r="D208" s="95" t="s">
        <v>458</v>
      </c>
      <c r="E208" s="95"/>
      <c r="F208" s="135">
        <v>9.4999999999999998E-3</v>
      </c>
      <c r="G208" s="135" t="s">
        <v>2638</v>
      </c>
      <c r="H208" s="100">
        <v>93.57</v>
      </c>
      <c r="I208" s="100">
        <v>12.21</v>
      </c>
    </row>
    <row r="209" spans="2:9">
      <c r="B209" s="139" t="s">
        <v>2529</v>
      </c>
      <c r="C209" s="95" t="s">
        <v>62</v>
      </c>
      <c r="D209" s="95" t="s">
        <v>458</v>
      </c>
      <c r="E209" s="119" t="s">
        <v>1849</v>
      </c>
      <c r="F209" s="135">
        <v>9.4999999999999998E-3</v>
      </c>
      <c r="G209" s="135" t="s">
        <v>2282</v>
      </c>
      <c r="H209" s="100"/>
      <c r="I209" s="100"/>
    </row>
    <row r="210" spans="2:9">
      <c r="B210" s="139" t="s">
        <v>1067</v>
      </c>
      <c r="C210" s="95" t="s">
        <v>274</v>
      </c>
      <c r="D210" s="95" t="s">
        <v>600</v>
      </c>
      <c r="E210" s="95"/>
      <c r="F210" s="135">
        <v>0.1013</v>
      </c>
      <c r="G210" s="135" t="s">
        <v>2639</v>
      </c>
      <c r="H210" s="100">
        <v>134.4</v>
      </c>
      <c r="I210" s="100">
        <v>89.600000000000023</v>
      </c>
    </row>
    <row r="211" spans="2:9">
      <c r="B211" s="139" t="s">
        <v>2530</v>
      </c>
      <c r="C211" s="95" t="s">
        <v>274</v>
      </c>
      <c r="D211" s="95" t="s">
        <v>600</v>
      </c>
      <c r="E211" s="119" t="s">
        <v>1849</v>
      </c>
      <c r="F211" s="135">
        <v>0.1013</v>
      </c>
      <c r="G211" s="135" t="s">
        <v>2282</v>
      </c>
      <c r="H211" s="100"/>
      <c r="I211" s="100"/>
    </row>
    <row r="212" spans="2:9">
      <c r="B212" s="139" t="s">
        <v>1068</v>
      </c>
      <c r="C212" s="95" t="s">
        <v>99</v>
      </c>
      <c r="D212" s="95" t="s">
        <v>599</v>
      </c>
      <c r="E212" s="95"/>
      <c r="F212" s="135">
        <v>7.2599999999999998E-2</v>
      </c>
      <c r="G212" s="135" t="s">
        <v>2640</v>
      </c>
      <c r="H212" s="155">
        <v>238</v>
      </c>
      <c r="I212" s="100">
        <v>67.2</v>
      </c>
    </row>
    <row r="213" spans="2:9">
      <c r="B213" s="139" t="s">
        <v>2531</v>
      </c>
      <c r="C213" s="95" t="s">
        <v>99</v>
      </c>
      <c r="D213" s="95" t="s">
        <v>599</v>
      </c>
      <c r="E213" s="119" t="s">
        <v>1849</v>
      </c>
      <c r="F213" s="135">
        <v>7.2599999999999998E-2</v>
      </c>
      <c r="G213" s="135" t="s">
        <v>2282</v>
      </c>
      <c r="H213" s="100"/>
      <c r="I213" s="100"/>
    </row>
    <row r="214" spans="2:9">
      <c r="B214" s="139" t="s">
        <v>1069</v>
      </c>
      <c r="C214" s="134" t="s">
        <v>970</v>
      </c>
      <c r="D214" s="134" t="s">
        <v>605</v>
      </c>
      <c r="E214" s="134"/>
      <c r="F214" s="135">
        <v>1.61E-2</v>
      </c>
      <c r="G214" s="135" t="s">
        <v>2641</v>
      </c>
      <c r="H214" s="100">
        <v>89.6</v>
      </c>
      <c r="I214" s="100">
        <v>89.6</v>
      </c>
    </row>
    <row r="215" spans="2:9">
      <c r="B215" s="139" t="s">
        <v>2532</v>
      </c>
      <c r="C215" s="134" t="s">
        <v>970</v>
      </c>
      <c r="D215" s="134" t="s">
        <v>605</v>
      </c>
      <c r="E215" s="119" t="s">
        <v>1849</v>
      </c>
      <c r="F215" s="135">
        <v>1.61E-2</v>
      </c>
      <c r="G215" s="135" t="s">
        <v>2282</v>
      </c>
      <c r="H215" s="100"/>
      <c r="I215" s="100"/>
    </row>
    <row r="216" spans="2:9">
      <c r="B216" s="139" t="s">
        <v>1070</v>
      </c>
      <c r="C216" s="95" t="s">
        <v>100</v>
      </c>
      <c r="D216" s="95" t="s">
        <v>606</v>
      </c>
      <c r="E216" s="95"/>
      <c r="F216" s="135">
        <v>0.13880000000000001</v>
      </c>
      <c r="G216" s="135" t="s">
        <v>2642</v>
      </c>
      <c r="H216" s="100">
        <v>93.57</v>
      </c>
      <c r="I216" s="100">
        <v>12.21</v>
      </c>
    </row>
    <row r="217" spans="2:9">
      <c r="B217" s="139" t="s">
        <v>2533</v>
      </c>
      <c r="C217" s="95" t="s">
        <v>100</v>
      </c>
      <c r="D217" s="95" t="s">
        <v>606</v>
      </c>
      <c r="E217" s="119" t="s">
        <v>1849</v>
      </c>
      <c r="F217" s="135">
        <v>0.13880000000000001</v>
      </c>
      <c r="G217" s="135" t="s">
        <v>2282</v>
      </c>
      <c r="H217" s="100"/>
      <c r="I217" s="100"/>
    </row>
    <row r="218" spans="2:9">
      <c r="B218" s="139" t="s">
        <v>1072</v>
      </c>
      <c r="C218" s="95" t="s">
        <v>282</v>
      </c>
      <c r="D218" s="119" t="s">
        <v>608</v>
      </c>
      <c r="E218" s="119"/>
      <c r="F218" s="135">
        <v>0.1779</v>
      </c>
      <c r="G218" s="135" t="s">
        <v>2643</v>
      </c>
      <c r="H218" s="155">
        <v>159.375</v>
      </c>
      <c r="I218" s="100">
        <v>19.2</v>
      </c>
    </row>
    <row r="219" spans="2:9">
      <c r="B219" s="139" t="s">
        <v>2534</v>
      </c>
      <c r="C219" s="95" t="s">
        <v>282</v>
      </c>
      <c r="D219" s="119" t="s">
        <v>608</v>
      </c>
      <c r="E219" s="119" t="s">
        <v>1849</v>
      </c>
      <c r="F219" s="135">
        <v>0.1779</v>
      </c>
      <c r="G219" s="135" t="s">
        <v>2282</v>
      </c>
      <c r="H219" s="100"/>
      <c r="I219" s="100"/>
    </row>
    <row r="220" spans="2:9">
      <c r="B220" s="139" t="s">
        <v>1073</v>
      </c>
      <c r="C220" s="95" t="s">
        <v>283</v>
      </c>
      <c r="D220" s="119" t="s">
        <v>609</v>
      </c>
      <c r="E220" s="119"/>
      <c r="F220" s="135">
        <v>1.5800000000000002E-2</v>
      </c>
      <c r="G220" s="135" t="s">
        <v>2644</v>
      </c>
      <c r="H220" s="100">
        <v>93.57</v>
      </c>
      <c r="I220" s="100">
        <v>16.800000000000004</v>
      </c>
    </row>
    <row r="221" spans="2:9">
      <c r="B221" s="139" t="s">
        <v>2535</v>
      </c>
      <c r="C221" s="95" t="s">
        <v>283</v>
      </c>
      <c r="D221" s="119" t="s">
        <v>609</v>
      </c>
      <c r="E221" s="119" t="s">
        <v>1849</v>
      </c>
      <c r="F221" s="135">
        <v>1.5800000000000002E-2</v>
      </c>
      <c r="G221" s="135" t="s">
        <v>2282</v>
      </c>
      <c r="H221" s="100"/>
      <c r="I221" s="100"/>
    </row>
    <row r="222" spans="2:9">
      <c r="B222" s="139" t="s">
        <v>1074</v>
      </c>
      <c r="C222" s="95" t="s">
        <v>63</v>
      </c>
      <c r="D222" s="119" t="s">
        <v>406</v>
      </c>
      <c r="E222" s="119"/>
      <c r="F222" s="135">
        <v>6.0000000000000001E-3</v>
      </c>
      <c r="G222" s="135" t="s">
        <v>2645</v>
      </c>
      <c r="H222" s="100">
        <v>93.57</v>
      </c>
      <c r="I222" s="100">
        <v>0.68</v>
      </c>
    </row>
    <row r="223" spans="2:9">
      <c r="B223" s="139" t="s">
        <v>2536</v>
      </c>
      <c r="C223" s="95" t="s">
        <v>63</v>
      </c>
      <c r="D223" s="119" t="s">
        <v>406</v>
      </c>
      <c r="E223" s="119" t="s">
        <v>1849</v>
      </c>
      <c r="F223" s="135">
        <v>6.0000000000000001E-3</v>
      </c>
      <c r="G223" s="135" t="s">
        <v>2282</v>
      </c>
      <c r="H223" s="100"/>
      <c r="I223" s="100"/>
    </row>
    <row r="224" spans="2:9">
      <c r="B224" s="139" t="s">
        <v>2537</v>
      </c>
      <c r="C224" s="95" t="s">
        <v>1845</v>
      </c>
      <c r="D224" s="119" t="s">
        <v>469</v>
      </c>
      <c r="E224" s="119"/>
      <c r="F224" s="135">
        <v>0.1244</v>
      </c>
      <c r="G224" s="135" t="s">
        <v>2646</v>
      </c>
      <c r="H224" s="100">
        <v>190.4</v>
      </c>
      <c r="I224" s="100">
        <v>95.2</v>
      </c>
    </row>
    <row r="225" spans="2:9">
      <c r="B225" s="139" t="s">
        <v>2538</v>
      </c>
      <c r="C225" s="95" t="s">
        <v>1845</v>
      </c>
      <c r="D225" s="119" t="s">
        <v>469</v>
      </c>
      <c r="E225" s="119" t="s">
        <v>1849</v>
      </c>
      <c r="F225" s="135">
        <v>0.1244</v>
      </c>
      <c r="G225" s="135" t="s">
        <v>2282</v>
      </c>
      <c r="H225" s="100"/>
      <c r="I225" s="100"/>
    </row>
    <row r="226" spans="2:9">
      <c r="B226" s="139" t="s">
        <v>1075</v>
      </c>
      <c r="C226" s="95" t="s">
        <v>284</v>
      </c>
      <c r="D226" s="119" t="s">
        <v>610</v>
      </c>
      <c r="E226" s="119"/>
      <c r="F226" s="135">
        <v>0.35799999999999998</v>
      </c>
      <c r="G226" s="135" t="s">
        <v>2647</v>
      </c>
      <c r="H226" s="100">
        <v>93.57</v>
      </c>
      <c r="I226" s="100">
        <v>117.6</v>
      </c>
    </row>
    <row r="227" spans="2:9">
      <c r="B227" s="139" t="s">
        <v>2539</v>
      </c>
      <c r="C227" s="95" t="s">
        <v>284</v>
      </c>
      <c r="D227" s="119" t="s">
        <v>610</v>
      </c>
      <c r="E227" s="119" t="s">
        <v>1849</v>
      </c>
      <c r="F227" s="135">
        <v>0.35799999999999998</v>
      </c>
      <c r="G227" s="135" t="s">
        <v>2282</v>
      </c>
      <c r="H227" s="100"/>
      <c r="I227" s="100"/>
    </row>
    <row r="228" spans="2:9">
      <c r="B228" s="139" t="s">
        <v>1076</v>
      </c>
      <c r="C228" s="95" t="s">
        <v>299</v>
      </c>
      <c r="D228" s="119" t="s">
        <v>64</v>
      </c>
      <c r="E228" s="119"/>
      <c r="F228" s="135">
        <v>6.0000000000000001E-3</v>
      </c>
      <c r="G228" s="135" t="s">
        <v>2648</v>
      </c>
      <c r="H228" s="100">
        <v>93.57</v>
      </c>
      <c r="I228" s="100">
        <v>0.68</v>
      </c>
    </row>
    <row r="229" spans="2:9">
      <c r="B229" s="139" t="s">
        <v>2540</v>
      </c>
      <c r="C229" s="95" t="s">
        <v>299</v>
      </c>
      <c r="D229" s="119" t="s">
        <v>64</v>
      </c>
      <c r="E229" s="119" t="s">
        <v>1849</v>
      </c>
      <c r="F229" s="135">
        <v>6.0000000000000001E-3</v>
      </c>
      <c r="G229" s="135" t="s">
        <v>2282</v>
      </c>
      <c r="H229" s="100"/>
      <c r="I229" s="100"/>
    </row>
    <row r="230" spans="2:9">
      <c r="B230" s="139" t="s">
        <v>1077</v>
      </c>
      <c r="C230" s="95" t="s">
        <v>103</v>
      </c>
      <c r="D230" s="119" t="s">
        <v>613</v>
      </c>
      <c r="E230" s="119"/>
      <c r="F230" s="135">
        <v>1.7600000000000001E-2</v>
      </c>
      <c r="G230" s="135" t="s">
        <v>2649</v>
      </c>
      <c r="H230" s="100">
        <v>93.57</v>
      </c>
      <c r="I230" s="100">
        <v>50.400000000000006</v>
      </c>
    </row>
    <row r="231" spans="2:9">
      <c r="B231" s="139" t="s">
        <v>2541</v>
      </c>
      <c r="C231" s="95" t="s">
        <v>103</v>
      </c>
      <c r="D231" s="119" t="s">
        <v>613</v>
      </c>
      <c r="E231" s="119" t="s">
        <v>1849</v>
      </c>
      <c r="F231" s="135">
        <v>1.7600000000000001E-2</v>
      </c>
      <c r="G231" s="135" t="s">
        <v>2282</v>
      </c>
      <c r="H231" s="100"/>
      <c r="I231" s="100"/>
    </row>
    <row r="232" spans="2:9">
      <c r="B232" s="139" t="s">
        <v>1079</v>
      </c>
      <c r="C232" s="95" t="s">
        <v>104</v>
      </c>
      <c r="D232" s="119" t="s">
        <v>622</v>
      </c>
      <c r="E232" s="119"/>
      <c r="F232" s="135">
        <v>0.18340000000000001</v>
      </c>
      <c r="G232" s="135" t="s">
        <v>2650</v>
      </c>
      <c r="H232" s="100">
        <v>128</v>
      </c>
      <c r="I232" s="155">
        <v>95.2</v>
      </c>
    </row>
    <row r="233" spans="2:9">
      <c r="B233" s="139" t="s">
        <v>2542</v>
      </c>
      <c r="C233" s="95" t="s">
        <v>104</v>
      </c>
      <c r="D233" s="119" t="s">
        <v>622</v>
      </c>
      <c r="E233" s="119" t="s">
        <v>1849</v>
      </c>
      <c r="F233" s="135">
        <v>0.18340000000000001</v>
      </c>
      <c r="G233" s="135" t="s">
        <v>2282</v>
      </c>
      <c r="H233" s="100"/>
      <c r="I233" s="100"/>
    </row>
    <row r="234" spans="2:9">
      <c r="B234" s="139" t="s">
        <v>1852</v>
      </c>
      <c r="C234" s="95" t="s">
        <v>253</v>
      </c>
      <c r="D234" s="119" t="s">
        <v>508</v>
      </c>
      <c r="E234" s="119"/>
      <c r="F234" s="100">
        <v>0.23039999999999999</v>
      </c>
      <c r="G234" s="135" t="s">
        <v>2651</v>
      </c>
      <c r="H234" s="100">
        <v>95.2</v>
      </c>
      <c r="I234" s="100">
        <v>14.280000000000001</v>
      </c>
    </row>
    <row r="235" spans="2:9">
      <c r="B235" s="139" t="s">
        <v>1853</v>
      </c>
      <c r="C235" s="95" t="s">
        <v>253</v>
      </c>
      <c r="D235" s="119" t="s">
        <v>508</v>
      </c>
      <c r="E235" s="119" t="s">
        <v>1849</v>
      </c>
      <c r="F235" s="100">
        <v>0.23039999999999999</v>
      </c>
      <c r="G235" s="135"/>
      <c r="H235" s="100"/>
      <c r="I235" s="100"/>
    </row>
    <row r="236" spans="2:9">
      <c r="B236" s="139" t="s">
        <v>1854</v>
      </c>
      <c r="C236" s="95" t="s">
        <v>1856</v>
      </c>
      <c r="D236" s="119" t="s">
        <v>804</v>
      </c>
      <c r="E236" s="119"/>
      <c r="F236" s="100">
        <v>2.2100000000000002E-2</v>
      </c>
      <c r="G236" s="135" t="s">
        <v>2652</v>
      </c>
      <c r="H236" s="100">
        <v>95.2</v>
      </c>
      <c r="I236" s="100">
        <v>47.6</v>
      </c>
    </row>
    <row r="237" spans="2:9">
      <c r="B237" s="139" t="s">
        <v>1855</v>
      </c>
      <c r="C237" s="95" t="s">
        <v>1856</v>
      </c>
      <c r="D237" s="119" t="s">
        <v>804</v>
      </c>
      <c r="E237" s="119" t="s">
        <v>1849</v>
      </c>
      <c r="F237" s="100">
        <v>2.2100000000000002E-2</v>
      </c>
      <c r="G237" s="135"/>
      <c r="H237" s="100"/>
      <c r="I237" s="100"/>
    </row>
  </sheetData>
  <autoFilter ref="B17:I237" xr:uid="{FC08427B-3472-49E8-A99C-E49F5AFF307C}"/>
  <sortState xmlns:xlrd2="http://schemas.microsoft.com/office/spreadsheetml/2017/richdata2" ref="B18:I233">
    <sortCondition ref="C18:C233"/>
    <sortCondition ref="B18:B233"/>
  </sortState>
  <mergeCells count="2">
    <mergeCell ref="G15:I15"/>
    <mergeCell ref="F13:I13"/>
  </mergeCells>
  <hyperlinks>
    <hyperlink ref="B1" location="'Main Menu'!A1" tooltip="Go to the main menu" display="&gt;&gt; Main Menu" xr:uid="{94A7A23A-441F-4438-A7E7-BFEBC567E675}"/>
  </hyperlinks>
  <printOptions horizontalCentered="1" verticalCentered="1"/>
  <pageMargins left="0" right="0" top="0.25" bottom="0.75" header="0.5" footer="0.5"/>
  <pageSetup paperSize="9" fitToWidth="2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pageSetUpPr autoPageBreaks="0" fitToPage="1"/>
  </sheetPr>
  <dimension ref="A1:M218"/>
  <sheetViews>
    <sheetView showGridLines="0" topLeftCell="A7" zoomScaleNormal="100" workbookViewId="0">
      <selection activeCell="K24" sqref="K24"/>
    </sheetView>
  </sheetViews>
  <sheetFormatPr defaultColWidth="8.7109375" defaultRowHeight="11.25"/>
  <cols>
    <col min="1" max="1" width="8.7109375" style="3"/>
    <col min="2" max="2" width="16" style="3" bestFit="1" customWidth="1"/>
    <col min="3" max="3" width="26.7109375" style="3" customWidth="1"/>
    <col min="4" max="4" width="8.7109375" style="3"/>
    <col min="5" max="5" width="10.28515625" style="3" customWidth="1"/>
    <col min="6" max="6" width="8.7109375" style="3"/>
    <col min="7" max="7" width="12.28515625" style="3" customWidth="1"/>
    <col min="8" max="16384" width="8.7109375" style="3"/>
  </cols>
  <sheetData>
    <row r="1" spans="2:13">
      <c r="B1" s="152" t="s">
        <v>108</v>
      </c>
    </row>
    <row r="3" spans="2:13" ht="20.25">
      <c r="B3" s="153" t="s">
        <v>28</v>
      </c>
      <c r="D3" s="24"/>
      <c r="E3" s="24"/>
      <c r="H3" s="17"/>
      <c r="I3" s="31"/>
    </row>
    <row r="4" spans="2:13" s="1" customFormat="1" ht="20.25">
      <c r="B4" s="153" t="s">
        <v>369</v>
      </c>
      <c r="D4" s="24"/>
      <c r="E4" s="24"/>
      <c r="H4" s="29"/>
      <c r="I4" s="71"/>
    </row>
    <row r="5" spans="2:13" s="1" customFormat="1">
      <c r="D5" s="22"/>
      <c r="E5" s="22"/>
      <c r="H5" s="29"/>
      <c r="I5" s="71"/>
    </row>
    <row r="6" spans="2:13" s="1" customFormat="1">
      <c r="B6" s="15"/>
      <c r="D6" s="15"/>
      <c r="E6" s="15"/>
      <c r="H6" s="29"/>
      <c r="I6" s="71"/>
    </row>
    <row r="7" spans="2:13" s="1" customFormat="1">
      <c r="B7" s="7" t="s">
        <v>115</v>
      </c>
      <c r="D7" s="7"/>
      <c r="E7" s="7"/>
      <c r="H7" s="3"/>
    </row>
    <row r="8" spans="2:13">
      <c r="B8" s="7" t="s">
        <v>107</v>
      </c>
      <c r="D8" s="7"/>
      <c r="E8" s="7"/>
      <c r="H8" s="17"/>
      <c r="I8" s="31"/>
    </row>
    <row r="9" spans="2:13">
      <c r="B9" s="7" t="s">
        <v>113</v>
      </c>
      <c r="D9" s="7"/>
      <c r="E9" s="7"/>
      <c r="H9" s="17"/>
      <c r="I9" s="30"/>
    </row>
    <row r="10" spans="2:13">
      <c r="B10" s="7" t="s">
        <v>218</v>
      </c>
      <c r="D10" s="7"/>
      <c r="E10" s="7"/>
      <c r="F10" s="19"/>
      <c r="G10" s="19"/>
      <c r="H10" s="17"/>
      <c r="I10" s="31"/>
    </row>
    <row r="11" spans="2:13" ht="12" customHeight="1">
      <c r="C11" s="7"/>
      <c r="D11" s="7"/>
      <c r="E11" s="7"/>
    </row>
    <row r="12" spans="2:13" ht="12" customHeight="1">
      <c r="C12" s="7"/>
      <c r="D12" s="7"/>
      <c r="E12" s="7"/>
      <c r="F12" s="170"/>
      <c r="G12" s="170"/>
      <c r="H12" s="170"/>
      <c r="I12" s="170"/>
      <c r="K12" s="147"/>
      <c r="M12" s="157"/>
    </row>
    <row r="13" spans="2:13" ht="12" customHeight="1">
      <c r="C13" s="20"/>
      <c r="D13" s="20"/>
      <c r="E13" s="20"/>
      <c r="F13" s="19"/>
      <c r="G13" s="19"/>
      <c r="H13" s="17"/>
      <c r="I13" s="31"/>
      <c r="K13" s="147"/>
      <c r="M13" s="157"/>
    </row>
    <row r="14" spans="2:13" s="27" customFormat="1" ht="11.25" customHeight="1">
      <c r="C14" s="108"/>
      <c r="D14" s="108"/>
      <c r="E14" s="108"/>
      <c r="G14" s="168" t="s">
        <v>109</v>
      </c>
      <c r="H14" s="168"/>
      <c r="I14" s="169"/>
      <c r="K14" s="147"/>
      <c r="L14" s="3"/>
      <c r="M14" s="147"/>
    </row>
    <row r="15" spans="2:13" s="6" customFormat="1" ht="33.75">
      <c r="C15" s="108"/>
      <c r="D15" s="108"/>
      <c r="E15" s="108"/>
      <c r="F15" s="151" t="s">
        <v>116</v>
      </c>
      <c r="G15" s="140" t="s">
        <v>1850</v>
      </c>
      <c r="H15" s="141" t="s">
        <v>110</v>
      </c>
      <c r="I15" s="141" t="s">
        <v>111</v>
      </c>
    </row>
    <row r="16" spans="2:13" ht="22.5">
      <c r="B16" s="16" t="s">
        <v>1851</v>
      </c>
      <c r="C16" s="16" t="s">
        <v>365</v>
      </c>
      <c r="D16" s="150" t="s">
        <v>890</v>
      </c>
      <c r="E16" s="120" t="s">
        <v>931</v>
      </c>
      <c r="F16" s="16" t="s">
        <v>106</v>
      </c>
      <c r="G16" s="142" t="s">
        <v>370</v>
      </c>
      <c r="H16" s="143" t="s">
        <v>105</v>
      </c>
      <c r="I16" s="143" t="s">
        <v>112</v>
      </c>
    </row>
    <row r="17" spans="2:9">
      <c r="B17" s="144" t="s">
        <v>1080</v>
      </c>
      <c r="C17" s="97" t="s">
        <v>68</v>
      </c>
      <c r="D17" s="97" t="s">
        <v>470</v>
      </c>
      <c r="E17" s="97"/>
      <c r="F17" s="145">
        <v>4.7600000000000003E-2</v>
      </c>
      <c r="G17" s="146" t="str">
        <f>IF(H17="","","TFNUM"&amp;" "&amp;D17)</f>
        <v>TFNUM ARG</v>
      </c>
      <c r="H17" s="100">
        <v>168.43</v>
      </c>
      <c r="I17" s="100">
        <v>12.2135</v>
      </c>
    </row>
    <row r="18" spans="2:9">
      <c r="B18" s="139" t="s">
        <v>1081</v>
      </c>
      <c r="C18" s="97" t="s">
        <v>68</v>
      </c>
      <c r="D18" s="97" t="s">
        <v>470</v>
      </c>
      <c r="E18" s="97" t="s">
        <v>1849</v>
      </c>
      <c r="F18" s="135">
        <v>4.7600000000000003E-2</v>
      </c>
      <c r="G18" s="135"/>
      <c r="H18" s="100"/>
      <c r="I18" s="100"/>
    </row>
    <row r="19" spans="2:9">
      <c r="B19" s="144" t="s">
        <v>1082</v>
      </c>
      <c r="C19" s="97" t="s">
        <v>43</v>
      </c>
      <c r="D19" s="97" t="s">
        <v>385</v>
      </c>
      <c r="E19" s="97"/>
      <c r="F19" s="145">
        <v>1.34E-2</v>
      </c>
      <c r="G19" s="146" t="str">
        <f>IF(H19="","","TFNUM"&amp;" "&amp;D19)</f>
        <v>TFNUM AUS</v>
      </c>
      <c r="H19" s="100">
        <v>168.43</v>
      </c>
      <c r="I19" s="100">
        <v>16.281500000000001</v>
      </c>
    </row>
    <row r="20" spans="2:9">
      <c r="B20" s="139" t="s">
        <v>1083</v>
      </c>
      <c r="C20" s="97" t="s">
        <v>43</v>
      </c>
      <c r="D20" s="97" t="s">
        <v>385</v>
      </c>
      <c r="E20" s="97" t="s">
        <v>1849</v>
      </c>
      <c r="F20" s="135">
        <v>2.1999999999999999E-2</v>
      </c>
      <c r="G20" s="135"/>
      <c r="H20" s="100"/>
      <c r="I20" s="100"/>
    </row>
    <row r="21" spans="2:9">
      <c r="B21" s="144" t="s">
        <v>1084</v>
      </c>
      <c r="C21" s="97" t="s">
        <v>44</v>
      </c>
      <c r="D21" s="97" t="s">
        <v>386</v>
      </c>
      <c r="E21" s="97"/>
      <c r="F21" s="145">
        <v>4.1500000000000002E-2</v>
      </c>
      <c r="G21" s="146" t="str">
        <f>IF(H21="","","TFNUM"&amp;" "&amp;D21)</f>
        <v>TFNUM AUT</v>
      </c>
      <c r="H21" s="100">
        <v>168.43</v>
      </c>
      <c r="I21" s="100">
        <v>12.2135</v>
      </c>
    </row>
    <row r="22" spans="2:9">
      <c r="B22" s="139" t="s">
        <v>1085</v>
      </c>
      <c r="C22" s="97" t="s">
        <v>44</v>
      </c>
      <c r="D22" s="97" t="s">
        <v>386</v>
      </c>
      <c r="E22" s="97" t="s">
        <v>1849</v>
      </c>
      <c r="F22" s="135">
        <v>0.1338</v>
      </c>
      <c r="G22" s="135"/>
      <c r="H22" s="100"/>
      <c r="I22" s="100"/>
    </row>
    <row r="23" spans="2:9">
      <c r="B23" s="144" t="s">
        <v>1086</v>
      </c>
      <c r="C23" s="97" t="s">
        <v>183</v>
      </c>
      <c r="D23" s="97" t="s">
        <v>481</v>
      </c>
      <c r="E23" s="97"/>
      <c r="F23" s="145">
        <v>0.1227</v>
      </c>
      <c r="G23" s="146" t="str">
        <f>IF(H23="","","TFNUM"&amp;" "&amp;D23)</f>
        <v>TFNUM BHS</v>
      </c>
      <c r="H23" s="100">
        <v>206.64</v>
      </c>
      <c r="I23" s="100">
        <v>28.495000000000001</v>
      </c>
    </row>
    <row r="24" spans="2:9">
      <c r="B24" s="139" t="s">
        <v>1087</v>
      </c>
      <c r="C24" s="97" t="s">
        <v>183</v>
      </c>
      <c r="D24" s="97" t="s">
        <v>481</v>
      </c>
      <c r="E24" s="97" t="s">
        <v>1849</v>
      </c>
      <c r="F24" s="135">
        <v>0.1227</v>
      </c>
      <c r="G24" s="135"/>
      <c r="H24" s="100"/>
      <c r="I24" s="100"/>
    </row>
    <row r="25" spans="2:9">
      <c r="B25" s="144" t="s">
        <v>1088</v>
      </c>
      <c r="C25" s="97" t="s">
        <v>186</v>
      </c>
      <c r="D25" s="97" t="s">
        <v>483</v>
      </c>
      <c r="E25" s="97"/>
      <c r="F25" s="145">
        <v>0.41039999999999999</v>
      </c>
      <c r="G25" s="146" t="str">
        <f>IF(H25="","","TFNUM"&amp;" "&amp;D25)</f>
        <v>TFNUM BLR</v>
      </c>
      <c r="H25" s="100">
        <v>168.43</v>
      </c>
      <c r="I25" s="100">
        <v>28.495000000000001</v>
      </c>
    </row>
    <row r="26" spans="2:9">
      <c r="B26" s="139" t="s">
        <v>1089</v>
      </c>
      <c r="C26" s="97" t="s">
        <v>186</v>
      </c>
      <c r="D26" s="97" t="s">
        <v>483</v>
      </c>
      <c r="E26" s="97" t="s">
        <v>1849</v>
      </c>
      <c r="F26" s="135">
        <v>0.41039999999999999</v>
      </c>
      <c r="G26" s="135"/>
      <c r="H26" s="100"/>
      <c r="I26" s="100"/>
    </row>
    <row r="27" spans="2:9">
      <c r="B27" s="144" t="s">
        <v>1090</v>
      </c>
      <c r="C27" s="97" t="s">
        <v>65</v>
      </c>
      <c r="D27" s="97" t="s">
        <v>387</v>
      </c>
      <c r="E27" s="97"/>
      <c r="F27" s="145">
        <v>2.07E-2</v>
      </c>
      <c r="G27" s="146" t="str">
        <f>IF(H27="","","TFNUM"&amp;" "&amp;D27)</f>
        <v>TFNUM BEL</v>
      </c>
      <c r="H27" s="100">
        <v>168.43</v>
      </c>
      <c r="I27" s="100">
        <v>12.2135</v>
      </c>
    </row>
    <row r="28" spans="2:9">
      <c r="B28" s="139" t="s">
        <v>1091</v>
      </c>
      <c r="C28" s="97" t="s">
        <v>65</v>
      </c>
      <c r="D28" s="97" t="s">
        <v>387</v>
      </c>
      <c r="E28" s="97" t="s">
        <v>1849</v>
      </c>
      <c r="F28" s="135">
        <v>0.21490000000000001</v>
      </c>
      <c r="G28" s="135"/>
      <c r="H28" s="100"/>
      <c r="I28" s="100"/>
    </row>
    <row r="29" spans="2:9">
      <c r="B29" s="144" t="s">
        <v>1092</v>
      </c>
      <c r="C29" s="97" t="s">
        <v>187</v>
      </c>
      <c r="D29" s="97" t="s">
        <v>484</v>
      </c>
      <c r="E29" s="97"/>
      <c r="F29" s="145">
        <v>0.27079999999999999</v>
      </c>
      <c r="G29" s="146" t="str">
        <f>IF(H29="","","TFNUM"&amp;" "&amp;D29)</f>
        <v>TFNUM BLZ</v>
      </c>
      <c r="H29" s="100">
        <v>168.43</v>
      </c>
      <c r="I29" s="100">
        <v>28.5</v>
      </c>
    </row>
    <row r="30" spans="2:9">
      <c r="B30" s="139" t="s">
        <v>1093</v>
      </c>
      <c r="C30" s="97" t="s">
        <v>187</v>
      </c>
      <c r="D30" s="97" t="s">
        <v>484</v>
      </c>
      <c r="E30" s="97" t="s">
        <v>1849</v>
      </c>
      <c r="F30" s="135">
        <v>0.27079999999999999</v>
      </c>
      <c r="G30" s="135"/>
      <c r="H30" s="100"/>
      <c r="I30" s="100"/>
    </row>
    <row r="31" spans="2:9">
      <c r="B31" s="144" t="s">
        <v>1094</v>
      </c>
      <c r="C31" s="97" t="s">
        <v>189</v>
      </c>
      <c r="D31" s="97" t="s">
        <v>390</v>
      </c>
      <c r="E31" s="97"/>
      <c r="F31" s="145">
        <v>8.43E-2</v>
      </c>
      <c r="G31" s="146" t="str">
        <f>IF(H31="","","TFNUM"&amp;" "&amp;D31)</f>
        <v>TFNUM BMU</v>
      </c>
      <c r="H31" s="100">
        <v>168.43</v>
      </c>
      <c r="I31" s="100">
        <v>28.5</v>
      </c>
    </row>
    <row r="32" spans="2:9">
      <c r="B32" s="139" t="s">
        <v>1095</v>
      </c>
      <c r="C32" s="97" t="s">
        <v>189</v>
      </c>
      <c r="D32" s="97" t="s">
        <v>390</v>
      </c>
      <c r="E32" s="97" t="s">
        <v>1849</v>
      </c>
      <c r="F32" s="135">
        <v>8.43E-2</v>
      </c>
      <c r="G32" s="135"/>
      <c r="H32" s="100"/>
      <c r="I32" s="100"/>
    </row>
    <row r="33" spans="2:9">
      <c r="B33" s="144" t="s">
        <v>1096</v>
      </c>
      <c r="C33" s="97" t="s">
        <v>192</v>
      </c>
      <c r="D33" s="97" t="s">
        <v>489</v>
      </c>
      <c r="E33" s="97"/>
      <c r="F33" s="145">
        <v>0.50219999999999998</v>
      </c>
      <c r="G33" s="146" t="str">
        <f>IF(H33="","","TFNUM"&amp;" "&amp;D33)</f>
        <v>TFNUM BWA</v>
      </c>
      <c r="H33" s="100">
        <v>100.8</v>
      </c>
      <c r="I33" s="100">
        <v>28.495000000000001</v>
      </c>
    </row>
    <row r="34" spans="2:9">
      <c r="B34" s="139" t="s">
        <v>1097</v>
      </c>
      <c r="C34" s="97" t="s">
        <v>192</v>
      </c>
      <c r="D34" s="13" t="s">
        <v>489</v>
      </c>
      <c r="E34" s="97" t="s">
        <v>1849</v>
      </c>
      <c r="F34" s="135">
        <v>0.50219999999999998</v>
      </c>
      <c r="G34" s="135"/>
      <c r="H34" s="100"/>
      <c r="I34" s="100"/>
    </row>
    <row r="35" spans="2:9">
      <c r="B35" s="144" t="s">
        <v>1098</v>
      </c>
      <c r="C35" s="97" t="s">
        <v>45</v>
      </c>
      <c r="D35" s="97" t="s">
        <v>391</v>
      </c>
      <c r="E35" s="97"/>
      <c r="F35" s="145">
        <v>1.24E-2</v>
      </c>
      <c r="G35" s="146" t="str">
        <f>IF(H35="","","TFNUM"&amp;" "&amp;D35)</f>
        <v>TFNUM BRA</v>
      </c>
      <c r="H35" s="155">
        <v>440.83749999999998</v>
      </c>
      <c r="I35" s="100">
        <v>67.2</v>
      </c>
    </row>
    <row r="36" spans="2:9">
      <c r="B36" s="139" t="s">
        <v>1099</v>
      </c>
      <c r="C36" s="97" t="s">
        <v>45</v>
      </c>
      <c r="D36" s="13" t="s">
        <v>391</v>
      </c>
      <c r="E36" s="97" t="s">
        <v>1849</v>
      </c>
      <c r="F36" s="135">
        <v>4.7699999999999999E-2</v>
      </c>
      <c r="G36" s="135"/>
      <c r="H36" s="100"/>
      <c r="I36" s="100"/>
    </row>
    <row r="37" spans="2:9">
      <c r="B37" s="144" t="s">
        <v>1100</v>
      </c>
      <c r="C37" s="97" t="s">
        <v>7</v>
      </c>
      <c r="D37" s="97" t="s">
        <v>487</v>
      </c>
      <c r="E37" s="97"/>
      <c r="F37" s="145">
        <v>0.27079999999999999</v>
      </c>
      <c r="G37" s="146" t="str">
        <f>IF(H37="","","TFNUM"&amp;" "&amp;D37)</f>
        <v>TFNUM BRN</v>
      </c>
      <c r="H37" s="100">
        <v>168.43</v>
      </c>
      <c r="I37" s="100">
        <v>28.495000000000001</v>
      </c>
    </row>
    <row r="38" spans="2:9">
      <c r="B38" s="139" t="s">
        <v>1101</v>
      </c>
      <c r="C38" s="97" t="s">
        <v>7</v>
      </c>
      <c r="D38" s="97" t="s">
        <v>487</v>
      </c>
      <c r="E38" s="97" t="s">
        <v>1849</v>
      </c>
      <c r="F38" s="135">
        <v>0.27079999999999999</v>
      </c>
      <c r="G38" s="135"/>
      <c r="H38" s="100"/>
      <c r="I38" s="100"/>
    </row>
    <row r="39" spans="2:9">
      <c r="B39" s="144" t="s">
        <v>1102</v>
      </c>
      <c r="C39" s="97" t="s">
        <v>70</v>
      </c>
      <c r="D39" s="97" t="s">
        <v>388</v>
      </c>
      <c r="E39" s="97"/>
      <c r="F39" s="145">
        <v>4.1399999999999999E-2</v>
      </c>
      <c r="G39" s="146" t="str">
        <f>IF(H39="","","TFNUM"&amp;" "&amp;D39)</f>
        <v>TFNUM BGR</v>
      </c>
      <c r="H39" s="100">
        <v>168.43</v>
      </c>
      <c r="I39" s="100">
        <v>28.495000000000001</v>
      </c>
    </row>
    <row r="40" spans="2:9">
      <c r="B40" s="139" t="s">
        <v>1103</v>
      </c>
      <c r="C40" s="97" t="s">
        <v>70</v>
      </c>
      <c r="D40" s="97" t="s">
        <v>388</v>
      </c>
      <c r="E40" s="97" t="s">
        <v>1849</v>
      </c>
      <c r="F40" s="135">
        <v>0.15590000000000001</v>
      </c>
      <c r="G40" s="135"/>
      <c r="H40" s="100"/>
      <c r="I40" s="100"/>
    </row>
    <row r="41" spans="2:9">
      <c r="B41" s="144" t="s">
        <v>1104</v>
      </c>
      <c r="C41" s="97" t="s">
        <v>10</v>
      </c>
      <c r="D41" s="97" t="str">
        <f>VLOOKUP(C41,PSTN!C:D,2,0)</f>
        <v>KHM</v>
      </c>
      <c r="E41" s="97"/>
      <c r="F41" s="145">
        <v>0.40410000000000001</v>
      </c>
      <c r="G41" s="146" t="str">
        <f>IF(H41="","","TFNUM"&amp;" "&amp;D41)</f>
        <v>TFNUM KHM</v>
      </c>
      <c r="H41" s="100">
        <v>134.4</v>
      </c>
      <c r="I41" s="100">
        <v>134.4</v>
      </c>
    </row>
    <row r="42" spans="2:9">
      <c r="B42" s="139" t="s">
        <v>1105</v>
      </c>
      <c r="C42" s="97" t="s">
        <v>10</v>
      </c>
      <c r="D42" s="13" t="str">
        <f>VLOOKUP(C42,PSTN!C:D,2,0)</f>
        <v>KHM</v>
      </c>
      <c r="E42" s="97" t="s">
        <v>1849</v>
      </c>
      <c r="F42" s="135">
        <v>0.40410000000000001</v>
      </c>
      <c r="G42" s="135"/>
      <c r="H42" s="100"/>
      <c r="I42" s="100"/>
    </row>
    <row r="43" spans="2:9">
      <c r="B43" s="144" t="s">
        <v>1106</v>
      </c>
      <c r="C43" s="97" t="s">
        <v>46</v>
      </c>
      <c r="D43" s="97" t="s">
        <v>392</v>
      </c>
      <c r="E43" s="97"/>
      <c r="F43" s="145">
        <v>8.3000000000000001E-3</v>
      </c>
      <c r="G43" s="146" t="str">
        <f>IF(H43="","","TFNUM"&amp;" "&amp;D43)</f>
        <v>TFNUM CAN</v>
      </c>
      <c r="H43" s="100">
        <v>168.43</v>
      </c>
      <c r="I43" s="100">
        <v>12.2135</v>
      </c>
    </row>
    <row r="44" spans="2:9">
      <c r="B44" s="139" t="s">
        <v>1107</v>
      </c>
      <c r="C44" s="97" t="s">
        <v>46</v>
      </c>
      <c r="D44" s="97" t="s">
        <v>392</v>
      </c>
      <c r="E44" s="97" t="s">
        <v>1849</v>
      </c>
      <c r="F44" s="135">
        <v>8.3000000000000001E-3</v>
      </c>
      <c r="G44" s="135"/>
      <c r="H44" s="100"/>
      <c r="I44" s="100"/>
    </row>
    <row r="45" spans="2:9">
      <c r="B45" s="144" t="s">
        <v>1108</v>
      </c>
      <c r="C45" s="97" t="s">
        <v>71</v>
      </c>
      <c r="D45" s="97" t="s">
        <v>394</v>
      </c>
      <c r="E45" s="97"/>
      <c r="F45" s="145">
        <v>3.1300000000000001E-2</v>
      </c>
      <c r="G45" s="146" t="str">
        <f>IF(H45="","","TFNUM"&amp;" "&amp;D45)</f>
        <v>TFNUM CHL</v>
      </c>
      <c r="H45" s="100">
        <v>168.43</v>
      </c>
      <c r="I45" s="100">
        <v>26.880000000000003</v>
      </c>
    </row>
    <row r="46" spans="2:9">
      <c r="B46" s="139" t="s">
        <v>1109</v>
      </c>
      <c r="C46" s="97" t="s">
        <v>71</v>
      </c>
      <c r="D46" s="97" t="s">
        <v>394</v>
      </c>
      <c r="E46" s="97" t="s">
        <v>1849</v>
      </c>
      <c r="F46" s="135">
        <v>3.1300000000000001E-2</v>
      </c>
      <c r="G46" s="135"/>
      <c r="H46" s="100"/>
      <c r="I46" s="100"/>
    </row>
    <row r="47" spans="2:9">
      <c r="B47" s="144" t="s">
        <v>1110</v>
      </c>
      <c r="C47" s="97" t="s">
        <v>72</v>
      </c>
      <c r="D47" s="97" t="s">
        <v>395</v>
      </c>
      <c r="E47" s="97"/>
      <c r="F47" s="145">
        <v>8.9800000000000005E-2</v>
      </c>
      <c r="G47" s="146" t="str">
        <f>IF(H47="","","TFNUM"&amp;" "&amp;D47)</f>
        <v>TFNUM CHN</v>
      </c>
      <c r="H47" s="100">
        <v>168.43</v>
      </c>
      <c r="I47" s="100">
        <v>28.495000000000001</v>
      </c>
    </row>
    <row r="48" spans="2:9">
      <c r="B48" s="139" t="s">
        <v>1111</v>
      </c>
      <c r="C48" s="97" t="s">
        <v>72</v>
      </c>
      <c r="D48" s="97" t="s">
        <v>395</v>
      </c>
      <c r="E48" s="97" t="s">
        <v>1849</v>
      </c>
      <c r="F48" s="135">
        <v>8.9800000000000005E-2</v>
      </c>
      <c r="G48" s="135"/>
      <c r="H48" s="100"/>
      <c r="I48" s="100"/>
    </row>
    <row r="49" spans="2:9">
      <c r="B49" s="144" t="s">
        <v>1112</v>
      </c>
      <c r="C49" s="97" t="s">
        <v>73</v>
      </c>
      <c r="D49" s="97" t="s">
        <v>496</v>
      </c>
      <c r="E49" s="97"/>
      <c r="F49" s="145">
        <v>0.106</v>
      </c>
      <c r="G49" s="146" t="str">
        <f>IF(H49="","","TFNUM"&amp;" "&amp;D49)</f>
        <v>TFNUM COL</v>
      </c>
      <c r="H49" s="100">
        <v>168.43</v>
      </c>
      <c r="I49" s="100">
        <v>12.2135</v>
      </c>
    </row>
    <row r="50" spans="2:9">
      <c r="B50" s="139" t="s">
        <v>1113</v>
      </c>
      <c r="C50" s="97" t="s">
        <v>73</v>
      </c>
      <c r="D50" s="97" t="s">
        <v>496</v>
      </c>
      <c r="E50" s="97" t="s">
        <v>1849</v>
      </c>
      <c r="F50" s="135">
        <v>0.12130000000000001</v>
      </c>
      <c r="G50" s="135"/>
      <c r="H50" s="100"/>
      <c r="I50" s="100"/>
    </row>
    <row r="51" spans="2:9">
      <c r="B51" s="144" t="s">
        <v>1114</v>
      </c>
      <c r="C51" s="97" t="s">
        <v>20</v>
      </c>
      <c r="D51" s="97" t="s">
        <v>397</v>
      </c>
      <c r="E51" s="97"/>
      <c r="F51" s="145">
        <v>0.26350000000000001</v>
      </c>
      <c r="G51" s="146" t="str">
        <f>IF(H51="","","TFNUM"&amp;" "&amp;D51)</f>
        <v>TFNUM CRI</v>
      </c>
      <c r="H51" s="100">
        <v>168.43</v>
      </c>
      <c r="I51" s="100">
        <v>28.495000000000001</v>
      </c>
    </row>
    <row r="52" spans="2:9">
      <c r="B52" s="139" t="s">
        <v>1115</v>
      </c>
      <c r="C52" s="97" t="s">
        <v>20</v>
      </c>
      <c r="D52" s="97" t="s">
        <v>397</v>
      </c>
      <c r="E52" s="97" t="s">
        <v>1849</v>
      </c>
      <c r="F52" s="135">
        <v>0.26350000000000001</v>
      </c>
      <c r="G52" s="135"/>
      <c r="H52" s="100"/>
      <c r="I52" s="100"/>
    </row>
    <row r="53" spans="2:9">
      <c r="B53" s="144" t="s">
        <v>1116</v>
      </c>
      <c r="C53" s="97" t="s">
        <v>21</v>
      </c>
      <c r="D53" s="97" t="s">
        <v>417</v>
      </c>
      <c r="E53" s="97"/>
      <c r="F53" s="145">
        <v>6.0499999999999998E-2</v>
      </c>
      <c r="G53" s="146" t="str">
        <f>IF(H53="","","TFNUM"&amp;" "&amp;D53)</f>
        <v>TFNUM HRV</v>
      </c>
      <c r="H53" s="100">
        <v>168.43</v>
      </c>
      <c r="I53" s="100">
        <v>28.495000000000001</v>
      </c>
    </row>
    <row r="54" spans="2:9">
      <c r="B54" s="139" t="s">
        <v>1117</v>
      </c>
      <c r="C54" s="97" t="s">
        <v>21</v>
      </c>
      <c r="D54" s="97" t="s">
        <v>417</v>
      </c>
      <c r="E54" s="97" t="s">
        <v>1849</v>
      </c>
      <c r="F54" s="135">
        <v>0.19040000000000001</v>
      </c>
      <c r="G54" s="135"/>
      <c r="H54" s="100"/>
      <c r="I54" s="100"/>
    </row>
    <row r="55" spans="2:9">
      <c r="B55" s="144" t="s">
        <v>1118</v>
      </c>
      <c r="C55" s="97" t="s">
        <v>240</v>
      </c>
      <c r="D55" s="97" t="s">
        <v>503</v>
      </c>
      <c r="E55" s="97"/>
      <c r="F55" s="145">
        <v>3.44E-2</v>
      </c>
      <c r="G55" s="146" t="str">
        <f>IF(H55="","","TFNUM"&amp;" "&amp;D55)</f>
        <v>TFNUM CYP</v>
      </c>
      <c r="H55" s="100">
        <v>168.43</v>
      </c>
      <c r="I55" s="100">
        <v>28.5</v>
      </c>
    </row>
    <row r="56" spans="2:9">
      <c r="B56" s="139" t="s">
        <v>1119</v>
      </c>
      <c r="C56" s="97" t="s">
        <v>240</v>
      </c>
      <c r="D56" s="97" t="s">
        <v>503</v>
      </c>
      <c r="E56" s="97" t="s">
        <v>1849</v>
      </c>
      <c r="F56" s="135">
        <v>3.44E-2</v>
      </c>
      <c r="G56" s="135"/>
      <c r="H56" s="100"/>
      <c r="I56" s="100"/>
    </row>
    <row r="57" spans="2:9">
      <c r="B57" s="144" t="s">
        <v>1120</v>
      </c>
      <c r="C57" s="97" t="s">
        <v>74</v>
      </c>
      <c r="D57" s="97" t="s">
        <v>398</v>
      </c>
      <c r="E57" s="97"/>
      <c r="F57" s="145">
        <v>2.63E-2</v>
      </c>
      <c r="G57" s="146" t="str">
        <f>IF(H57="","","TFNUM"&amp;" "&amp;D57)</f>
        <v>TFNUM CZE</v>
      </c>
      <c r="H57" s="100">
        <v>168.43</v>
      </c>
      <c r="I57" s="100">
        <v>12.2135</v>
      </c>
    </row>
    <row r="58" spans="2:9">
      <c r="B58" s="139" t="s">
        <v>1121</v>
      </c>
      <c r="C58" s="97" t="s">
        <v>74</v>
      </c>
      <c r="D58" s="97" t="s">
        <v>398</v>
      </c>
      <c r="E58" s="97" t="s">
        <v>1849</v>
      </c>
      <c r="F58" s="135">
        <v>0.1066</v>
      </c>
      <c r="G58" s="135"/>
      <c r="H58" s="100"/>
      <c r="I58" s="100"/>
    </row>
    <row r="59" spans="2:9">
      <c r="B59" s="144" t="s">
        <v>1122</v>
      </c>
      <c r="C59" s="97" t="s">
        <v>47</v>
      </c>
      <c r="D59" s="97" t="s">
        <v>400</v>
      </c>
      <c r="E59" s="97"/>
      <c r="F59" s="145">
        <v>8.6999999999999994E-3</v>
      </c>
      <c r="G59" s="146" t="str">
        <f>IF(H59="","","TFNUM"&amp;" "&amp;D59)</f>
        <v>TFNUM DNK</v>
      </c>
      <c r="H59" s="100">
        <v>168.43</v>
      </c>
      <c r="I59" s="100">
        <v>28.495000000000001</v>
      </c>
    </row>
    <row r="60" spans="2:9">
      <c r="B60" s="139" t="s">
        <v>1123</v>
      </c>
      <c r="C60" s="97" t="s">
        <v>47</v>
      </c>
      <c r="D60" s="97" t="s">
        <v>400</v>
      </c>
      <c r="E60" s="97" t="s">
        <v>1849</v>
      </c>
      <c r="F60" s="135">
        <v>0.1875</v>
      </c>
      <c r="G60" s="135"/>
      <c r="H60" s="100"/>
      <c r="I60" s="100"/>
    </row>
    <row r="61" spans="2:9">
      <c r="B61" s="144" t="s">
        <v>1124</v>
      </c>
      <c r="C61" s="97" t="s">
        <v>250</v>
      </c>
      <c r="D61" s="97" t="s">
        <v>401</v>
      </c>
      <c r="E61" s="97"/>
      <c r="F61" s="145">
        <v>7.0599999999999996E-2</v>
      </c>
      <c r="G61" s="146" t="str">
        <f>IF(H61="","","TFNUM"&amp;" "&amp;D61)</f>
        <v>TFNUM DOM</v>
      </c>
      <c r="H61" s="100">
        <v>168.43</v>
      </c>
      <c r="I61" s="100">
        <v>28.495000000000001</v>
      </c>
    </row>
    <row r="62" spans="2:9">
      <c r="B62" s="139" t="s">
        <v>1125</v>
      </c>
      <c r="C62" s="97" t="s">
        <v>250</v>
      </c>
      <c r="D62" s="97" t="s">
        <v>401</v>
      </c>
      <c r="E62" s="97" t="s">
        <v>1849</v>
      </c>
      <c r="F62" s="135">
        <v>7.0599999999999996E-2</v>
      </c>
      <c r="G62" s="135"/>
      <c r="H62" s="100"/>
      <c r="I62" s="100"/>
    </row>
    <row r="63" spans="2:9">
      <c r="B63" s="144" t="s">
        <v>1126</v>
      </c>
      <c r="C63" s="97" t="s">
        <v>252</v>
      </c>
      <c r="D63" s="97" t="s">
        <v>507</v>
      </c>
      <c r="E63" s="97"/>
      <c r="F63" s="145">
        <v>0.23150000000000001</v>
      </c>
      <c r="G63" s="146" t="str">
        <f>IF(H63="","","TFNUM"&amp;" "&amp;D63)</f>
        <v>TFNUM ECU</v>
      </c>
      <c r="H63" s="100">
        <v>168.43</v>
      </c>
      <c r="I63" s="100">
        <v>134.4</v>
      </c>
    </row>
    <row r="64" spans="2:9">
      <c r="B64" s="139" t="s">
        <v>1127</v>
      </c>
      <c r="C64" s="97" t="s">
        <v>252</v>
      </c>
      <c r="D64" s="97" t="s">
        <v>507</v>
      </c>
      <c r="E64" s="97" t="s">
        <v>1849</v>
      </c>
      <c r="F64" s="135">
        <v>0.23150000000000001</v>
      </c>
      <c r="G64" s="135"/>
      <c r="H64" s="100"/>
      <c r="I64" s="100"/>
    </row>
    <row r="65" spans="2:9">
      <c r="B65" s="144" t="s">
        <v>1128</v>
      </c>
      <c r="C65" s="97" t="s">
        <v>253</v>
      </c>
      <c r="D65" s="97" t="s">
        <v>508</v>
      </c>
      <c r="E65" s="97"/>
      <c r="F65" s="145">
        <v>0.32419999999999999</v>
      </c>
      <c r="G65" s="146" t="str">
        <f>IF(H65="","","TFNUM"&amp;" "&amp;D65)</f>
        <v>TFNUM EGY</v>
      </c>
      <c r="H65" s="100">
        <v>268.8</v>
      </c>
      <c r="I65" s="100">
        <v>28.5</v>
      </c>
    </row>
    <row r="66" spans="2:9">
      <c r="B66" s="139" t="s">
        <v>1129</v>
      </c>
      <c r="C66" s="97" t="s">
        <v>253</v>
      </c>
      <c r="D66" s="97" t="s">
        <v>508</v>
      </c>
      <c r="E66" s="97" t="s">
        <v>1849</v>
      </c>
      <c r="F66" s="135">
        <v>0.32419999999999999</v>
      </c>
      <c r="G66" s="135"/>
      <c r="H66" s="100"/>
      <c r="I66" s="100"/>
    </row>
    <row r="67" spans="2:9">
      <c r="B67" s="144" t="s">
        <v>1130</v>
      </c>
      <c r="C67" s="97" t="s">
        <v>75</v>
      </c>
      <c r="D67" s="97" t="s">
        <v>403</v>
      </c>
      <c r="E67" s="97"/>
      <c r="F67" s="145">
        <v>2.2100000000000002E-2</v>
      </c>
      <c r="G67" s="146" t="str">
        <f>IF(H67="","","TFNUM"&amp;" "&amp;D67)</f>
        <v>TFNUM EST</v>
      </c>
      <c r="H67" s="100">
        <v>168.43</v>
      </c>
      <c r="I67" s="155">
        <v>28.560000000000002</v>
      </c>
    </row>
    <row r="68" spans="2:9">
      <c r="B68" s="139" t="s">
        <v>1131</v>
      </c>
      <c r="C68" s="97" t="s">
        <v>75</v>
      </c>
      <c r="D68" s="97" t="s">
        <v>403</v>
      </c>
      <c r="E68" s="97" t="s">
        <v>1849</v>
      </c>
      <c r="F68" s="135">
        <v>0.46350000000000002</v>
      </c>
      <c r="G68" s="135"/>
      <c r="H68" s="100"/>
      <c r="I68" s="100"/>
    </row>
    <row r="69" spans="2:9">
      <c r="B69" s="144" t="s">
        <v>1132</v>
      </c>
      <c r="C69" s="97" t="s">
        <v>48</v>
      </c>
      <c r="D69" s="97" t="s">
        <v>404</v>
      </c>
      <c r="E69" s="97"/>
      <c r="F69" s="145">
        <v>4.9099999999999998E-2</v>
      </c>
      <c r="G69" s="146" t="str">
        <f>IF(H69="","","TFNUM"&amp;" "&amp;D69)</f>
        <v>TFNUM FIN</v>
      </c>
      <c r="H69" s="100">
        <v>168.43</v>
      </c>
      <c r="I69" s="100">
        <v>12.2135</v>
      </c>
    </row>
    <row r="70" spans="2:9">
      <c r="B70" s="139" t="s">
        <v>1133</v>
      </c>
      <c r="C70" s="97" t="s">
        <v>48</v>
      </c>
      <c r="D70" s="97" t="s">
        <v>404</v>
      </c>
      <c r="E70" s="97" t="s">
        <v>1849</v>
      </c>
      <c r="F70" s="135">
        <v>9.9699999999999997E-2</v>
      </c>
      <c r="G70" s="135"/>
      <c r="H70" s="100"/>
      <c r="I70" s="100"/>
    </row>
    <row r="71" spans="2:9">
      <c r="B71" s="144" t="s">
        <v>1134</v>
      </c>
      <c r="C71" s="97" t="s">
        <v>67</v>
      </c>
      <c r="D71" s="97" t="s">
        <v>405</v>
      </c>
      <c r="E71" s="97"/>
      <c r="F71" s="145">
        <v>1.52E-2</v>
      </c>
      <c r="G71" s="146" t="str">
        <f>IF(H71="","","TFNUM"&amp;" "&amp;D71)</f>
        <v>TFNUM FRA</v>
      </c>
      <c r="H71" s="100">
        <v>168.43</v>
      </c>
      <c r="I71" s="100">
        <v>12.2135</v>
      </c>
    </row>
    <row r="72" spans="2:9">
      <c r="B72" s="139" t="s">
        <v>1135</v>
      </c>
      <c r="C72" s="97" t="s">
        <v>67</v>
      </c>
      <c r="D72" s="97" t="s">
        <v>405</v>
      </c>
      <c r="E72" s="97" t="s">
        <v>1849</v>
      </c>
      <c r="F72" s="135">
        <v>5.4300000000000001E-2</v>
      </c>
      <c r="G72" s="135"/>
      <c r="H72" s="100"/>
      <c r="I72" s="100"/>
    </row>
    <row r="73" spans="2:9">
      <c r="B73" s="144" t="s">
        <v>1136</v>
      </c>
      <c r="C73" s="97" t="s">
        <v>413</v>
      </c>
      <c r="D73" s="97" t="s">
        <v>414</v>
      </c>
      <c r="E73" s="97"/>
      <c r="F73" s="145">
        <v>0.1384</v>
      </c>
      <c r="G73" s="146" t="str">
        <f>IF(H73="","","TFNUM"&amp;" "&amp;D73)</f>
        <v>TFNUM GUF</v>
      </c>
      <c r="H73" s="100">
        <v>206.64</v>
      </c>
      <c r="I73" s="100">
        <v>28.495000000000001</v>
      </c>
    </row>
    <row r="74" spans="2:9">
      <c r="B74" s="139" t="s">
        <v>1137</v>
      </c>
      <c r="C74" s="97" t="s">
        <v>413</v>
      </c>
      <c r="D74" s="97" t="s">
        <v>414</v>
      </c>
      <c r="E74" s="97" t="s">
        <v>1849</v>
      </c>
      <c r="F74" s="135">
        <v>0.1384</v>
      </c>
      <c r="G74" s="135"/>
      <c r="H74" s="100"/>
      <c r="I74" s="100"/>
    </row>
    <row r="75" spans="2:9">
      <c r="B75" s="144" t="s">
        <v>1138</v>
      </c>
      <c r="C75" s="97" t="s">
        <v>66</v>
      </c>
      <c r="D75" s="97" t="s">
        <v>399</v>
      </c>
      <c r="E75" s="97"/>
      <c r="F75" s="145">
        <v>5.7000000000000002E-3</v>
      </c>
      <c r="G75" s="146" t="str">
        <f>IF(H75="","","TFNUM"&amp;" "&amp;D75)</f>
        <v>TFNUM DEU</v>
      </c>
      <c r="H75" s="100">
        <v>168.43</v>
      </c>
      <c r="I75" s="100">
        <v>12.2135</v>
      </c>
    </row>
    <row r="76" spans="2:9">
      <c r="B76" s="139" t="s">
        <v>1139</v>
      </c>
      <c r="C76" s="97" t="s">
        <v>66</v>
      </c>
      <c r="D76" s="97" t="s">
        <v>399</v>
      </c>
      <c r="E76" s="97" t="s">
        <v>1849</v>
      </c>
      <c r="F76" s="135">
        <v>7.9299999999999995E-2</v>
      </c>
      <c r="G76" s="135"/>
      <c r="H76" s="100"/>
      <c r="I76" s="100"/>
    </row>
    <row r="77" spans="2:9">
      <c r="B77" s="144" t="s">
        <v>1140</v>
      </c>
      <c r="C77" s="97" t="s">
        <v>76</v>
      </c>
      <c r="D77" s="97" t="s">
        <v>412</v>
      </c>
      <c r="E77" s="97"/>
      <c r="F77" s="145">
        <v>5.8299999999999998E-2</v>
      </c>
      <c r="G77" s="146" t="str">
        <f>IF(H77="","","TFNUM"&amp;" "&amp;D77)</f>
        <v>TFNUM GRC</v>
      </c>
      <c r="H77" s="100">
        <v>168.43</v>
      </c>
      <c r="I77" s="100">
        <v>12.2135</v>
      </c>
    </row>
    <row r="78" spans="2:9">
      <c r="B78" s="139" t="s">
        <v>1141</v>
      </c>
      <c r="C78" s="97" t="s">
        <v>76</v>
      </c>
      <c r="D78" s="97" t="s">
        <v>412</v>
      </c>
      <c r="E78" s="97" t="s">
        <v>1849</v>
      </c>
      <c r="F78" s="135">
        <v>0.27410000000000001</v>
      </c>
      <c r="G78" s="135"/>
      <c r="H78" s="100"/>
      <c r="I78" s="100"/>
    </row>
    <row r="79" spans="2:9">
      <c r="B79" s="144" t="s">
        <v>1142</v>
      </c>
      <c r="C79" s="97" t="s">
        <v>933</v>
      </c>
      <c r="D79" s="97" t="s">
        <v>411</v>
      </c>
      <c r="E79" s="97"/>
      <c r="F79" s="145">
        <v>0.1384</v>
      </c>
      <c r="G79" s="146" t="str">
        <f>IF(H79="","","TFNUM"&amp;" "&amp;D79)</f>
        <v>TFNUM GLP</v>
      </c>
      <c r="H79" s="100">
        <v>206.64</v>
      </c>
      <c r="I79" s="100">
        <v>28.495000000000001</v>
      </c>
    </row>
    <row r="80" spans="2:9">
      <c r="B80" s="139" t="s">
        <v>1143</v>
      </c>
      <c r="C80" s="97" t="s">
        <v>933</v>
      </c>
      <c r="D80" s="97" t="s">
        <v>411</v>
      </c>
      <c r="E80" s="97" t="s">
        <v>1849</v>
      </c>
      <c r="F80" s="135">
        <v>0.1384</v>
      </c>
      <c r="G80" s="135"/>
      <c r="H80" s="100"/>
      <c r="I80" s="100"/>
    </row>
    <row r="81" spans="1:9">
      <c r="B81" s="144" t="s">
        <v>1144</v>
      </c>
      <c r="C81" s="97" t="s">
        <v>162</v>
      </c>
      <c r="D81" s="97" t="s">
        <v>415</v>
      </c>
      <c r="E81" s="97"/>
      <c r="F81" s="145">
        <v>6.1800000000000001E-2</v>
      </c>
      <c r="G81" s="146" t="str">
        <f>IF(H81="","","TFNUM"&amp;" "&amp;D81)</f>
        <v>TFNUM GUM</v>
      </c>
      <c r="H81" s="100">
        <v>168.43</v>
      </c>
      <c r="I81" s="100">
        <v>28.495000000000001</v>
      </c>
    </row>
    <row r="82" spans="1:9">
      <c r="B82" s="139" t="s">
        <v>1145</v>
      </c>
      <c r="C82" s="97" t="s">
        <v>162</v>
      </c>
      <c r="D82" s="97" t="s">
        <v>415</v>
      </c>
      <c r="E82" s="97" t="s">
        <v>1849</v>
      </c>
      <c r="F82" s="135">
        <v>6.1800000000000001E-2</v>
      </c>
      <c r="G82" s="135"/>
      <c r="H82" s="100"/>
      <c r="I82" s="100"/>
    </row>
    <row r="83" spans="1:9">
      <c r="B83" s="144" t="s">
        <v>1146</v>
      </c>
      <c r="C83" s="97" t="s">
        <v>152</v>
      </c>
      <c r="D83" s="97" t="s">
        <v>523</v>
      </c>
      <c r="E83" s="97"/>
      <c r="F83" s="145">
        <v>0.23280000000000001</v>
      </c>
      <c r="G83" s="146" t="str">
        <f>IF(H83="","","TFNUM"&amp;" "&amp;D83)</f>
        <v>TFNUM HND</v>
      </c>
      <c r="H83" s="155">
        <v>1527.3500000000001</v>
      </c>
      <c r="I83" s="100">
        <v>28.5</v>
      </c>
    </row>
    <row r="84" spans="1:9">
      <c r="B84" s="139" t="s">
        <v>1147</v>
      </c>
      <c r="C84" s="97" t="s">
        <v>152</v>
      </c>
      <c r="D84" s="97" t="s">
        <v>523</v>
      </c>
      <c r="E84" s="97" t="s">
        <v>1849</v>
      </c>
      <c r="F84" s="135">
        <v>0.23280000000000001</v>
      </c>
      <c r="G84" s="135"/>
      <c r="H84" s="100"/>
      <c r="I84" s="100"/>
    </row>
    <row r="85" spans="1:9">
      <c r="B85" s="144" t="s">
        <v>1148</v>
      </c>
      <c r="C85" s="97" t="s">
        <v>77</v>
      </c>
      <c r="D85" s="97" t="s">
        <v>416</v>
      </c>
      <c r="E85" s="97"/>
      <c r="F85" s="145">
        <v>5.1900000000000002E-2</v>
      </c>
      <c r="G85" s="146" t="str">
        <f>IF(H85="","","TFNUM"&amp;" "&amp;D85)</f>
        <v>TFNUM HKG</v>
      </c>
      <c r="H85" s="100">
        <v>206.64</v>
      </c>
      <c r="I85" s="100">
        <v>16.281500000000001</v>
      </c>
    </row>
    <row r="86" spans="1:9">
      <c r="B86" s="139" t="s">
        <v>1149</v>
      </c>
      <c r="C86" s="97" t="s">
        <v>77</v>
      </c>
      <c r="D86" s="97" t="s">
        <v>416</v>
      </c>
      <c r="E86" s="97" t="s">
        <v>1849</v>
      </c>
      <c r="F86" s="135">
        <v>5.1900000000000002E-2</v>
      </c>
      <c r="G86" s="135"/>
      <c r="H86" s="100"/>
      <c r="I86" s="100"/>
    </row>
    <row r="87" spans="1:9">
      <c r="B87" s="144" t="s">
        <v>1150</v>
      </c>
      <c r="C87" s="97" t="s">
        <v>78</v>
      </c>
      <c r="D87" s="97" t="s">
        <v>418</v>
      </c>
      <c r="E87" s="97"/>
      <c r="F87" s="145">
        <v>3.5299999999999998E-2</v>
      </c>
      <c r="G87" s="146" t="str">
        <f>IF(H87="","","TFNUM"&amp;" "&amp;D87)</f>
        <v>TFNUM HUN</v>
      </c>
      <c r="H87" s="155">
        <v>95.2</v>
      </c>
      <c r="I87" s="100">
        <v>28.495000000000001</v>
      </c>
    </row>
    <row r="88" spans="1:9">
      <c r="B88" s="139" t="s">
        <v>1151</v>
      </c>
      <c r="C88" s="97" t="s">
        <v>78</v>
      </c>
      <c r="D88" s="97" t="s">
        <v>418</v>
      </c>
      <c r="E88" s="97" t="s">
        <v>1849</v>
      </c>
      <c r="F88" s="135">
        <v>6.3200000000000006E-2</v>
      </c>
      <c r="G88" s="135"/>
      <c r="H88" s="100"/>
      <c r="I88" s="100"/>
    </row>
    <row r="89" spans="1:9">
      <c r="B89" s="144" t="s">
        <v>1152</v>
      </c>
      <c r="C89" s="97" t="s">
        <v>79</v>
      </c>
      <c r="D89" s="97" t="s">
        <v>421</v>
      </c>
      <c r="E89" s="97"/>
      <c r="F89" s="145">
        <v>5.0599999999999999E-2</v>
      </c>
      <c r="G89" s="146" t="str">
        <f>IF(H89="","","TFNUM"&amp;" "&amp;D89)</f>
        <v>TFNUM ISL</v>
      </c>
      <c r="H89" s="100">
        <v>168.43</v>
      </c>
      <c r="I89" s="100">
        <v>12.2135</v>
      </c>
    </row>
    <row r="90" spans="1:9" s="35" customFormat="1">
      <c r="A90" s="3"/>
      <c r="B90" s="139" t="s">
        <v>1153</v>
      </c>
      <c r="C90" s="97" t="s">
        <v>79</v>
      </c>
      <c r="D90" s="97" t="s">
        <v>421</v>
      </c>
      <c r="E90" s="97" t="s">
        <v>1849</v>
      </c>
      <c r="F90" s="135">
        <v>5.0599999999999999E-2</v>
      </c>
      <c r="G90" s="135"/>
      <c r="H90" s="100"/>
      <c r="I90" s="100"/>
    </row>
    <row r="91" spans="1:9" s="35" customFormat="1">
      <c r="A91" s="3"/>
      <c r="B91" s="144" t="s">
        <v>1154</v>
      </c>
      <c r="C91" s="97" t="s">
        <v>943</v>
      </c>
      <c r="D91" s="97" t="s">
        <v>419</v>
      </c>
      <c r="E91" s="97"/>
      <c r="F91" s="145">
        <v>8.6300000000000002E-2</v>
      </c>
      <c r="G91" s="146" t="str">
        <f>IF(H91="","","TFNUM"&amp;" "&amp;D91)</f>
        <v>TFNUM IND</v>
      </c>
      <c r="H91" s="100">
        <v>168.43</v>
      </c>
      <c r="I91" s="100">
        <v>28.495000000000001</v>
      </c>
    </row>
    <row r="92" spans="1:9" s="35" customFormat="1">
      <c r="A92" s="3"/>
      <c r="B92" s="139" t="s">
        <v>1156</v>
      </c>
      <c r="C92" s="97" t="s">
        <v>943</v>
      </c>
      <c r="D92" s="97" t="s">
        <v>419</v>
      </c>
      <c r="E92" s="97" t="s">
        <v>1849</v>
      </c>
      <c r="F92" s="135">
        <v>8.6300000000000002E-2</v>
      </c>
      <c r="G92" s="135"/>
      <c r="H92" s="100"/>
      <c r="I92" s="100"/>
    </row>
    <row r="93" spans="1:9" s="35" customFormat="1">
      <c r="A93" s="3"/>
      <c r="B93" s="144" t="s">
        <v>1155</v>
      </c>
      <c r="C93" s="97" t="s">
        <v>942</v>
      </c>
      <c r="D93" s="97" t="s">
        <v>419</v>
      </c>
      <c r="E93" s="97"/>
      <c r="F93" s="145">
        <v>0.1283</v>
      </c>
      <c r="G93" s="146" t="str">
        <f>IF(H93="","","TFNUM"&amp;" "&amp;D93)</f>
        <v>TFNUM IND</v>
      </c>
      <c r="H93" s="100">
        <v>168.43</v>
      </c>
      <c r="I93" s="100">
        <v>28.495000000000001</v>
      </c>
    </row>
    <row r="94" spans="1:9" s="35" customFormat="1">
      <c r="A94" s="3"/>
      <c r="B94" s="139" t="s">
        <v>1157</v>
      </c>
      <c r="C94" s="97" t="s">
        <v>942</v>
      </c>
      <c r="D94" s="97" t="s">
        <v>419</v>
      </c>
      <c r="E94" s="97" t="s">
        <v>1849</v>
      </c>
      <c r="F94" s="135">
        <v>0.1283</v>
      </c>
      <c r="G94" s="135"/>
      <c r="H94" s="100"/>
      <c r="I94" s="100"/>
    </row>
    <row r="95" spans="1:9" s="35" customFormat="1">
      <c r="A95" s="3"/>
      <c r="B95" s="144" t="s">
        <v>1158</v>
      </c>
      <c r="C95" s="97" t="s">
        <v>81</v>
      </c>
      <c r="D95" s="97" t="s">
        <v>525</v>
      </c>
      <c r="E95" s="97"/>
      <c r="F95" s="145">
        <v>0.2029</v>
      </c>
      <c r="G95" s="146" t="str">
        <f>IF(H95="","","TFNUM"&amp;" "&amp;D95)</f>
        <v>TFNUM IDN</v>
      </c>
      <c r="H95" s="100">
        <v>168.43</v>
      </c>
      <c r="I95" s="100">
        <v>28.495000000000001</v>
      </c>
    </row>
    <row r="96" spans="1:9" s="35" customFormat="1">
      <c r="A96" s="3"/>
      <c r="B96" s="139" t="s">
        <v>1159</v>
      </c>
      <c r="C96" s="97" t="s">
        <v>81</v>
      </c>
      <c r="D96" s="97" t="s">
        <v>525</v>
      </c>
      <c r="E96" s="97" t="s">
        <v>1849</v>
      </c>
      <c r="F96" s="135">
        <v>0.2036</v>
      </c>
      <c r="G96" s="135"/>
      <c r="H96" s="100"/>
      <c r="I96" s="100"/>
    </row>
    <row r="97" spans="1:9" s="35" customFormat="1">
      <c r="A97" s="3"/>
      <c r="B97" s="144" t="s">
        <v>1160</v>
      </c>
      <c r="C97" s="97" t="s">
        <v>49</v>
      </c>
      <c r="D97" s="97" t="s">
        <v>420</v>
      </c>
      <c r="E97" s="97"/>
      <c r="F97" s="145">
        <v>2.53E-2</v>
      </c>
      <c r="G97" s="146" t="str">
        <f>IF(H97="","","TFNUM"&amp;" "&amp;D97)</f>
        <v>TFNUM IRL</v>
      </c>
      <c r="H97" s="100">
        <v>168.43</v>
      </c>
      <c r="I97" s="100">
        <v>12.2135</v>
      </c>
    </row>
    <row r="98" spans="1:9" s="35" customFormat="1">
      <c r="A98" s="3"/>
      <c r="B98" s="139" t="s">
        <v>1161</v>
      </c>
      <c r="C98" s="97" t="s">
        <v>49</v>
      </c>
      <c r="D98" s="97" t="s">
        <v>420</v>
      </c>
      <c r="E98" s="97" t="s">
        <v>1849</v>
      </c>
      <c r="F98" s="135">
        <v>0.2261</v>
      </c>
      <c r="G98" s="135"/>
      <c r="H98" s="100"/>
      <c r="I98" s="100"/>
    </row>
    <row r="99" spans="1:9" s="35" customFormat="1">
      <c r="A99" s="3"/>
      <c r="B99" s="144" t="s">
        <v>1162</v>
      </c>
      <c r="C99" s="97" t="s">
        <v>82</v>
      </c>
      <c r="D99" s="97" t="s">
        <v>422</v>
      </c>
      <c r="E99" s="97"/>
      <c r="F99" s="145">
        <v>5.1900000000000002E-2</v>
      </c>
      <c r="G99" s="146" t="str">
        <f>IF(H99="","","TFNUM"&amp;" "&amp;D99)</f>
        <v>TFNUM ISR</v>
      </c>
      <c r="H99" s="100">
        <v>168.43</v>
      </c>
      <c r="I99" s="100">
        <v>12.2135</v>
      </c>
    </row>
    <row r="100" spans="1:9" s="35" customFormat="1">
      <c r="A100" s="3"/>
      <c r="B100" s="139" t="s">
        <v>1163</v>
      </c>
      <c r="C100" s="97" t="s">
        <v>82</v>
      </c>
      <c r="D100" s="97" t="s">
        <v>422</v>
      </c>
      <c r="E100" s="97" t="s">
        <v>1849</v>
      </c>
      <c r="F100" s="135">
        <v>5.1900000000000002E-2</v>
      </c>
      <c r="G100" s="135"/>
      <c r="H100" s="100"/>
      <c r="I100" s="100"/>
    </row>
    <row r="101" spans="1:9" s="35" customFormat="1">
      <c r="A101" s="3"/>
      <c r="B101" s="144" t="s">
        <v>1164</v>
      </c>
      <c r="C101" s="97" t="s">
        <v>50</v>
      </c>
      <c r="D101" s="97" t="s">
        <v>423</v>
      </c>
      <c r="E101" s="97"/>
      <c r="F101" s="145">
        <v>1.44E-2</v>
      </c>
      <c r="G101" s="146" t="str">
        <f>IF(H101="","","TFNUM"&amp;" "&amp;D101)</f>
        <v>TFNUM ITA</v>
      </c>
      <c r="H101" s="100">
        <v>168.43</v>
      </c>
      <c r="I101" s="100">
        <v>12.2135</v>
      </c>
    </row>
    <row r="102" spans="1:9" s="35" customFormat="1">
      <c r="A102" s="3"/>
      <c r="B102" s="139" t="s">
        <v>1165</v>
      </c>
      <c r="C102" s="97" t="s">
        <v>50</v>
      </c>
      <c r="D102" s="97" t="s">
        <v>423</v>
      </c>
      <c r="E102" s="97" t="s">
        <v>1849</v>
      </c>
      <c r="F102" s="135">
        <v>9.5100000000000004E-2</v>
      </c>
      <c r="G102" s="135"/>
      <c r="H102" s="100"/>
      <c r="I102" s="100"/>
    </row>
    <row r="103" spans="1:9" s="35" customFormat="1">
      <c r="A103" s="3"/>
      <c r="B103" s="144" t="s">
        <v>1166</v>
      </c>
      <c r="C103" s="97" t="s">
        <v>51</v>
      </c>
      <c r="D103" s="97" t="s">
        <v>425</v>
      </c>
      <c r="E103" s="97"/>
      <c r="F103" s="145">
        <v>2.8299999999999999E-2</v>
      </c>
      <c r="G103" s="146" t="str">
        <f>IF(H103="","","TFNUM"&amp;" "&amp;D103)</f>
        <v>TFNUM JPN</v>
      </c>
      <c r="H103" s="100">
        <v>168.43</v>
      </c>
      <c r="I103" s="100">
        <v>28.495000000000001</v>
      </c>
    </row>
    <row r="104" spans="1:9" s="35" customFormat="1">
      <c r="A104" s="3"/>
      <c r="B104" s="139" t="s">
        <v>1167</v>
      </c>
      <c r="C104" s="97" t="s">
        <v>51</v>
      </c>
      <c r="D104" s="97" t="s">
        <v>425</v>
      </c>
      <c r="E104" s="97" t="s">
        <v>1849</v>
      </c>
      <c r="F104" s="135">
        <v>9.1600000000000001E-2</v>
      </c>
      <c r="G104" s="135"/>
      <c r="H104" s="100"/>
      <c r="I104" s="100"/>
    </row>
    <row r="105" spans="1:9" s="35" customFormat="1">
      <c r="A105" s="3"/>
      <c r="B105" s="144" t="s">
        <v>1168</v>
      </c>
      <c r="C105" s="97" t="s">
        <v>124</v>
      </c>
      <c r="D105" s="97" t="s">
        <v>529</v>
      </c>
      <c r="E105" s="97"/>
      <c r="F105" s="145">
        <v>0.1837</v>
      </c>
      <c r="G105" s="146" t="str">
        <f>IF(H105="","","TFNUM"&amp;" "&amp;D105)</f>
        <v>TFNUM JOR</v>
      </c>
      <c r="H105" s="100">
        <v>168.43</v>
      </c>
      <c r="I105" s="100">
        <v>28.5</v>
      </c>
    </row>
    <row r="106" spans="1:9" s="35" customFormat="1">
      <c r="A106" s="3"/>
      <c r="B106" s="139" t="s">
        <v>1169</v>
      </c>
      <c r="C106" s="97" t="s">
        <v>124</v>
      </c>
      <c r="D106" s="97" t="s">
        <v>529</v>
      </c>
      <c r="E106" s="97" t="s">
        <v>1849</v>
      </c>
      <c r="F106" s="135">
        <v>0.28910000000000002</v>
      </c>
      <c r="G106" s="135"/>
      <c r="H106" s="100"/>
      <c r="I106" s="100"/>
    </row>
    <row r="107" spans="1:9" s="35" customFormat="1">
      <c r="A107" s="3"/>
      <c r="B107" s="144" t="s">
        <v>1170</v>
      </c>
      <c r="C107" s="97" t="s">
        <v>83</v>
      </c>
      <c r="D107" s="97" t="s">
        <v>426</v>
      </c>
      <c r="E107" s="97"/>
      <c r="F107" s="145">
        <v>0.17730000000000001</v>
      </c>
      <c r="G107" s="146" t="str">
        <f>IF(H107="","","TFNUM"&amp;" "&amp;D107)</f>
        <v>TFNUM KEN</v>
      </c>
      <c r="H107" s="100">
        <v>206.64</v>
      </c>
      <c r="I107" s="100">
        <v>16.281500000000001</v>
      </c>
    </row>
    <row r="108" spans="1:9" s="35" customFormat="1">
      <c r="A108" s="3"/>
      <c r="B108" s="139" t="s">
        <v>1171</v>
      </c>
      <c r="C108" s="97" t="s">
        <v>83</v>
      </c>
      <c r="D108" s="97" t="s">
        <v>426</v>
      </c>
      <c r="E108" s="97" t="s">
        <v>1849</v>
      </c>
      <c r="F108" s="135">
        <v>0.17730000000000001</v>
      </c>
      <c r="G108" s="135"/>
      <c r="H108" s="100"/>
      <c r="I108" s="100"/>
    </row>
    <row r="109" spans="1:9" s="35" customFormat="1">
      <c r="A109" s="3"/>
      <c r="B109" s="144" t="s">
        <v>1172</v>
      </c>
      <c r="C109" s="97" t="s">
        <v>84</v>
      </c>
      <c r="D109" s="97" t="s">
        <v>431</v>
      </c>
      <c r="E109" s="97"/>
      <c r="F109" s="145">
        <v>7.1400000000000005E-2</v>
      </c>
      <c r="G109" s="146" t="str">
        <f>IF(H109="","","TFNUM"&amp;" "&amp;D109)</f>
        <v>TFNUM LVA</v>
      </c>
      <c r="H109" s="100">
        <v>168.43</v>
      </c>
      <c r="I109" s="100">
        <v>28.495000000000001</v>
      </c>
    </row>
    <row r="110" spans="1:9" s="35" customFormat="1">
      <c r="A110" s="3"/>
      <c r="B110" s="139" t="s">
        <v>1173</v>
      </c>
      <c r="C110" s="97" t="s">
        <v>84</v>
      </c>
      <c r="D110" s="97" t="s">
        <v>431</v>
      </c>
      <c r="E110" s="97" t="s">
        <v>1849</v>
      </c>
      <c r="F110" s="135">
        <v>0.1681</v>
      </c>
      <c r="G110" s="135"/>
      <c r="H110" s="100"/>
      <c r="I110" s="100"/>
    </row>
    <row r="111" spans="1:9" s="35" customFormat="1">
      <c r="A111" s="3"/>
      <c r="B111" s="144" t="s">
        <v>1174</v>
      </c>
      <c r="C111" s="97" t="s">
        <v>163</v>
      </c>
      <c r="D111" s="97" t="s">
        <v>428</v>
      </c>
      <c r="E111" s="97"/>
      <c r="F111" s="145">
        <v>8.0699999999999994E-2</v>
      </c>
      <c r="G111" s="146" t="str">
        <f>IF(H111="","","TFNUM"&amp;" "&amp;D111)</f>
        <v>TFNUM LIE</v>
      </c>
      <c r="H111" s="100">
        <v>206.64</v>
      </c>
      <c r="I111" s="100">
        <v>28.495000000000001</v>
      </c>
    </row>
    <row r="112" spans="1:9" s="35" customFormat="1">
      <c r="A112" s="3"/>
      <c r="B112" s="139" t="s">
        <v>1175</v>
      </c>
      <c r="C112" s="97" t="s">
        <v>163</v>
      </c>
      <c r="D112" s="97" t="s">
        <v>428</v>
      </c>
      <c r="E112" s="97" t="s">
        <v>1849</v>
      </c>
      <c r="F112" s="135">
        <v>0.22789999999999999</v>
      </c>
      <c r="G112" s="135"/>
      <c r="H112" s="100"/>
      <c r="I112" s="100"/>
    </row>
    <row r="113" spans="1:9" s="35" customFormat="1">
      <c r="A113" s="3"/>
      <c r="B113" s="144" t="s">
        <v>1176</v>
      </c>
      <c r="C113" s="97" t="s">
        <v>86</v>
      </c>
      <c r="D113" s="97" t="s">
        <v>429</v>
      </c>
      <c r="E113" s="97"/>
      <c r="F113" s="145">
        <v>3.7400000000000003E-2</v>
      </c>
      <c r="G113" s="146" t="str">
        <f>IF(H113="","","TFNUM"&amp;" "&amp;D113)</f>
        <v>TFNUM LTU</v>
      </c>
      <c r="H113" s="100">
        <v>168.43</v>
      </c>
      <c r="I113" s="100">
        <v>28.495000000000001</v>
      </c>
    </row>
    <row r="114" spans="1:9" s="35" customFormat="1">
      <c r="A114" s="3"/>
      <c r="B114" s="139" t="s">
        <v>1177</v>
      </c>
      <c r="C114" s="97" t="s">
        <v>86</v>
      </c>
      <c r="D114" s="97" t="s">
        <v>429</v>
      </c>
      <c r="E114" s="97" t="s">
        <v>1849</v>
      </c>
      <c r="F114" s="135">
        <v>3.8100000000000002E-2</v>
      </c>
      <c r="G114" s="135"/>
      <c r="H114" s="100"/>
      <c r="I114" s="100"/>
    </row>
    <row r="115" spans="1:9" s="35" customFormat="1">
      <c r="A115" s="3"/>
      <c r="B115" s="144" t="s">
        <v>1178</v>
      </c>
      <c r="C115" s="97" t="s">
        <v>52</v>
      </c>
      <c r="D115" s="97" t="s">
        <v>430</v>
      </c>
      <c r="E115" s="97"/>
      <c r="F115" s="145">
        <v>3.0300000000000001E-2</v>
      </c>
      <c r="G115" s="146" t="str">
        <f>IF(H115="","","TFNUM"&amp;" "&amp;D115)</f>
        <v>TFNUM LUX</v>
      </c>
      <c r="H115" s="100">
        <v>168.43</v>
      </c>
      <c r="I115" s="100">
        <v>12.2135</v>
      </c>
    </row>
    <row r="116" spans="1:9" s="35" customFormat="1">
      <c r="A116" s="3"/>
      <c r="B116" s="139" t="s">
        <v>1179</v>
      </c>
      <c r="C116" s="97" t="s">
        <v>52</v>
      </c>
      <c r="D116" s="97" t="s">
        <v>430</v>
      </c>
      <c r="E116" s="97" t="s">
        <v>1849</v>
      </c>
      <c r="F116" s="135">
        <v>0.16539999999999999</v>
      </c>
      <c r="G116" s="135"/>
      <c r="H116" s="100"/>
      <c r="I116" s="100"/>
    </row>
    <row r="117" spans="1:9" s="35" customFormat="1">
      <c r="A117" s="3"/>
      <c r="B117" s="144" t="s">
        <v>1180</v>
      </c>
      <c r="C117" s="97" t="s">
        <v>133</v>
      </c>
      <c r="D117" s="97" t="s">
        <v>548</v>
      </c>
      <c r="E117" s="97"/>
      <c r="F117" s="145">
        <v>9.7600000000000006E-2</v>
      </c>
      <c r="G117" s="146" t="str">
        <f>IF(H117="","","TFNUM"&amp;" "&amp;D117)</f>
        <v>TFNUM MKD</v>
      </c>
      <c r="H117" s="100">
        <v>168.43</v>
      </c>
      <c r="I117" s="155">
        <v>37.1875</v>
      </c>
    </row>
    <row r="118" spans="1:9" s="35" customFormat="1">
      <c r="A118" s="3"/>
      <c r="B118" s="139" t="s">
        <v>1181</v>
      </c>
      <c r="C118" s="97" t="s">
        <v>133</v>
      </c>
      <c r="D118" s="97" t="s">
        <v>548</v>
      </c>
      <c r="E118" s="97" t="s">
        <v>1849</v>
      </c>
      <c r="F118" s="135">
        <v>0.1701</v>
      </c>
      <c r="G118" s="135"/>
      <c r="H118" s="100"/>
      <c r="I118" s="100"/>
    </row>
    <row r="119" spans="1:9" s="35" customFormat="1">
      <c r="A119" s="3"/>
      <c r="B119" s="144" t="s">
        <v>1182</v>
      </c>
      <c r="C119" s="97" t="s">
        <v>87</v>
      </c>
      <c r="D119" s="97" t="s">
        <v>439</v>
      </c>
      <c r="E119" s="97"/>
      <c r="F119" s="145">
        <v>3.15E-2</v>
      </c>
      <c r="G119" s="146" t="str">
        <f>IF(H119="","","TFNUM"&amp;" "&amp;D119)</f>
        <v>TFNUM MYS</v>
      </c>
      <c r="H119" s="100">
        <v>448</v>
      </c>
      <c r="I119" s="100">
        <v>28.495000000000001</v>
      </c>
    </row>
    <row r="120" spans="1:9" s="35" customFormat="1">
      <c r="A120" s="3"/>
      <c r="B120" s="139" t="s">
        <v>1183</v>
      </c>
      <c r="C120" s="97" t="s">
        <v>87</v>
      </c>
      <c r="D120" s="97" t="s">
        <v>439</v>
      </c>
      <c r="E120" s="97" t="s">
        <v>1849</v>
      </c>
      <c r="F120" s="135">
        <v>3.8399999999999997E-2</v>
      </c>
      <c r="G120" s="135"/>
      <c r="H120" s="100"/>
      <c r="I120" s="100"/>
    </row>
    <row r="121" spans="1:9" s="35" customFormat="1">
      <c r="A121" s="3"/>
      <c r="B121" s="144" t="s">
        <v>1184</v>
      </c>
      <c r="C121" s="97" t="s">
        <v>164</v>
      </c>
      <c r="D121" s="97" t="s">
        <v>436</v>
      </c>
      <c r="E121" s="97"/>
      <c r="F121" s="145">
        <v>4.2599999999999999E-2</v>
      </c>
      <c r="G121" s="146" t="str">
        <f>IF(H121="","","TFNUM"&amp;" "&amp;D121)</f>
        <v>TFNUM MLT</v>
      </c>
      <c r="H121" s="100">
        <v>168.43</v>
      </c>
      <c r="I121" s="100">
        <v>28.495000000000001</v>
      </c>
    </row>
    <row r="122" spans="1:9" s="35" customFormat="1">
      <c r="A122" s="3"/>
      <c r="B122" s="139" t="s">
        <v>1185</v>
      </c>
      <c r="C122" s="97" t="s">
        <v>164</v>
      </c>
      <c r="D122" s="97" t="s">
        <v>436</v>
      </c>
      <c r="E122" s="97" t="s">
        <v>1849</v>
      </c>
      <c r="F122" s="135">
        <v>4.2599999999999999E-2</v>
      </c>
      <c r="G122" s="135"/>
      <c r="H122" s="100"/>
      <c r="I122" s="100"/>
    </row>
    <row r="123" spans="1:9" s="35" customFormat="1">
      <c r="A123" s="3"/>
      <c r="B123" s="144" t="s">
        <v>1186</v>
      </c>
      <c r="C123" s="97" t="s">
        <v>165</v>
      </c>
      <c r="D123" s="97" t="s">
        <v>437</v>
      </c>
      <c r="E123" s="97"/>
      <c r="F123" s="145">
        <v>0.1384</v>
      </c>
      <c r="G123" s="146" t="str">
        <f>IF(H123="","","TFNUM"&amp;" "&amp;D123)</f>
        <v>TFNUM MTQ</v>
      </c>
      <c r="H123" s="100">
        <v>206.64</v>
      </c>
      <c r="I123" s="100">
        <v>28.495000000000001</v>
      </c>
    </row>
    <row r="124" spans="1:9" s="35" customFormat="1">
      <c r="A124" s="3"/>
      <c r="B124" s="139" t="s">
        <v>1187</v>
      </c>
      <c r="C124" s="97" t="s">
        <v>165</v>
      </c>
      <c r="D124" s="97" t="s">
        <v>437</v>
      </c>
      <c r="E124" s="97" t="s">
        <v>1849</v>
      </c>
      <c r="F124" s="135">
        <v>0.1384</v>
      </c>
      <c r="G124" s="135"/>
      <c r="H124" s="100"/>
      <c r="I124" s="100"/>
    </row>
    <row r="125" spans="1:9" s="35" customFormat="1">
      <c r="A125" s="3"/>
      <c r="B125" s="144" t="s">
        <v>1188</v>
      </c>
      <c r="C125" s="97" t="s">
        <v>212</v>
      </c>
      <c r="D125" s="97" t="s">
        <v>438</v>
      </c>
      <c r="E125" s="97"/>
      <c r="F125" s="145">
        <v>0.25919999999999999</v>
      </c>
      <c r="G125" s="146" t="str">
        <f>IF(H125="","","TFNUM"&amp;" "&amp;D125)</f>
        <v>TFNUM MUS</v>
      </c>
      <c r="H125" s="100">
        <v>168.43</v>
      </c>
      <c r="I125" s="100">
        <v>28.495000000000001</v>
      </c>
    </row>
    <row r="126" spans="1:9" s="35" customFormat="1">
      <c r="A126" s="3"/>
      <c r="B126" s="139" t="s">
        <v>1189</v>
      </c>
      <c r="C126" s="97" t="s">
        <v>212</v>
      </c>
      <c r="D126" s="97" t="s">
        <v>438</v>
      </c>
      <c r="E126" s="97" t="s">
        <v>1849</v>
      </c>
      <c r="F126" s="135">
        <v>0.25919999999999999</v>
      </c>
      <c r="G126" s="135"/>
      <c r="H126" s="100"/>
      <c r="I126" s="100"/>
    </row>
    <row r="127" spans="1:9" s="35" customFormat="1">
      <c r="A127" s="3"/>
      <c r="B127" s="144" t="s">
        <v>1190</v>
      </c>
      <c r="C127" s="97" t="s">
        <v>213</v>
      </c>
      <c r="D127" s="97" t="s">
        <v>440</v>
      </c>
      <c r="E127" s="97"/>
      <c r="F127" s="145">
        <v>7.2599999999999998E-2</v>
      </c>
      <c r="G127" s="146" t="str">
        <f>IF(H127="","","TFNUM"&amp;" "&amp;D127)</f>
        <v>TFNUM MYT</v>
      </c>
      <c r="H127" s="100">
        <v>206.64</v>
      </c>
      <c r="I127" s="100">
        <v>28.495000000000001</v>
      </c>
    </row>
    <row r="128" spans="1:9" s="35" customFormat="1">
      <c r="A128" s="3"/>
      <c r="B128" s="139" t="s">
        <v>1191</v>
      </c>
      <c r="C128" s="97" t="s">
        <v>213</v>
      </c>
      <c r="D128" s="97" t="s">
        <v>440</v>
      </c>
      <c r="E128" s="97" t="s">
        <v>1849</v>
      </c>
      <c r="F128" s="135">
        <v>0.1114</v>
      </c>
      <c r="G128" s="135"/>
      <c r="H128" s="100"/>
      <c r="I128" s="100"/>
    </row>
    <row r="129" spans="1:9" s="35" customFormat="1">
      <c r="A129" s="3"/>
      <c r="B129" s="144" t="s">
        <v>1192</v>
      </c>
      <c r="C129" s="97" t="s">
        <v>88</v>
      </c>
      <c r="D129" s="97" t="s">
        <v>434</v>
      </c>
      <c r="E129" s="97"/>
      <c r="F129" s="145">
        <v>3.2099999999999997E-2</v>
      </c>
      <c r="G129" s="146" t="str">
        <f>IF(H129="","","TFNUM"&amp;" "&amp;D129)</f>
        <v>TFNUM MEX</v>
      </c>
      <c r="H129" s="100">
        <v>168.43</v>
      </c>
      <c r="I129" s="100">
        <v>12.2135</v>
      </c>
    </row>
    <row r="130" spans="1:9" s="35" customFormat="1">
      <c r="A130" s="3"/>
      <c r="B130" s="139" t="s">
        <v>1193</v>
      </c>
      <c r="C130" s="97" t="s">
        <v>88</v>
      </c>
      <c r="D130" s="97" t="s">
        <v>434</v>
      </c>
      <c r="E130" s="97" t="s">
        <v>1849</v>
      </c>
      <c r="F130" s="135">
        <v>3.2099999999999997E-2</v>
      </c>
      <c r="G130" s="135"/>
      <c r="H130" s="100"/>
      <c r="I130" s="100"/>
    </row>
    <row r="131" spans="1:9" s="35" customFormat="1">
      <c r="A131" s="3"/>
      <c r="B131" s="144" t="s">
        <v>1194</v>
      </c>
      <c r="C131" s="97" t="s">
        <v>166</v>
      </c>
      <c r="D131" s="97" t="s">
        <v>433</v>
      </c>
      <c r="E131" s="97"/>
      <c r="F131" s="145">
        <v>5.21E-2</v>
      </c>
      <c r="G131" s="146" t="str">
        <f>IF(H131="","","TFNUM"&amp;" "&amp;D131)</f>
        <v>TFNUM MCO</v>
      </c>
      <c r="H131" s="155">
        <v>95.2</v>
      </c>
      <c r="I131" s="100">
        <v>12.2135</v>
      </c>
    </row>
    <row r="132" spans="1:9" s="35" customFormat="1">
      <c r="A132" s="3"/>
      <c r="B132" s="139" t="s">
        <v>1195</v>
      </c>
      <c r="C132" s="97" t="s">
        <v>166</v>
      </c>
      <c r="D132" s="97" t="s">
        <v>433</v>
      </c>
      <c r="E132" s="97" t="s">
        <v>1849</v>
      </c>
      <c r="F132" s="135">
        <v>9.0899999999999995E-2</v>
      </c>
      <c r="G132" s="135"/>
      <c r="H132" s="100"/>
      <c r="I132" s="100"/>
    </row>
    <row r="133" spans="1:9" s="35" customFormat="1">
      <c r="A133" s="3"/>
      <c r="B133" s="144" t="s">
        <v>1196</v>
      </c>
      <c r="C133" s="97" t="s">
        <v>89</v>
      </c>
      <c r="D133" s="97" t="s">
        <v>432</v>
      </c>
      <c r="E133" s="97"/>
      <c r="F133" s="145">
        <v>0.2074</v>
      </c>
      <c r="G133" s="146" t="str">
        <f>IF(H133="","","TFNUM"&amp;" "&amp;D133)</f>
        <v>TFNUM MAR</v>
      </c>
      <c r="H133" s="100">
        <v>168.43</v>
      </c>
      <c r="I133" s="100">
        <v>28.495000000000001</v>
      </c>
    </row>
    <row r="134" spans="1:9" s="35" customFormat="1">
      <c r="A134" s="3"/>
      <c r="B134" s="139" t="s">
        <v>1197</v>
      </c>
      <c r="C134" s="97" t="s">
        <v>89</v>
      </c>
      <c r="D134" s="97" t="s">
        <v>432</v>
      </c>
      <c r="E134" s="97" t="s">
        <v>1849</v>
      </c>
      <c r="F134" s="135">
        <v>0.247</v>
      </c>
      <c r="G134" s="135"/>
      <c r="H134" s="100"/>
      <c r="I134" s="100"/>
    </row>
    <row r="135" spans="1:9" s="35" customFormat="1">
      <c r="A135" s="3"/>
      <c r="B135" s="144" t="s">
        <v>1847</v>
      </c>
      <c r="C135" s="97" t="s">
        <v>224</v>
      </c>
      <c r="D135" s="97" t="s">
        <v>562</v>
      </c>
      <c r="E135" s="97"/>
      <c r="F135" s="145">
        <v>0.17469999999999999</v>
      </c>
      <c r="G135" s="146" t="str">
        <f>IF(H135="","","TFNUM"&amp;" "&amp;D135)</f>
        <v>TFNUM NPL</v>
      </c>
      <c r="H135" s="100">
        <v>142.80000000000001</v>
      </c>
      <c r="I135" s="100">
        <v>28.56</v>
      </c>
    </row>
    <row r="136" spans="1:9" s="35" customFormat="1">
      <c r="A136" s="3"/>
      <c r="B136" s="139" t="s">
        <v>1848</v>
      </c>
      <c r="C136" s="97" t="s">
        <v>224</v>
      </c>
      <c r="D136" s="97" t="s">
        <v>562</v>
      </c>
      <c r="E136" s="97" t="s">
        <v>1849</v>
      </c>
      <c r="F136" s="135">
        <v>0.15659999999999999</v>
      </c>
      <c r="G136" s="135"/>
      <c r="H136" s="100"/>
      <c r="I136" s="100"/>
    </row>
    <row r="137" spans="1:9" s="35" customFormat="1">
      <c r="A137" s="3"/>
      <c r="B137" s="144" t="s">
        <v>1198</v>
      </c>
      <c r="C137" s="97" t="s">
        <v>53</v>
      </c>
      <c r="D137" s="97" t="s">
        <v>443</v>
      </c>
      <c r="E137" s="97"/>
      <c r="F137" s="145">
        <v>7.3800000000000004E-2</v>
      </c>
      <c r="G137" s="146" t="str">
        <f>IF(H137="","","TFNUM"&amp;" "&amp;D137)</f>
        <v>TFNUM NLD</v>
      </c>
      <c r="H137" s="100">
        <v>168.43</v>
      </c>
      <c r="I137" s="100">
        <v>12.2135</v>
      </c>
    </row>
    <row r="138" spans="1:9" s="35" customFormat="1">
      <c r="A138" s="3"/>
      <c r="B138" s="139" t="s">
        <v>1199</v>
      </c>
      <c r="C138" s="97" t="s">
        <v>53</v>
      </c>
      <c r="D138" s="97" t="s">
        <v>443</v>
      </c>
      <c r="E138" s="97" t="s">
        <v>1849</v>
      </c>
      <c r="F138" s="135">
        <v>0.17050000000000001</v>
      </c>
      <c r="G138" s="135"/>
      <c r="H138" s="100"/>
      <c r="I138" s="100"/>
    </row>
    <row r="139" spans="1:9" s="35" customFormat="1">
      <c r="A139" s="3"/>
      <c r="B139" s="144" t="s">
        <v>1200</v>
      </c>
      <c r="C139" s="97" t="s">
        <v>54</v>
      </c>
      <c r="D139" s="97" t="s">
        <v>445</v>
      </c>
      <c r="E139" s="97"/>
      <c r="F139" s="145">
        <v>3.4599999999999999E-2</v>
      </c>
      <c r="G139" s="146" t="str">
        <f>IF(H139="","","TFNUM"&amp;" "&amp;D139)</f>
        <v>TFNUM NZL</v>
      </c>
      <c r="H139" s="100">
        <v>206.64</v>
      </c>
      <c r="I139" s="100">
        <v>16.281500000000001</v>
      </c>
    </row>
    <row r="140" spans="1:9" s="35" customFormat="1">
      <c r="A140" s="3"/>
      <c r="B140" s="139" t="s">
        <v>1201</v>
      </c>
      <c r="C140" s="97" t="s">
        <v>54</v>
      </c>
      <c r="D140" s="97" t="s">
        <v>445</v>
      </c>
      <c r="E140" s="97" t="s">
        <v>1849</v>
      </c>
      <c r="F140" s="135">
        <v>0.15409999999999999</v>
      </c>
      <c r="G140" s="135"/>
      <c r="H140" s="100"/>
      <c r="I140" s="100"/>
    </row>
    <row r="141" spans="1:9" s="35" customFormat="1">
      <c r="A141" s="3"/>
      <c r="B141" s="144" t="s">
        <v>1202</v>
      </c>
      <c r="C141" s="97" t="s">
        <v>227</v>
      </c>
      <c r="D141" s="134" t="s">
        <v>559</v>
      </c>
      <c r="E141" s="97"/>
      <c r="F141" s="145">
        <v>0.3</v>
      </c>
      <c r="G141" s="146" t="str">
        <f>IF(H141="","","TFNUM"&amp;" "&amp;D141)</f>
        <v>TFNUM NGA</v>
      </c>
      <c r="H141" s="100">
        <v>179.2</v>
      </c>
      <c r="I141" s="100">
        <v>134.4</v>
      </c>
    </row>
    <row r="142" spans="1:9" s="35" customFormat="1">
      <c r="A142" s="3"/>
      <c r="B142" s="139" t="s">
        <v>1203</v>
      </c>
      <c r="C142" s="97" t="s">
        <v>227</v>
      </c>
      <c r="D142" s="136" t="s">
        <v>559</v>
      </c>
      <c r="E142" s="97" t="s">
        <v>1849</v>
      </c>
      <c r="F142" s="135">
        <v>0.3</v>
      </c>
      <c r="G142" s="135"/>
      <c r="H142" s="100"/>
      <c r="I142" s="100"/>
    </row>
    <row r="143" spans="1:9" s="35" customFormat="1">
      <c r="A143" s="3"/>
      <c r="B143" s="144" t="s">
        <v>1204</v>
      </c>
      <c r="C143" s="97" t="s">
        <v>553</v>
      </c>
      <c r="D143" s="97" t="s">
        <v>552</v>
      </c>
      <c r="E143" s="97"/>
      <c r="F143" s="145">
        <v>2.6700000000000002E-2</v>
      </c>
      <c r="G143" s="146" t="str">
        <f>IF(H143="","","TFNUM"&amp;" "&amp;D143)</f>
        <v>TFNUM MNP</v>
      </c>
      <c r="H143" s="100">
        <v>168.43</v>
      </c>
      <c r="I143" s="100">
        <v>12.2135</v>
      </c>
    </row>
    <row r="144" spans="1:9" s="35" customFormat="1">
      <c r="A144" s="3"/>
      <c r="B144" s="139" t="s">
        <v>1205</v>
      </c>
      <c r="C144" s="97" t="s">
        <v>553</v>
      </c>
      <c r="D144" s="97" t="s">
        <v>552</v>
      </c>
      <c r="E144" s="97" t="s">
        <v>1849</v>
      </c>
      <c r="F144" s="135">
        <v>2.6700000000000002E-2</v>
      </c>
      <c r="G144" s="135"/>
      <c r="H144" s="100"/>
      <c r="I144" s="100"/>
    </row>
    <row r="145" spans="1:9" s="35" customFormat="1">
      <c r="A145" s="3"/>
      <c r="B145" s="144" t="s">
        <v>1206</v>
      </c>
      <c r="C145" s="97" t="s">
        <v>55</v>
      </c>
      <c r="D145" s="97" t="s">
        <v>444</v>
      </c>
      <c r="E145" s="97"/>
      <c r="F145" s="145">
        <v>1.0500000000000001E-2</v>
      </c>
      <c r="G145" s="146" t="str">
        <f>IF(H145="","","TFNUM"&amp;" "&amp;D145)</f>
        <v>TFNUM NOR</v>
      </c>
      <c r="H145" s="100">
        <v>168.43</v>
      </c>
      <c r="I145" s="100">
        <v>12.2135</v>
      </c>
    </row>
    <row r="146" spans="1:9" s="35" customFormat="1">
      <c r="A146" s="3"/>
      <c r="B146" s="139" t="s">
        <v>1207</v>
      </c>
      <c r="C146" s="97" t="s">
        <v>55</v>
      </c>
      <c r="D146" s="97" t="s">
        <v>444</v>
      </c>
      <c r="E146" s="97" t="s">
        <v>1849</v>
      </c>
      <c r="F146" s="135">
        <v>1.8200000000000001E-2</v>
      </c>
      <c r="G146" s="135"/>
      <c r="H146" s="100"/>
      <c r="I146" s="100"/>
    </row>
    <row r="147" spans="1:9" s="35" customFormat="1">
      <c r="A147" s="3"/>
      <c r="B147" s="144" t="s">
        <v>1208</v>
      </c>
      <c r="C147" s="97" t="s">
        <v>230</v>
      </c>
      <c r="D147" s="97" t="s">
        <v>565</v>
      </c>
      <c r="E147" s="97"/>
      <c r="F147" s="145">
        <v>0.41039999999999999</v>
      </c>
      <c r="G147" s="146" t="str">
        <f>IF(H147="","","TFNUM"&amp;" "&amp;D147)</f>
        <v>TFNUM OMN</v>
      </c>
      <c r="H147" s="155">
        <v>664.0625</v>
      </c>
      <c r="I147" s="100">
        <v>89.600000000000009</v>
      </c>
    </row>
    <row r="148" spans="1:9" s="35" customFormat="1">
      <c r="A148" s="3"/>
      <c r="B148" s="139" t="s">
        <v>1209</v>
      </c>
      <c r="C148" s="97" t="s">
        <v>230</v>
      </c>
      <c r="D148" s="13" t="s">
        <v>565</v>
      </c>
      <c r="E148" s="97" t="s">
        <v>1849</v>
      </c>
      <c r="F148" s="135">
        <v>0.41039999999999999</v>
      </c>
      <c r="G148" s="135"/>
      <c r="H148" s="100"/>
      <c r="I148" s="100"/>
    </row>
    <row r="149" spans="1:9" s="35" customFormat="1">
      <c r="A149" s="3"/>
      <c r="B149" s="144" t="s">
        <v>1210</v>
      </c>
      <c r="C149" s="97" t="s">
        <v>231</v>
      </c>
      <c r="D149" s="97" t="s">
        <v>566</v>
      </c>
      <c r="E149" s="97"/>
      <c r="F149" s="145">
        <v>0.11310000000000001</v>
      </c>
      <c r="G149" s="146" t="str">
        <f>IF(H149="","","TFNUM"&amp;" "&amp;D149)</f>
        <v>TFNUM PAK</v>
      </c>
      <c r="H149" s="155">
        <v>95.2</v>
      </c>
      <c r="I149" s="100">
        <v>28.495000000000001</v>
      </c>
    </row>
    <row r="150" spans="1:9" s="35" customFormat="1">
      <c r="A150" s="3"/>
      <c r="B150" s="139" t="s">
        <v>1211</v>
      </c>
      <c r="C150" s="97" t="s">
        <v>231</v>
      </c>
      <c r="D150" s="97" t="s">
        <v>566</v>
      </c>
      <c r="E150" s="97" t="s">
        <v>1849</v>
      </c>
      <c r="F150" s="135">
        <v>0.11310000000000001</v>
      </c>
      <c r="G150" s="135"/>
      <c r="H150" s="100"/>
      <c r="I150" s="100"/>
    </row>
    <row r="151" spans="1:9" s="35" customFormat="1">
      <c r="A151" s="3"/>
      <c r="B151" s="144" t="s">
        <v>1212</v>
      </c>
      <c r="C151" s="97" t="s">
        <v>119</v>
      </c>
      <c r="D151" s="97" t="s">
        <v>567</v>
      </c>
      <c r="E151" s="97"/>
      <c r="F151" s="145">
        <v>6.83E-2</v>
      </c>
      <c r="G151" s="146" t="str">
        <f>IF(H151="","","TFNUM"&amp;" "&amp;D151)</f>
        <v>TFNUM PAN</v>
      </c>
      <c r="H151" s="100">
        <v>168.43</v>
      </c>
      <c r="I151" s="100">
        <v>28.495000000000001</v>
      </c>
    </row>
    <row r="152" spans="1:9" s="35" customFormat="1">
      <c r="A152" s="3"/>
      <c r="B152" s="139" t="s">
        <v>1213</v>
      </c>
      <c r="C152" s="97" t="s">
        <v>119</v>
      </c>
      <c r="D152" s="97" t="s">
        <v>567</v>
      </c>
      <c r="E152" s="97" t="s">
        <v>1849</v>
      </c>
      <c r="F152" s="135">
        <v>6.83E-2</v>
      </c>
      <c r="G152" s="135"/>
      <c r="H152" s="100"/>
      <c r="I152" s="100"/>
    </row>
    <row r="153" spans="1:9" s="35" customFormat="1">
      <c r="A153" s="3"/>
      <c r="B153" s="144" t="s">
        <v>1214</v>
      </c>
      <c r="C153" s="97" t="s">
        <v>235</v>
      </c>
      <c r="D153" s="97" t="s">
        <v>575</v>
      </c>
      <c r="E153" s="97"/>
      <c r="F153" s="145">
        <v>0.18210000000000001</v>
      </c>
      <c r="G153" s="146" t="str">
        <f>IF(H153="","","TFNUM"&amp;" "&amp;D153)</f>
        <v>TFNUM PRY</v>
      </c>
      <c r="H153" s="100">
        <v>168.43</v>
      </c>
      <c r="I153" s="100">
        <v>28.5</v>
      </c>
    </row>
    <row r="154" spans="1:9" s="35" customFormat="1">
      <c r="A154" s="3"/>
      <c r="B154" s="139" t="s">
        <v>1215</v>
      </c>
      <c r="C154" s="97" t="s">
        <v>235</v>
      </c>
      <c r="D154" s="97" t="s">
        <v>575</v>
      </c>
      <c r="E154" s="97" t="s">
        <v>1849</v>
      </c>
      <c r="F154" s="135">
        <v>0.18210000000000001</v>
      </c>
      <c r="G154" s="135"/>
      <c r="H154" s="100"/>
      <c r="I154" s="100"/>
    </row>
    <row r="155" spans="1:9" s="35" customFormat="1">
      <c r="A155" s="3"/>
      <c r="B155" s="144" t="s">
        <v>1216</v>
      </c>
      <c r="C155" s="97" t="s">
        <v>90</v>
      </c>
      <c r="D155" s="97" t="s">
        <v>568</v>
      </c>
      <c r="E155" s="97"/>
      <c r="F155" s="145">
        <v>0.12909999999999999</v>
      </c>
      <c r="G155" s="146" t="str">
        <f>IF(H155="","","TFNUM"&amp;" "&amp;D155)</f>
        <v>TFNUM PER</v>
      </c>
      <c r="H155" s="100">
        <v>168.43</v>
      </c>
      <c r="I155" s="155">
        <v>39.849999999999994</v>
      </c>
    </row>
    <row r="156" spans="1:9" s="35" customFormat="1">
      <c r="A156" s="3"/>
      <c r="B156" s="139" t="s">
        <v>1217</v>
      </c>
      <c r="C156" s="97" t="s">
        <v>90</v>
      </c>
      <c r="D156" s="97" t="s">
        <v>568</v>
      </c>
      <c r="E156" s="97" t="s">
        <v>1849</v>
      </c>
      <c r="F156" s="135">
        <v>0.1147</v>
      </c>
      <c r="G156" s="135"/>
      <c r="H156" s="100"/>
      <c r="I156" s="100"/>
    </row>
    <row r="157" spans="1:9" s="35" customFormat="1">
      <c r="A157" s="3"/>
      <c r="B157" s="144" t="s">
        <v>1218</v>
      </c>
      <c r="C157" s="97" t="s">
        <v>91</v>
      </c>
      <c r="D157" s="97" t="s">
        <v>569</v>
      </c>
      <c r="E157" s="97"/>
      <c r="F157" s="145">
        <v>0.18079999999999999</v>
      </c>
      <c r="G157" s="146" t="str">
        <f>IF(H157="","","TFNUM"&amp;" "&amp;D157)</f>
        <v>TFNUM PHL</v>
      </c>
      <c r="H157" s="100">
        <v>168.43</v>
      </c>
      <c r="I157" s="100">
        <v>28.495000000000001</v>
      </c>
    </row>
    <row r="158" spans="1:9" s="35" customFormat="1">
      <c r="A158" s="3"/>
      <c r="B158" s="139" t="s">
        <v>1219</v>
      </c>
      <c r="C158" s="97" t="s">
        <v>91</v>
      </c>
      <c r="D158" s="97" t="s">
        <v>569</v>
      </c>
      <c r="E158" s="97" t="s">
        <v>1849</v>
      </c>
      <c r="F158" s="135">
        <v>0.37240000000000001</v>
      </c>
      <c r="G158" s="135"/>
      <c r="H158" s="100"/>
      <c r="I158" s="100"/>
    </row>
    <row r="159" spans="1:9" s="35" customFormat="1">
      <c r="A159" s="3"/>
      <c r="B159" s="144" t="s">
        <v>1220</v>
      </c>
      <c r="C159" s="97" t="s">
        <v>92</v>
      </c>
      <c r="D159" s="97" t="s">
        <v>446</v>
      </c>
      <c r="E159" s="97"/>
      <c r="F159" s="145">
        <v>4.4499999999999998E-2</v>
      </c>
      <c r="G159" s="146" t="str">
        <f>IF(H159="","","TFNUM"&amp;" "&amp;D159)</f>
        <v>TFNUM POL</v>
      </c>
      <c r="H159" s="100">
        <v>168.43</v>
      </c>
      <c r="I159" s="100">
        <v>12.2135</v>
      </c>
    </row>
    <row r="160" spans="1:9" s="35" customFormat="1">
      <c r="A160" s="3"/>
      <c r="B160" s="139" t="s">
        <v>1221</v>
      </c>
      <c r="C160" s="97" t="s">
        <v>92</v>
      </c>
      <c r="D160" s="97" t="s">
        <v>446</v>
      </c>
      <c r="E160" s="97" t="s">
        <v>1849</v>
      </c>
      <c r="F160" s="135">
        <v>6.2199999999999998E-2</v>
      </c>
      <c r="G160" s="135"/>
      <c r="H160" s="100"/>
      <c r="I160" s="100"/>
    </row>
    <row r="161" spans="1:9" s="35" customFormat="1">
      <c r="A161" s="3"/>
      <c r="B161" s="144" t="s">
        <v>1222</v>
      </c>
      <c r="C161" s="97" t="s">
        <v>56</v>
      </c>
      <c r="D161" s="97" t="s">
        <v>447</v>
      </c>
      <c r="E161" s="97"/>
      <c r="F161" s="145">
        <v>2.8000000000000001E-2</v>
      </c>
      <c r="G161" s="146" t="str">
        <f>IF(H161="","","TFNUM"&amp;" "&amp;D161)</f>
        <v>TFNUM PRT</v>
      </c>
      <c r="H161" s="100">
        <v>168.43</v>
      </c>
      <c r="I161" s="100">
        <v>12.2135</v>
      </c>
    </row>
    <row r="162" spans="1:9" s="35" customFormat="1">
      <c r="A162" s="3"/>
      <c r="B162" s="139" t="s">
        <v>1223</v>
      </c>
      <c r="C162" s="97" t="s">
        <v>56</v>
      </c>
      <c r="D162" s="97" t="s">
        <v>447</v>
      </c>
      <c r="E162" s="97" t="s">
        <v>1849</v>
      </c>
      <c r="F162" s="135">
        <v>9.7500000000000003E-2</v>
      </c>
      <c r="G162" s="135"/>
      <c r="H162" s="100"/>
      <c r="I162" s="100"/>
    </row>
    <row r="163" spans="1:9" s="35" customFormat="1">
      <c r="A163" s="3"/>
      <c r="B163" s="144" t="s">
        <v>1224</v>
      </c>
      <c r="C163" s="97" t="s">
        <v>93</v>
      </c>
      <c r="D163" s="97" t="s">
        <v>572</v>
      </c>
      <c r="E163" s="97"/>
      <c r="F163" s="145">
        <v>4.8800000000000003E-2</v>
      </c>
      <c r="G163" s="146" t="str">
        <f>IF(H163="","","TFNUM"&amp;" "&amp;D163)</f>
        <v>TFNUM PRI</v>
      </c>
      <c r="H163" s="100">
        <v>168.43</v>
      </c>
      <c r="I163" s="100">
        <v>12.2135</v>
      </c>
    </row>
    <row r="164" spans="1:9" s="35" customFormat="1">
      <c r="A164" s="3"/>
      <c r="B164" s="139" t="s">
        <v>1225</v>
      </c>
      <c r="C164" s="97" t="s">
        <v>93</v>
      </c>
      <c r="D164" s="97" t="s">
        <v>572</v>
      </c>
      <c r="E164" s="97" t="s">
        <v>1849</v>
      </c>
      <c r="F164" s="135">
        <v>4.8800000000000003E-2</v>
      </c>
      <c r="G164" s="135"/>
      <c r="H164" s="100"/>
      <c r="I164" s="100"/>
    </row>
    <row r="165" spans="1:9" s="35" customFormat="1">
      <c r="A165" s="3"/>
      <c r="B165" s="144" t="s">
        <v>1226</v>
      </c>
      <c r="C165" s="97" t="s">
        <v>134</v>
      </c>
      <c r="D165" s="97" t="s">
        <v>578</v>
      </c>
      <c r="E165" s="97"/>
      <c r="F165" s="145">
        <v>0.33360000000000001</v>
      </c>
      <c r="G165" s="146" t="str">
        <f>IF(H165="","","TFNUM"&amp;" "&amp;D165)</f>
        <v>TFNUM QAT</v>
      </c>
      <c r="H165" s="100">
        <v>168.43</v>
      </c>
      <c r="I165" s="100">
        <v>28.495000000000001</v>
      </c>
    </row>
    <row r="166" spans="1:9" s="35" customFormat="1">
      <c r="A166" s="3"/>
      <c r="B166" s="139" t="s">
        <v>1227</v>
      </c>
      <c r="C166" s="97" t="s">
        <v>134</v>
      </c>
      <c r="D166" s="97" t="s">
        <v>578</v>
      </c>
      <c r="E166" s="97" t="s">
        <v>1849</v>
      </c>
      <c r="F166" s="135">
        <v>0.33360000000000001</v>
      </c>
      <c r="G166" s="135"/>
      <c r="H166" s="100"/>
      <c r="I166" s="100"/>
    </row>
    <row r="167" spans="1:9" s="35" customFormat="1">
      <c r="A167" s="3"/>
      <c r="B167" s="144" t="s">
        <v>1228</v>
      </c>
      <c r="C167" s="97" t="s">
        <v>448</v>
      </c>
      <c r="D167" s="97" t="s">
        <v>449</v>
      </c>
      <c r="E167" s="97"/>
      <c r="F167" s="145">
        <v>0.1384</v>
      </c>
      <c r="G167" s="146" t="str">
        <f>IF(H167="","","TFNUM"&amp;" "&amp;D167)</f>
        <v>TFNUM REU</v>
      </c>
      <c r="H167" s="100">
        <v>206.64</v>
      </c>
      <c r="I167" s="100">
        <v>28.495000000000001</v>
      </c>
    </row>
    <row r="168" spans="1:9" s="35" customFormat="1">
      <c r="A168" s="3"/>
      <c r="B168" s="139" t="s">
        <v>1229</v>
      </c>
      <c r="C168" s="97" t="s">
        <v>448</v>
      </c>
      <c r="D168" s="97" t="s">
        <v>449</v>
      </c>
      <c r="E168" s="97" t="s">
        <v>1849</v>
      </c>
      <c r="F168" s="135">
        <v>0.1384</v>
      </c>
      <c r="G168" s="135"/>
      <c r="H168" s="100"/>
      <c r="I168" s="100"/>
    </row>
    <row r="169" spans="1:9" s="35" customFormat="1">
      <c r="A169" s="3"/>
      <c r="B169" s="144" t="s">
        <v>1230</v>
      </c>
      <c r="C169" s="97" t="s">
        <v>94</v>
      </c>
      <c r="D169" s="97" t="s">
        <v>825</v>
      </c>
      <c r="E169" s="97"/>
      <c r="F169" s="145">
        <v>3.5700000000000003E-2</v>
      </c>
      <c r="G169" s="146" t="str">
        <f>IF(H169="","","TFNUM"&amp;" "&amp;D169)</f>
        <v>TFNUM ROU</v>
      </c>
      <c r="H169" s="100">
        <v>168.43</v>
      </c>
      <c r="I169" s="155">
        <v>28.560000000000002</v>
      </c>
    </row>
    <row r="170" spans="1:9" s="35" customFormat="1">
      <c r="A170" s="3"/>
      <c r="B170" s="139" t="s">
        <v>1231</v>
      </c>
      <c r="C170" s="97" t="s">
        <v>94</v>
      </c>
      <c r="D170" s="97" t="s">
        <v>825</v>
      </c>
      <c r="E170" s="97" t="s">
        <v>1849</v>
      </c>
      <c r="F170" s="135">
        <v>0.1101</v>
      </c>
      <c r="G170" s="135"/>
      <c r="H170" s="100"/>
      <c r="I170" s="100"/>
    </row>
    <row r="171" spans="1:9" s="35" customFormat="1">
      <c r="A171" s="3"/>
      <c r="B171" s="144" t="s">
        <v>1232</v>
      </c>
      <c r="C171" s="97" t="s">
        <v>57</v>
      </c>
      <c r="D171" s="97" t="s">
        <v>450</v>
      </c>
      <c r="E171" s="97"/>
      <c r="F171" s="145">
        <v>7.2900000000000006E-2</v>
      </c>
      <c r="G171" s="146" t="str">
        <f>IF(H171="","","TFNUM"&amp;" "&amp;D171)</f>
        <v>TFNUM RUS</v>
      </c>
      <c r="H171" s="100">
        <v>168.43</v>
      </c>
      <c r="I171" s="100">
        <v>12.2135</v>
      </c>
    </row>
    <row r="172" spans="1:9" s="35" customFormat="1">
      <c r="A172" s="3"/>
      <c r="B172" s="139" t="s">
        <v>1233</v>
      </c>
      <c r="C172" s="97" t="s">
        <v>57</v>
      </c>
      <c r="D172" s="97" t="s">
        <v>450</v>
      </c>
      <c r="E172" s="97" t="s">
        <v>1849</v>
      </c>
      <c r="F172" s="135">
        <v>0.1012</v>
      </c>
      <c r="G172" s="135"/>
      <c r="H172" s="100"/>
      <c r="I172" s="100"/>
    </row>
    <row r="173" spans="1:9" s="35" customFormat="1">
      <c r="A173" s="3"/>
      <c r="B173" s="144" t="s">
        <v>1234</v>
      </c>
      <c r="C173" s="97" t="s">
        <v>95</v>
      </c>
      <c r="D173" s="97" t="s">
        <v>580</v>
      </c>
      <c r="E173" s="97"/>
      <c r="F173" s="145">
        <v>0.17780000000000001</v>
      </c>
      <c r="G173" s="146" t="str">
        <f>IF(H173="","","TFNUM"&amp;" "&amp;D173)</f>
        <v>TFNUM SAU</v>
      </c>
      <c r="H173" s="155">
        <v>332.02499999999998</v>
      </c>
      <c r="I173" s="155">
        <v>278.91249999999997</v>
      </c>
    </row>
    <row r="174" spans="1:9" s="35" customFormat="1">
      <c r="A174" s="3"/>
      <c r="B174" s="139" t="s">
        <v>1235</v>
      </c>
      <c r="C174" s="97" t="s">
        <v>95</v>
      </c>
      <c r="D174" s="97" t="s">
        <v>580</v>
      </c>
      <c r="E174" s="97" t="s">
        <v>1849</v>
      </c>
      <c r="F174" s="135">
        <v>0.1835</v>
      </c>
      <c r="G174" s="135"/>
      <c r="H174" s="100"/>
      <c r="I174" s="100"/>
    </row>
    <row r="175" spans="1:9" s="35" customFormat="1">
      <c r="A175" s="3"/>
      <c r="B175" s="144" t="s">
        <v>1236</v>
      </c>
      <c r="C175" s="97" t="s">
        <v>239</v>
      </c>
      <c r="D175" s="97" t="s">
        <v>588</v>
      </c>
      <c r="E175" s="97"/>
      <c r="F175" s="145">
        <v>0.41010000000000002</v>
      </c>
      <c r="G175" s="146" t="str">
        <f>IF(H175="","","TFNUM"&amp;" "&amp;D175)</f>
        <v>TFNUM SRB</v>
      </c>
      <c r="H175" s="155">
        <v>199.22499999999999</v>
      </c>
      <c r="I175" s="100">
        <v>28.5</v>
      </c>
    </row>
    <row r="176" spans="1:9" s="35" customFormat="1">
      <c r="A176" s="3"/>
      <c r="B176" s="139" t="s">
        <v>1237</v>
      </c>
      <c r="C176" s="97" t="s">
        <v>239</v>
      </c>
      <c r="D176" s="97" t="s">
        <v>588</v>
      </c>
      <c r="E176" s="97" t="s">
        <v>1849</v>
      </c>
      <c r="F176" s="135">
        <v>0.41010000000000002</v>
      </c>
      <c r="G176" s="135"/>
      <c r="H176" s="100"/>
      <c r="I176" s="100"/>
    </row>
    <row r="177" spans="2:9">
      <c r="B177" s="144" t="s">
        <v>1238</v>
      </c>
      <c r="C177" s="97" t="s">
        <v>261</v>
      </c>
      <c r="D177" s="97" t="str">
        <f>VLOOKUP(C177,PSTN!C:D,2,0)</f>
        <v>SYC</v>
      </c>
      <c r="E177" s="97"/>
      <c r="F177" s="145">
        <v>0.92120000000000002</v>
      </c>
      <c r="G177" s="146" t="str">
        <f>IF(H177="","","TFNUM"&amp;" "&amp;D177)</f>
        <v>TFNUM SYC</v>
      </c>
      <c r="H177" s="100">
        <v>134.4</v>
      </c>
      <c r="I177" s="100">
        <v>134.4</v>
      </c>
    </row>
    <row r="178" spans="2:9">
      <c r="B178" s="139" t="s">
        <v>1239</v>
      </c>
      <c r="C178" s="97" t="s">
        <v>261</v>
      </c>
      <c r="D178" s="13" t="str">
        <f>VLOOKUP(C178,PSTN!C:D,2,0)</f>
        <v>SYC</v>
      </c>
      <c r="E178" s="97" t="s">
        <v>1849</v>
      </c>
      <c r="F178" s="135">
        <v>0.92079999999999995</v>
      </c>
      <c r="G178" s="135"/>
      <c r="H178" s="100"/>
      <c r="I178" s="100"/>
    </row>
    <row r="179" spans="2:9">
      <c r="B179" s="144" t="s">
        <v>1240</v>
      </c>
      <c r="C179" s="97" t="s">
        <v>58</v>
      </c>
      <c r="D179" s="97" t="s">
        <v>451</v>
      </c>
      <c r="E179" s="97"/>
      <c r="F179" s="145">
        <v>2.6800000000000001E-2</v>
      </c>
      <c r="G179" s="146" t="str">
        <f>IF(H179="","","TFNUM"&amp;" "&amp;D179)</f>
        <v>TFNUM SGP</v>
      </c>
      <c r="H179" s="100">
        <v>168.43</v>
      </c>
      <c r="I179" s="100">
        <v>26.880000000000003</v>
      </c>
    </row>
    <row r="180" spans="2:9">
      <c r="B180" s="139" t="s">
        <v>1241</v>
      </c>
      <c r="C180" s="97" t="s">
        <v>58</v>
      </c>
      <c r="D180" s="97" t="s">
        <v>451</v>
      </c>
      <c r="E180" s="97" t="s">
        <v>1849</v>
      </c>
      <c r="F180" s="135">
        <v>2.6800000000000001E-2</v>
      </c>
      <c r="G180" s="135"/>
      <c r="H180" s="100"/>
      <c r="I180" s="100"/>
    </row>
    <row r="181" spans="2:9">
      <c r="B181" s="144" t="s">
        <v>1242</v>
      </c>
      <c r="C181" s="97" t="s">
        <v>97</v>
      </c>
      <c r="D181" s="97" t="s">
        <v>454</v>
      </c>
      <c r="E181" s="97"/>
      <c r="F181" s="145">
        <v>4.1099999999999998E-2</v>
      </c>
      <c r="G181" s="146" t="str">
        <f>IF(H181="","","TFNUM"&amp;" "&amp;D181)</f>
        <v>TFNUM SVK</v>
      </c>
      <c r="H181" s="100">
        <v>168.43</v>
      </c>
      <c r="I181" s="100">
        <v>32.563099999999999</v>
      </c>
    </row>
    <row r="182" spans="2:9">
      <c r="B182" s="139" t="s">
        <v>1243</v>
      </c>
      <c r="C182" s="97" t="s">
        <v>97</v>
      </c>
      <c r="D182" s="97" t="s">
        <v>454</v>
      </c>
      <c r="E182" s="97" t="s">
        <v>1849</v>
      </c>
      <c r="F182" s="135">
        <v>0.1095</v>
      </c>
      <c r="G182" s="135"/>
      <c r="H182" s="100"/>
      <c r="I182" s="100"/>
    </row>
    <row r="183" spans="2:9">
      <c r="B183" s="144" t="s">
        <v>1244</v>
      </c>
      <c r="C183" s="97" t="s">
        <v>170</v>
      </c>
      <c r="D183" s="97" t="s">
        <v>455</v>
      </c>
      <c r="E183" s="97"/>
      <c r="F183" s="145">
        <v>7.4099999999999999E-2</v>
      </c>
      <c r="G183" s="146" t="str">
        <f>IF(H183="","","TFNUM"&amp;" "&amp;D183)</f>
        <v>TFNUM SVN</v>
      </c>
      <c r="H183" s="100">
        <v>168.43</v>
      </c>
      <c r="I183" s="155">
        <v>28.560000000000002</v>
      </c>
    </row>
    <row r="184" spans="2:9">
      <c r="B184" s="139" t="s">
        <v>1245</v>
      </c>
      <c r="C184" s="97" t="s">
        <v>170</v>
      </c>
      <c r="D184" s="97" t="s">
        <v>455</v>
      </c>
      <c r="E184" s="97" t="s">
        <v>1849</v>
      </c>
      <c r="F184" s="135">
        <v>0.17860000000000001</v>
      </c>
      <c r="G184" s="135"/>
      <c r="H184" s="100"/>
      <c r="I184" s="100"/>
    </row>
    <row r="185" spans="2:9">
      <c r="B185" s="144" t="s">
        <v>1246</v>
      </c>
      <c r="C185" s="97" t="s">
        <v>98</v>
      </c>
      <c r="D185" s="97" t="s">
        <v>462</v>
      </c>
      <c r="E185" s="97"/>
      <c r="F185" s="145">
        <v>6.1400000000000003E-2</v>
      </c>
      <c r="G185" s="146" t="str">
        <f>IF(H185="","","TFNUM"&amp;" "&amp;D185)</f>
        <v>TFNUM ZAF</v>
      </c>
      <c r="H185" s="155">
        <v>95.2</v>
      </c>
      <c r="I185" s="100">
        <v>28.495000000000001</v>
      </c>
    </row>
    <row r="186" spans="2:9">
      <c r="B186" s="139" t="s">
        <v>1247</v>
      </c>
      <c r="C186" s="97" t="s">
        <v>98</v>
      </c>
      <c r="D186" s="97" t="s">
        <v>462</v>
      </c>
      <c r="E186" s="97" t="s">
        <v>1849</v>
      </c>
      <c r="F186" s="135">
        <v>6.1400000000000003E-2</v>
      </c>
      <c r="G186" s="135"/>
      <c r="H186" s="100"/>
      <c r="I186" s="100"/>
    </row>
    <row r="187" spans="2:9">
      <c r="B187" s="144" t="s">
        <v>1248</v>
      </c>
      <c r="C187" s="97" t="s">
        <v>366</v>
      </c>
      <c r="D187" s="97" t="s">
        <v>427</v>
      </c>
      <c r="E187" s="97"/>
      <c r="F187" s="145">
        <v>5.8200000000000002E-2</v>
      </c>
      <c r="G187" s="146" t="str">
        <f>IF(H187="","","TFNUM"&amp;" "&amp;D187)</f>
        <v>TFNUM KOR</v>
      </c>
      <c r="H187" s="100">
        <v>201.6</v>
      </c>
      <c r="I187" s="100">
        <v>24.3</v>
      </c>
    </row>
    <row r="188" spans="2:9">
      <c r="B188" s="139" t="s">
        <v>1249</v>
      </c>
      <c r="C188" s="97" t="s">
        <v>366</v>
      </c>
      <c r="D188" s="97" t="s">
        <v>427</v>
      </c>
      <c r="E188" s="97" t="s">
        <v>1849</v>
      </c>
      <c r="F188" s="135">
        <v>6.0499999999999998E-2</v>
      </c>
      <c r="G188" s="135"/>
      <c r="H188" s="100"/>
      <c r="I188" s="100"/>
    </row>
    <row r="189" spans="2:9">
      <c r="B189" s="144" t="s">
        <v>1250</v>
      </c>
      <c r="C189" s="97" t="s">
        <v>59</v>
      </c>
      <c r="D189" s="97" t="s">
        <v>402</v>
      </c>
      <c r="E189" s="97"/>
      <c r="F189" s="145">
        <v>1.23E-2</v>
      </c>
      <c r="G189" s="146" t="str">
        <f>IF(H189="","","TFNUM"&amp;" "&amp;D189)</f>
        <v>TFNUM ESP</v>
      </c>
      <c r="H189" s="100">
        <v>168.43</v>
      </c>
      <c r="I189" s="100">
        <v>12.2135</v>
      </c>
    </row>
    <row r="190" spans="2:9">
      <c r="B190" s="139" t="s">
        <v>1251</v>
      </c>
      <c r="C190" s="97" t="s">
        <v>59</v>
      </c>
      <c r="D190" s="97" t="s">
        <v>402</v>
      </c>
      <c r="E190" s="97" t="s">
        <v>1849</v>
      </c>
      <c r="F190" s="135">
        <v>0.11899999999999999</v>
      </c>
      <c r="G190" s="135"/>
      <c r="H190" s="100"/>
      <c r="I190" s="100"/>
    </row>
    <row r="191" spans="2:9">
      <c r="B191" s="144" t="s">
        <v>1252</v>
      </c>
      <c r="C191" s="97" t="s">
        <v>265</v>
      </c>
      <c r="D191" s="97" t="s">
        <v>541</v>
      </c>
      <c r="E191" s="97"/>
      <c r="F191" s="145">
        <v>0.32619999999999999</v>
      </c>
      <c r="G191" s="146" t="str">
        <f>IF(H191="","","TFNUM"&amp;" "&amp;D191)</f>
        <v>TFNUM LKA</v>
      </c>
      <c r="H191" s="100">
        <v>168.43</v>
      </c>
      <c r="I191" s="155">
        <v>103.58750000000001</v>
      </c>
    </row>
    <row r="192" spans="2:9">
      <c r="B192" s="139" t="s">
        <v>1253</v>
      </c>
      <c r="C192" s="97" t="s">
        <v>265</v>
      </c>
      <c r="D192" s="97" t="s">
        <v>541</v>
      </c>
      <c r="E192" s="97" t="s">
        <v>1849</v>
      </c>
      <c r="F192" s="135">
        <v>0.32619999999999999</v>
      </c>
      <c r="G192" s="135"/>
      <c r="H192" s="100"/>
      <c r="I192" s="100"/>
    </row>
    <row r="193" spans="2:9">
      <c r="B193" s="144" t="s">
        <v>1254</v>
      </c>
      <c r="C193" s="97" t="s">
        <v>60</v>
      </c>
      <c r="D193" s="97" t="s">
        <v>456</v>
      </c>
      <c r="E193" s="97"/>
      <c r="F193" s="145">
        <v>4.7999999999999996E-3</v>
      </c>
      <c r="G193" s="146" t="str">
        <f>IF(H193="","","TFNUM"&amp;" "&amp;D193)</f>
        <v>TFNUM SWE</v>
      </c>
      <c r="H193" s="100">
        <v>168.43</v>
      </c>
      <c r="I193" s="100">
        <v>12.2135</v>
      </c>
    </row>
    <row r="194" spans="2:9">
      <c r="B194" s="139" t="s">
        <v>1255</v>
      </c>
      <c r="C194" s="97" t="s">
        <v>60</v>
      </c>
      <c r="D194" s="97" t="s">
        <v>456</v>
      </c>
      <c r="E194" s="97" t="s">
        <v>1849</v>
      </c>
      <c r="F194" s="135">
        <v>1.26E-2</v>
      </c>
      <c r="G194" s="135"/>
      <c r="H194" s="100"/>
      <c r="I194" s="100"/>
    </row>
    <row r="195" spans="2:9">
      <c r="B195" s="144" t="s">
        <v>1256</v>
      </c>
      <c r="C195" s="97" t="s">
        <v>61</v>
      </c>
      <c r="D195" s="97" t="s">
        <v>393</v>
      </c>
      <c r="E195" s="97"/>
      <c r="F195" s="145">
        <v>1.4E-2</v>
      </c>
      <c r="G195" s="146" t="str">
        <f>IF(H195="","","TFNUM"&amp;" "&amp;D195)</f>
        <v>TFNUM CHE</v>
      </c>
      <c r="H195" s="100">
        <v>168.43</v>
      </c>
      <c r="I195" s="100">
        <v>12.2135</v>
      </c>
    </row>
    <row r="196" spans="2:9">
      <c r="B196" s="139" t="s">
        <v>1257</v>
      </c>
      <c r="C196" s="97" t="s">
        <v>61</v>
      </c>
      <c r="D196" s="97" t="s">
        <v>393</v>
      </c>
      <c r="E196" s="97" t="s">
        <v>1849</v>
      </c>
      <c r="F196" s="135">
        <v>4.4699999999999997E-2</v>
      </c>
      <c r="G196" s="135"/>
      <c r="H196" s="100"/>
      <c r="I196" s="100"/>
    </row>
    <row r="197" spans="2:9">
      <c r="B197" s="144" t="s">
        <v>1258</v>
      </c>
      <c r="C197" s="97" t="s">
        <v>62</v>
      </c>
      <c r="D197" s="97" t="s">
        <v>458</v>
      </c>
      <c r="E197" s="97"/>
      <c r="F197" s="145">
        <v>5.21E-2</v>
      </c>
      <c r="G197" s="146" t="str">
        <f>IF(H197="","","TFNUM"&amp;" "&amp;D197)</f>
        <v>TFNUM TWN</v>
      </c>
      <c r="H197" s="100">
        <v>168.43</v>
      </c>
      <c r="I197" s="100">
        <v>28.495000000000001</v>
      </c>
    </row>
    <row r="198" spans="2:9">
      <c r="B198" s="139" t="s">
        <v>1259</v>
      </c>
      <c r="C198" s="97" t="s">
        <v>62</v>
      </c>
      <c r="D198" s="97" t="s">
        <v>458</v>
      </c>
      <c r="E198" s="97" t="s">
        <v>1849</v>
      </c>
      <c r="F198" s="135">
        <v>0.15459999999999999</v>
      </c>
      <c r="G198" s="135"/>
      <c r="H198" s="100"/>
      <c r="I198" s="100"/>
    </row>
    <row r="199" spans="2:9">
      <c r="B199" s="144" t="s">
        <v>1260</v>
      </c>
      <c r="C199" s="97" t="s">
        <v>99</v>
      </c>
      <c r="D199" s="97" t="s">
        <v>599</v>
      </c>
      <c r="E199" s="97"/>
      <c r="F199" s="145">
        <v>0.15029999999999999</v>
      </c>
      <c r="G199" s="146" t="str">
        <f>IF(H199="","","TFNUM"&amp;" "&amp;D199)</f>
        <v>TFNUM THA</v>
      </c>
      <c r="H199" s="100">
        <v>168.43</v>
      </c>
      <c r="I199" s="100">
        <v>28.495000000000001</v>
      </c>
    </row>
    <row r="200" spans="2:9">
      <c r="B200" s="139" t="s">
        <v>1261</v>
      </c>
      <c r="C200" s="97" t="s">
        <v>99</v>
      </c>
      <c r="D200" s="97" t="s">
        <v>599</v>
      </c>
      <c r="E200" s="97" t="s">
        <v>1849</v>
      </c>
      <c r="F200" s="135">
        <v>0.15029999999999999</v>
      </c>
      <c r="G200" s="135"/>
      <c r="H200" s="100"/>
      <c r="I200" s="100"/>
    </row>
    <row r="201" spans="2:9">
      <c r="B201" s="144" t="s">
        <v>1262</v>
      </c>
      <c r="C201" s="97" t="s">
        <v>282</v>
      </c>
      <c r="D201" s="97" t="s">
        <v>608</v>
      </c>
      <c r="E201" s="97"/>
      <c r="F201" s="145">
        <v>0.2011</v>
      </c>
      <c r="G201" s="146" t="str">
        <f>IF(H201="","","TFNUM"&amp;" "&amp;D201)</f>
        <v>TFNUM UGA</v>
      </c>
      <c r="H201" s="100">
        <v>179.20000000000005</v>
      </c>
      <c r="I201" s="100">
        <v>89.600000000000023</v>
      </c>
    </row>
    <row r="202" spans="2:9">
      <c r="B202" s="139" t="s">
        <v>1263</v>
      </c>
      <c r="C202" s="97" t="s">
        <v>282</v>
      </c>
      <c r="D202" s="97" t="s">
        <v>608</v>
      </c>
      <c r="E202" s="97" t="s">
        <v>1849</v>
      </c>
      <c r="F202" s="135">
        <v>0.2011</v>
      </c>
      <c r="G202" s="135"/>
      <c r="H202" s="100"/>
      <c r="I202" s="100"/>
    </row>
    <row r="203" spans="2:9">
      <c r="B203" s="144" t="s">
        <v>1264</v>
      </c>
      <c r="C203" s="97" t="s">
        <v>283</v>
      </c>
      <c r="D203" s="97" t="s">
        <v>609</v>
      </c>
      <c r="E203" s="97"/>
      <c r="F203" s="145">
        <v>0.22</v>
      </c>
      <c r="G203" s="146" t="str">
        <f>IF(H203="","","TFNUM"&amp;" "&amp;D203)</f>
        <v>TFNUM UKR</v>
      </c>
      <c r="H203" s="100">
        <v>168.43</v>
      </c>
      <c r="I203" s="100">
        <v>28.495000000000001</v>
      </c>
    </row>
    <row r="204" spans="2:9">
      <c r="B204" s="139" t="s">
        <v>1265</v>
      </c>
      <c r="C204" s="97" t="s">
        <v>283</v>
      </c>
      <c r="D204" s="97" t="s">
        <v>609</v>
      </c>
      <c r="E204" s="97" t="s">
        <v>1849</v>
      </c>
      <c r="F204" s="135">
        <v>0.22</v>
      </c>
      <c r="G204" s="135"/>
      <c r="H204" s="100"/>
      <c r="I204" s="100"/>
    </row>
    <row r="205" spans="2:9">
      <c r="B205" s="144" t="s">
        <v>1266</v>
      </c>
      <c r="C205" s="97" t="s">
        <v>102</v>
      </c>
      <c r="D205" s="97" t="s">
        <v>469</v>
      </c>
      <c r="E205" s="97"/>
      <c r="F205" s="145">
        <v>0.21460000000000001</v>
      </c>
      <c r="G205" s="146" t="str">
        <f>IF(H205="","","TFNUM"&amp;" "&amp;D205)</f>
        <v>TFNUM ARE</v>
      </c>
      <c r="H205" s="100">
        <v>168.43</v>
      </c>
      <c r="I205" s="100">
        <v>28.495000000000001</v>
      </c>
    </row>
    <row r="206" spans="2:9">
      <c r="B206" s="139" t="s">
        <v>1267</v>
      </c>
      <c r="C206" s="97" t="s">
        <v>102</v>
      </c>
      <c r="D206" s="97" t="s">
        <v>469</v>
      </c>
      <c r="E206" s="97" t="s">
        <v>1849</v>
      </c>
      <c r="F206" s="135">
        <v>0.21460000000000001</v>
      </c>
      <c r="G206" s="135"/>
      <c r="H206" s="100"/>
      <c r="I206" s="100"/>
    </row>
    <row r="207" spans="2:9">
      <c r="B207" s="144" t="s">
        <v>1268</v>
      </c>
      <c r="C207" s="97" t="s">
        <v>63</v>
      </c>
      <c r="D207" s="97" t="s">
        <v>406</v>
      </c>
      <c r="E207" s="97"/>
      <c r="F207" s="145">
        <v>8.6999999999999994E-3</v>
      </c>
      <c r="G207" s="146" t="str">
        <f>IF(H207="","","TFNUM"&amp;" "&amp;D207)</f>
        <v>TFNUM GBR</v>
      </c>
      <c r="H207" s="100">
        <v>168.43</v>
      </c>
      <c r="I207" s="100">
        <v>12.2135</v>
      </c>
    </row>
    <row r="208" spans="2:9">
      <c r="B208" s="139" t="s">
        <v>1269</v>
      </c>
      <c r="C208" s="97" t="s">
        <v>63</v>
      </c>
      <c r="D208" s="97" t="s">
        <v>406</v>
      </c>
      <c r="E208" s="97" t="s">
        <v>1849</v>
      </c>
      <c r="F208" s="135">
        <v>0.04</v>
      </c>
      <c r="G208" s="135"/>
      <c r="H208" s="100"/>
      <c r="I208" s="100"/>
    </row>
    <row r="209" spans="2:9">
      <c r="B209" s="144" t="s">
        <v>1270</v>
      </c>
      <c r="C209" s="97" t="s">
        <v>284</v>
      </c>
      <c r="D209" s="97" t="s">
        <v>610</v>
      </c>
      <c r="E209" s="97"/>
      <c r="F209" s="145">
        <v>8.2799999999999999E-2</v>
      </c>
      <c r="G209" s="146" t="str">
        <f>IF(H209="","","TFNUM"&amp;" "&amp;D209)</f>
        <v>TFNUM URY</v>
      </c>
      <c r="H209" s="100">
        <v>168.43</v>
      </c>
      <c r="I209" s="100">
        <v>28.495000000000001</v>
      </c>
    </row>
    <row r="210" spans="2:9">
      <c r="B210" s="139" t="s">
        <v>1271</v>
      </c>
      <c r="C210" s="97" t="s">
        <v>284</v>
      </c>
      <c r="D210" s="97" t="s">
        <v>610</v>
      </c>
      <c r="E210" s="97" t="s">
        <v>1849</v>
      </c>
      <c r="F210" s="135">
        <v>8.2799999999999999E-2</v>
      </c>
      <c r="G210" s="135"/>
      <c r="H210" s="100"/>
      <c r="I210" s="100"/>
    </row>
    <row r="211" spans="2:9">
      <c r="B211" s="144" t="s">
        <v>1274</v>
      </c>
      <c r="C211" s="97" t="s">
        <v>938</v>
      </c>
      <c r="D211" s="97" t="s">
        <v>461</v>
      </c>
      <c r="E211" s="97"/>
      <c r="F211" s="145">
        <v>3.1300000000000001E-2</v>
      </c>
      <c r="G211" s="146" t="str">
        <f>IF(H211="","","TFNUM"&amp;" "&amp;D211)</f>
        <v>TFNUM VIR</v>
      </c>
      <c r="H211" s="100">
        <v>168.43</v>
      </c>
      <c r="I211" s="100">
        <v>28.495000000000001</v>
      </c>
    </row>
    <row r="212" spans="2:9">
      <c r="B212" s="139" t="s">
        <v>1275</v>
      </c>
      <c r="C212" s="97" t="s">
        <v>938</v>
      </c>
      <c r="D212" s="97" t="s">
        <v>461</v>
      </c>
      <c r="E212" s="97" t="s">
        <v>1849</v>
      </c>
      <c r="F212" s="135">
        <v>3.1300000000000001E-2</v>
      </c>
      <c r="G212" s="135"/>
      <c r="H212" s="100"/>
      <c r="I212" s="100"/>
    </row>
    <row r="213" spans="2:9">
      <c r="B213" s="144" t="s">
        <v>1272</v>
      </c>
      <c r="C213" s="97" t="s">
        <v>299</v>
      </c>
      <c r="D213" s="97" t="s">
        <v>64</v>
      </c>
      <c r="E213" s="97"/>
      <c r="F213" s="145">
        <v>8.0999999999999996E-3</v>
      </c>
      <c r="G213" s="146" t="str">
        <f>IF(H213="","","TFNUM"&amp;" "&amp;D213)</f>
        <v>TFNUM USA</v>
      </c>
      <c r="H213" s="100">
        <v>168.43</v>
      </c>
      <c r="I213" s="100">
        <v>12.2135</v>
      </c>
    </row>
    <row r="214" spans="2:9">
      <c r="B214" s="139" t="s">
        <v>1273</v>
      </c>
      <c r="C214" s="97" t="s">
        <v>299</v>
      </c>
      <c r="D214" s="97" t="s">
        <v>64</v>
      </c>
      <c r="E214" s="97" t="s">
        <v>1849</v>
      </c>
      <c r="F214" s="135">
        <v>8.0999999999999996E-3</v>
      </c>
      <c r="G214" s="135"/>
      <c r="H214" s="100"/>
      <c r="I214" s="100"/>
    </row>
    <row r="215" spans="2:9">
      <c r="B215" s="144" t="s">
        <v>1276</v>
      </c>
      <c r="C215" s="97" t="s">
        <v>103</v>
      </c>
      <c r="D215" s="97" t="s">
        <v>613</v>
      </c>
      <c r="E215" s="97"/>
      <c r="F215" s="145">
        <v>0.28599999999999998</v>
      </c>
      <c r="G215" s="146" t="str">
        <f>IF(H215="","","TFNUM"&amp;" "&amp;D215)</f>
        <v>TFNUM VEN</v>
      </c>
      <c r="H215" s="155">
        <v>95.2</v>
      </c>
      <c r="I215" s="100">
        <v>28.495000000000001</v>
      </c>
    </row>
    <row r="216" spans="2:9">
      <c r="B216" s="139" t="s">
        <v>1277</v>
      </c>
      <c r="C216" s="97" t="s">
        <v>103</v>
      </c>
      <c r="D216" s="97" t="s">
        <v>613</v>
      </c>
      <c r="E216" s="97" t="s">
        <v>1849</v>
      </c>
      <c r="F216" s="135">
        <v>0.28599999999999998</v>
      </c>
      <c r="G216" s="135"/>
      <c r="H216" s="100"/>
      <c r="I216" s="100"/>
    </row>
    <row r="217" spans="2:9">
      <c r="B217" s="144" t="s">
        <v>1278</v>
      </c>
      <c r="C217" s="97" t="s">
        <v>288</v>
      </c>
      <c r="D217" s="97" t="s">
        <v>616</v>
      </c>
      <c r="E217" s="97"/>
      <c r="F217" s="145">
        <v>0.30880000000000002</v>
      </c>
      <c r="G217" s="146" t="str">
        <f>IF(H217="","","TFNUM"&amp;" "&amp;D217)</f>
        <v>TFNUM VNM</v>
      </c>
      <c r="H217" s="100">
        <v>168.43</v>
      </c>
      <c r="I217" s="100">
        <v>28.495000000000001</v>
      </c>
    </row>
    <row r="218" spans="2:9">
      <c r="B218" s="139" t="s">
        <v>1279</v>
      </c>
      <c r="C218" s="97" t="s">
        <v>288</v>
      </c>
      <c r="D218" s="97" t="s">
        <v>616</v>
      </c>
      <c r="E218" s="97" t="s">
        <v>1849</v>
      </c>
      <c r="F218" s="135">
        <v>0.30880000000000002</v>
      </c>
      <c r="G218" s="135"/>
      <c r="H218" s="100"/>
      <c r="I218" s="100"/>
    </row>
  </sheetData>
  <mergeCells count="2">
    <mergeCell ref="G14:I14"/>
    <mergeCell ref="F12:I12"/>
  </mergeCells>
  <hyperlinks>
    <hyperlink ref="B1" location="'Main Menu'!A1" tooltip="Go to the main menu" display="&gt;&gt; Main Menu" xr:uid="{2125DEF6-8DF3-4878-B3D2-4BEE3CA54F5E}"/>
  </hyperlinks>
  <printOptions horizontalCentered="1" verticalCentered="1"/>
  <pageMargins left="0" right="0" top="0.25" bottom="0.75" header="0.5" footer="0.5"/>
  <pageSetup paperSize="9" fitToWidth="2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>
    <pageSetUpPr autoPageBreaks="0" fitToPage="1"/>
  </sheetPr>
  <dimension ref="A1:M120"/>
  <sheetViews>
    <sheetView showGridLines="0" tabSelected="1" zoomScale="85" zoomScaleNormal="85" workbookViewId="0">
      <selection activeCell="J1" sqref="J1:J1048576"/>
    </sheetView>
  </sheetViews>
  <sheetFormatPr defaultColWidth="8.7109375" defaultRowHeight="11.25"/>
  <cols>
    <col min="1" max="1" width="3" style="11" customWidth="1"/>
    <col min="2" max="2" width="13.7109375" style="3" bestFit="1" customWidth="1"/>
    <col min="3" max="3" width="20.28515625" style="14" customWidth="1"/>
    <col min="4" max="4" width="15.7109375" style="14" bestFit="1" customWidth="1"/>
    <col min="5" max="5" width="14.42578125" style="14" bestFit="1" customWidth="1"/>
    <col min="6" max="6" width="16.5703125" style="3" customWidth="1"/>
    <col min="7" max="9" width="13" style="3" customWidth="1"/>
    <col min="10" max="16384" width="8.7109375" style="3"/>
  </cols>
  <sheetData>
    <row r="1" spans="1:13">
      <c r="B1" s="14"/>
      <c r="E1" s="3"/>
    </row>
    <row r="2" spans="1:13">
      <c r="B2" s="152" t="s">
        <v>108</v>
      </c>
      <c r="E2" s="3"/>
    </row>
    <row r="3" spans="1:13">
      <c r="B3" s="23"/>
      <c r="C3" s="23"/>
      <c r="D3" s="23"/>
      <c r="E3" s="3"/>
    </row>
    <row r="4" spans="1:13" ht="20.25">
      <c r="B4" s="153" t="s">
        <v>29</v>
      </c>
      <c r="C4" s="24"/>
      <c r="D4" s="24"/>
      <c r="E4" s="3"/>
    </row>
    <row r="5" spans="1:13" s="1" customFormat="1" ht="20.25">
      <c r="A5" s="25"/>
      <c r="B5" s="153" t="s">
        <v>369</v>
      </c>
      <c r="C5" s="24"/>
      <c r="D5" s="24"/>
    </row>
    <row r="6" spans="1:13" s="1" customFormat="1">
      <c r="A6" s="25"/>
      <c r="B6" s="24"/>
      <c r="C6" s="24"/>
      <c r="D6" s="24"/>
    </row>
    <row r="7" spans="1:13" s="1" customFormat="1">
      <c r="A7" s="25"/>
      <c r="B7" s="15"/>
      <c r="C7" s="15"/>
      <c r="D7" s="15"/>
    </row>
    <row r="8" spans="1:13" s="1" customFormat="1">
      <c r="A8" s="25"/>
      <c r="B8" s="7" t="s">
        <v>115</v>
      </c>
      <c r="C8" s="7"/>
      <c r="D8" s="7"/>
    </row>
    <row r="9" spans="1:13">
      <c r="B9" s="7" t="s">
        <v>107</v>
      </c>
      <c r="C9" s="7"/>
      <c r="D9" s="7"/>
      <c r="E9" s="3"/>
    </row>
    <row r="10" spans="1:13">
      <c r="B10" s="7" t="s">
        <v>113</v>
      </c>
      <c r="C10" s="7"/>
      <c r="D10" s="7"/>
      <c r="E10" s="3"/>
      <c r="I10" s="30"/>
    </row>
    <row r="11" spans="1:13">
      <c r="B11" s="7" t="s">
        <v>219</v>
      </c>
      <c r="C11" s="7"/>
      <c r="D11" s="7"/>
      <c r="E11" s="3"/>
    </row>
    <row r="12" spans="1:13">
      <c r="B12" s="7"/>
      <c r="C12" s="7"/>
      <c r="D12" s="7"/>
      <c r="E12" s="3"/>
    </row>
    <row r="13" spans="1:13" ht="12" customHeight="1">
      <c r="C13" s="7"/>
      <c r="D13" s="7"/>
      <c r="E13" s="7"/>
      <c r="F13" s="170"/>
      <c r="G13" s="170"/>
      <c r="H13" s="170"/>
      <c r="I13" s="170"/>
      <c r="K13" s="147"/>
      <c r="M13" s="157"/>
    </row>
    <row r="14" spans="1:13" ht="12" customHeight="1">
      <c r="C14" s="20"/>
      <c r="D14" s="20"/>
      <c r="E14" s="20"/>
      <c r="F14" s="19"/>
      <c r="G14" s="19"/>
      <c r="K14" s="147"/>
      <c r="M14" s="157"/>
    </row>
    <row r="15" spans="1:13" s="27" customFormat="1" ht="10.5" customHeight="1">
      <c r="A15" s="26"/>
      <c r="G15" s="168" t="s">
        <v>109</v>
      </c>
      <c r="H15" s="168"/>
      <c r="I15" s="169"/>
      <c r="K15" s="147"/>
      <c r="L15" s="3"/>
      <c r="M15" s="147"/>
    </row>
    <row r="16" spans="1:13" s="6" customFormat="1">
      <c r="A16" s="12"/>
      <c r="F16" s="107" t="s">
        <v>117</v>
      </c>
      <c r="G16" s="140" t="s">
        <v>1850</v>
      </c>
      <c r="H16" s="141" t="s">
        <v>110</v>
      </c>
      <c r="I16" s="141" t="s">
        <v>111</v>
      </c>
    </row>
    <row r="17" spans="1:9">
      <c r="A17" s="28"/>
      <c r="B17" s="16" t="s">
        <v>1851</v>
      </c>
      <c r="C17" s="16" t="s">
        <v>365</v>
      </c>
      <c r="D17" s="150" t="s">
        <v>890</v>
      </c>
      <c r="E17" s="150" t="s">
        <v>931</v>
      </c>
      <c r="F17" s="150" t="s">
        <v>106</v>
      </c>
      <c r="G17" s="142" t="s">
        <v>370</v>
      </c>
      <c r="H17" s="143" t="s">
        <v>105</v>
      </c>
      <c r="I17" s="143" t="s">
        <v>112</v>
      </c>
    </row>
    <row r="18" spans="1:9">
      <c r="A18" s="28" t="s">
        <v>1280</v>
      </c>
      <c r="B18" s="144" t="s">
        <v>1280</v>
      </c>
      <c r="C18" s="98" t="s">
        <v>68</v>
      </c>
      <c r="D18" s="98" t="s">
        <v>470</v>
      </c>
      <c r="E18" s="98"/>
      <c r="F18" s="145">
        <v>0.1467</v>
      </c>
      <c r="G18" s="146" t="str">
        <f t="shared" ref="G18:G49" si="0">IF(H18="","","UIFNNUM"&amp;" "&amp;D18)</f>
        <v>UIFNNUM ARG</v>
      </c>
      <c r="H18" s="137">
        <v>233.94</v>
      </c>
      <c r="I18" s="137">
        <v>16.28</v>
      </c>
    </row>
    <row r="19" spans="1:9">
      <c r="A19" s="28" t="s">
        <v>1281</v>
      </c>
      <c r="B19" s="144" t="s">
        <v>1281</v>
      </c>
      <c r="C19" s="97" t="s">
        <v>68</v>
      </c>
      <c r="D19" s="98" t="s">
        <v>470</v>
      </c>
      <c r="E19" s="98" t="s">
        <v>1849</v>
      </c>
      <c r="F19" s="145">
        <v>0.1467</v>
      </c>
      <c r="G19" s="146" t="str">
        <f t="shared" si="0"/>
        <v/>
      </c>
      <c r="H19" s="137"/>
      <c r="I19" s="137"/>
    </row>
    <row r="20" spans="1:9">
      <c r="A20" s="28" t="s">
        <v>1286</v>
      </c>
      <c r="B20" s="144" t="s">
        <v>1286</v>
      </c>
      <c r="C20" s="98" t="s">
        <v>186</v>
      </c>
      <c r="D20" s="98" t="s">
        <v>483</v>
      </c>
      <c r="E20" s="98"/>
      <c r="F20" s="145">
        <v>0.34960000000000002</v>
      </c>
      <c r="G20" s="146" t="str">
        <f t="shared" si="0"/>
        <v>UIFNNUM BLR</v>
      </c>
      <c r="H20" s="158">
        <v>380.8</v>
      </c>
      <c r="I20" s="137">
        <v>20.350000000000001</v>
      </c>
    </row>
    <row r="21" spans="1:9">
      <c r="A21" s="28" t="s">
        <v>1287</v>
      </c>
      <c r="B21" s="144" t="s">
        <v>1287</v>
      </c>
      <c r="C21" s="97" t="s">
        <v>186</v>
      </c>
      <c r="D21" s="98" t="s">
        <v>483</v>
      </c>
      <c r="E21" s="98" t="s">
        <v>1849</v>
      </c>
      <c r="F21" s="145">
        <v>0.34960000000000002</v>
      </c>
      <c r="G21" s="146" t="str">
        <f t="shared" si="0"/>
        <v/>
      </c>
      <c r="H21" s="137"/>
      <c r="I21" s="137"/>
    </row>
    <row r="22" spans="1:9">
      <c r="A22" s="28" t="s">
        <v>1332</v>
      </c>
      <c r="B22" s="144" t="s">
        <v>1332</v>
      </c>
      <c r="C22" s="98" t="s">
        <v>84</v>
      </c>
      <c r="D22" s="98" t="s">
        <v>431</v>
      </c>
      <c r="E22" s="98"/>
      <c r="F22" s="145">
        <v>0.1618</v>
      </c>
      <c r="G22" s="146" t="str">
        <f t="shared" si="0"/>
        <v>UIFNNUM LVA</v>
      </c>
      <c r="H22" s="158">
        <v>380.8</v>
      </c>
      <c r="I22" s="137">
        <v>16.28</v>
      </c>
    </row>
    <row r="23" spans="1:9">
      <c r="A23" s="28" t="s">
        <v>1333</v>
      </c>
      <c r="B23" s="144" t="s">
        <v>1333</v>
      </c>
      <c r="C23" s="97" t="s">
        <v>84</v>
      </c>
      <c r="D23" s="98" t="s">
        <v>431</v>
      </c>
      <c r="E23" s="98" t="s">
        <v>1849</v>
      </c>
      <c r="F23" s="145">
        <v>0.1618</v>
      </c>
      <c r="G23" s="146" t="str">
        <f t="shared" si="0"/>
        <v/>
      </c>
      <c r="H23" s="137"/>
      <c r="I23" s="137"/>
    </row>
    <row r="24" spans="1:9">
      <c r="A24" s="28" t="s">
        <v>1344</v>
      </c>
      <c r="B24" s="144" t="s">
        <v>1344</v>
      </c>
      <c r="C24" s="98" t="s">
        <v>54</v>
      </c>
      <c r="D24" s="98" t="s">
        <v>445</v>
      </c>
      <c r="E24" s="98"/>
      <c r="F24" s="145">
        <v>6.0199999999999997E-2</v>
      </c>
      <c r="G24" s="146" t="str">
        <f t="shared" si="0"/>
        <v>UIFNNUM NZL</v>
      </c>
      <c r="H24" s="158">
        <v>380.8</v>
      </c>
      <c r="I24" s="137">
        <v>20.350000000000001</v>
      </c>
    </row>
    <row r="25" spans="1:9">
      <c r="A25" s="28" t="s">
        <v>1345</v>
      </c>
      <c r="B25" s="144" t="s">
        <v>1345</v>
      </c>
      <c r="C25" s="97" t="s">
        <v>54</v>
      </c>
      <c r="D25" s="98" t="s">
        <v>445</v>
      </c>
      <c r="E25" s="98" t="s">
        <v>1849</v>
      </c>
      <c r="F25" s="145">
        <v>0.36870000000000003</v>
      </c>
      <c r="G25" s="146" t="str">
        <f t="shared" si="0"/>
        <v/>
      </c>
      <c r="H25" s="137"/>
      <c r="I25" s="137"/>
    </row>
    <row r="26" spans="1:9">
      <c r="A26" s="28" t="s">
        <v>1288</v>
      </c>
      <c r="B26" s="144" t="s">
        <v>1288</v>
      </c>
      <c r="C26" s="98" t="s">
        <v>65</v>
      </c>
      <c r="D26" s="98" t="s">
        <v>387</v>
      </c>
      <c r="E26" s="98"/>
      <c r="F26" s="145">
        <v>2.1299999999999999E-2</v>
      </c>
      <c r="G26" s="146" t="str">
        <f t="shared" si="0"/>
        <v>UIFNNUM BEL</v>
      </c>
      <c r="H26" s="137">
        <v>233.94</v>
      </c>
      <c r="I26" s="137">
        <v>16.28</v>
      </c>
    </row>
    <row r="27" spans="1:9">
      <c r="A27" s="28" t="s">
        <v>1289</v>
      </c>
      <c r="B27" s="144" t="s">
        <v>1289</v>
      </c>
      <c r="C27" s="97" t="s">
        <v>65</v>
      </c>
      <c r="D27" s="98" t="s">
        <v>387</v>
      </c>
      <c r="E27" s="98" t="s">
        <v>1849</v>
      </c>
      <c r="F27" s="145">
        <v>0.2117</v>
      </c>
      <c r="G27" s="146" t="str">
        <f t="shared" si="0"/>
        <v/>
      </c>
      <c r="H27" s="137"/>
      <c r="I27" s="137"/>
    </row>
    <row r="28" spans="1:9">
      <c r="A28" s="28" t="s">
        <v>1290</v>
      </c>
      <c r="B28" s="144" t="s">
        <v>1290</v>
      </c>
      <c r="C28" s="98" t="s">
        <v>45</v>
      </c>
      <c r="D28" s="98" t="s">
        <v>391</v>
      </c>
      <c r="E28" s="98"/>
      <c r="F28" s="145">
        <v>0.1207</v>
      </c>
      <c r="G28" s="146" t="str">
        <f t="shared" si="0"/>
        <v>UIFNNUM BRA</v>
      </c>
      <c r="H28" s="137">
        <v>233.94</v>
      </c>
      <c r="I28" s="137">
        <v>24.43</v>
      </c>
    </row>
    <row r="29" spans="1:9">
      <c r="A29" s="28" t="s">
        <v>1291</v>
      </c>
      <c r="B29" s="144" t="s">
        <v>1291</v>
      </c>
      <c r="C29" s="97" t="s">
        <v>45</v>
      </c>
      <c r="D29" s="98" t="s">
        <v>391</v>
      </c>
      <c r="E29" s="98" t="s">
        <v>1849</v>
      </c>
      <c r="F29" s="145">
        <v>0.34839999999999999</v>
      </c>
      <c r="G29" s="146" t="str">
        <f t="shared" si="0"/>
        <v/>
      </c>
      <c r="H29" s="137"/>
      <c r="I29" s="137"/>
    </row>
    <row r="30" spans="1:9">
      <c r="A30" s="28" t="s">
        <v>1292</v>
      </c>
      <c r="B30" s="144" t="s">
        <v>1292</v>
      </c>
      <c r="C30" s="98" t="s">
        <v>70</v>
      </c>
      <c r="D30" s="98" t="s">
        <v>388</v>
      </c>
      <c r="E30" s="98"/>
      <c r="F30" s="145">
        <v>0.14729999999999999</v>
      </c>
      <c r="G30" s="146" t="str">
        <f t="shared" si="0"/>
        <v>UIFNNUM BGR</v>
      </c>
      <c r="H30" s="137">
        <v>233.94</v>
      </c>
      <c r="I30" s="137">
        <v>20.350000000000001</v>
      </c>
    </row>
    <row r="31" spans="1:9">
      <c r="A31" s="28" t="s">
        <v>1293</v>
      </c>
      <c r="B31" s="144" t="s">
        <v>1293</v>
      </c>
      <c r="C31" s="97" t="s">
        <v>70</v>
      </c>
      <c r="D31" s="98" t="s">
        <v>388</v>
      </c>
      <c r="E31" s="98" t="s">
        <v>1849</v>
      </c>
      <c r="F31" s="145">
        <v>0.14729999999999999</v>
      </c>
      <c r="G31" s="146" t="str">
        <f t="shared" si="0"/>
        <v/>
      </c>
      <c r="H31" s="137"/>
      <c r="I31" s="137"/>
    </row>
    <row r="32" spans="1:9">
      <c r="A32" s="28" t="s">
        <v>1348</v>
      </c>
      <c r="B32" s="144" t="s">
        <v>1348</v>
      </c>
      <c r="C32" s="98" t="s">
        <v>91</v>
      </c>
      <c r="D32" s="98" t="s">
        <v>569</v>
      </c>
      <c r="E32" s="98"/>
      <c r="F32" s="145">
        <v>0.20619999999999999</v>
      </c>
      <c r="G32" s="146" t="str">
        <f t="shared" si="0"/>
        <v>UIFNNUM PHL</v>
      </c>
      <c r="H32" s="158">
        <v>380.8</v>
      </c>
      <c r="I32" s="137">
        <v>20.350000000000001</v>
      </c>
    </row>
    <row r="33" spans="1:9">
      <c r="A33" s="28" t="s">
        <v>1349</v>
      </c>
      <c r="B33" s="144" t="s">
        <v>1349</v>
      </c>
      <c r="C33" s="97" t="s">
        <v>91</v>
      </c>
      <c r="D33" s="98" t="s">
        <v>569</v>
      </c>
      <c r="E33" s="98" t="s">
        <v>1849</v>
      </c>
      <c r="F33" s="145">
        <v>0.20619999999999999</v>
      </c>
      <c r="G33" s="146" t="str">
        <f t="shared" si="0"/>
        <v/>
      </c>
      <c r="H33" s="137"/>
      <c r="I33" s="137"/>
    </row>
    <row r="34" spans="1:9">
      <c r="A34" s="28" t="s">
        <v>1296</v>
      </c>
      <c r="B34" s="144" t="s">
        <v>1296</v>
      </c>
      <c r="C34" s="98" t="s">
        <v>72</v>
      </c>
      <c r="D34" s="98" t="s">
        <v>395</v>
      </c>
      <c r="E34" s="98"/>
      <c r="F34" s="145">
        <v>0.25659999999999999</v>
      </c>
      <c r="G34" s="146" t="str">
        <f t="shared" si="0"/>
        <v>UIFNNUM CHN</v>
      </c>
      <c r="H34" s="137">
        <v>233.94</v>
      </c>
      <c r="I34" s="137">
        <v>24.43</v>
      </c>
    </row>
    <row r="35" spans="1:9">
      <c r="A35" s="28" t="s">
        <v>1297</v>
      </c>
      <c r="B35" s="144" t="s">
        <v>1297</v>
      </c>
      <c r="C35" s="97" t="s">
        <v>72</v>
      </c>
      <c r="D35" s="98" t="s">
        <v>395</v>
      </c>
      <c r="E35" s="98" t="s">
        <v>1849</v>
      </c>
      <c r="F35" s="145">
        <v>0.25659999999999999</v>
      </c>
      <c r="G35" s="146" t="str">
        <f t="shared" si="0"/>
        <v/>
      </c>
      <c r="H35" s="137"/>
      <c r="I35" s="137"/>
    </row>
    <row r="36" spans="1:9">
      <c r="A36" s="28" t="s">
        <v>1298</v>
      </c>
      <c r="B36" s="144" t="s">
        <v>1298</v>
      </c>
      <c r="C36" s="98" t="s">
        <v>73</v>
      </c>
      <c r="D36" s="98" t="s">
        <v>496</v>
      </c>
      <c r="E36" s="98"/>
      <c r="F36" s="145">
        <v>0.23680000000000001</v>
      </c>
      <c r="G36" s="146" t="str">
        <f t="shared" si="0"/>
        <v>UIFNNUM COL</v>
      </c>
      <c r="H36" s="137">
        <v>233.94</v>
      </c>
      <c r="I36" s="137">
        <v>16.28</v>
      </c>
    </row>
    <row r="37" spans="1:9">
      <c r="A37" s="28" t="s">
        <v>1299</v>
      </c>
      <c r="B37" s="144" t="s">
        <v>1299</v>
      </c>
      <c r="C37" s="97" t="s">
        <v>73</v>
      </c>
      <c r="D37" s="98" t="s">
        <v>496</v>
      </c>
      <c r="E37" s="98" t="s">
        <v>1849</v>
      </c>
      <c r="F37" s="145">
        <v>0.22620000000000001</v>
      </c>
      <c r="G37" s="146" t="str">
        <f t="shared" si="0"/>
        <v/>
      </c>
      <c r="H37" s="137"/>
      <c r="I37" s="137"/>
    </row>
    <row r="38" spans="1:9">
      <c r="A38" s="28" t="s">
        <v>1300</v>
      </c>
      <c r="B38" s="144" t="s">
        <v>1300</v>
      </c>
      <c r="C38" s="98" t="s">
        <v>21</v>
      </c>
      <c r="D38" s="98" t="s">
        <v>417</v>
      </c>
      <c r="E38" s="98"/>
      <c r="F38" s="145">
        <v>0.25180000000000002</v>
      </c>
      <c r="G38" s="146" t="str">
        <f t="shared" si="0"/>
        <v>UIFNNUM HRV</v>
      </c>
      <c r="H38" s="137">
        <v>233.94</v>
      </c>
      <c r="I38" s="137">
        <v>20.350000000000001</v>
      </c>
    </row>
    <row r="39" spans="1:9">
      <c r="A39" s="28" t="s">
        <v>1301</v>
      </c>
      <c r="B39" s="144" t="s">
        <v>1301</v>
      </c>
      <c r="C39" s="97" t="s">
        <v>21</v>
      </c>
      <c r="D39" s="98" t="s">
        <v>417</v>
      </c>
      <c r="E39" s="98" t="s">
        <v>1849</v>
      </c>
      <c r="F39" s="145">
        <v>0.25180000000000002</v>
      </c>
      <c r="G39" s="146" t="str">
        <f t="shared" si="0"/>
        <v/>
      </c>
      <c r="H39" s="137"/>
      <c r="I39" s="137"/>
    </row>
    <row r="40" spans="1:9">
      <c r="A40" s="28" t="s">
        <v>1302</v>
      </c>
      <c r="B40" s="144" t="s">
        <v>1302</v>
      </c>
      <c r="C40" s="98" t="s">
        <v>240</v>
      </c>
      <c r="D40" s="98" t="s">
        <v>503</v>
      </c>
      <c r="E40" s="98"/>
      <c r="F40" s="145">
        <v>8.2600000000000007E-2</v>
      </c>
      <c r="G40" s="146" t="str">
        <f t="shared" si="0"/>
        <v>UIFNNUM CYP</v>
      </c>
      <c r="H40" s="137">
        <v>233.94</v>
      </c>
      <c r="I40" s="137">
        <v>16.28</v>
      </c>
    </row>
    <row r="41" spans="1:9">
      <c r="A41" s="28" t="s">
        <v>1303</v>
      </c>
      <c r="B41" s="144" t="s">
        <v>1303</v>
      </c>
      <c r="C41" s="97" t="s">
        <v>240</v>
      </c>
      <c r="D41" s="98" t="s">
        <v>503</v>
      </c>
      <c r="E41" s="98" t="s">
        <v>1849</v>
      </c>
      <c r="F41" s="145">
        <v>8.2600000000000007E-2</v>
      </c>
      <c r="G41" s="146" t="str">
        <f t="shared" si="0"/>
        <v/>
      </c>
      <c r="H41" s="137"/>
      <c r="I41" s="137"/>
    </row>
    <row r="42" spans="1:9">
      <c r="A42" s="28" t="s">
        <v>1350</v>
      </c>
      <c r="B42" s="144" t="s">
        <v>1350</v>
      </c>
      <c r="C42" s="98" t="s">
        <v>92</v>
      </c>
      <c r="D42" s="98" t="s">
        <v>446</v>
      </c>
      <c r="E42" s="98"/>
      <c r="F42" s="145">
        <v>4.8300000000000003E-2</v>
      </c>
      <c r="G42" s="146" t="str">
        <f t="shared" si="0"/>
        <v>UIFNNUM POL</v>
      </c>
      <c r="H42" s="158">
        <v>95.2</v>
      </c>
      <c r="I42" s="137">
        <v>16.28</v>
      </c>
    </row>
    <row r="43" spans="1:9">
      <c r="A43" s="28" t="s">
        <v>1351</v>
      </c>
      <c r="B43" s="144" t="s">
        <v>1351</v>
      </c>
      <c r="C43" s="97" t="s">
        <v>92</v>
      </c>
      <c r="D43" s="98" t="s">
        <v>446</v>
      </c>
      <c r="E43" s="98" t="s">
        <v>1849</v>
      </c>
      <c r="F43" s="145">
        <v>4.8300000000000003E-2</v>
      </c>
      <c r="G43" s="146" t="str">
        <f t="shared" si="0"/>
        <v/>
      </c>
      <c r="H43" s="137"/>
      <c r="I43" s="137"/>
    </row>
    <row r="44" spans="1:9">
      <c r="A44" s="28" t="s">
        <v>1360</v>
      </c>
      <c r="B44" s="144" t="s">
        <v>1360</v>
      </c>
      <c r="C44" s="98" t="s">
        <v>170</v>
      </c>
      <c r="D44" s="98" t="s">
        <v>455</v>
      </c>
      <c r="E44" s="98"/>
      <c r="F44" s="145">
        <v>0.13009999999999999</v>
      </c>
      <c r="G44" s="146" t="str">
        <f t="shared" si="0"/>
        <v>UIFNNUM SVN</v>
      </c>
      <c r="H44" s="158">
        <v>380.8</v>
      </c>
      <c r="I44" s="137">
        <v>24.43</v>
      </c>
    </row>
    <row r="45" spans="1:9">
      <c r="A45" s="28" t="s">
        <v>1361</v>
      </c>
      <c r="B45" s="144" t="s">
        <v>1361</v>
      </c>
      <c r="C45" s="97" t="s">
        <v>170</v>
      </c>
      <c r="D45" s="98" t="s">
        <v>455</v>
      </c>
      <c r="E45" s="98" t="s">
        <v>1849</v>
      </c>
      <c r="F45" s="145">
        <v>0.13009999999999999</v>
      </c>
      <c r="G45" s="146" t="str">
        <f t="shared" si="0"/>
        <v/>
      </c>
      <c r="H45" s="137"/>
      <c r="I45" s="137"/>
    </row>
    <row r="46" spans="1:9">
      <c r="A46" s="28" t="s">
        <v>1364</v>
      </c>
      <c r="B46" s="144" t="s">
        <v>1364</v>
      </c>
      <c r="C46" s="98" t="s">
        <v>366</v>
      </c>
      <c r="D46" s="98" t="s">
        <v>427</v>
      </c>
      <c r="E46" s="98"/>
      <c r="F46" s="145">
        <v>0.1111</v>
      </c>
      <c r="G46" s="146" t="str">
        <f t="shared" si="0"/>
        <v>UIFNNUM KOR</v>
      </c>
      <c r="H46" s="158">
        <v>380.8</v>
      </c>
      <c r="I46" s="137">
        <v>24.43</v>
      </c>
    </row>
    <row r="47" spans="1:9">
      <c r="A47" s="28" t="s">
        <v>1365</v>
      </c>
      <c r="B47" s="144" t="s">
        <v>1365</v>
      </c>
      <c r="C47" s="97" t="s">
        <v>366</v>
      </c>
      <c r="D47" s="98" t="s">
        <v>427</v>
      </c>
      <c r="E47" s="98" t="s">
        <v>1849</v>
      </c>
      <c r="F47" s="145">
        <v>0.1111</v>
      </c>
      <c r="G47" s="146" t="str">
        <f t="shared" si="0"/>
        <v/>
      </c>
      <c r="H47" s="137"/>
      <c r="I47" s="137"/>
    </row>
    <row r="48" spans="1:9">
      <c r="A48" s="28" t="s">
        <v>1282</v>
      </c>
      <c r="B48" s="144" t="s">
        <v>1282</v>
      </c>
      <c r="C48" s="98" t="s">
        <v>43</v>
      </c>
      <c r="D48" s="98" t="s">
        <v>385</v>
      </c>
      <c r="E48" s="98"/>
      <c r="F48" s="145">
        <v>3.7600000000000001E-2</v>
      </c>
      <c r="G48" s="146" t="str">
        <f t="shared" si="0"/>
        <v>UIFNNUM AUS</v>
      </c>
      <c r="H48" s="137">
        <v>233.94</v>
      </c>
      <c r="I48" s="137">
        <v>30.800000000000004</v>
      </c>
    </row>
    <row r="49" spans="1:9">
      <c r="A49" s="28" t="s">
        <v>1283</v>
      </c>
      <c r="B49" s="144" t="s">
        <v>1283</v>
      </c>
      <c r="C49" s="97" t="s">
        <v>43</v>
      </c>
      <c r="D49" s="98" t="s">
        <v>385</v>
      </c>
      <c r="E49" s="98" t="s">
        <v>1849</v>
      </c>
      <c r="F49" s="145">
        <v>3.8399999999999997E-2</v>
      </c>
      <c r="G49" s="146" t="str">
        <f t="shared" si="0"/>
        <v/>
      </c>
      <c r="H49" s="137"/>
      <c r="I49" s="137"/>
    </row>
    <row r="50" spans="1:9">
      <c r="A50" s="28" t="s">
        <v>1312</v>
      </c>
      <c r="B50" s="144" t="s">
        <v>1312</v>
      </c>
      <c r="C50" s="98" t="s">
        <v>67</v>
      </c>
      <c r="D50" s="98" t="s">
        <v>405</v>
      </c>
      <c r="E50" s="98"/>
      <c r="F50" s="145">
        <v>2.7699999999999999E-2</v>
      </c>
      <c r="G50" s="146" t="str">
        <f t="shared" ref="G50:G81" si="1">IF(H50="","","UIFNNUM"&amp;" "&amp;D50)</f>
        <v>UIFNNUM FRA</v>
      </c>
      <c r="H50" s="137">
        <v>233.94</v>
      </c>
      <c r="I50" s="137">
        <v>16.28</v>
      </c>
    </row>
    <row r="51" spans="1:9">
      <c r="A51" s="28" t="s">
        <v>1313</v>
      </c>
      <c r="B51" s="144" t="s">
        <v>1313</v>
      </c>
      <c r="C51" s="97" t="s">
        <v>67</v>
      </c>
      <c r="D51" s="98" t="s">
        <v>405</v>
      </c>
      <c r="E51" s="98" t="s">
        <v>1849</v>
      </c>
      <c r="F51" s="145">
        <v>8.0699999999999994E-2</v>
      </c>
      <c r="G51" s="146" t="str">
        <f t="shared" si="1"/>
        <v/>
      </c>
      <c r="H51" s="137"/>
      <c r="I51" s="137"/>
    </row>
    <row r="52" spans="1:9">
      <c r="A52" s="28" t="s">
        <v>1284</v>
      </c>
      <c r="B52" s="144" t="s">
        <v>1284</v>
      </c>
      <c r="C52" s="98" t="s">
        <v>44</v>
      </c>
      <c r="D52" s="98" t="s">
        <v>386</v>
      </c>
      <c r="E52" s="98"/>
      <c r="F52" s="145">
        <v>6.4299999999999996E-2</v>
      </c>
      <c r="G52" s="146" t="str">
        <f t="shared" si="1"/>
        <v>UIFNNUM AUT</v>
      </c>
      <c r="H52" s="137">
        <v>233.94</v>
      </c>
      <c r="I52" s="137">
        <v>26.880000000000003</v>
      </c>
    </row>
    <row r="53" spans="1:9">
      <c r="A53" s="28" t="s">
        <v>1285</v>
      </c>
      <c r="B53" s="144" t="s">
        <v>1285</v>
      </c>
      <c r="C53" s="97" t="s">
        <v>44</v>
      </c>
      <c r="D53" s="98" t="s">
        <v>386</v>
      </c>
      <c r="E53" s="98" t="s">
        <v>1849</v>
      </c>
      <c r="F53" s="145">
        <v>0.23069999999999999</v>
      </c>
      <c r="G53" s="146" t="str">
        <f t="shared" si="1"/>
        <v/>
      </c>
      <c r="H53" s="137"/>
      <c r="I53" s="137"/>
    </row>
    <row r="54" spans="1:9">
      <c r="A54" s="28" t="s">
        <v>1316</v>
      </c>
      <c r="B54" s="144" t="s">
        <v>1316</v>
      </c>
      <c r="C54" s="98" t="s">
        <v>76</v>
      </c>
      <c r="D54" s="98" t="s">
        <v>412</v>
      </c>
      <c r="E54" s="98"/>
      <c r="F54" s="145">
        <v>5.0900000000000001E-2</v>
      </c>
      <c r="G54" s="146" t="str">
        <f t="shared" si="1"/>
        <v>UIFNNUM GRC</v>
      </c>
      <c r="H54" s="137">
        <v>233.94</v>
      </c>
      <c r="I54" s="137">
        <v>20.350000000000001</v>
      </c>
    </row>
    <row r="55" spans="1:9">
      <c r="A55" s="28" t="s">
        <v>1317</v>
      </c>
      <c r="B55" s="144" t="s">
        <v>1317</v>
      </c>
      <c r="C55" s="97" t="s">
        <v>76</v>
      </c>
      <c r="D55" s="98" t="s">
        <v>412</v>
      </c>
      <c r="E55" s="98" t="s">
        <v>1849</v>
      </c>
      <c r="F55" s="145">
        <v>0.26669999999999999</v>
      </c>
      <c r="G55" s="146" t="str">
        <f t="shared" si="1"/>
        <v/>
      </c>
      <c r="H55" s="137"/>
      <c r="I55" s="137"/>
    </row>
    <row r="56" spans="1:9">
      <c r="A56" s="28" t="s">
        <v>1294</v>
      </c>
      <c r="B56" s="144" t="s">
        <v>1294</v>
      </c>
      <c r="C56" s="98" t="s">
        <v>46</v>
      </c>
      <c r="D56" s="98" t="s">
        <v>392</v>
      </c>
      <c r="E56" s="98"/>
      <c r="F56" s="145">
        <v>1.89E-2</v>
      </c>
      <c r="G56" s="146" t="str">
        <f t="shared" si="1"/>
        <v>UIFNNUM CAN</v>
      </c>
      <c r="H56" s="137">
        <v>233.94</v>
      </c>
      <c r="I56" s="137">
        <v>26.880000000000003</v>
      </c>
    </row>
    <row r="57" spans="1:9">
      <c r="A57" s="28" t="s">
        <v>1295</v>
      </c>
      <c r="B57" s="144" t="s">
        <v>1295</v>
      </c>
      <c r="C57" s="97" t="s">
        <v>46</v>
      </c>
      <c r="D57" s="98" t="s">
        <v>392</v>
      </c>
      <c r="E57" s="98" t="s">
        <v>1849</v>
      </c>
      <c r="F57" s="145">
        <v>1.89E-2</v>
      </c>
      <c r="G57" s="146" t="str">
        <f t="shared" si="1"/>
        <v/>
      </c>
      <c r="H57" s="137"/>
      <c r="I57" s="137"/>
    </row>
    <row r="58" spans="1:9">
      <c r="A58" s="28" t="s">
        <v>1320</v>
      </c>
      <c r="B58" s="144" t="s">
        <v>1320</v>
      </c>
      <c r="C58" s="98" t="s">
        <v>78</v>
      </c>
      <c r="D58" s="98" t="s">
        <v>418</v>
      </c>
      <c r="E58" s="98"/>
      <c r="F58" s="145">
        <v>5.7000000000000002E-2</v>
      </c>
      <c r="G58" s="146" t="str">
        <f t="shared" si="1"/>
        <v>UIFNNUM HUN</v>
      </c>
      <c r="H58" s="137">
        <v>233.94</v>
      </c>
      <c r="I58" s="137">
        <v>24.43</v>
      </c>
    </row>
    <row r="59" spans="1:9">
      <c r="A59" s="28" t="s">
        <v>1321</v>
      </c>
      <c r="B59" s="144" t="s">
        <v>1321</v>
      </c>
      <c r="C59" s="97" t="s">
        <v>78</v>
      </c>
      <c r="D59" s="98" t="s">
        <v>418</v>
      </c>
      <c r="E59" s="98" t="s">
        <v>1849</v>
      </c>
      <c r="F59" s="145">
        <v>0.21310000000000001</v>
      </c>
      <c r="G59" s="146" t="str">
        <f t="shared" si="1"/>
        <v/>
      </c>
      <c r="H59" s="137"/>
      <c r="I59" s="137"/>
    </row>
    <row r="60" spans="1:9">
      <c r="A60" s="28" t="s">
        <v>1304</v>
      </c>
      <c r="B60" s="144" t="s">
        <v>1304</v>
      </c>
      <c r="C60" s="98" t="s">
        <v>74</v>
      </c>
      <c r="D60" s="98" t="s">
        <v>398</v>
      </c>
      <c r="E60" s="98"/>
      <c r="F60" s="145">
        <v>2.9899999999999999E-2</v>
      </c>
      <c r="G60" s="146" t="str">
        <f t="shared" si="1"/>
        <v>UIFNNUM CZE</v>
      </c>
      <c r="H60" s="137">
        <v>233.94</v>
      </c>
      <c r="I60" s="137">
        <v>30.800000000000004</v>
      </c>
    </row>
    <row r="61" spans="1:9">
      <c r="A61" s="28" t="s">
        <v>1305</v>
      </c>
      <c r="B61" s="144" t="s">
        <v>1305</v>
      </c>
      <c r="C61" s="97" t="s">
        <v>74</v>
      </c>
      <c r="D61" s="98" t="s">
        <v>398</v>
      </c>
      <c r="E61" s="98" t="s">
        <v>1849</v>
      </c>
      <c r="F61" s="145">
        <v>0.18099999999999999</v>
      </c>
      <c r="G61" s="146" t="str">
        <f t="shared" si="1"/>
        <v/>
      </c>
      <c r="H61" s="137"/>
      <c r="I61" s="137"/>
    </row>
    <row r="62" spans="1:9">
      <c r="A62" s="28" t="s">
        <v>1324</v>
      </c>
      <c r="B62" s="144" t="s">
        <v>1324</v>
      </c>
      <c r="C62" s="98" t="s">
        <v>49</v>
      </c>
      <c r="D62" s="98" t="s">
        <v>420</v>
      </c>
      <c r="E62" s="98"/>
      <c r="F62" s="145">
        <v>4.6399999999999997E-2</v>
      </c>
      <c r="G62" s="146" t="str">
        <f t="shared" si="1"/>
        <v>UIFNNUM IRL</v>
      </c>
      <c r="H62" s="137">
        <v>233.94</v>
      </c>
      <c r="I62" s="158">
        <v>29.75</v>
      </c>
    </row>
    <row r="63" spans="1:9">
      <c r="A63" s="28" t="s">
        <v>1325</v>
      </c>
      <c r="B63" s="144" t="s">
        <v>1325</v>
      </c>
      <c r="C63" s="97" t="s">
        <v>49</v>
      </c>
      <c r="D63" s="98" t="s">
        <v>420</v>
      </c>
      <c r="E63" s="98" t="s">
        <v>1849</v>
      </c>
      <c r="F63" s="145">
        <v>0.5716</v>
      </c>
      <c r="G63" s="146" t="str">
        <f t="shared" si="1"/>
        <v/>
      </c>
      <c r="H63" s="137"/>
      <c r="I63" s="137"/>
    </row>
    <row r="64" spans="1:9">
      <c r="A64" s="28" t="s">
        <v>1306</v>
      </c>
      <c r="B64" s="144" t="s">
        <v>1306</v>
      </c>
      <c r="C64" s="98" t="s">
        <v>47</v>
      </c>
      <c r="D64" s="98" t="s">
        <v>400</v>
      </c>
      <c r="E64" s="98"/>
      <c r="F64" s="145">
        <v>4.1200000000000001E-2</v>
      </c>
      <c r="G64" s="146" t="str">
        <f t="shared" si="1"/>
        <v>UIFNNUM DNK</v>
      </c>
      <c r="H64" s="137">
        <v>233.94</v>
      </c>
      <c r="I64" s="137">
        <v>26.880000000000003</v>
      </c>
    </row>
    <row r="65" spans="1:9">
      <c r="A65" s="28" t="s">
        <v>1307</v>
      </c>
      <c r="B65" s="144" t="s">
        <v>1307</v>
      </c>
      <c r="C65" s="97" t="s">
        <v>47</v>
      </c>
      <c r="D65" s="98" t="s">
        <v>400</v>
      </c>
      <c r="E65" s="98" t="s">
        <v>1849</v>
      </c>
      <c r="F65" s="145">
        <v>0.32700000000000001</v>
      </c>
      <c r="G65" s="146" t="str">
        <f t="shared" si="1"/>
        <v/>
      </c>
      <c r="H65" s="137"/>
      <c r="I65" s="137"/>
    </row>
    <row r="66" spans="1:9">
      <c r="A66" s="28" t="s">
        <v>1328</v>
      </c>
      <c r="B66" s="144" t="s">
        <v>1328</v>
      </c>
      <c r="C66" s="98" t="s">
        <v>50</v>
      </c>
      <c r="D66" s="98" t="s">
        <v>423</v>
      </c>
      <c r="E66" s="98"/>
      <c r="F66" s="145">
        <v>0.33360000000000001</v>
      </c>
      <c r="G66" s="146" t="str">
        <f t="shared" si="1"/>
        <v>UIFNNUM ITA</v>
      </c>
      <c r="H66" s="137">
        <v>233.94</v>
      </c>
      <c r="I66" s="137">
        <v>16.28</v>
      </c>
    </row>
    <row r="67" spans="1:9">
      <c r="A67" s="28" t="s">
        <v>1329</v>
      </c>
      <c r="B67" s="144" t="s">
        <v>1329</v>
      </c>
      <c r="C67" s="97" t="s">
        <v>50</v>
      </c>
      <c r="D67" s="98" t="s">
        <v>423</v>
      </c>
      <c r="E67" s="98" t="s">
        <v>1849</v>
      </c>
      <c r="F67" s="145">
        <v>0.33360000000000001</v>
      </c>
      <c r="G67" s="146" t="str">
        <f t="shared" si="1"/>
        <v/>
      </c>
      <c r="H67" s="137"/>
      <c r="I67" s="137"/>
    </row>
    <row r="68" spans="1:9">
      <c r="A68" s="28" t="s">
        <v>1330</v>
      </c>
      <c r="B68" s="144" t="s">
        <v>1330</v>
      </c>
      <c r="C68" s="98" t="s">
        <v>51</v>
      </c>
      <c r="D68" s="98" t="s">
        <v>425</v>
      </c>
      <c r="E68" s="98"/>
      <c r="F68" s="145">
        <v>9.5600000000000004E-2</v>
      </c>
      <c r="G68" s="146" t="str">
        <f t="shared" si="1"/>
        <v>UIFNNUM JPN</v>
      </c>
      <c r="H68" s="137">
        <v>233.94</v>
      </c>
      <c r="I68" s="137">
        <v>20.350000000000001</v>
      </c>
    </row>
    <row r="69" spans="1:9">
      <c r="A69" s="28" t="s">
        <v>1331</v>
      </c>
      <c r="B69" s="144" t="s">
        <v>1331</v>
      </c>
      <c r="C69" s="97" t="s">
        <v>51</v>
      </c>
      <c r="D69" s="98" t="s">
        <v>425</v>
      </c>
      <c r="E69" s="98" t="s">
        <v>1849</v>
      </c>
      <c r="F69" s="145">
        <v>9.5600000000000004E-2</v>
      </c>
      <c r="G69" s="146" t="str">
        <f t="shared" si="1"/>
        <v/>
      </c>
      <c r="H69" s="137"/>
      <c r="I69" s="137"/>
    </row>
    <row r="70" spans="1:9">
      <c r="A70" s="28" t="s">
        <v>1308</v>
      </c>
      <c r="B70" s="144" t="s">
        <v>1308</v>
      </c>
      <c r="C70" s="98" t="s">
        <v>75</v>
      </c>
      <c r="D70" s="98" t="s">
        <v>403</v>
      </c>
      <c r="E70" s="98"/>
      <c r="F70" s="145">
        <v>3.2000000000000001E-2</v>
      </c>
      <c r="G70" s="146" t="str">
        <f t="shared" si="1"/>
        <v>UIFNNUM EST</v>
      </c>
      <c r="H70" s="137">
        <v>233.94</v>
      </c>
      <c r="I70" s="137">
        <v>26.880000000000003</v>
      </c>
    </row>
    <row r="71" spans="1:9">
      <c r="A71" s="28" t="s">
        <v>1309</v>
      </c>
      <c r="B71" s="144" t="s">
        <v>1309</v>
      </c>
      <c r="C71" s="97" t="s">
        <v>75</v>
      </c>
      <c r="D71" s="98" t="s">
        <v>403</v>
      </c>
      <c r="E71" s="98" t="s">
        <v>1849</v>
      </c>
      <c r="F71" s="145">
        <v>3.2000000000000001E-2</v>
      </c>
      <c r="G71" s="146" t="str">
        <f t="shared" si="1"/>
        <v/>
      </c>
      <c r="H71" s="137"/>
      <c r="I71" s="137"/>
    </row>
    <row r="72" spans="1:9">
      <c r="A72" s="28" t="s">
        <v>1310</v>
      </c>
      <c r="B72" s="144" t="s">
        <v>1310</v>
      </c>
      <c r="C72" s="98" t="s">
        <v>48</v>
      </c>
      <c r="D72" s="98" t="s">
        <v>404</v>
      </c>
      <c r="E72" s="98"/>
      <c r="F72" s="145">
        <v>5.45E-2</v>
      </c>
      <c r="G72" s="146" t="str">
        <f t="shared" si="1"/>
        <v>UIFNNUM FIN</v>
      </c>
      <c r="H72" s="137">
        <v>233.94</v>
      </c>
      <c r="I72" s="137">
        <v>26.880000000000003</v>
      </c>
    </row>
    <row r="73" spans="1:9">
      <c r="A73" s="28" t="s">
        <v>1311</v>
      </c>
      <c r="B73" s="144" t="s">
        <v>1311</v>
      </c>
      <c r="C73" s="97" t="s">
        <v>48</v>
      </c>
      <c r="D73" s="98" t="s">
        <v>404</v>
      </c>
      <c r="E73" s="98" t="s">
        <v>1849</v>
      </c>
      <c r="F73" s="145">
        <v>5.4699999999999999E-2</v>
      </c>
      <c r="G73" s="146" t="str">
        <f t="shared" si="1"/>
        <v/>
      </c>
      <c r="H73" s="137"/>
      <c r="I73" s="137"/>
    </row>
    <row r="74" spans="1:9">
      <c r="A74" s="28" t="s">
        <v>1336</v>
      </c>
      <c r="B74" s="144" t="s">
        <v>1336</v>
      </c>
      <c r="C74" s="98" t="s">
        <v>52</v>
      </c>
      <c r="D74" s="98" t="s">
        <v>430</v>
      </c>
      <c r="E74" s="98"/>
      <c r="F74" s="145">
        <v>3.7999999999999999E-2</v>
      </c>
      <c r="G74" s="146" t="str">
        <f t="shared" si="1"/>
        <v>UIFNNUM LUX</v>
      </c>
      <c r="H74" s="137">
        <v>233.94</v>
      </c>
      <c r="I74" s="137">
        <v>16.28</v>
      </c>
    </row>
    <row r="75" spans="1:9">
      <c r="A75" s="28" t="s">
        <v>1337</v>
      </c>
      <c r="B75" s="144" t="s">
        <v>1337</v>
      </c>
      <c r="C75" s="97" t="s">
        <v>52</v>
      </c>
      <c r="D75" s="98" t="s">
        <v>430</v>
      </c>
      <c r="E75" s="98" t="s">
        <v>1849</v>
      </c>
      <c r="F75" s="145">
        <v>7.8899999999999998E-2</v>
      </c>
      <c r="G75" s="146" t="str">
        <f t="shared" si="1"/>
        <v/>
      </c>
      <c r="H75" s="137"/>
      <c r="I75" s="137"/>
    </row>
    <row r="76" spans="1:9">
      <c r="A76" s="28" t="s">
        <v>1314</v>
      </c>
      <c r="B76" s="144" t="s">
        <v>1314</v>
      </c>
      <c r="C76" s="98" t="s">
        <v>66</v>
      </c>
      <c r="D76" s="98" t="s">
        <v>399</v>
      </c>
      <c r="E76" s="98"/>
      <c r="F76" s="145">
        <v>2.86E-2</v>
      </c>
      <c r="G76" s="146" t="str">
        <f t="shared" si="1"/>
        <v>UIFNNUM DEU</v>
      </c>
      <c r="H76" s="137">
        <v>233.94</v>
      </c>
      <c r="I76" s="137">
        <v>26.880000000000003</v>
      </c>
    </row>
    <row r="77" spans="1:9">
      <c r="A77" s="28" t="s">
        <v>1315</v>
      </c>
      <c r="B77" s="144" t="s">
        <v>1315</v>
      </c>
      <c r="C77" s="97" t="s">
        <v>66</v>
      </c>
      <c r="D77" s="98" t="s">
        <v>399</v>
      </c>
      <c r="E77" s="98" t="s">
        <v>1849</v>
      </c>
      <c r="F77" s="145">
        <v>0.14050000000000001</v>
      </c>
      <c r="G77" s="146" t="str">
        <f t="shared" si="1"/>
        <v/>
      </c>
      <c r="H77" s="137"/>
      <c r="I77" s="137"/>
    </row>
    <row r="78" spans="1:9">
      <c r="A78" s="28" t="s">
        <v>1340</v>
      </c>
      <c r="B78" s="144" t="s">
        <v>1340</v>
      </c>
      <c r="C78" s="98" t="s">
        <v>87</v>
      </c>
      <c r="D78" s="98" t="s">
        <v>439</v>
      </c>
      <c r="E78" s="98"/>
      <c r="F78" s="145">
        <v>8.1600000000000006E-2</v>
      </c>
      <c r="G78" s="146" t="str">
        <f t="shared" si="1"/>
        <v>UIFNNUM MYS</v>
      </c>
      <c r="H78" s="137">
        <v>233.94</v>
      </c>
      <c r="I78" s="137">
        <v>24.43</v>
      </c>
    </row>
    <row r="79" spans="1:9">
      <c r="A79" s="28" t="s">
        <v>1341</v>
      </c>
      <c r="B79" s="144" t="s">
        <v>1341</v>
      </c>
      <c r="C79" s="97" t="s">
        <v>87</v>
      </c>
      <c r="D79" s="98" t="s">
        <v>439</v>
      </c>
      <c r="E79" s="98" t="s">
        <v>1849</v>
      </c>
      <c r="F79" s="145">
        <v>8.1500000000000003E-2</v>
      </c>
      <c r="G79" s="146" t="str">
        <f t="shared" si="1"/>
        <v/>
      </c>
      <c r="H79" s="137"/>
      <c r="I79" s="137"/>
    </row>
    <row r="80" spans="1:9">
      <c r="A80" s="28" t="s">
        <v>1318</v>
      </c>
      <c r="B80" s="144" t="s">
        <v>1318</v>
      </c>
      <c r="C80" s="98" t="s">
        <v>77</v>
      </c>
      <c r="D80" s="98" t="s">
        <v>416</v>
      </c>
      <c r="E80" s="98"/>
      <c r="F80" s="145">
        <v>3.8399999999999997E-2</v>
      </c>
      <c r="G80" s="146" t="str">
        <f t="shared" si="1"/>
        <v>UIFNNUM HKG</v>
      </c>
      <c r="H80" s="137">
        <v>233.94</v>
      </c>
      <c r="I80" s="137">
        <v>26.880000000000003</v>
      </c>
    </row>
    <row r="81" spans="1:9">
      <c r="A81" s="28" t="s">
        <v>1319</v>
      </c>
      <c r="B81" s="144" t="s">
        <v>1319</v>
      </c>
      <c r="C81" s="97" t="s">
        <v>77</v>
      </c>
      <c r="D81" s="98" t="s">
        <v>416</v>
      </c>
      <c r="E81" s="98" t="s">
        <v>1849</v>
      </c>
      <c r="F81" s="145">
        <v>3.8399999999999997E-2</v>
      </c>
      <c r="G81" s="146" t="str">
        <f t="shared" si="1"/>
        <v/>
      </c>
      <c r="H81" s="137"/>
      <c r="I81" s="137"/>
    </row>
    <row r="82" spans="1:9">
      <c r="A82" s="28" t="s">
        <v>1322</v>
      </c>
      <c r="B82" s="144" t="s">
        <v>1322</v>
      </c>
      <c r="C82" s="98" t="s">
        <v>79</v>
      </c>
      <c r="D82" s="98" t="s">
        <v>421</v>
      </c>
      <c r="E82" s="98"/>
      <c r="F82" s="145">
        <v>4.99E-2</v>
      </c>
      <c r="G82" s="146" t="str">
        <f t="shared" ref="G82:G113" si="2">IF(H82="","","UIFNNUM"&amp;" "&amp;D82)</f>
        <v>UIFNNUM ISL</v>
      </c>
      <c r="H82" s="137">
        <v>233.94</v>
      </c>
      <c r="I82" s="137">
        <v>26.880000000000003</v>
      </c>
    </row>
    <row r="83" spans="1:9">
      <c r="A83" s="28" t="s">
        <v>1323</v>
      </c>
      <c r="B83" s="144" t="s">
        <v>1323</v>
      </c>
      <c r="C83" s="97" t="s">
        <v>79</v>
      </c>
      <c r="D83" s="98" t="s">
        <v>421</v>
      </c>
      <c r="E83" s="98" t="s">
        <v>1849</v>
      </c>
      <c r="F83" s="145">
        <v>4.99E-2</v>
      </c>
      <c r="G83" s="146" t="str">
        <f t="shared" si="2"/>
        <v/>
      </c>
      <c r="H83" s="137"/>
      <c r="I83" s="137"/>
    </row>
    <row r="84" spans="1:9">
      <c r="A84" s="28" t="s">
        <v>1346</v>
      </c>
      <c r="B84" s="144" t="s">
        <v>1346</v>
      </c>
      <c r="C84" s="98" t="s">
        <v>55</v>
      </c>
      <c r="D84" s="98" t="s">
        <v>444</v>
      </c>
      <c r="E84" s="98"/>
      <c r="F84" s="145">
        <v>0.1298</v>
      </c>
      <c r="G84" s="146" t="str">
        <f t="shared" si="2"/>
        <v>UIFNNUM NOR</v>
      </c>
      <c r="H84" s="137">
        <v>233.94</v>
      </c>
      <c r="I84" s="137">
        <v>16.28</v>
      </c>
    </row>
    <row r="85" spans="1:9">
      <c r="A85" s="28" t="s">
        <v>1347</v>
      </c>
      <c r="B85" s="144" t="s">
        <v>1347</v>
      </c>
      <c r="C85" s="97" t="s">
        <v>55</v>
      </c>
      <c r="D85" s="98" t="s">
        <v>444</v>
      </c>
      <c r="E85" s="98" t="s">
        <v>1849</v>
      </c>
      <c r="F85" s="145">
        <v>0.1298</v>
      </c>
      <c r="G85" s="146" t="str">
        <f t="shared" si="2"/>
        <v/>
      </c>
      <c r="H85" s="137"/>
      <c r="I85" s="137"/>
    </row>
    <row r="86" spans="1:9">
      <c r="A86" s="28" t="s">
        <v>1326</v>
      </c>
      <c r="B86" s="144" t="s">
        <v>1326</v>
      </c>
      <c r="C86" s="98" t="s">
        <v>82</v>
      </c>
      <c r="D86" s="98" t="s">
        <v>422</v>
      </c>
      <c r="E86" s="98"/>
      <c r="F86" s="145">
        <v>6.13E-2</v>
      </c>
      <c r="G86" s="146" t="str">
        <f t="shared" si="2"/>
        <v>UIFNNUM ISR</v>
      </c>
      <c r="H86" s="137">
        <v>233.94</v>
      </c>
      <c r="I86" s="137">
        <v>30.800000000000004</v>
      </c>
    </row>
    <row r="87" spans="1:9">
      <c r="A87" s="28" t="s">
        <v>1327</v>
      </c>
      <c r="B87" s="144" t="s">
        <v>1327</v>
      </c>
      <c r="C87" s="97" t="s">
        <v>82</v>
      </c>
      <c r="D87" s="98" t="s">
        <v>422</v>
      </c>
      <c r="E87" s="98" t="s">
        <v>1849</v>
      </c>
      <c r="F87" s="145">
        <v>6.13E-2</v>
      </c>
      <c r="G87" s="146" t="str">
        <f t="shared" si="2"/>
        <v/>
      </c>
      <c r="H87" s="137"/>
      <c r="I87" s="137"/>
    </row>
    <row r="88" spans="1:9">
      <c r="A88" s="28" t="s">
        <v>1334</v>
      </c>
      <c r="B88" s="144" t="s">
        <v>1334</v>
      </c>
      <c r="C88" s="98" t="s">
        <v>86</v>
      </c>
      <c r="D88" s="98" t="s">
        <v>429</v>
      </c>
      <c r="E88" s="98"/>
      <c r="F88" s="145">
        <v>0.1065</v>
      </c>
      <c r="G88" s="146" t="str">
        <f t="shared" si="2"/>
        <v>UIFNNUM LTU</v>
      </c>
      <c r="H88" s="137">
        <v>233.94</v>
      </c>
      <c r="I88" s="137">
        <v>30.800000000000004</v>
      </c>
    </row>
    <row r="89" spans="1:9">
      <c r="A89" s="28" t="s">
        <v>1335</v>
      </c>
      <c r="B89" s="144" t="s">
        <v>1335</v>
      </c>
      <c r="C89" s="97" t="s">
        <v>86</v>
      </c>
      <c r="D89" s="98" t="s">
        <v>429</v>
      </c>
      <c r="E89" s="98" t="s">
        <v>1849</v>
      </c>
      <c r="F89" s="145">
        <v>0.1065</v>
      </c>
      <c r="G89" s="146" t="str">
        <f t="shared" si="2"/>
        <v/>
      </c>
      <c r="H89" s="137"/>
      <c r="I89" s="137"/>
    </row>
    <row r="90" spans="1:9">
      <c r="A90" s="28" t="s">
        <v>1338</v>
      </c>
      <c r="B90" s="144" t="s">
        <v>1338</v>
      </c>
      <c r="C90" s="98" t="s">
        <v>132</v>
      </c>
      <c r="D90" s="98" t="s">
        <v>543</v>
      </c>
      <c r="E90" s="98"/>
      <c r="F90" s="145">
        <v>0.40820000000000001</v>
      </c>
      <c r="G90" s="146" t="str">
        <f t="shared" si="2"/>
        <v>UIFNNUM MAC</v>
      </c>
      <c r="H90" s="137">
        <v>233.94</v>
      </c>
      <c r="I90" s="158">
        <v>33.875</v>
      </c>
    </row>
    <row r="91" spans="1:9">
      <c r="A91" s="28" t="s">
        <v>1339</v>
      </c>
      <c r="B91" s="144" t="s">
        <v>1339</v>
      </c>
      <c r="C91" s="97" t="s">
        <v>132</v>
      </c>
      <c r="D91" s="98" t="s">
        <v>543</v>
      </c>
      <c r="E91" s="98" t="s">
        <v>1849</v>
      </c>
      <c r="F91" s="145">
        <v>0.40820000000000001</v>
      </c>
      <c r="G91" s="146" t="str">
        <f t="shared" si="2"/>
        <v/>
      </c>
      <c r="H91" s="137"/>
      <c r="I91" s="137"/>
    </row>
    <row r="92" spans="1:9">
      <c r="A92" s="28" t="s">
        <v>1342</v>
      </c>
      <c r="B92" s="144" t="s">
        <v>1342</v>
      </c>
      <c r="C92" s="98" t="s">
        <v>53</v>
      </c>
      <c r="D92" s="98" t="s">
        <v>443</v>
      </c>
      <c r="E92" s="98"/>
      <c r="F92" s="145">
        <v>4.7100000000000003E-2</v>
      </c>
      <c r="G92" s="146" t="str">
        <f t="shared" si="2"/>
        <v>UIFNNUM NLD</v>
      </c>
      <c r="H92" s="137">
        <v>233.94</v>
      </c>
      <c r="I92" s="137">
        <v>26.880000000000003</v>
      </c>
    </row>
    <row r="93" spans="1:9">
      <c r="A93" s="28" t="s">
        <v>1343</v>
      </c>
      <c r="B93" s="144" t="s">
        <v>1343</v>
      </c>
      <c r="C93" s="97" t="s">
        <v>53</v>
      </c>
      <c r="D93" s="98" t="s">
        <v>443</v>
      </c>
      <c r="E93" s="98" t="s">
        <v>1849</v>
      </c>
      <c r="F93" s="145">
        <v>4.7100000000000003E-2</v>
      </c>
      <c r="G93" s="146" t="str">
        <f t="shared" si="2"/>
        <v/>
      </c>
      <c r="H93" s="137"/>
      <c r="I93" s="137"/>
    </row>
    <row r="94" spans="1:9">
      <c r="A94" s="28" t="s">
        <v>1352</v>
      </c>
      <c r="B94" s="144" t="s">
        <v>1352</v>
      </c>
      <c r="C94" s="98" t="s">
        <v>56</v>
      </c>
      <c r="D94" s="98" t="s">
        <v>447</v>
      </c>
      <c r="E94" s="98"/>
      <c r="F94" s="145">
        <v>5.8999999999999997E-2</v>
      </c>
      <c r="G94" s="146" t="str">
        <f t="shared" si="2"/>
        <v>UIFNNUM PRT</v>
      </c>
      <c r="H94" s="137">
        <v>233.94</v>
      </c>
      <c r="I94" s="137">
        <v>26.880000000000003</v>
      </c>
    </row>
    <row r="95" spans="1:9">
      <c r="A95" s="28" t="s">
        <v>1353</v>
      </c>
      <c r="B95" s="144" t="s">
        <v>1353</v>
      </c>
      <c r="C95" s="97" t="s">
        <v>56</v>
      </c>
      <c r="D95" s="98" t="s">
        <v>447</v>
      </c>
      <c r="E95" s="98" t="s">
        <v>1849</v>
      </c>
      <c r="F95" s="145">
        <v>0.32679999999999998</v>
      </c>
      <c r="G95" s="146" t="str">
        <f t="shared" si="2"/>
        <v/>
      </c>
      <c r="H95" s="137"/>
      <c r="I95" s="137"/>
    </row>
    <row r="96" spans="1:9">
      <c r="A96" s="28" t="s">
        <v>1358</v>
      </c>
      <c r="B96" s="144" t="s">
        <v>1358</v>
      </c>
      <c r="C96" s="98" t="s">
        <v>97</v>
      </c>
      <c r="D96" s="98" t="s">
        <v>454</v>
      </c>
      <c r="E96" s="98"/>
      <c r="F96" s="145">
        <v>3.8399999999999997E-2</v>
      </c>
      <c r="G96" s="146" t="str">
        <f t="shared" si="2"/>
        <v>UIFNNUM SVK</v>
      </c>
      <c r="H96" s="137">
        <v>233.94</v>
      </c>
      <c r="I96" s="137">
        <v>24.43</v>
      </c>
    </row>
    <row r="97" spans="1:9">
      <c r="A97" s="28" t="s">
        <v>1359</v>
      </c>
      <c r="B97" s="144" t="s">
        <v>1359</v>
      </c>
      <c r="C97" s="97" t="s">
        <v>97</v>
      </c>
      <c r="D97" s="98" t="s">
        <v>454</v>
      </c>
      <c r="E97" s="98" t="s">
        <v>1849</v>
      </c>
      <c r="F97" s="145">
        <v>0.1069</v>
      </c>
      <c r="G97" s="146" t="str">
        <f t="shared" si="2"/>
        <v/>
      </c>
      <c r="H97" s="137"/>
      <c r="I97" s="137"/>
    </row>
    <row r="98" spans="1:9">
      <c r="A98" s="28" t="s">
        <v>1354</v>
      </c>
      <c r="B98" s="144" t="s">
        <v>1354</v>
      </c>
      <c r="C98" s="98" t="s">
        <v>57</v>
      </c>
      <c r="D98" s="98" t="s">
        <v>450</v>
      </c>
      <c r="E98" s="98"/>
      <c r="F98" s="145">
        <v>7.4499999999999997E-2</v>
      </c>
      <c r="G98" s="146" t="str">
        <f t="shared" si="2"/>
        <v>UIFNNUM RUS</v>
      </c>
      <c r="H98" s="137">
        <v>233.94</v>
      </c>
      <c r="I98" s="137">
        <v>26.880000000000003</v>
      </c>
    </row>
    <row r="99" spans="1:9">
      <c r="A99" s="28" t="s">
        <v>1355</v>
      </c>
      <c r="B99" s="144" t="s">
        <v>1355</v>
      </c>
      <c r="C99" s="97" t="s">
        <v>57</v>
      </c>
      <c r="D99" s="98" t="s">
        <v>450</v>
      </c>
      <c r="E99" s="98" t="s">
        <v>1849</v>
      </c>
      <c r="F99" s="145">
        <v>7.4499999999999997E-2</v>
      </c>
      <c r="G99" s="146" t="str">
        <f t="shared" si="2"/>
        <v/>
      </c>
      <c r="H99" s="137"/>
      <c r="I99" s="137"/>
    </row>
    <row r="100" spans="1:9">
      <c r="A100" s="28" t="s">
        <v>1362</v>
      </c>
      <c r="B100" s="144" t="s">
        <v>1362</v>
      </c>
      <c r="C100" s="98" t="s">
        <v>98</v>
      </c>
      <c r="D100" s="98" t="s">
        <v>462</v>
      </c>
      <c r="E100" s="98"/>
      <c r="F100" s="145">
        <v>0.1767</v>
      </c>
      <c r="G100" s="146" t="str">
        <f t="shared" si="2"/>
        <v>UIFNNUM ZAF</v>
      </c>
      <c r="H100" s="137">
        <v>233.94</v>
      </c>
      <c r="I100" s="137">
        <v>30.800000000000004</v>
      </c>
    </row>
    <row r="101" spans="1:9">
      <c r="A101" s="28" t="s">
        <v>1363</v>
      </c>
      <c r="B101" s="144" t="s">
        <v>1363</v>
      </c>
      <c r="C101" s="97" t="s">
        <v>98</v>
      </c>
      <c r="D101" s="98" t="s">
        <v>462</v>
      </c>
      <c r="E101" s="98" t="s">
        <v>1849</v>
      </c>
      <c r="F101" s="145">
        <v>0.1767</v>
      </c>
      <c r="G101" s="146" t="str">
        <f t="shared" si="2"/>
        <v/>
      </c>
      <c r="H101" s="137"/>
      <c r="I101" s="137"/>
    </row>
    <row r="102" spans="1:9">
      <c r="A102" s="28" t="s">
        <v>1356</v>
      </c>
      <c r="B102" s="144" t="s">
        <v>1356</v>
      </c>
      <c r="C102" s="98" t="s">
        <v>58</v>
      </c>
      <c r="D102" s="98" t="s">
        <v>451</v>
      </c>
      <c r="E102" s="98"/>
      <c r="F102" s="145">
        <v>4.5100000000000001E-2</v>
      </c>
      <c r="G102" s="146" t="str">
        <f t="shared" si="2"/>
        <v>UIFNNUM SGP</v>
      </c>
      <c r="H102" s="137">
        <v>233.94</v>
      </c>
      <c r="I102" s="137">
        <v>30.800000000000004</v>
      </c>
    </row>
    <row r="103" spans="1:9">
      <c r="A103" s="28" t="s">
        <v>1357</v>
      </c>
      <c r="B103" s="144" t="s">
        <v>1357</v>
      </c>
      <c r="C103" s="97" t="s">
        <v>58</v>
      </c>
      <c r="D103" s="98" t="s">
        <v>451</v>
      </c>
      <c r="E103" s="98" t="s">
        <v>1849</v>
      </c>
      <c r="F103" s="145">
        <v>4.5100000000000001E-2</v>
      </c>
      <c r="G103" s="146" t="str">
        <f t="shared" si="2"/>
        <v/>
      </c>
      <c r="H103" s="137"/>
      <c r="I103" s="137"/>
    </row>
    <row r="104" spans="1:9">
      <c r="A104" s="28" t="s">
        <v>1366</v>
      </c>
      <c r="B104" s="144" t="s">
        <v>1366</v>
      </c>
      <c r="C104" s="98" t="s">
        <v>59</v>
      </c>
      <c r="D104" s="98" t="s">
        <v>402</v>
      </c>
      <c r="E104" s="98"/>
      <c r="F104" s="145">
        <v>0.1106</v>
      </c>
      <c r="G104" s="146" t="str">
        <f t="shared" si="2"/>
        <v>UIFNNUM ESP</v>
      </c>
      <c r="H104" s="137">
        <v>233.94</v>
      </c>
      <c r="I104" s="137">
        <v>16.28</v>
      </c>
    </row>
    <row r="105" spans="1:9">
      <c r="A105" s="28" t="s">
        <v>1367</v>
      </c>
      <c r="B105" s="144" t="s">
        <v>1367</v>
      </c>
      <c r="C105" s="97" t="s">
        <v>59</v>
      </c>
      <c r="D105" s="98" t="s">
        <v>402</v>
      </c>
      <c r="E105" s="98" t="s">
        <v>1849</v>
      </c>
      <c r="F105" s="145">
        <v>0.25929999999999997</v>
      </c>
      <c r="G105" s="146" t="str">
        <f t="shared" si="2"/>
        <v/>
      </c>
      <c r="H105" s="137"/>
      <c r="I105" s="137"/>
    </row>
    <row r="106" spans="1:9">
      <c r="A106" s="28" t="s">
        <v>1368</v>
      </c>
      <c r="B106" s="144" t="s">
        <v>1368</v>
      </c>
      <c r="C106" s="98" t="s">
        <v>60</v>
      </c>
      <c r="D106" s="98" t="s">
        <v>456</v>
      </c>
      <c r="E106" s="98"/>
      <c r="F106" s="145">
        <v>4.6399999999999997E-2</v>
      </c>
      <c r="G106" s="146" t="str">
        <f t="shared" si="2"/>
        <v>UIFNNUM SWE</v>
      </c>
      <c r="H106" s="137">
        <v>233.94</v>
      </c>
      <c r="I106" s="137">
        <v>26.880000000000003</v>
      </c>
    </row>
    <row r="107" spans="1:9">
      <c r="A107" s="28" t="s">
        <v>1369</v>
      </c>
      <c r="B107" s="144" t="s">
        <v>1369</v>
      </c>
      <c r="C107" s="97" t="s">
        <v>60</v>
      </c>
      <c r="D107" s="98" t="s">
        <v>456</v>
      </c>
      <c r="E107" s="98" t="s">
        <v>1849</v>
      </c>
      <c r="F107" s="145">
        <v>0.29630000000000001</v>
      </c>
      <c r="G107" s="146" t="str">
        <f t="shared" si="2"/>
        <v/>
      </c>
      <c r="H107" s="137"/>
      <c r="I107" s="137"/>
    </row>
    <row r="108" spans="1:9">
      <c r="A108" s="28" t="s">
        <v>1370</v>
      </c>
      <c r="B108" s="144" t="s">
        <v>1370</v>
      </c>
      <c r="C108" s="98" t="s">
        <v>61</v>
      </c>
      <c r="D108" s="98" t="s">
        <v>393</v>
      </c>
      <c r="E108" s="98"/>
      <c r="F108" s="145">
        <v>3.7999999999999999E-2</v>
      </c>
      <c r="G108" s="146" t="str">
        <f t="shared" si="2"/>
        <v>UIFNNUM CHE</v>
      </c>
      <c r="H108" s="137">
        <v>233.94</v>
      </c>
      <c r="I108" s="137">
        <v>26.880000000000003</v>
      </c>
    </row>
    <row r="109" spans="1:9">
      <c r="A109" s="28" t="s">
        <v>1371</v>
      </c>
      <c r="B109" s="144" t="s">
        <v>1371</v>
      </c>
      <c r="C109" s="97" t="s">
        <v>61</v>
      </c>
      <c r="D109" s="98" t="s">
        <v>393</v>
      </c>
      <c r="E109" s="98" t="s">
        <v>1849</v>
      </c>
      <c r="F109" s="145">
        <v>0.34749999999999998</v>
      </c>
      <c r="G109" s="146" t="str">
        <f t="shared" si="2"/>
        <v/>
      </c>
      <c r="H109" s="137"/>
      <c r="I109" s="137"/>
    </row>
    <row r="110" spans="1:9">
      <c r="A110" s="28" t="s">
        <v>1372</v>
      </c>
      <c r="B110" s="144" t="s">
        <v>1372</v>
      </c>
      <c r="C110" s="98" t="s">
        <v>62</v>
      </c>
      <c r="D110" s="98" t="s">
        <v>458</v>
      </c>
      <c r="E110" s="98"/>
      <c r="F110" s="145">
        <v>4.7100000000000003E-2</v>
      </c>
      <c r="G110" s="146" t="str">
        <f t="shared" si="2"/>
        <v>UIFNNUM TWN</v>
      </c>
      <c r="H110" s="137">
        <v>233.94</v>
      </c>
      <c r="I110" s="137">
        <v>24.43</v>
      </c>
    </row>
    <row r="111" spans="1:9">
      <c r="A111" s="28" t="s">
        <v>1373</v>
      </c>
      <c r="B111" s="144" t="s">
        <v>1373</v>
      </c>
      <c r="C111" s="97" t="s">
        <v>62</v>
      </c>
      <c r="D111" s="98" t="s">
        <v>458</v>
      </c>
      <c r="E111" s="98" t="s">
        <v>1849</v>
      </c>
      <c r="F111" s="145">
        <v>0.20780000000000001</v>
      </c>
      <c r="G111" s="146" t="str">
        <f t="shared" si="2"/>
        <v/>
      </c>
      <c r="H111" s="137"/>
      <c r="I111" s="137"/>
    </row>
    <row r="112" spans="1:9">
      <c r="A112" s="28" t="s">
        <v>1374</v>
      </c>
      <c r="B112" s="144" t="s">
        <v>1374</v>
      </c>
      <c r="C112" s="98" t="s">
        <v>99</v>
      </c>
      <c r="D112" s="98" t="s">
        <v>599</v>
      </c>
      <c r="E112" s="98"/>
      <c r="F112" s="145">
        <v>0.16639999999999999</v>
      </c>
      <c r="G112" s="146" t="str">
        <f t="shared" si="2"/>
        <v>UIFNNUM THA</v>
      </c>
      <c r="H112" s="137">
        <v>233.94</v>
      </c>
      <c r="I112" s="158">
        <v>33.875</v>
      </c>
    </row>
    <row r="113" spans="1:9">
      <c r="A113" s="28" t="s">
        <v>1375</v>
      </c>
      <c r="B113" s="144" t="s">
        <v>1375</v>
      </c>
      <c r="C113" s="97" t="s">
        <v>99</v>
      </c>
      <c r="D113" s="98" t="s">
        <v>599</v>
      </c>
      <c r="E113" s="98" t="s">
        <v>1849</v>
      </c>
      <c r="F113" s="145">
        <v>0.16639999999999999</v>
      </c>
      <c r="G113" s="146" t="str">
        <f t="shared" si="2"/>
        <v/>
      </c>
      <c r="H113" s="137"/>
      <c r="I113" s="137"/>
    </row>
    <row r="114" spans="1:9">
      <c r="A114" s="28" t="s">
        <v>1376</v>
      </c>
      <c r="B114" s="144" t="s">
        <v>1376</v>
      </c>
      <c r="C114" s="98" t="s">
        <v>101</v>
      </c>
      <c r="D114" s="98" t="s">
        <v>457</v>
      </c>
      <c r="E114" s="98"/>
      <c r="F114" s="145">
        <v>0.1065</v>
      </c>
      <c r="G114" s="146" t="str">
        <f t="shared" ref="G114:G145" si="3">IF(H114="","","UIFNNUM"&amp;" "&amp;D114)</f>
        <v>UIFNNUM TUR</v>
      </c>
      <c r="H114" s="137">
        <v>545</v>
      </c>
      <c r="I114" s="158">
        <v>28.560000000000002</v>
      </c>
    </row>
    <row r="115" spans="1:9">
      <c r="A115" s="28" t="s">
        <v>1377</v>
      </c>
      <c r="B115" s="144" t="s">
        <v>1377</v>
      </c>
      <c r="C115" s="98" t="s">
        <v>101</v>
      </c>
      <c r="D115" s="98" t="s">
        <v>457</v>
      </c>
      <c r="E115" s="98" t="s">
        <v>1849</v>
      </c>
      <c r="F115" s="145">
        <v>0.1065</v>
      </c>
      <c r="G115" s="146" t="str">
        <f t="shared" si="3"/>
        <v/>
      </c>
      <c r="H115" s="137"/>
      <c r="I115" s="137"/>
    </row>
    <row r="116" spans="1:9">
      <c r="A116" s="28" t="s">
        <v>1378</v>
      </c>
      <c r="B116" s="144" t="s">
        <v>1378</v>
      </c>
      <c r="C116" s="98" t="s">
        <v>63</v>
      </c>
      <c r="D116" s="98" t="s">
        <v>406</v>
      </c>
      <c r="E116" s="98"/>
      <c r="F116" s="145">
        <v>4.1399999999999999E-2</v>
      </c>
      <c r="G116" s="146" t="str">
        <f t="shared" si="3"/>
        <v>UIFNNUM GBR</v>
      </c>
      <c r="H116" s="137">
        <v>233.94</v>
      </c>
      <c r="I116" s="137">
        <v>30.800000000000004</v>
      </c>
    </row>
    <row r="117" spans="1:9">
      <c r="A117" s="28" t="s">
        <v>1379</v>
      </c>
      <c r="B117" s="144" t="s">
        <v>1379</v>
      </c>
      <c r="C117" s="98" t="s">
        <v>63</v>
      </c>
      <c r="D117" s="98" t="s">
        <v>406</v>
      </c>
      <c r="E117" s="98" t="s">
        <v>1849</v>
      </c>
      <c r="F117" s="145">
        <v>4.1399999999999999E-2</v>
      </c>
      <c r="G117" s="146" t="str">
        <f t="shared" si="3"/>
        <v/>
      </c>
      <c r="H117" s="137"/>
      <c r="I117" s="137"/>
    </row>
    <row r="118" spans="1:9">
      <c r="A118" s="28" t="s">
        <v>1380</v>
      </c>
      <c r="B118" s="144" t="s">
        <v>1380</v>
      </c>
      <c r="C118" s="98" t="s">
        <v>299</v>
      </c>
      <c r="D118" s="98" t="s">
        <v>64</v>
      </c>
      <c r="E118" s="98"/>
      <c r="F118" s="145">
        <v>1.0500000000000001E-2</v>
      </c>
      <c r="G118" s="146" t="str">
        <f t="shared" si="3"/>
        <v>UIFNNUM USA</v>
      </c>
      <c r="H118" s="137">
        <v>233.94</v>
      </c>
      <c r="I118" s="137">
        <v>26.880000000000003</v>
      </c>
    </row>
    <row r="119" spans="1:9">
      <c r="A119" s="28" t="s">
        <v>1381</v>
      </c>
      <c r="B119" s="144" t="s">
        <v>1381</v>
      </c>
      <c r="C119" s="97" t="s">
        <v>299</v>
      </c>
      <c r="D119" s="98" t="s">
        <v>64</v>
      </c>
      <c r="E119" s="98" t="s">
        <v>1849</v>
      </c>
      <c r="F119" s="145">
        <v>1.0500000000000001E-2</v>
      </c>
      <c r="G119" s="146" t="str">
        <f t="shared" si="3"/>
        <v/>
      </c>
      <c r="H119" s="137"/>
      <c r="I119" s="137"/>
    </row>
    <row r="120" spans="1:9">
      <c r="C120" s="3"/>
      <c r="D120" s="3"/>
      <c r="E120" s="3"/>
    </row>
  </sheetData>
  <autoFilter ref="B17:I119" xr:uid="{286A1078-5789-469A-BA00-9365D73B300C}"/>
  <mergeCells count="2">
    <mergeCell ref="G15:I15"/>
    <mergeCell ref="F13:I13"/>
  </mergeCells>
  <hyperlinks>
    <hyperlink ref="B2" location="'Main Menu'!A1" tooltip="Go to the main menu" display="&gt;&gt; Main Menu" xr:uid="{BEB99D14-DC7A-42D5-BABD-CB2533FFE305}"/>
  </hyperlinks>
  <printOptions horizontalCentered="1" verticalCentered="1"/>
  <pageMargins left="0" right="0" top="0.25" bottom="0.75" header="0.5" footer="0.5"/>
  <pageSetup paperSize="9" fitToWidth="2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  <rowBreaks count="1" manualBreakCount="1">
    <brk id="4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4" filterMode="1">
    <pageSetUpPr autoPageBreaks="0" fitToPage="1"/>
  </sheetPr>
  <dimension ref="A2:N314"/>
  <sheetViews>
    <sheetView showGridLines="0" topLeftCell="B11" zoomScaleNormal="100" workbookViewId="0">
      <selection activeCell="B1" sqref="B1"/>
    </sheetView>
  </sheetViews>
  <sheetFormatPr defaultColWidth="8.7109375" defaultRowHeight="11.25"/>
  <cols>
    <col min="1" max="1" width="7" style="3" customWidth="1"/>
    <col min="2" max="2" width="26.28515625" style="3" customWidth="1"/>
    <col min="3" max="3" width="20" style="14" customWidth="1"/>
    <col min="4" max="4" width="15.7109375" style="14" bestFit="1" customWidth="1"/>
    <col min="5" max="5" width="23.42578125" style="14" bestFit="1" customWidth="1"/>
    <col min="6" max="7" width="24.7109375" style="14" customWidth="1"/>
    <col min="8" max="9" width="22.5703125" style="3" customWidth="1"/>
    <col min="10" max="11" width="14.5703125" style="31" customWidth="1"/>
    <col min="12" max="16384" width="8.7109375" style="3"/>
  </cols>
  <sheetData>
    <row r="2" spans="2:14">
      <c r="B2" s="152" t="s">
        <v>108</v>
      </c>
      <c r="F2" s="3"/>
    </row>
    <row r="3" spans="2:14">
      <c r="B3" s="23"/>
      <c r="C3" s="23"/>
      <c r="F3" s="3"/>
    </row>
    <row r="4" spans="2:14" ht="20.25">
      <c r="B4" s="153" t="s">
        <v>5</v>
      </c>
      <c r="C4" s="24"/>
      <c r="F4" s="3"/>
    </row>
    <row r="5" spans="2:14" ht="20.25">
      <c r="B5" s="153" t="s">
        <v>369</v>
      </c>
      <c r="C5" s="24"/>
      <c r="F5" s="3"/>
    </row>
    <row r="6" spans="2:14">
      <c r="B6" s="24"/>
      <c r="C6" s="24"/>
      <c r="F6" s="3"/>
    </row>
    <row r="7" spans="2:14" s="1" customFormat="1" ht="13.5" customHeight="1">
      <c r="B7" s="15"/>
      <c r="C7" s="15"/>
      <c r="D7" s="15"/>
      <c r="E7" s="15"/>
      <c r="G7" s="15"/>
      <c r="H7" s="103"/>
      <c r="I7" s="103"/>
      <c r="J7" s="104"/>
      <c r="K7" s="71"/>
    </row>
    <row r="8" spans="2:14" s="1" customFormat="1">
      <c r="B8" s="7" t="s">
        <v>115</v>
      </c>
      <c r="C8" s="7"/>
      <c r="D8" s="15"/>
      <c r="E8" s="15"/>
      <c r="G8" s="15"/>
      <c r="H8" s="103"/>
      <c r="I8" s="103"/>
      <c r="J8" s="104"/>
      <c r="K8" s="71"/>
      <c r="L8" s="147"/>
    </row>
    <row r="9" spans="2:14">
      <c r="B9" s="7" t="s">
        <v>107</v>
      </c>
      <c r="C9" s="7"/>
      <c r="D9" s="7"/>
      <c r="E9" s="7"/>
      <c r="F9" s="3"/>
      <c r="G9" s="7"/>
      <c r="H9" s="4"/>
      <c r="I9" s="4"/>
      <c r="J9" s="101"/>
      <c r="K9" s="101"/>
    </row>
    <row r="10" spans="2:14">
      <c r="B10" s="7" t="s">
        <v>113</v>
      </c>
      <c r="C10" s="7"/>
      <c r="D10" s="7"/>
      <c r="E10" s="7"/>
      <c r="F10" s="3"/>
      <c r="G10" s="7"/>
      <c r="H10" s="5"/>
      <c r="I10" s="5"/>
      <c r="J10" s="102"/>
      <c r="K10" s="30"/>
    </row>
    <row r="11" spans="2:14">
      <c r="B11" s="7" t="s">
        <v>220</v>
      </c>
      <c r="C11" s="7"/>
      <c r="D11" s="7"/>
      <c r="E11" s="7"/>
      <c r="F11" s="3"/>
      <c r="G11" s="7"/>
      <c r="H11" s="170"/>
      <c r="I11" s="170"/>
      <c r="J11" s="170"/>
      <c r="K11" s="170"/>
      <c r="L11" s="147"/>
      <c r="N11" s="157"/>
    </row>
    <row r="12" spans="2:14">
      <c r="C12" s="7"/>
      <c r="D12" s="7"/>
      <c r="E12" s="7"/>
      <c r="F12" s="7"/>
      <c r="G12" s="7"/>
      <c r="H12" s="5"/>
      <c r="I12" s="5"/>
      <c r="J12" s="102"/>
      <c r="K12" s="123"/>
      <c r="L12" s="147"/>
      <c r="N12" s="157"/>
    </row>
    <row r="13" spans="2:14">
      <c r="C13" s="20"/>
      <c r="D13" s="20"/>
      <c r="E13" s="7"/>
      <c r="F13" s="7"/>
      <c r="G13" s="7"/>
      <c r="H13" s="5"/>
      <c r="I13" s="5"/>
      <c r="J13" s="102"/>
      <c r="K13" s="102"/>
      <c r="L13" s="147"/>
      <c r="N13" s="157"/>
    </row>
    <row r="14" spans="2:14" s="131" customFormat="1" ht="12.75" customHeight="1">
      <c r="B14" s="147"/>
      <c r="C14" s="33"/>
      <c r="D14" s="33"/>
      <c r="E14" s="33"/>
      <c r="F14" s="33"/>
      <c r="G14" s="33"/>
      <c r="H14" s="171" t="s">
        <v>118</v>
      </c>
      <c r="I14" s="168" t="s">
        <v>109</v>
      </c>
      <c r="J14" s="168"/>
      <c r="K14" s="169"/>
    </row>
    <row r="15" spans="2:14" s="6" customFormat="1">
      <c r="C15" s="105"/>
      <c r="D15" s="105"/>
      <c r="E15" s="105"/>
      <c r="F15" s="105"/>
      <c r="G15" s="105"/>
      <c r="H15" s="172"/>
      <c r="I15" s="140" t="s">
        <v>1850</v>
      </c>
      <c r="J15" s="141" t="s">
        <v>110</v>
      </c>
      <c r="K15" s="141" t="s">
        <v>111</v>
      </c>
    </row>
    <row r="16" spans="2:14">
      <c r="B16" s="16" t="s">
        <v>1850</v>
      </c>
      <c r="C16" s="150" t="s">
        <v>365</v>
      </c>
      <c r="D16" s="150" t="s">
        <v>890</v>
      </c>
      <c r="E16" s="150" t="s">
        <v>6</v>
      </c>
      <c r="F16" s="150" t="s">
        <v>889</v>
      </c>
      <c r="G16" s="150" t="s">
        <v>931</v>
      </c>
      <c r="H16" s="150" t="s">
        <v>106</v>
      </c>
      <c r="I16" s="142" t="s">
        <v>370</v>
      </c>
      <c r="J16" s="143" t="s">
        <v>105</v>
      </c>
      <c r="K16" s="143" t="s">
        <v>112</v>
      </c>
    </row>
    <row r="17" spans="1:11">
      <c r="A17" s="148"/>
      <c r="B17" s="99" t="s">
        <v>1857</v>
      </c>
      <c r="C17" s="99" t="s">
        <v>68</v>
      </c>
      <c r="D17" s="10" t="s">
        <v>470</v>
      </c>
      <c r="E17" s="10" t="s">
        <v>114</v>
      </c>
      <c r="F17" s="13" t="s">
        <v>945</v>
      </c>
      <c r="G17" s="13"/>
      <c r="H17" s="135">
        <v>2.3800000000000002E-2</v>
      </c>
      <c r="I17" s="146" t="s">
        <v>2283</v>
      </c>
      <c r="J17" s="137">
        <v>168.43</v>
      </c>
      <c r="K17" s="137">
        <v>17.1553</v>
      </c>
    </row>
    <row r="18" spans="1:11">
      <c r="A18" s="148"/>
      <c r="B18" s="99" t="s">
        <v>1858</v>
      </c>
      <c r="C18" s="99" t="s">
        <v>68</v>
      </c>
      <c r="D18" s="10" t="s">
        <v>470</v>
      </c>
      <c r="E18" s="10" t="s">
        <v>114</v>
      </c>
      <c r="F18" s="13" t="s">
        <v>945</v>
      </c>
      <c r="G18" s="13" t="s">
        <v>1849</v>
      </c>
      <c r="H18" s="135">
        <v>2.3800000000000002E-2</v>
      </c>
      <c r="I18" s="146" t="s">
        <v>2282</v>
      </c>
      <c r="J18" s="137"/>
      <c r="K18" s="137"/>
    </row>
    <row r="19" spans="1:11">
      <c r="A19" s="148"/>
      <c r="B19" s="99" t="s">
        <v>1859</v>
      </c>
      <c r="C19" s="99" t="s">
        <v>43</v>
      </c>
      <c r="D19" s="99" t="s">
        <v>385</v>
      </c>
      <c r="E19" s="99" t="s">
        <v>114</v>
      </c>
      <c r="F19" s="97" t="s">
        <v>1860</v>
      </c>
      <c r="G19" s="97"/>
      <c r="H19" s="135">
        <v>1.4E-2</v>
      </c>
      <c r="I19" s="146" t="s">
        <v>2284</v>
      </c>
      <c r="J19" s="137">
        <v>179.20000000000002</v>
      </c>
      <c r="K19" s="137">
        <v>44.800000000000004</v>
      </c>
    </row>
    <row r="20" spans="1:11" s="9" customFormat="1">
      <c r="A20" s="148"/>
      <c r="B20" s="99" t="s">
        <v>1861</v>
      </c>
      <c r="C20" s="99" t="s">
        <v>43</v>
      </c>
      <c r="D20" s="99" t="s">
        <v>385</v>
      </c>
      <c r="E20" s="99" t="s">
        <v>114</v>
      </c>
      <c r="F20" s="97" t="s">
        <v>1860</v>
      </c>
      <c r="G20" s="13" t="s">
        <v>1849</v>
      </c>
      <c r="H20" s="135">
        <v>1.4E-2</v>
      </c>
      <c r="I20" s="146" t="s">
        <v>2282</v>
      </c>
      <c r="J20" s="137"/>
      <c r="K20" s="137"/>
    </row>
    <row r="21" spans="1:11">
      <c r="A21" s="148"/>
      <c r="B21" s="99" t="s">
        <v>1862</v>
      </c>
      <c r="C21" s="99" t="s">
        <v>43</v>
      </c>
      <c r="D21" s="99" t="s">
        <v>385</v>
      </c>
      <c r="E21" s="99" t="s">
        <v>114</v>
      </c>
      <c r="F21" s="97" t="s">
        <v>1863</v>
      </c>
      <c r="G21" s="97"/>
      <c r="H21" s="135">
        <v>1.4E-2</v>
      </c>
      <c r="I21" s="146" t="s">
        <v>2285</v>
      </c>
      <c r="J21" s="137">
        <v>168.43</v>
      </c>
      <c r="K21" s="137">
        <v>17.1553</v>
      </c>
    </row>
    <row r="22" spans="1:11">
      <c r="A22" s="148"/>
      <c r="B22" s="99" t="s">
        <v>1864</v>
      </c>
      <c r="C22" s="99" t="s">
        <v>43</v>
      </c>
      <c r="D22" s="99" t="s">
        <v>385</v>
      </c>
      <c r="E22" s="99" t="s">
        <v>114</v>
      </c>
      <c r="F22" s="97" t="s">
        <v>1863</v>
      </c>
      <c r="G22" s="13" t="s">
        <v>1849</v>
      </c>
      <c r="H22" s="135">
        <v>1.4E-2</v>
      </c>
      <c r="I22" s="146" t="s">
        <v>2282</v>
      </c>
      <c r="J22" s="137"/>
      <c r="K22" s="137"/>
    </row>
    <row r="23" spans="1:11" hidden="1">
      <c r="A23" s="148"/>
      <c r="B23" s="99" t="s">
        <v>1865</v>
      </c>
      <c r="C23" s="99" t="s">
        <v>44</v>
      </c>
      <c r="D23" s="99" t="s">
        <v>386</v>
      </c>
      <c r="E23" s="99" t="s">
        <v>114</v>
      </c>
      <c r="F23" s="97" t="s">
        <v>1866</v>
      </c>
      <c r="G23" s="97"/>
      <c r="H23" s="135">
        <v>0</v>
      </c>
      <c r="I23" s="146" t="s">
        <v>2286</v>
      </c>
      <c r="J23" s="137">
        <v>168.43</v>
      </c>
      <c r="K23" s="137">
        <v>53.025399999999998</v>
      </c>
    </row>
    <row r="24" spans="1:11" hidden="1">
      <c r="A24" s="148"/>
      <c r="B24" s="99" t="s">
        <v>1867</v>
      </c>
      <c r="C24" s="99" t="s">
        <v>44</v>
      </c>
      <c r="D24" s="99" t="s">
        <v>386</v>
      </c>
      <c r="E24" s="99" t="s">
        <v>114</v>
      </c>
      <c r="F24" s="97" t="s">
        <v>1866</v>
      </c>
      <c r="G24" s="13" t="s">
        <v>1849</v>
      </c>
      <c r="H24" s="135">
        <v>0</v>
      </c>
      <c r="I24" s="146" t="s">
        <v>2282</v>
      </c>
      <c r="J24" s="137"/>
      <c r="K24" s="137"/>
    </row>
    <row r="25" spans="1:11" hidden="1">
      <c r="A25" s="148"/>
      <c r="B25" s="99" t="s">
        <v>1868</v>
      </c>
      <c r="C25" s="99" t="s">
        <v>44</v>
      </c>
      <c r="D25" s="99" t="s">
        <v>386</v>
      </c>
      <c r="E25" s="99" t="s">
        <v>114</v>
      </c>
      <c r="F25" s="97" t="s">
        <v>1869</v>
      </c>
      <c r="G25" s="97"/>
      <c r="H25" s="135">
        <v>0</v>
      </c>
      <c r="I25" s="146" t="s">
        <v>2287</v>
      </c>
      <c r="J25" s="137">
        <v>168.43</v>
      </c>
      <c r="K25" s="137">
        <v>17.1553</v>
      </c>
    </row>
    <row r="26" spans="1:11" hidden="1">
      <c r="A26" s="148"/>
      <c r="B26" s="99" t="s">
        <v>1870</v>
      </c>
      <c r="C26" s="99" t="s">
        <v>44</v>
      </c>
      <c r="D26" s="99" t="s">
        <v>386</v>
      </c>
      <c r="E26" s="99" t="s">
        <v>114</v>
      </c>
      <c r="F26" s="97" t="s">
        <v>1869</v>
      </c>
      <c r="G26" s="13" t="s">
        <v>1849</v>
      </c>
      <c r="H26" s="135">
        <v>0</v>
      </c>
      <c r="I26" s="146" t="s">
        <v>2282</v>
      </c>
      <c r="J26" s="137"/>
      <c r="K26" s="137"/>
    </row>
    <row r="27" spans="1:11" hidden="1">
      <c r="A27" s="148"/>
      <c r="B27" s="99" t="s">
        <v>1871</v>
      </c>
      <c r="C27" s="99" t="s">
        <v>44</v>
      </c>
      <c r="D27" s="99" t="s">
        <v>386</v>
      </c>
      <c r="E27" s="99" t="s">
        <v>114</v>
      </c>
      <c r="F27" s="97" t="s">
        <v>1872</v>
      </c>
      <c r="G27" s="97"/>
      <c r="H27" s="135">
        <v>0</v>
      </c>
      <c r="I27" s="146" t="s">
        <v>2288</v>
      </c>
      <c r="J27" s="137">
        <v>168.43</v>
      </c>
      <c r="K27" s="137">
        <v>17.1553</v>
      </c>
    </row>
    <row r="28" spans="1:11" hidden="1">
      <c r="A28" s="148"/>
      <c r="B28" s="99" t="s">
        <v>1873</v>
      </c>
      <c r="C28" s="99" t="s">
        <v>44</v>
      </c>
      <c r="D28" s="99" t="s">
        <v>386</v>
      </c>
      <c r="E28" s="99" t="s">
        <v>114</v>
      </c>
      <c r="F28" s="97" t="s">
        <v>1872</v>
      </c>
      <c r="G28" s="13" t="s">
        <v>1849</v>
      </c>
      <c r="H28" s="135">
        <v>0</v>
      </c>
      <c r="I28" s="146" t="s">
        <v>2282</v>
      </c>
      <c r="J28" s="137"/>
      <c r="K28" s="137"/>
    </row>
    <row r="29" spans="1:11" hidden="1">
      <c r="A29" s="148"/>
      <c r="B29" s="99" t="s">
        <v>1874</v>
      </c>
      <c r="C29" s="99" t="s">
        <v>44</v>
      </c>
      <c r="D29" s="99" t="s">
        <v>386</v>
      </c>
      <c r="E29" s="99" t="s">
        <v>114</v>
      </c>
      <c r="F29" s="97" t="s">
        <v>1875</v>
      </c>
      <c r="G29" s="97"/>
      <c r="H29" s="135">
        <v>0</v>
      </c>
      <c r="I29" s="146" t="s">
        <v>2289</v>
      </c>
      <c r="J29" s="137">
        <v>168.43</v>
      </c>
      <c r="K29" s="137">
        <v>17.1553</v>
      </c>
    </row>
    <row r="30" spans="1:11" hidden="1">
      <c r="A30" s="148"/>
      <c r="B30" s="99" t="s">
        <v>1876</v>
      </c>
      <c r="C30" s="99" t="s">
        <v>44</v>
      </c>
      <c r="D30" s="99" t="s">
        <v>386</v>
      </c>
      <c r="E30" s="99" t="s">
        <v>114</v>
      </c>
      <c r="F30" s="97" t="s">
        <v>1875</v>
      </c>
      <c r="G30" s="13" t="s">
        <v>1849</v>
      </c>
      <c r="H30" s="135">
        <v>0</v>
      </c>
      <c r="I30" s="146" t="s">
        <v>2282</v>
      </c>
      <c r="J30" s="137"/>
      <c r="K30" s="137"/>
    </row>
    <row r="31" spans="1:11" hidden="1">
      <c r="A31" s="148"/>
      <c r="B31" s="99" t="s">
        <v>1877</v>
      </c>
      <c r="C31" s="99" t="s">
        <v>44</v>
      </c>
      <c r="D31" s="99" t="s">
        <v>386</v>
      </c>
      <c r="E31" s="99" t="s">
        <v>114</v>
      </c>
      <c r="F31" s="97" t="s">
        <v>1878</v>
      </c>
      <c r="G31" s="97"/>
      <c r="H31" s="135">
        <v>0</v>
      </c>
      <c r="I31" s="146" t="s">
        <v>2290</v>
      </c>
      <c r="J31" s="137">
        <v>168.43</v>
      </c>
      <c r="K31" s="137">
        <v>17.1553</v>
      </c>
    </row>
    <row r="32" spans="1:11" hidden="1">
      <c r="A32" s="148"/>
      <c r="B32" s="99" t="s">
        <v>1879</v>
      </c>
      <c r="C32" s="99" t="s">
        <v>44</v>
      </c>
      <c r="D32" s="99" t="s">
        <v>386</v>
      </c>
      <c r="E32" s="99" t="s">
        <v>114</v>
      </c>
      <c r="F32" s="97" t="s">
        <v>1878</v>
      </c>
      <c r="G32" s="13" t="s">
        <v>1849</v>
      </c>
      <c r="H32" s="135">
        <v>0</v>
      </c>
      <c r="I32" s="146" t="s">
        <v>2282</v>
      </c>
      <c r="J32" s="137"/>
      <c r="K32" s="137"/>
    </row>
    <row r="33" spans="1:11" hidden="1">
      <c r="A33" s="148"/>
      <c r="B33" s="99" t="s">
        <v>1880</v>
      </c>
      <c r="C33" s="99" t="s">
        <v>44</v>
      </c>
      <c r="D33" s="99" t="s">
        <v>386</v>
      </c>
      <c r="E33" s="99" t="s">
        <v>114</v>
      </c>
      <c r="F33" s="97" t="s">
        <v>1881</v>
      </c>
      <c r="G33" s="97"/>
      <c r="H33" s="135">
        <v>0</v>
      </c>
      <c r="I33" s="146" t="s">
        <v>2291</v>
      </c>
      <c r="J33" s="137">
        <v>168.43</v>
      </c>
      <c r="K33" s="137">
        <v>17.1553</v>
      </c>
    </row>
    <row r="34" spans="1:11" hidden="1">
      <c r="A34" s="148"/>
      <c r="B34" s="99" t="s">
        <v>1882</v>
      </c>
      <c r="C34" s="99" t="s">
        <v>44</v>
      </c>
      <c r="D34" s="99" t="s">
        <v>386</v>
      </c>
      <c r="E34" s="99" t="s">
        <v>114</v>
      </c>
      <c r="F34" s="97" t="s">
        <v>1881</v>
      </c>
      <c r="G34" s="13" t="s">
        <v>1849</v>
      </c>
      <c r="H34" s="135">
        <v>0</v>
      </c>
      <c r="I34" s="146" t="s">
        <v>2282</v>
      </c>
      <c r="J34" s="137"/>
      <c r="K34" s="137"/>
    </row>
    <row r="35" spans="1:11" hidden="1">
      <c r="A35" s="148"/>
      <c r="B35" s="99" t="s">
        <v>1883</v>
      </c>
      <c r="C35" s="99" t="s">
        <v>65</v>
      </c>
      <c r="D35" s="99" t="s">
        <v>387</v>
      </c>
      <c r="E35" s="99" t="s">
        <v>114</v>
      </c>
      <c r="F35" s="97" t="s">
        <v>1884</v>
      </c>
      <c r="G35" s="97"/>
      <c r="H35" s="135">
        <v>0</v>
      </c>
      <c r="I35" s="146" t="s">
        <v>2292</v>
      </c>
      <c r="J35" s="137">
        <v>168.43</v>
      </c>
      <c r="K35" s="137">
        <v>53.025399999999998</v>
      </c>
    </row>
    <row r="36" spans="1:11" hidden="1">
      <c r="A36" s="148"/>
      <c r="B36" s="99" t="s">
        <v>1885</v>
      </c>
      <c r="C36" s="99" t="s">
        <v>65</v>
      </c>
      <c r="D36" s="99" t="s">
        <v>387</v>
      </c>
      <c r="E36" s="99" t="s">
        <v>114</v>
      </c>
      <c r="F36" s="97" t="s">
        <v>1884</v>
      </c>
      <c r="G36" s="13" t="s">
        <v>1849</v>
      </c>
      <c r="H36" s="135">
        <v>0</v>
      </c>
      <c r="I36" s="146" t="s">
        <v>2282</v>
      </c>
      <c r="J36" s="137"/>
      <c r="K36" s="137"/>
    </row>
    <row r="37" spans="1:11">
      <c r="A37" s="148"/>
      <c r="B37" s="99" t="s">
        <v>1886</v>
      </c>
      <c r="C37" s="99" t="s">
        <v>65</v>
      </c>
      <c r="D37" s="99" t="s">
        <v>387</v>
      </c>
      <c r="E37" s="99" t="s">
        <v>114</v>
      </c>
      <c r="F37" s="97" t="s">
        <v>1887</v>
      </c>
      <c r="G37" s="97"/>
      <c r="H37" s="135">
        <v>6.0000000000000001E-3</v>
      </c>
      <c r="I37" s="146" t="s">
        <v>2293</v>
      </c>
      <c r="J37" s="137">
        <v>168.43</v>
      </c>
      <c r="K37" s="137">
        <v>53.025399999999998</v>
      </c>
    </row>
    <row r="38" spans="1:11">
      <c r="A38" s="148"/>
      <c r="B38" s="99" t="s">
        <v>1888</v>
      </c>
      <c r="C38" s="99" t="s">
        <v>65</v>
      </c>
      <c r="D38" s="99" t="s">
        <v>387</v>
      </c>
      <c r="E38" s="99" t="s">
        <v>114</v>
      </c>
      <c r="F38" s="97" t="s">
        <v>1887</v>
      </c>
      <c r="G38" s="13" t="s">
        <v>1849</v>
      </c>
      <c r="H38" s="135">
        <v>6.0000000000000001E-3</v>
      </c>
      <c r="I38" s="146" t="s">
        <v>2282</v>
      </c>
      <c r="J38" s="137"/>
      <c r="K38" s="137"/>
    </row>
    <row r="39" spans="1:11">
      <c r="A39" s="148"/>
      <c r="B39" s="99" t="s">
        <v>1889</v>
      </c>
      <c r="C39" s="99" t="s">
        <v>70</v>
      </c>
      <c r="D39" s="99" t="s">
        <v>388</v>
      </c>
      <c r="E39" s="99" t="s">
        <v>114</v>
      </c>
      <c r="F39" s="97" t="s">
        <v>1890</v>
      </c>
      <c r="G39" s="97"/>
      <c r="H39" s="135">
        <v>4.1399999999999999E-2</v>
      </c>
      <c r="I39" s="146" t="s">
        <v>2294</v>
      </c>
      <c r="J39" s="137">
        <v>168.43</v>
      </c>
      <c r="K39" s="137">
        <v>53.025399999999998</v>
      </c>
    </row>
    <row r="40" spans="1:11">
      <c r="A40" s="148"/>
      <c r="B40" s="99" t="s">
        <v>1891</v>
      </c>
      <c r="C40" s="99" t="s">
        <v>70</v>
      </c>
      <c r="D40" s="99" t="s">
        <v>388</v>
      </c>
      <c r="E40" s="99" t="s">
        <v>114</v>
      </c>
      <c r="F40" s="97" t="s">
        <v>1890</v>
      </c>
      <c r="G40" s="13" t="s">
        <v>1849</v>
      </c>
      <c r="H40" s="135">
        <v>4.1399999999999999E-2</v>
      </c>
      <c r="I40" s="146" t="s">
        <v>2282</v>
      </c>
      <c r="J40" s="137"/>
      <c r="K40" s="137"/>
    </row>
    <row r="41" spans="1:11">
      <c r="A41" s="148"/>
      <c r="B41" s="99" t="s">
        <v>1898</v>
      </c>
      <c r="C41" s="99" t="s">
        <v>72</v>
      </c>
      <c r="D41" s="99" t="s">
        <v>395</v>
      </c>
      <c r="E41" s="99" t="s">
        <v>114</v>
      </c>
      <c r="F41" s="97" t="s">
        <v>1899</v>
      </c>
      <c r="G41" s="97"/>
      <c r="H41" s="135">
        <v>6.5100000000000005E-2</v>
      </c>
      <c r="I41" s="146" t="s">
        <v>2295</v>
      </c>
      <c r="J41" s="137">
        <v>168.43</v>
      </c>
      <c r="K41" s="137">
        <v>44.800000000000004</v>
      </c>
    </row>
    <row r="42" spans="1:11">
      <c r="A42" s="148"/>
      <c r="B42" s="99" t="s">
        <v>1900</v>
      </c>
      <c r="C42" s="99" t="s">
        <v>72</v>
      </c>
      <c r="D42" s="99" t="s">
        <v>395</v>
      </c>
      <c r="E42" s="99" t="s">
        <v>114</v>
      </c>
      <c r="F42" s="97" t="s">
        <v>1899</v>
      </c>
      <c r="G42" s="13" t="s">
        <v>1849</v>
      </c>
      <c r="H42" s="135">
        <v>6.5100000000000005E-2</v>
      </c>
      <c r="I42" s="146" t="s">
        <v>2282</v>
      </c>
      <c r="J42" s="137"/>
      <c r="K42" s="137"/>
    </row>
    <row r="43" spans="1:11">
      <c r="A43" s="148"/>
      <c r="B43" s="99" t="s">
        <v>1901</v>
      </c>
      <c r="C43" s="99" t="s">
        <v>74</v>
      </c>
      <c r="D43" s="99" t="s">
        <v>398</v>
      </c>
      <c r="E43" s="99" t="s">
        <v>114</v>
      </c>
      <c r="F43" s="97" t="s">
        <v>1902</v>
      </c>
      <c r="G43" s="97"/>
      <c r="H43" s="135">
        <v>9.2999999999999992E-3</v>
      </c>
      <c r="I43" s="146" t="s">
        <v>2296</v>
      </c>
      <c r="J43" s="137">
        <v>168.43</v>
      </c>
      <c r="K43" s="137">
        <v>17.1553</v>
      </c>
    </row>
    <row r="44" spans="1:11">
      <c r="A44" s="148"/>
      <c r="B44" s="99" t="s">
        <v>1903</v>
      </c>
      <c r="C44" s="99" t="s">
        <v>74</v>
      </c>
      <c r="D44" s="99" t="s">
        <v>398</v>
      </c>
      <c r="E44" s="99" t="s">
        <v>114</v>
      </c>
      <c r="F44" s="97" t="s">
        <v>1902</v>
      </c>
      <c r="G44" s="13" t="s">
        <v>1849</v>
      </c>
      <c r="H44" s="135">
        <v>9.2999999999999992E-3</v>
      </c>
      <c r="I44" s="146" t="s">
        <v>2282</v>
      </c>
      <c r="J44" s="137"/>
      <c r="K44" s="137"/>
    </row>
    <row r="45" spans="1:11">
      <c r="A45" s="148"/>
      <c r="B45" s="99" t="s">
        <v>1916</v>
      </c>
      <c r="C45" s="99" t="s">
        <v>47</v>
      </c>
      <c r="D45" s="99" t="s">
        <v>400</v>
      </c>
      <c r="E45" s="99" t="s">
        <v>114</v>
      </c>
      <c r="F45" s="97" t="s">
        <v>1917</v>
      </c>
      <c r="G45" s="97"/>
      <c r="H45" s="135">
        <v>2.3999999999999998E-3</v>
      </c>
      <c r="I45" s="146" t="s">
        <v>2297</v>
      </c>
      <c r="J45" s="137">
        <v>168.43</v>
      </c>
      <c r="K45" s="137">
        <v>53.025399999999998</v>
      </c>
    </row>
    <row r="46" spans="1:11">
      <c r="A46" s="148"/>
      <c r="B46" s="99" t="s">
        <v>1918</v>
      </c>
      <c r="C46" s="99" t="s">
        <v>47</v>
      </c>
      <c r="D46" s="99" t="s">
        <v>400</v>
      </c>
      <c r="E46" s="99" t="s">
        <v>114</v>
      </c>
      <c r="F46" s="97" t="s">
        <v>1917</v>
      </c>
      <c r="G46" s="13" t="s">
        <v>1849</v>
      </c>
      <c r="H46" s="135">
        <v>2.3999999999999998E-3</v>
      </c>
      <c r="I46" s="146" t="s">
        <v>2282</v>
      </c>
      <c r="J46" s="137"/>
      <c r="K46" s="137"/>
    </row>
    <row r="47" spans="1:11" hidden="1">
      <c r="A47" s="148"/>
      <c r="B47" s="99" t="s">
        <v>1928</v>
      </c>
      <c r="C47" s="99" t="s">
        <v>48</v>
      </c>
      <c r="D47" s="99" t="s">
        <v>404</v>
      </c>
      <c r="E47" s="99" t="s">
        <v>114</v>
      </c>
      <c r="F47" s="97" t="s">
        <v>1929</v>
      </c>
      <c r="G47" s="97"/>
      <c r="H47" s="135">
        <v>0</v>
      </c>
      <c r="I47" s="146" t="s">
        <v>2298</v>
      </c>
      <c r="J47" s="137">
        <v>168.43</v>
      </c>
      <c r="K47" s="137">
        <v>179.20000000000002</v>
      </c>
    </row>
    <row r="48" spans="1:11" hidden="1">
      <c r="A48" s="148"/>
      <c r="B48" s="99" t="s">
        <v>1930</v>
      </c>
      <c r="C48" s="99" t="s">
        <v>48</v>
      </c>
      <c r="D48" s="99" t="s">
        <v>404</v>
      </c>
      <c r="E48" s="99" t="s">
        <v>114</v>
      </c>
      <c r="F48" s="97" t="s">
        <v>1929</v>
      </c>
      <c r="G48" s="13" t="s">
        <v>1849</v>
      </c>
      <c r="H48" s="135">
        <v>0</v>
      </c>
      <c r="I48" s="146" t="s">
        <v>2282</v>
      </c>
      <c r="J48" s="137"/>
      <c r="K48" s="137"/>
    </row>
    <row r="49" spans="1:11" hidden="1">
      <c r="A49" s="148"/>
      <c r="B49" s="99" t="s">
        <v>1904</v>
      </c>
      <c r="C49" s="99" t="s">
        <v>66</v>
      </c>
      <c r="D49" s="99" t="s">
        <v>399</v>
      </c>
      <c r="E49" s="99" t="s">
        <v>114</v>
      </c>
      <c r="F49" s="97" t="s">
        <v>1905</v>
      </c>
      <c r="G49" s="97"/>
      <c r="H49" s="135">
        <v>0</v>
      </c>
      <c r="I49" s="146" t="s">
        <v>2299</v>
      </c>
      <c r="J49" s="137">
        <v>168.43</v>
      </c>
      <c r="K49" s="137">
        <v>17.1553</v>
      </c>
    </row>
    <row r="50" spans="1:11" hidden="1">
      <c r="A50" s="148"/>
      <c r="B50" s="99" t="s">
        <v>1906</v>
      </c>
      <c r="C50" s="99" t="s">
        <v>66</v>
      </c>
      <c r="D50" s="99" t="s">
        <v>399</v>
      </c>
      <c r="E50" s="99" t="s">
        <v>114</v>
      </c>
      <c r="F50" s="97" t="s">
        <v>1905</v>
      </c>
      <c r="G50" s="13" t="s">
        <v>1849</v>
      </c>
      <c r="H50" s="135">
        <v>0</v>
      </c>
      <c r="I50" s="146" t="s">
        <v>2282</v>
      </c>
      <c r="J50" s="137"/>
      <c r="K50" s="137"/>
    </row>
    <row r="51" spans="1:11" hidden="1">
      <c r="A51" s="148"/>
      <c r="B51" s="99" t="s">
        <v>1907</v>
      </c>
      <c r="C51" s="99" t="s">
        <v>66</v>
      </c>
      <c r="D51" s="99" t="s">
        <v>399</v>
      </c>
      <c r="E51" s="99" t="s">
        <v>114</v>
      </c>
      <c r="F51" s="97" t="s">
        <v>1908</v>
      </c>
      <c r="G51" s="97"/>
      <c r="H51" s="135">
        <v>0</v>
      </c>
      <c r="I51" s="146" t="s">
        <v>2300</v>
      </c>
      <c r="J51" s="137">
        <v>168.43</v>
      </c>
      <c r="K51" s="137">
        <v>53.025399999999998</v>
      </c>
    </row>
    <row r="52" spans="1:11" hidden="1">
      <c r="A52" s="148"/>
      <c r="B52" s="99" t="s">
        <v>1909</v>
      </c>
      <c r="C52" s="99" t="s">
        <v>66</v>
      </c>
      <c r="D52" s="99" t="s">
        <v>399</v>
      </c>
      <c r="E52" s="99" t="s">
        <v>114</v>
      </c>
      <c r="F52" s="97" t="s">
        <v>1908</v>
      </c>
      <c r="G52" s="13" t="s">
        <v>1849</v>
      </c>
      <c r="H52" s="135">
        <v>0</v>
      </c>
      <c r="I52" s="146" t="s">
        <v>2282</v>
      </c>
      <c r="J52" s="137"/>
      <c r="K52" s="137"/>
    </row>
    <row r="53" spans="1:11" hidden="1">
      <c r="A53" s="148"/>
      <c r="B53" s="99" t="s">
        <v>1910</v>
      </c>
      <c r="C53" s="99" t="s">
        <v>66</v>
      </c>
      <c r="D53" s="99" t="s">
        <v>399</v>
      </c>
      <c r="E53" s="99" t="s">
        <v>114</v>
      </c>
      <c r="F53" s="97" t="s">
        <v>1911</v>
      </c>
      <c r="G53" s="97"/>
      <c r="H53" s="135">
        <v>0</v>
      </c>
      <c r="I53" s="146" t="s">
        <v>2301</v>
      </c>
      <c r="J53" s="137">
        <v>168.43</v>
      </c>
      <c r="K53" s="137">
        <v>53.025399999999998</v>
      </c>
    </row>
    <row r="54" spans="1:11" hidden="1">
      <c r="A54" s="148"/>
      <c r="B54" s="99" t="s">
        <v>1912</v>
      </c>
      <c r="C54" s="99" t="s">
        <v>66</v>
      </c>
      <c r="D54" s="99" t="s">
        <v>399</v>
      </c>
      <c r="E54" s="99" t="s">
        <v>114</v>
      </c>
      <c r="F54" s="97" t="s">
        <v>1911</v>
      </c>
      <c r="G54" s="13" t="s">
        <v>1849</v>
      </c>
      <c r="H54" s="135">
        <v>0</v>
      </c>
      <c r="I54" s="146" t="s">
        <v>2282</v>
      </c>
      <c r="J54" s="137"/>
      <c r="K54" s="137"/>
    </row>
    <row r="55" spans="1:11">
      <c r="A55" s="148"/>
      <c r="B55" s="99" t="s">
        <v>1913</v>
      </c>
      <c r="C55" s="99" t="s">
        <v>66</v>
      </c>
      <c r="D55" s="99" t="s">
        <v>399</v>
      </c>
      <c r="E55" s="99" t="s">
        <v>114</v>
      </c>
      <c r="F55" s="97" t="s">
        <v>1914</v>
      </c>
      <c r="G55" s="97"/>
      <c r="H55" s="135">
        <v>1.0500000000000001E-2</v>
      </c>
      <c r="I55" s="146" t="s">
        <v>2302</v>
      </c>
      <c r="J55" s="137">
        <v>168.43</v>
      </c>
      <c r="K55" s="137">
        <v>53.025399999999998</v>
      </c>
    </row>
    <row r="56" spans="1:11">
      <c r="A56" s="148"/>
      <c r="B56" s="99" t="s">
        <v>1915</v>
      </c>
      <c r="C56" s="99" t="s">
        <v>66</v>
      </c>
      <c r="D56" s="99" t="s">
        <v>399</v>
      </c>
      <c r="E56" s="99" t="s">
        <v>114</v>
      </c>
      <c r="F56" s="97" t="s">
        <v>1914</v>
      </c>
      <c r="G56" s="13" t="s">
        <v>1849</v>
      </c>
      <c r="H56" s="135">
        <v>1.0500000000000001E-2</v>
      </c>
      <c r="I56" s="146" t="s">
        <v>2282</v>
      </c>
      <c r="J56" s="137"/>
      <c r="K56" s="137"/>
    </row>
    <row r="57" spans="1:11">
      <c r="A57" s="148"/>
      <c r="B57" s="99" t="s">
        <v>1937</v>
      </c>
      <c r="C57" s="99" t="s">
        <v>76</v>
      </c>
      <c r="D57" s="99" t="s">
        <v>412</v>
      </c>
      <c r="E57" s="99" t="s">
        <v>114</v>
      </c>
      <c r="F57" s="97" t="s">
        <v>1938</v>
      </c>
      <c r="G57" s="97"/>
      <c r="H57" s="135">
        <v>7.0199999999999999E-2</v>
      </c>
      <c r="I57" s="146" t="s">
        <v>2303</v>
      </c>
      <c r="J57" s="137">
        <v>168.43</v>
      </c>
      <c r="K57" s="137">
        <v>17.1553</v>
      </c>
    </row>
    <row r="58" spans="1:11">
      <c r="A58" s="148"/>
      <c r="B58" s="99" t="s">
        <v>1939</v>
      </c>
      <c r="C58" s="99" t="s">
        <v>76</v>
      </c>
      <c r="D58" s="99" t="s">
        <v>412</v>
      </c>
      <c r="E58" s="99" t="s">
        <v>114</v>
      </c>
      <c r="F58" s="97" t="s">
        <v>1938</v>
      </c>
      <c r="G58" s="13" t="s">
        <v>1849</v>
      </c>
      <c r="H58" s="135">
        <v>7.0199999999999999E-2</v>
      </c>
      <c r="I58" s="146" t="s">
        <v>2282</v>
      </c>
      <c r="J58" s="137"/>
      <c r="K58" s="137"/>
    </row>
    <row r="59" spans="1:11">
      <c r="A59" s="148"/>
      <c r="B59" s="99" t="s">
        <v>1940</v>
      </c>
      <c r="C59" s="99" t="s">
        <v>80</v>
      </c>
      <c r="D59" s="119" t="s">
        <v>419</v>
      </c>
      <c r="E59" s="99" t="s">
        <v>114</v>
      </c>
      <c r="F59" s="119" t="s">
        <v>1941</v>
      </c>
      <c r="G59" s="119"/>
      <c r="H59" s="135">
        <v>4.0500000000000001E-2</v>
      </c>
      <c r="I59" s="146" t="s">
        <v>2304</v>
      </c>
      <c r="J59" s="137">
        <v>161.28</v>
      </c>
      <c r="K59" s="158">
        <v>191.4</v>
      </c>
    </row>
    <row r="60" spans="1:11">
      <c r="A60" s="148"/>
      <c r="B60" s="99" t="s">
        <v>1942</v>
      </c>
      <c r="C60" s="99" t="s">
        <v>80</v>
      </c>
      <c r="D60" s="119" t="s">
        <v>419</v>
      </c>
      <c r="E60" s="99" t="s">
        <v>114</v>
      </c>
      <c r="F60" s="119" t="s">
        <v>1941</v>
      </c>
      <c r="G60" s="13" t="s">
        <v>1849</v>
      </c>
      <c r="H60" s="135">
        <v>4.0500000000000001E-2</v>
      </c>
      <c r="I60" s="146" t="s">
        <v>2282</v>
      </c>
      <c r="J60" s="137"/>
      <c r="K60" s="137"/>
    </row>
    <row r="61" spans="1:11" hidden="1">
      <c r="A61" s="148"/>
      <c r="B61" s="99" t="s">
        <v>1943</v>
      </c>
      <c r="C61" s="99" t="s">
        <v>49</v>
      </c>
      <c r="D61" s="99" t="s">
        <v>420</v>
      </c>
      <c r="E61" s="99" t="s">
        <v>114</v>
      </c>
      <c r="F61" s="97" t="s">
        <v>1944</v>
      </c>
      <c r="G61" s="97"/>
      <c r="H61" s="135">
        <v>0</v>
      </c>
      <c r="I61" s="146" t="s">
        <v>2305</v>
      </c>
      <c r="J61" s="137">
        <v>168.43</v>
      </c>
      <c r="K61" s="137">
        <v>53.025399999999998</v>
      </c>
    </row>
    <row r="62" spans="1:11" hidden="1">
      <c r="A62" s="148"/>
      <c r="B62" s="99" t="s">
        <v>1945</v>
      </c>
      <c r="C62" s="99" t="s">
        <v>49</v>
      </c>
      <c r="D62" s="99" t="s">
        <v>420</v>
      </c>
      <c r="E62" s="99" t="s">
        <v>114</v>
      </c>
      <c r="F62" s="97" t="s">
        <v>1944</v>
      </c>
      <c r="G62" s="13" t="s">
        <v>1849</v>
      </c>
      <c r="H62" s="135">
        <v>0</v>
      </c>
      <c r="I62" s="146" t="s">
        <v>2282</v>
      </c>
      <c r="J62" s="137"/>
      <c r="K62" s="137"/>
    </row>
    <row r="63" spans="1:11">
      <c r="A63" s="148"/>
      <c r="B63" s="99" t="s">
        <v>1946</v>
      </c>
      <c r="C63" s="99" t="s">
        <v>49</v>
      </c>
      <c r="D63" s="99" t="s">
        <v>420</v>
      </c>
      <c r="E63" s="99" t="s">
        <v>114</v>
      </c>
      <c r="F63" s="97" t="s">
        <v>1947</v>
      </c>
      <c r="G63" s="97"/>
      <c r="H63" s="135">
        <v>2.0899999999999998E-2</v>
      </c>
      <c r="I63" s="146" t="s">
        <v>2306</v>
      </c>
      <c r="J63" s="137">
        <v>168.43</v>
      </c>
      <c r="K63" s="137">
        <v>17.1553</v>
      </c>
    </row>
    <row r="64" spans="1:11">
      <c r="A64" s="148"/>
      <c r="B64" s="99" t="s">
        <v>1948</v>
      </c>
      <c r="C64" s="99" t="s">
        <v>49</v>
      </c>
      <c r="D64" s="99" t="s">
        <v>420</v>
      </c>
      <c r="E64" s="99" t="s">
        <v>114</v>
      </c>
      <c r="F64" s="97" t="s">
        <v>1947</v>
      </c>
      <c r="G64" s="13" t="s">
        <v>1849</v>
      </c>
      <c r="H64" s="135">
        <v>2.0899999999999998E-2</v>
      </c>
      <c r="I64" s="146" t="s">
        <v>2282</v>
      </c>
      <c r="J64" s="137"/>
      <c r="K64" s="137"/>
    </row>
    <row r="65" spans="1:11">
      <c r="A65" s="148"/>
      <c r="B65" s="99" t="s">
        <v>1949</v>
      </c>
      <c r="C65" s="99" t="s">
        <v>49</v>
      </c>
      <c r="D65" s="99" t="s">
        <v>420</v>
      </c>
      <c r="E65" s="99" t="s">
        <v>114</v>
      </c>
      <c r="F65" s="97" t="s">
        <v>1950</v>
      </c>
      <c r="G65" s="97"/>
      <c r="H65" s="135">
        <v>3.7000000000000002E-3</v>
      </c>
      <c r="I65" s="146" t="s">
        <v>2307</v>
      </c>
      <c r="J65" s="137">
        <v>168.43</v>
      </c>
      <c r="K65" s="137">
        <v>53.025399999999998</v>
      </c>
    </row>
    <row r="66" spans="1:11">
      <c r="A66" s="148"/>
      <c r="B66" s="99" t="s">
        <v>1951</v>
      </c>
      <c r="C66" s="99" t="s">
        <v>49</v>
      </c>
      <c r="D66" s="99" t="s">
        <v>420</v>
      </c>
      <c r="E66" s="99" t="s">
        <v>114</v>
      </c>
      <c r="F66" s="97" t="s">
        <v>1950</v>
      </c>
      <c r="G66" s="13" t="s">
        <v>1849</v>
      </c>
      <c r="H66" s="135">
        <v>3.7000000000000002E-3</v>
      </c>
      <c r="I66" s="146" t="s">
        <v>2282</v>
      </c>
      <c r="J66" s="137"/>
      <c r="K66" s="137"/>
    </row>
    <row r="67" spans="1:11">
      <c r="A67" s="148"/>
      <c r="B67" s="99" t="s">
        <v>1952</v>
      </c>
      <c r="C67" s="99" t="s">
        <v>50</v>
      </c>
      <c r="D67" s="99" t="s">
        <v>423</v>
      </c>
      <c r="E67" s="99" t="s">
        <v>114</v>
      </c>
      <c r="F67" s="97" t="s">
        <v>1953</v>
      </c>
      <c r="G67" s="97"/>
      <c r="H67" s="135">
        <v>1.3899999999999999E-2</v>
      </c>
      <c r="I67" s="146" t="s">
        <v>2308</v>
      </c>
      <c r="J67" s="137">
        <v>168.43</v>
      </c>
      <c r="K67" s="137">
        <v>17.1553</v>
      </c>
    </row>
    <row r="68" spans="1:11">
      <c r="A68" s="148"/>
      <c r="B68" s="99" t="s">
        <v>1954</v>
      </c>
      <c r="C68" s="99" t="s">
        <v>50</v>
      </c>
      <c r="D68" s="99" t="s">
        <v>423</v>
      </c>
      <c r="E68" s="99" t="s">
        <v>114</v>
      </c>
      <c r="F68" s="97" t="s">
        <v>1953</v>
      </c>
      <c r="G68" s="13" t="s">
        <v>1849</v>
      </c>
      <c r="H68" s="135">
        <v>1.3899999999999999E-2</v>
      </c>
      <c r="I68" s="146" t="s">
        <v>2282</v>
      </c>
      <c r="J68" s="137"/>
      <c r="K68" s="137"/>
    </row>
    <row r="69" spans="1:11">
      <c r="A69" s="148"/>
      <c r="B69" s="99" t="s">
        <v>1955</v>
      </c>
      <c r="C69" s="99" t="s">
        <v>53</v>
      </c>
      <c r="D69" s="99" t="s">
        <v>443</v>
      </c>
      <c r="E69" s="99" t="s">
        <v>114</v>
      </c>
      <c r="F69" s="97" t="s">
        <v>1956</v>
      </c>
      <c r="G69" s="97"/>
      <c r="H69" s="135">
        <v>2.2700000000000001E-2</v>
      </c>
      <c r="I69" s="146" t="s">
        <v>2309</v>
      </c>
      <c r="J69" s="137">
        <v>168.43</v>
      </c>
      <c r="K69" s="137">
        <v>56</v>
      </c>
    </row>
    <row r="70" spans="1:11">
      <c r="A70" s="148"/>
      <c r="B70" s="99" t="s">
        <v>1957</v>
      </c>
      <c r="C70" s="99" t="s">
        <v>53</v>
      </c>
      <c r="D70" s="99" t="s">
        <v>443</v>
      </c>
      <c r="E70" s="99" t="s">
        <v>114</v>
      </c>
      <c r="F70" s="97" t="s">
        <v>1956</v>
      </c>
      <c r="G70" s="13" t="s">
        <v>1849</v>
      </c>
      <c r="H70" s="135">
        <v>2.2700000000000001E-2</v>
      </c>
      <c r="I70" s="146" t="s">
        <v>2282</v>
      </c>
      <c r="J70" s="137"/>
      <c r="K70" s="137"/>
    </row>
    <row r="71" spans="1:11" hidden="1">
      <c r="A71" s="148"/>
      <c r="B71" s="99" t="s">
        <v>1958</v>
      </c>
      <c r="C71" s="99" t="s">
        <v>55</v>
      </c>
      <c r="D71" s="99" t="s">
        <v>444</v>
      </c>
      <c r="E71" s="99" t="s">
        <v>114</v>
      </c>
      <c r="F71" s="97" t="s">
        <v>1959</v>
      </c>
      <c r="G71" s="97"/>
      <c r="H71" s="135">
        <v>0</v>
      </c>
      <c r="I71" s="146" t="s">
        <v>2310</v>
      </c>
      <c r="J71" s="137">
        <v>168.43</v>
      </c>
      <c r="K71" s="137">
        <v>53.025399999999998</v>
      </c>
    </row>
    <row r="72" spans="1:11" hidden="1">
      <c r="A72" s="148"/>
      <c r="B72" s="99" t="s">
        <v>1960</v>
      </c>
      <c r="C72" s="99" t="s">
        <v>55</v>
      </c>
      <c r="D72" s="99" t="s">
        <v>444</v>
      </c>
      <c r="E72" s="99" t="s">
        <v>114</v>
      </c>
      <c r="F72" s="97" t="s">
        <v>1959</v>
      </c>
      <c r="G72" s="13" t="s">
        <v>1849</v>
      </c>
      <c r="H72" s="135">
        <v>0</v>
      </c>
      <c r="I72" s="146" t="s">
        <v>2282</v>
      </c>
      <c r="J72" s="137"/>
      <c r="K72" s="137"/>
    </row>
    <row r="73" spans="1:11" hidden="1">
      <c r="A73" s="148"/>
      <c r="B73" s="99" t="s">
        <v>1961</v>
      </c>
      <c r="C73" s="99" t="s">
        <v>55</v>
      </c>
      <c r="D73" s="99" t="s">
        <v>444</v>
      </c>
      <c r="E73" s="99" t="s">
        <v>114</v>
      </c>
      <c r="F73" s="97" t="s">
        <v>1962</v>
      </c>
      <c r="G73" s="97"/>
      <c r="H73" s="135">
        <v>0</v>
      </c>
      <c r="I73" s="146" t="s">
        <v>2311</v>
      </c>
      <c r="J73" s="137">
        <v>168.43</v>
      </c>
      <c r="K73" s="137">
        <v>53.025399999999998</v>
      </c>
    </row>
    <row r="74" spans="1:11" hidden="1">
      <c r="A74" s="148"/>
      <c r="B74" s="99" t="s">
        <v>1963</v>
      </c>
      <c r="C74" s="99" t="s">
        <v>55</v>
      </c>
      <c r="D74" s="99" t="s">
        <v>444</v>
      </c>
      <c r="E74" s="99" t="s">
        <v>114</v>
      </c>
      <c r="F74" s="97" t="s">
        <v>1962</v>
      </c>
      <c r="G74" s="13" t="s">
        <v>1849</v>
      </c>
      <c r="H74" s="135">
        <v>0</v>
      </c>
      <c r="I74" s="146" t="s">
        <v>2282</v>
      </c>
      <c r="J74" s="137"/>
      <c r="K74" s="137"/>
    </row>
    <row r="75" spans="1:11">
      <c r="A75" s="148"/>
      <c r="B75" s="99" t="s">
        <v>1964</v>
      </c>
      <c r="C75" s="99" t="s">
        <v>92</v>
      </c>
      <c r="D75" s="99" t="s">
        <v>446</v>
      </c>
      <c r="E75" s="99" t="s">
        <v>114</v>
      </c>
      <c r="F75" s="97" t="s">
        <v>1965</v>
      </c>
      <c r="G75" s="97"/>
      <c r="H75" s="135">
        <v>0.16270000000000001</v>
      </c>
      <c r="I75" s="146" t="s">
        <v>2312</v>
      </c>
      <c r="J75" s="158">
        <v>276.7</v>
      </c>
      <c r="K75" s="158">
        <v>47.6</v>
      </c>
    </row>
    <row r="76" spans="1:11">
      <c r="A76" s="148"/>
      <c r="B76" s="99" t="s">
        <v>1966</v>
      </c>
      <c r="C76" s="99" t="s">
        <v>92</v>
      </c>
      <c r="D76" s="99" t="s">
        <v>446</v>
      </c>
      <c r="E76" s="99" t="s">
        <v>114</v>
      </c>
      <c r="F76" s="97" t="s">
        <v>1965</v>
      </c>
      <c r="G76" s="13" t="s">
        <v>1849</v>
      </c>
      <c r="H76" s="135">
        <v>0.16270000000000001</v>
      </c>
      <c r="I76" s="146" t="s">
        <v>2282</v>
      </c>
      <c r="J76" s="137"/>
      <c r="K76" s="137"/>
    </row>
    <row r="77" spans="1:11">
      <c r="A77" s="148"/>
      <c r="B77" s="99" t="s">
        <v>1967</v>
      </c>
      <c r="C77" s="99" t="s">
        <v>92</v>
      </c>
      <c r="D77" s="99" t="s">
        <v>446</v>
      </c>
      <c r="E77" s="99" t="s">
        <v>114</v>
      </c>
      <c r="F77" s="97" t="s">
        <v>1968</v>
      </c>
      <c r="G77" s="97"/>
      <c r="H77" s="135">
        <v>0.1179</v>
      </c>
      <c r="I77" s="146" t="s">
        <v>2313</v>
      </c>
      <c r="J77" s="158">
        <v>276.7</v>
      </c>
      <c r="K77" s="158">
        <v>47.6</v>
      </c>
    </row>
    <row r="78" spans="1:11">
      <c r="A78" s="148"/>
      <c r="B78" s="99" t="s">
        <v>1969</v>
      </c>
      <c r="C78" s="99" t="s">
        <v>92</v>
      </c>
      <c r="D78" s="99" t="s">
        <v>446</v>
      </c>
      <c r="E78" s="99" t="s">
        <v>114</v>
      </c>
      <c r="F78" s="97" t="s">
        <v>1968</v>
      </c>
      <c r="G78" s="13" t="s">
        <v>1849</v>
      </c>
      <c r="H78" s="135">
        <v>0.1179</v>
      </c>
      <c r="I78" s="146" t="s">
        <v>2282</v>
      </c>
      <c r="J78" s="137"/>
      <c r="K78" s="137"/>
    </row>
    <row r="79" spans="1:11" hidden="1">
      <c r="A79" s="148"/>
      <c r="B79" s="99" t="s">
        <v>1970</v>
      </c>
      <c r="C79" s="99" t="s">
        <v>56</v>
      </c>
      <c r="D79" s="99" t="s">
        <v>447</v>
      </c>
      <c r="E79" s="99" t="s">
        <v>114</v>
      </c>
      <c r="F79" s="97" t="s">
        <v>1971</v>
      </c>
      <c r="G79" s="97"/>
      <c r="H79" s="135">
        <v>0</v>
      </c>
      <c r="I79" s="146" t="s">
        <v>2314</v>
      </c>
      <c r="J79" s="137">
        <v>168.43</v>
      </c>
      <c r="K79" s="137">
        <v>53.025399999999998</v>
      </c>
    </row>
    <row r="80" spans="1:11" hidden="1">
      <c r="A80" s="148"/>
      <c r="B80" s="99" t="s">
        <v>1972</v>
      </c>
      <c r="C80" s="99" t="s">
        <v>56</v>
      </c>
      <c r="D80" s="99" t="s">
        <v>447</v>
      </c>
      <c r="E80" s="99" t="s">
        <v>114</v>
      </c>
      <c r="F80" s="97" t="s">
        <v>1971</v>
      </c>
      <c r="G80" s="13" t="s">
        <v>1849</v>
      </c>
      <c r="H80" s="135">
        <v>0</v>
      </c>
      <c r="I80" s="146" t="s">
        <v>2282</v>
      </c>
      <c r="J80" s="137"/>
      <c r="K80" s="137"/>
    </row>
    <row r="81" spans="1:11">
      <c r="A81" s="148"/>
      <c r="B81" s="99" t="s">
        <v>1973</v>
      </c>
      <c r="C81" s="99" t="s">
        <v>56</v>
      </c>
      <c r="D81" s="99" t="s">
        <v>447</v>
      </c>
      <c r="E81" s="99" t="s">
        <v>114</v>
      </c>
      <c r="F81" s="97" t="s">
        <v>1974</v>
      </c>
      <c r="G81" s="97"/>
      <c r="H81" s="135">
        <v>6.0000000000000001E-3</v>
      </c>
      <c r="I81" s="146" t="s">
        <v>2315</v>
      </c>
      <c r="J81" s="137">
        <v>168.43</v>
      </c>
      <c r="K81" s="137">
        <v>53.025399999999998</v>
      </c>
    </row>
    <row r="82" spans="1:11">
      <c r="A82" s="148"/>
      <c r="B82" s="99" t="s">
        <v>1975</v>
      </c>
      <c r="C82" s="99" t="s">
        <v>56</v>
      </c>
      <c r="D82" s="99" t="s">
        <v>447</v>
      </c>
      <c r="E82" s="99" t="s">
        <v>114</v>
      </c>
      <c r="F82" s="97" t="s">
        <v>1974</v>
      </c>
      <c r="G82" s="13" t="s">
        <v>1849</v>
      </c>
      <c r="H82" s="135">
        <v>6.0000000000000001E-3</v>
      </c>
      <c r="I82" s="146" t="s">
        <v>2282</v>
      </c>
      <c r="J82" s="137"/>
      <c r="K82" s="137"/>
    </row>
    <row r="83" spans="1:11">
      <c r="A83" s="148"/>
      <c r="B83" s="99" t="s">
        <v>1976</v>
      </c>
      <c r="C83" s="99" t="s">
        <v>97</v>
      </c>
      <c r="D83" s="99" t="s">
        <v>454</v>
      </c>
      <c r="E83" s="99" t="s">
        <v>114</v>
      </c>
      <c r="F83" s="97" t="s">
        <v>1977</v>
      </c>
      <c r="G83" s="97"/>
      <c r="H83" s="135">
        <v>0.09</v>
      </c>
      <c r="I83" s="146" t="s">
        <v>2316</v>
      </c>
      <c r="J83" s="137">
        <v>168.43</v>
      </c>
      <c r="K83" s="137">
        <v>44.800000000000004</v>
      </c>
    </row>
    <row r="84" spans="1:11">
      <c r="A84" s="148"/>
      <c r="B84" s="99" t="s">
        <v>1978</v>
      </c>
      <c r="C84" s="99" t="s">
        <v>97</v>
      </c>
      <c r="D84" s="99" t="s">
        <v>454</v>
      </c>
      <c r="E84" s="99" t="s">
        <v>114</v>
      </c>
      <c r="F84" s="97" t="s">
        <v>1977</v>
      </c>
      <c r="G84" s="13" t="s">
        <v>1849</v>
      </c>
      <c r="H84" s="135">
        <v>0.09</v>
      </c>
      <c r="I84" s="146" t="s">
        <v>2282</v>
      </c>
      <c r="J84" s="137"/>
      <c r="K84" s="137"/>
    </row>
    <row r="85" spans="1:11">
      <c r="A85" s="148"/>
      <c r="B85" s="99" t="s">
        <v>1982</v>
      </c>
      <c r="C85" s="99" t="s">
        <v>98</v>
      </c>
      <c r="D85" s="99" t="s">
        <v>462</v>
      </c>
      <c r="E85" s="99" t="s">
        <v>114</v>
      </c>
      <c r="F85" s="97" t="s">
        <v>1983</v>
      </c>
      <c r="G85" s="97"/>
      <c r="H85" s="135">
        <v>5.3900000000000003E-2</v>
      </c>
      <c r="I85" s="146" t="s">
        <v>2317</v>
      </c>
      <c r="J85" s="137">
        <v>168.43</v>
      </c>
      <c r="K85" s="137">
        <v>53.025399999999998</v>
      </c>
    </row>
    <row r="86" spans="1:11">
      <c r="A86" s="148"/>
      <c r="B86" s="99" t="s">
        <v>1984</v>
      </c>
      <c r="C86" s="99" t="s">
        <v>98</v>
      </c>
      <c r="D86" s="99" t="s">
        <v>462</v>
      </c>
      <c r="E86" s="99" t="s">
        <v>114</v>
      </c>
      <c r="F86" s="97" t="s">
        <v>1983</v>
      </c>
      <c r="G86" s="13" t="s">
        <v>1849</v>
      </c>
      <c r="H86" s="135">
        <v>5.3900000000000003E-2</v>
      </c>
      <c r="I86" s="146" t="s">
        <v>2282</v>
      </c>
      <c r="J86" s="137"/>
      <c r="K86" s="137"/>
    </row>
    <row r="87" spans="1:11">
      <c r="A87" s="148"/>
      <c r="B87" s="99" t="s">
        <v>1985</v>
      </c>
      <c r="C87" s="99" t="s">
        <v>98</v>
      </c>
      <c r="D87" s="99" t="s">
        <v>462</v>
      </c>
      <c r="E87" s="99" t="s">
        <v>114</v>
      </c>
      <c r="F87" s="97" t="s">
        <v>1986</v>
      </c>
      <c r="G87" s="97"/>
      <c r="H87" s="135">
        <v>5.3900000000000003E-2</v>
      </c>
      <c r="I87" s="146" t="s">
        <v>2318</v>
      </c>
      <c r="J87" s="137">
        <v>168.43</v>
      </c>
      <c r="K87" s="137">
        <v>53.025399999999998</v>
      </c>
    </row>
    <row r="88" spans="1:11">
      <c r="A88" s="148"/>
      <c r="B88" s="99" t="s">
        <v>1987</v>
      </c>
      <c r="C88" s="99" t="s">
        <v>98</v>
      </c>
      <c r="D88" s="99" t="s">
        <v>462</v>
      </c>
      <c r="E88" s="99" t="s">
        <v>114</v>
      </c>
      <c r="F88" s="97" t="s">
        <v>1986</v>
      </c>
      <c r="G88" s="13" t="s">
        <v>1849</v>
      </c>
      <c r="H88" s="135">
        <v>5.3900000000000003E-2</v>
      </c>
      <c r="I88" s="146" t="s">
        <v>2282</v>
      </c>
      <c r="J88" s="137"/>
      <c r="K88" s="137"/>
    </row>
    <row r="89" spans="1:11">
      <c r="A89" s="148"/>
      <c r="B89" s="99" t="s">
        <v>1919</v>
      </c>
      <c r="C89" s="99" t="s">
        <v>59</v>
      </c>
      <c r="D89" s="99" t="s">
        <v>402</v>
      </c>
      <c r="E89" s="99" t="s">
        <v>114</v>
      </c>
      <c r="F89" s="97" t="s">
        <v>1920</v>
      </c>
      <c r="G89" s="97"/>
      <c r="H89" s="135">
        <v>2.5999999999999999E-3</v>
      </c>
      <c r="I89" s="146" t="s">
        <v>2319</v>
      </c>
      <c r="J89" s="137">
        <v>168.43</v>
      </c>
      <c r="K89" s="137">
        <v>53.025399999999998</v>
      </c>
    </row>
    <row r="90" spans="1:11">
      <c r="A90" s="148"/>
      <c r="B90" s="99" t="s">
        <v>1921</v>
      </c>
      <c r="C90" s="99" t="s">
        <v>59</v>
      </c>
      <c r="D90" s="99" t="s">
        <v>402</v>
      </c>
      <c r="E90" s="99" t="s">
        <v>114</v>
      </c>
      <c r="F90" s="97" t="s">
        <v>1920</v>
      </c>
      <c r="G90" s="13" t="s">
        <v>1849</v>
      </c>
      <c r="H90" s="135">
        <v>2.5999999999999999E-3</v>
      </c>
      <c r="I90" s="146" t="s">
        <v>2282</v>
      </c>
      <c r="J90" s="137"/>
      <c r="K90" s="137"/>
    </row>
    <row r="91" spans="1:11" hidden="1">
      <c r="A91" s="148"/>
      <c r="B91" s="99" t="s">
        <v>1922</v>
      </c>
      <c r="C91" s="99" t="s">
        <v>59</v>
      </c>
      <c r="D91" s="99" t="s">
        <v>402</v>
      </c>
      <c r="E91" s="99" t="s">
        <v>114</v>
      </c>
      <c r="F91" s="97" t="s">
        <v>1923</v>
      </c>
      <c r="G91" s="97"/>
      <c r="H91" s="135">
        <v>0</v>
      </c>
      <c r="I91" s="146" t="s">
        <v>2320</v>
      </c>
      <c r="J91" s="137">
        <v>168.43</v>
      </c>
      <c r="K91" s="137">
        <v>53.025399999999998</v>
      </c>
    </row>
    <row r="92" spans="1:11" hidden="1">
      <c r="A92" s="148"/>
      <c r="B92" s="99" t="s">
        <v>1924</v>
      </c>
      <c r="C92" s="99" t="s">
        <v>59</v>
      </c>
      <c r="D92" s="99" t="s">
        <v>402</v>
      </c>
      <c r="E92" s="99" t="s">
        <v>114</v>
      </c>
      <c r="F92" s="97" t="s">
        <v>1923</v>
      </c>
      <c r="G92" s="13" t="s">
        <v>1849</v>
      </c>
      <c r="H92" s="135">
        <v>0</v>
      </c>
      <c r="I92" s="146" t="s">
        <v>2282</v>
      </c>
      <c r="J92" s="137"/>
      <c r="K92" s="137"/>
    </row>
    <row r="93" spans="1:11" hidden="1">
      <c r="A93" s="148"/>
      <c r="B93" s="99" t="s">
        <v>1925</v>
      </c>
      <c r="C93" s="99" t="s">
        <v>59</v>
      </c>
      <c r="D93" s="99" t="s">
        <v>402</v>
      </c>
      <c r="E93" s="99" t="s">
        <v>114</v>
      </c>
      <c r="F93" s="97" t="s">
        <v>1926</v>
      </c>
      <c r="G93" s="97"/>
      <c r="H93" s="135">
        <v>0</v>
      </c>
      <c r="I93" s="146" t="s">
        <v>2321</v>
      </c>
      <c r="J93" s="137">
        <v>168.43</v>
      </c>
      <c r="K93" s="137">
        <v>53.025399999999998</v>
      </c>
    </row>
    <row r="94" spans="1:11" hidden="1">
      <c r="A94" s="148"/>
      <c r="B94" s="99" t="s">
        <v>1927</v>
      </c>
      <c r="C94" s="99" t="s">
        <v>59</v>
      </c>
      <c r="D94" s="99" t="s">
        <v>402</v>
      </c>
      <c r="E94" s="99" t="s">
        <v>114</v>
      </c>
      <c r="F94" s="97" t="s">
        <v>1926</v>
      </c>
      <c r="G94" s="13" t="s">
        <v>1849</v>
      </c>
      <c r="H94" s="135">
        <v>0</v>
      </c>
      <c r="I94" s="146" t="s">
        <v>2282</v>
      </c>
      <c r="J94" s="137"/>
      <c r="K94" s="137"/>
    </row>
    <row r="95" spans="1:11">
      <c r="A95" s="148"/>
      <c r="B95" s="99" t="s">
        <v>1979</v>
      </c>
      <c r="C95" s="99" t="s">
        <v>60</v>
      </c>
      <c r="D95" s="99" t="s">
        <v>456</v>
      </c>
      <c r="E95" s="99" t="s">
        <v>114</v>
      </c>
      <c r="F95" s="97" t="s">
        <v>1980</v>
      </c>
      <c r="G95" s="97"/>
      <c r="H95" s="135">
        <v>4.7999999999999996E-3</v>
      </c>
      <c r="I95" s="146" t="s">
        <v>2322</v>
      </c>
      <c r="J95" s="137">
        <v>168.43</v>
      </c>
      <c r="K95" s="137">
        <v>53.025399999999998</v>
      </c>
    </row>
    <row r="96" spans="1:11">
      <c r="A96" s="148"/>
      <c r="B96" s="99" t="s">
        <v>1981</v>
      </c>
      <c r="C96" s="99" t="s">
        <v>60</v>
      </c>
      <c r="D96" s="99" t="s">
        <v>456</v>
      </c>
      <c r="E96" s="99" t="s">
        <v>114</v>
      </c>
      <c r="F96" s="97" t="s">
        <v>1980</v>
      </c>
      <c r="G96" s="13" t="s">
        <v>1849</v>
      </c>
      <c r="H96" s="135">
        <v>4.7999999999999996E-3</v>
      </c>
      <c r="I96" s="146" t="s">
        <v>2282</v>
      </c>
      <c r="J96" s="137"/>
      <c r="K96" s="137"/>
    </row>
    <row r="97" spans="1:11">
      <c r="A97" s="148"/>
      <c r="B97" s="99" t="s">
        <v>1892</v>
      </c>
      <c r="C97" s="99" t="s">
        <v>61</v>
      </c>
      <c r="D97" s="99" t="s">
        <v>393</v>
      </c>
      <c r="E97" s="99" t="s">
        <v>114</v>
      </c>
      <c r="F97" s="97" t="s">
        <v>1893</v>
      </c>
      <c r="G97" s="97"/>
      <c r="H97" s="135">
        <v>1.4800000000000001E-2</v>
      </c>
      <c r="I97" s="146" t="s">
        <v>2323</v>
      </c>
      <c r="J97" s="137">
        <v>168.43</v>
      </c>
      <c r="K97" s="137">
        <v>53.025399999999998</v>
      </c>
    </row>
    <row r="98" spans="1:11">
      <c r="A98" s="148"/>
      <c r="B98" s="99" t="s">
        <v>1894</v>
      </c>
      <c r="C98" s="99" t="s">
        <v>61</v>
      </c>
      <c r="D98" s="99" t="s">
        <v>393</v>
      </c>
      <c r="E98" s="99" t="s">
        <v>114</v>
      </c>
      <c r="F98" s="97" t="s">
        <v>1893</v>
      </c>
      <c r="G98" s="13" t="s">
        <v>1849</v>
      </c>
      <c r="H98" s="135">
        <v>1.4800000000000001E-2</v>
      </c>
      <c r="I98" s="146" t="s">
        <v>2282</v>
      </c>
      <c r="J98" s="137"/>
      <c r="K98" s="137"/>
    </row>
    <row r="99" spans="1:11">
      <c r="A99" s="148"/>
      <c r="B99" s="99" t="s">
        <v>1895</v>
      </c>
      <c r="C99" s="99" t="s">
        <v>61</v>
      </c>
      <c r="D99" s="99" t="s">
        <v>393</v>
      </c>
      <c r="E99" s="99" t="s">
        <v>114</v>
      </c>
      <c r="F99" s="97" t="s">
        <v>1896</v>
      </c>
      <c r="G99" s="97"/>
      <c r="H99" s="135">
        <v>1.46E-2</v>
      </c>
      <c r="I99" s="146" t="s">
        <v>2324</v>
      </c>
      <c r="J99" s="137">
        <v>168.43</v>
      </c>
      <c r="K99" s="137">
        <v>53.025399999999998</v>
      </c>
    </row>
    <row r="100" spans="1:11">
      <c r="A100" s="148"/>
      <c r="B100" s="99" t="s">
        <v>1897</v>
      </c>
      <c r="C100" s="99" t="s">
        <v>61</v>
      </c>
      <c r="D100" s="99" t="s">
        <v>393</v>
      </c>
      <c r="E100" s="99" t="s">
        <v>114</v>
      </c>
      <c r="F100" s="97" t="s">
        <v>1896</v>
      </c>
      <c r="G100" s="13" t="s">
        <v>1849</v>
      </c>
      <c r="H100" s="135">
        <v>1.46E-2</v>
      </c>
      <c r="I100" s="146" t="s">
        <v>2282</v>
      </c>
      <c r="J100" s="137"/>
      <c r="K100" s="137"/>
    </row>
    <row r="101" spans="1:11">
      <c r="A101" s="148"/>
      <c r="B101" s="99" t="s">
        <v>1931</v>
      </c>
      <c r="C101" s="99" t="s">
        <v>63</v>
      </c>
      <c r="D101" s="99" t="s">
        <v>406</v>
      </c>
      <c r="E101" s="99" t="s">
        <v>114</v>
      </c>
      <c r="F101" s="97" t="s">
        <v>1932</v>
      </c>
      <c r="G101" s="97"/>
      <c r="H101" s="135">
        <v>4.7999999999999996E-3</v>
      </c>
      <c r="I101" s="146" t="s">
        <v>2325</v>
      </c>
      <c r="J101" s="137">
        <v>168.43</v>
      </c>
      <c r="K101" s="137">
        <v>17.1553</v>
      </c>
    </row>
    <row r="102" spans="1:11">
      <c r="A102" s="148"/>
      <c r="B102" s="99" t="s">
        <v>1933</v>
      </c>
      <c r="C102" s="99" t="s">
        <v>63</v>
      </c>
      <c r="D102" s="99" t="s">
        <v>406</v>
      </c>
      <c r="E102" s="99" t="s">
        <v>114</v>
      </c>
      <c r="F102" s="97" t="s">
        <v>1932</v>
      </c>
      <c r="G102" s="13" t="s">
        <v>1849</v>
      </c>
      <c r="H102" s="135">
        <v>4.7999999999999996E-3</v>
      </c>
      <c r="I102" s="146" t="s">
        <v>2282</v>
      </c>
      <c r="J102" s="137"/>
      <c r="K102" s="137"/>
    </row>
    <row r="103" spans="1:11">
      <c r="A103" s="148"/>
      <c r="B103" s="99" t="s">
        <v>1934</v>
      </c>
      <c r="C103" s="99" t="s">
        <v>63</v>
      </c>
      <c r="D103" s="99" t="s">
        <v>406</v>
      </c>
      <c r="E103" s="99" t="s">
        <v>114</v>
      </c>
      <c r="F103" s="97" t="s">
        <v>1935</v>
      </c>
      <c r="G103" s="97"/>
      <c r="H103" s="135">
        <v>1.6999999999999999E-3</v>
      </c>
      <c r="I103" s="146" t="s">
        <v>2326</v>
      </c>
      <c r="J103" s="137">
        <v>168.43</v>
      </c>
      <c r="K103" s="137">
        <v>53.025399999999998</v>
      </c>
    </row>
    <row r="104" spans="1:11">
      <c r="A104" s="148"/>
      <c r="B104" s="99" t="s">
        <v>1936</v>
      </c>
      <c r="C104" s="99" t="s">
        <v>63</v>
      </c>
      <c r="D104" s="99" t="s">
        <v>406</v>
      </c>
      <c r="E104" s="99" t="s">
        <v>114</v>
      </c>
      <c r="F104" s="97" t="s">
        <v>1935</v>
      </c>
      <c r="G104" s="13" t="s">
        <v>1849</v>
      </c>
      <c r="H104" s="135">
        <v>1.6999999999999999E-3</v>
      </c>
      <c r="I104" s="146" t="s">
        <v>2282</v>
      </c>
      <c r="J104" s="137"/>
      <c r="K104" s="137"/>
    </row>
    <row r="105" spans="1:11" hidden="1">
      <c r="A105" s="148"/>
      <c r="B105" s="99" t="s">
        <v>1989</v>
      </c>
      <c r="C105" s="99" t="s">
        <v>44</v>
      </c>
      <c r="D105" s="99" t="s">
        <v>386</v>
      </c>
      <c r="E105" s="99" t="s">
        <v>303</v>
      </c>
      <c r="F105" s="97" t="s">
        <v>1869</v>
      </c>
      <c r="G105" s="97"/>
      <c r="H105" s="135">
        <v>0</v>
      </c>
      <c r="I105" s="146" t="s">
        <v>2327</v>
      </c>
      <c r="J105" s="137">
        <v>168.43</v>
      </c>
      <c r="K105" s="137">
        <v>53.025399999999998</v>
      </c>
    </row>
    <row r="106" spans="1:11" hidden="1">
      <c r="A106" s="148"/>
      <c r="B106" s="99" t="s">
        <v>1990</v>
      </c>
      <c r="C106" s="99" t="s">
        <v>44</v>
      </c>
      <c r="D106" s="99" t="s">
        <v>386</v>
      </c>
      <c r="E106" s="99" t="s">
        <v>303</v>
      </c>
      <c r="F106" s="97" t="s">
        <v>1869</v>
      </c>
      <c r="G106" s="13" t="s">
        <v>1849</v>
      </c>
      <c r="H106" s="135">
        <v>0</v>
      </c>
      <c r="I106" s="146" t="s">
        <v>2282</v>
      </c>
      <c r="J106" s="137"/>
      <c r="K106" s="137"/>
    </row>
    <row r="107" spans="1:11" hidden="1">
      <c r="A107" s="148"/>
      <c r="B107" s="99" t="s">
        <v>1991</v>
      </c>
      <c r="C107" s="99" t="s">
        <v>44</v>
      </c>
      <c r="D107" s="99" t="s">
        <v>386</v>
      </c>
      <c r="E107" s="99" t="s">
        <v>303</v>
      </c>
      <c r="F107" s="97" t="s">
        <v>1872</v>
      </c>
      <c r="G107" s="97"/>
      <c r="H107" s="135">
        <v>-3.32E-2</v>
      </c>
      <c r="I107" s="146" t="s">
        <v>2328</v>
      </c>
      <c r="J107" s="137">
        <v>168.43</v>
      </c>
      <c r="K107" s="137">
        <v>53.025399999999998</v>
      </c>
    </row>
    <row r="108" spans="1:11" hidden="1">
      <c r="A108" s="148"/>
      <c r="B108" s="99" t="s">
        <v>1992</v>
      </c>
      <c r="C108" s="99" t="s">
        <v>44</v>
      </c>
      <c r="D108" s="99" t="s">
        <v>386</v>
      </c>
      <c r="E108" s="99" t="s">
        <v>303</v>
      </c>
      <c r="F108" s="97" t="s">
        <v>1872</v>
      </c>
      <c r="G108" s="13" t="s">
        <v>1849</v>
      </c>
      <c r="H108" s="135">
        <v>-3.32E-2</v>
      </c>
      <c r="I108" s="146" t="s">
        <v>2282</v>
      </c>
      <c r="J108" s="137"/>
      <c r="K108" s="137"/>
    </row>
    <row r="109" spans="1:11" hidden="1">
      <c r="A109" s="148"/>
      <c r="B109" s="99" t="s">
        <v>1993</v>
      </c>
      <c r="C109" s="99" t="s">
        <v>44</v>
      </c>
      <c r="D109" s="99" t="s">
        <v>386</v>
      </c>
      <c r="E109" s="99" t="s">
        <v>303</v>
      </c>
      <c r="F109" s="97" t="s">
        <v>1875</v>
      </c>
      <c r="G109" s="97"/>
      <c r="H109" s="135">
        <v>-5.5199999999999999E-2</v>
      </c>
      <c r="I109" s="146" t="s">
        <v>2329</v>
      </c>
      <c r="J109" s="137">
        <v>168.43</v>
      </c>
      <c r="K109" s="137">
        <v>53.025399999999998</v>
      </c>
    </row>
    <row r="110" spans="1:11" hidden="1">
      <c r="A110" s="148"/>
      <c r="B110" s="99" t="s">
        <v>1994</v>
      </c>
      <c r="C110" s="99" t="s">
        <v>44</v>
      </c>
      <c r="D110" s="99" t="s">
        <v>386</v>
      </c>
      <c r="E110" s="99" t="s">
        <v>303</v>
      </c>
      <c r="F110" s="97" t="s">
        <v>1875</v>
      </c>
      <c r="G110" s="13" t="s">
        <v>1849</v>
      </c>
      <c r="H110" s="135">
        <v>-5.5199999999999999E-2</v>
      </c>
      <c r="I110" s="146" t="s">
        <v>2282</v>
      </c>
      <c r="J110" s="137"/>
      <c r="K110" s="137"/>
    </row>
    <row r="111" spans="1:11" hidden="1">
      <c r="A111" s="148"/>
      <c r="B111" s="99" t="s">
        <v>1995</v>
      </c>
      <c r="C111" s="99" t="s">
        <v>44</v>
      </c>
      <c r="D111" s="99" t="s">
        <v>386</v>
      </c>
      <c r="E111" s="99" t="s">
        <v>303</v>
      </c>
      <c r="F111" s="97" t="s">
        <v>1878</v>
      </c>
      <c r="G111" s="97"/>
      <c r="H111" s="135">
        <v>-9.1600000000000001E-2</v>
      </c>
      <c r="I111" s="146" t="s">
        <v>2330</v>
      </c>
      <c r="J111" s="137">
        <v>168.43</v>
      </c>
      <c r="K111" s="137">
        <v>17.1553</v>
      </c>
    </row>
    <row r="112" spans="1:11" hidden="1">
      <c r="A112" s="148"/>
      <c r="B112" s="99" t="s">
        <v>1996</v>
      </c>
      <c r="C112" s="99" t="s">
        <v>44</v>
      </c>
      <c r="D112" s="99" t="s">
        <v>386</v>
      </c>
      <c r="E112" s="99" t="s">
        <v>303</v>
      </c>
      <c r="F112" s="97" t="s">
        <v>1878</v>
      </c>
      <c r="G112" s="13" t="s">
        <v>1849</v>
      </c>
      <c r="H112" s="135">
        <v>-9.1600000000000001E-2</v>
      </c>
      <c r="I112" s="146" t="s">
        <v>2282</v>
      </c>
      <c r="J112" s="137"/>
      <c r="K112" s="137"/>
    </row>
    <row r="113" spans="1:11" hidden="1">
      <c r="A113" s="148"/>
      <c r="B113" s="99" t="s">
        <v>1997</v>
      </c>
      <c r="C113" s="99" t="s">
        <v>44</v>
      </c>
      <c r="D113" s="99" t="s">
        <v>386</v>
      </c>
      <c r="E113" s="99" t="s">
        <v>303</v>
      </c>
      <c r="F113" s="97" t="s">
        <v>1881</v>
      </c>
      <c r="G113" s="97"/>
      <c r="H113" s="135">
        <v>-0.13550000000000001</v>
      </c>
      <c r="I113" s="146" t="s">
        <v>2331</v>
      </c>
      <c r="J113" s="137">
        <v>168.43</v>
      </c>
      <c r="K113" s="137">
        <v>17.1553</v>
      </c>
    </row>
    <row r="114" spans="1:11" hidden="1">
      <c r="A114" s="148"/>
      <c r="B114" s="99" t="s">
        <v>1998</v>
      </c>
      <c r="C114" s="99" t="s">
        <v>44</v>
      </c>
      <c r="D114" s="99" t="s">
        <v>386</v>
      </c>
      <c r="E114" s="99" t="s">
        <v>303</v>
      </c>
      <c r="F114" s="97" t="s">
        <v>1881</v>
      </c>
      <c r="G114" s="13" t="s">
        <v>1849</v>
      </c>
      <c r="H114" s="135">
        <v>-0.13550000000000001</v>
      </c>
      <c r="I114" s="146" t="s">
        <v>2282</v>
      </c>
      <c r="J114" s="137"/>
      <c r="K114" s="137"/>
    </row>
    <row r="115" spans="1:11">
      <c r="A115" s="148"/>
      <c r="B115" s="99" t="s">
        <v>1988</v>
      </c>
      <c r="C115" s="99" t="s">
        <v>65</v>
      </c>
      <c r="D115" s="99" t="s">
        <v>387</v>
      </c>
      <c r="E115" s="99" t="s">
        <v>303</v>
      </c>
      <c r="F115" s="97" t="s">
        <v>1884</v>
      </c>
      <c r="G115" s="97"/>
      <c r="H115" s="135">
        <v>-0.29920000000000002</v>
      </c>
      <c r="I115" s="146" t="s">
        <v>2332</v>
      </c>
      <c r="J115" s="137">
        <v>168.43</v>
      </c>
      <c r="K115" s="137">
        <v>17.1553</v>
      </c>
    </row>
    <row r="116" spans="1:11">
      <c r="A116" s="148"/>
      <c r="B116" s="99" t="s">
        <v>1999</v>
      </c>
      <c r="C116" s="99" t="s">
        <v>65</v>
      </c>
      <c r="D116" s="99" t="s">
        <v>387</v>
      </c>
      <c r="E116" s="99" t="s">
        <v>303</v>
      </c>
      <c r="F116" s="97" t="s">
        <v>1884</v>
      </c>
      <c r="G116" s="13" t="s">
        <v>1849</v>
      </c>
      <c r="H116" s="135">
        <v>-0.29920000000000002</v>
      </c>
      <c r="I116" s="146" t="s">
        <v>2282</v>
      </c>
      <c r="J116" s="137"/>
      <c r="K116" s="137"/>
    </row>
    <row r="117" spans="1:11">
      <c r="A117" s="148"/>
      <c r="B117" s="99" t="s">
        <v>2014</v>
      </c>
      <c r="C117" s="99" t="s">
        <v>67</v>
      </c>
      <c r="D117" s="99" t="s">
        <v>405</v>
      </c>
      <c r="E117" s="99" t="s">
        <v>303</v>
      </c>
      <c r="F117" s="97" t="s">
        <v>2015</v>
      </c>
      <c r="G117" s="97"/>
      <c r="H117" s="106" t="s">
        <v>944</v>
      </c>
      <c r="I117" s="146" t="s">
        <v>2333</v>
      </c>
      <c r="J117" s="137">
        <v>168.43</v>
      </c>
      <c r="K117" s="137">
        <v>53.025399999999998</v>
      </c>
    </row>
    <row r="118" spans="1:11">
      <c r="A118" s="148"/>
      <c r="B118" s="99" t="s">
        <v>2016</v>
      </c>
      <c r="C118" s="99" t="s">
        <v>67</v>
      </c>
      <c r="D118" s="99" t="s">
        <v>405</v>
      </c>
      <c r="E118" s="99" t="s">
        <v>303</v>
      </c>
      <c r="F118" s="97" t="s">
        <v>2015</v>
      </c>
      <c r="G118" s="13" t="s">
        <v>1849</v>
      </c>
      <c r="H118" s="106" t="s">
        <v>944</v>
      </c>
      <c r="I118" s="146" t="s">
        <v>2282</v>
      </c>
      <c r="J118" s="137"/>
      <c r="K118" s="137"/>
    </row>
    <row r="119" spans="1:11">
      <c r="A119" s="148"/>
      <c r="B119" s="99" t="s">
        <v>2017</v>
      </c>
      <c r="C119" s="99" t="s">
        <v>67</v>
      </c>
      <c r="D119" s="99" t="s">
        <v>405</v>
      </c>
      <c r="E119" s="99" t="s">
        <v>303</v>
      </c>
      <c r="F119" s="97" t="s">
        <v>2018</v>
      </c>
      <c r="G119" s="97"/>
      <c r="H119" s="106" t="s">
        <v>944</v>
      </c>
      <c r="I119" s="146" t="s">
        <v>2334</v>
      </c>
      <c r="J119" s="137">
        <v>168.43</v>
      </c>
      <c r="K119" s="137">
        <v>53.025399999999998</v>
      </c>
    </row>
    <row r="120" spans="1:11">
      <c r="A120" s="148"/>
      <c r="B120" s="99" t="s">
        <v>2019</v>
      </c>
      <c r="C120" s="99" t="s">
        <v>67</v>
      </c>
      <c r="D120" s="99" t="s">
        <v>405</v>
      </c>
      <c r="E120" s="99" t="s">
        <v>303</v>
      </c>
      <c r="F120" s="97" t="s">
        <v>2018</v>
      </c>
      <c r="G120" s="13" t="s">
        <v>1849</v>
      </c>
      <c r="H120" s="106" t="s">
        <v>944</v>
      </c>
      <c r="I120" s="146" t="s">
        <v>2282</v>
      </c>
      <c r="J120" s="137"/>
      <c r="K120" s="137"/>
    </row>
    <row r="121" spans="1:11">
      <c r="A121" s="148"/>
      <c r="B121" s="99" t="s">
        <v>2020</v>
      </c>
      <c r="C121" s="99" t="s">
        <v>67</v>
      </c>
      <c r="D121" s="99" t="s">
        <v>405</v>
      </c>
      <c r="E121" s="99" t="s">
        <v>303</v>
      </c>
      <c r="F121" s="97" t="s">
        <v>2021</v>
      </c>
      <c r="G121" s="97"/>
      <c r="H121" s="106" t="s">
        <v>944</v>
      </c>
      <c r="I121" s="146" t="s">
        <v>2335</v>
      </c>
      <c r="J121" s="137">
        <v>168.43</v>
      </c>
      <c r="K121" s="137">
        <v>53.025399999999998</v>
      </c>
    </row>
    <row r="122" spans="1:11">
      <c r="A122" s="148"/>
      <c r="B122" s="99" t="s">
        <v>2022</v>
      </c>
      <c r="C122" s="99" t="s">
        <v>67</v>
      </c>
      <c r="D122" s="99" t="s">
        <v>405</v>
      </c>
      <c r="E122" s="99" t="s">
        <v>303</v>
      </c>
      <c r="F122" s="97" t="s">
        <v>2021</v>
      </c>
      <c r="G122" s="13" t="s">
        <v>1849</v>
      </c>
      <c r="H122" s="106" t="s">
        <v>944</v>
      </c>
      <c r="I122" s="146" t="s">
        <v>2282</v>
      </c>
      <c r="J122" s="137"/>
      <c r="K122" s="137"/>
    </row>
    <row r="123" spans="1:11">
      <c r="A123" s="148"/>
      <c r="B123" s="99" t="s">
        <v>2023</v>
      </c>
      <c r="C123" s="99" t="s">
        <v>67</v>
      </c>
      <c r="D123" s="99" t="s">
        <v>405</v>
      </c>
      <c r="E123" s="99" t="s">
        <v>303</v>
      </c>
      <c r="F123" s="97" t="s">
        <v>2024</v>
      </c>
      <c r="G123" s="97"/>
      <c r="H123" s="106" t="s">
        <v>944</v>
      </c>
      <c r="I123" s="146" t="s">
        <v>2336</v>
      </c>
      <c r="J123" s="137">
        <v>168.43</v>
      </c>
      <c r="K123" s="137">
        <v>53.025399999999998</v>
      </c>
    </row>
    <row r="124" spans="1:11">
      <c r="A124" s="148"/>
      <c r="B124" s="99" t="s">
        <v>2025</v>
      </c>
      <c r="C124" s="99" t="s">
        <v>67</v>
      </c>
      <c r="D124" s="99" t="s">
        <v>405</v>
      </c>
      <c r="E124" s="99" t="s">
        <v>303</v>
      </c>
      <c r="F124" s="97" t="s">
        <v>2024</v>
      </c>
      <c r="G124" s="13" t="s">
        <v>1849</v>
      </c>
      <c r="H124" s="106" t="s">
        <v>944</v>
      </c>
      <c r="I124" s="146" t="s">
        <v>2282</v>
      </c>
      <c r="J124" s="137"/>
      <c r="K124" s="137"/>
    </row>
    <row r="125" spans="1:11">
      <c r="A125" s="148"/>
      <c r="B125" s="99" t="s">
        <v>2026</v>
      </c>
      <c r="C125" s="99" t="s">
        <v>67</v>
      </c>
      <c r="D125" s="99" t="s">
        <v>405</v>
      </c>
      <c r="E125" s="99" t="s">
        <v>303</v>
      </c>
      <c r="F125" s="97" t="s">
        <v>2027</v>
      </c>
      <c r="G125" s="97"/>
      <c r="H125" s="106" t="s">
        <v>944</v>
      </c>
      <c r="I125" s="146" t="s">
        <v>2337</v>
      </c>
      <c r="J125" s="137">
        <v>168.43</v>
      </c>
      <c r="K125" s="137">
        <v>53.025399999999998</v>
      </c>
    </row>
    <row r="126" spans="1:11">
      <c r="A126" s="148"/>
      <c r="B126" s="99" t="s">
        <v>2028</v>
      </c>
      <c r="C126" s="99" t="s">
        <v>67</v>
      </c>
      <c r="D126" s="99" t="s">
        <v>405</v>
      </c>
      <c r="E126" s="99" t="s">
        <v>303</v>
      </c>
      <c r="F126" s="97" t="s">
        <v>2027</v>
      </c>
      <c r="G126" s="13" t="s">
        <v>1849</v>
      </c>
      <c r="H126" s="106" t="s">
        <v>944</v>
      </c>
      <c r="I126" s="146" t="s">
        <v>2282</v>
      </c>
      <c r="J126" s="137"/>
      <c r="K126" s="137"/>
    </row>
    <row r="127" spans="1:11">
      <c r="A127" s="148"/>
      <c r="B127" s="99" t="s">
        <v>2029</v>
      </c>
      <c r="C127" s="99" t="s">
        <v>67</v>
      </c>
      <c r="D127" s="99" t="s">
        <v>405</v>
      </c>
      <c r="E127" s="99" t="s">
        <v>303</v>
      </c>
      <c r="F127" s="97" t="s">
        <v>2030</v>
      </c>
      <c r="G127" s="97"/>
      <c r="H127" s="106" t="s">
        <v>944</v>
      </c>
      <c r="I127" s="146" t="s">
        <v>2338</v>
      </c>
      <c r="J127" s="137">
        <v>168.43</v>
      </c>
      <c r="K127" s="137">
        <v>53.025399999999998</v>
      </c>
    </row>
    <row r="128" spans="1:11">
      <c r="A128" s="148"/>
      <c r="B128" s="99" t="s">
        <v>2031</v>
      </c>
      <c r="C128" s="99" t="s">
        <v>67</v>
      </c>
      <c r="D128" s="99" t="s">
        <v>405</v>
      </c>
      <c r="E128" s="99" t="s">
        <v>303</v>
      </c>
      <c r="F128" s="97" t="s">
        <v>2030</v>
      </c>
      <c r="G128" s="13" t="s">
        <v>1849</v>
      </c>
      <c r="H128" s="106" t="s">
        <v>944</v>
      </c>
      <c r="I128" s="146" t="s">
        <v>2282</v>
      </c>
      <c r="J128" s="137"/>
      <c r="K128" s="137"/>
    </row>
    <row r="129" spans="1:11">
      <c r="A129" s="148"/>
      <c r="B129" s="99" t="s">
        <v>2032</v>
      </c>
      <c r="C129" s="99" t="s">
        <v>67</v>
      </c>
      <c r="D129" s="99" t="s">
        <v>405</v>
      </c>
      <c r="E129" s="99" t="s">
        <v>303</v>
      </c>
      <c r="F129" s="97" t="s">
        <v>2033</v>
      </c>
      <c r="G129" s="97"/>
      <c r="H129" s="106" t="s">
        <v>944</v>
      </c>
      <c r="I129" s="146" t="s">
        <v>2339</v>
      </c>
      <c r="J129" s="137">
        <v>168.43</v>
      </c>
      <c r="K129" s="137">
        <v>53.025399999999998</v>
      </c>
    </row>
    <row r="130" spans="1:11">
      <c r="A130" s="148"/>
      <c r="B130" s="99" t="s">
        <v>2034</v>
      </c>
      <c r="C130" s="99" t="s">
        <v>67</v>
      </c>
      <c r="D130" s="99" t="s">
        <v>405</v>
      </c>
      <c r="E130" s="99" t="s">
        <v>303</v>
      </c>
      <c r="F130" s="97" t="s">
        <v>2033</v>
      </c>
      <c r="G130" s="13" t="s">
        <v>1849</v>
      </c>
      <c r="H130" s="106" t="s">
        <v>944</v>
      </c>
      <c r="I130" s="146" t="s">
        <v>2282</v>
      </c>
      <c r="J130" s="137"/>
      <c r="K130" s="137"/>
    </row>
    <row r="131" spans="1:11">
      <c r="A131" s="148"/>
      <c r="B131" s="99" t="s">
        <v>2035</v>
      </c>
      <c r="C131" s="99" t="s">
        <v>67</v>
      </c>
      <c r="D131" s="99" t="s">
        <v>405</v>
      </c>
      <c r="E131" s="99" t="s">
        <v>303</v>
      </c>
      <c r="F131" s="97" t="s">
        <v>2036</v>
      </c>
      <c r="G131" s="97"/>
      <c r="H131" s="106" t="s">
        <v>944</v>
      </c>
      <c r="I131" s="146" t="s">
        <v>2340</v>
      </c>
      <c r="J131" s="137">
        <v>168.43</v>
      </c>
      <c r="K131" s="137">
        <v>53.025399999999998</v>
      </c>
    </row>
    <row r="132" spans="1:11">
      <c r="A132" s="148"/>
      <c r="B132" s="99" t="s">
        <v>2037</v>
      </c>
      <c r="C132" s="99" t="s">
        <v>67</v>
      </c>
      <c r="D132" s="99" t="s">
        <v>405</v>
      </c>
      <c r="E132" s="99" t="s">
        <v>303</v>
      </c>
      <c r="F132" s="97" t="s">
        <v>2036</v>
      </c>
      <c r="G132" s="13" t="s">
        <v>1849</v>
      </c>
      <c r="H132" s="106" t="s">
        <v>944</v>
      </c>
      <c r="I132" s="146" t="s">
        <v>2282</v>
      </c>
      <c r="J132" s="137"/>
      <c r="K132" s="137"/>
    </row>
    <row r="133" spans="1:11" ht="10.5" customHeight="1">
      <c r="A133" s="148"/>
      <c r="B133" s="99" t="s">
        <v>2038</v>
      </c>
      <c r="C133" s="99" t="s">
        <v>67</v>
      </c>
      <c r="D133" s="99" t="s">
        <v>405</v>
      </c>
      <c r="E133" s="99" t="s">
        <v>303</v>
      </c>
      <c r="F133" s="97" t="s">
        <v>2039</v>
      </c>
      <c r="G133" s="97"/>
      <c r="H133" s="106" t="s">
        <v>944</v>
      </c>
      <c r="I133" s="146" t="s">
        <v>2341</v>
      </c>
      <c r="J133" s="137">
        <v>168.43</v>
      </c>
      <c r="K133" s="137">
        <v>53.025399999999998</v>
      </c>
    </row>
    <row r="134" spans="1:11" ht="9.75" customHeight="1">
      <c r="A134" s="148"/>
      <c r="B134" s="99" t="s">
        <v>2040</v>
      </c>
      <c r="C134" s="99" t="s">
        <v>67</v>
      </c>
      <c r="D134" s="99" t="s">
        <v>405</v>
      </c>
      <c r="E134" s="99" t="s">
        <v>303</v>
      </c>
      <c r="F134" s="97" t="s">
        <v>2039</v>
      </c>
      <c r="G134" s="13" t="s">
        <v>1849</v>
      </c>
      <c r="H134" s="106" t="s">
        <v>944</v>
      </c>
      <c r="I134" s="146" t="s">
        <v>2282</v>
      </c>
      <c r="J134" s="137"/>
      <c r="K134" s="137"/>
    </row>
    <row r="135" spans="1:11">
      <c r="A135" s="148"/>
      <c r="B135" s="99" t="s">
        <v>2041</v>
      </c>
      <c r="C135" s="99" t="s">
        <v>67</v>
      </c>
      <c r="D135" s="99" t="s">
        <v>405</v>
      </c>
      <c r="E135" s="99" t="s">
        <v>303</v>
      </c>
      <c r="F135" s="97" t="s">
        <v>2042</v>
      </c>
      <c r="G135" s="97"/>
      <c r="H135" s="106" t="s">
        <v>944</v>
      </c>
      <c r="I135" s="146" t="s">
        <v>2342</v>
      </c>
      <c r="J135" s="137">
        <v>168.43</v>
      </c>
      <c r="K135" s="137">
        <v>53.025399999999998</v>
      </c>
    </row>
    <row r="136" spans="1:11">
      <c r="A136" s="148"/>
      <c r="B136" s="99" t="s">
        <v>2043</v>
      </c>
      <c r="C136" s="99" t="s">
        <v>67</v>
      </c>
      <c r="D136" s="99" t="s">
        <v>405</v>
      </c>
      <c r="E136" s="99" t="s">
        <v>303</v>
      </c>
      <c r="F136" s="97" t="s">
        <v>2042</v>
      </c>
      <c r="G136" s="13" t="s">
        <v>1849</v>
      </c>
      <c r="H136" s="106" t="s">
        <v>944</v>
      </c>
      <c r="I136" s="146" t="s">
        <v>2282</v>
      </c>
      <c r="J136" s="137"/>
      <c r="K136" s="137"/>
    </row>
    <row r="137" spans="1:11">
      <c r="A137" s="148"/>
      <c r="B137" s="99" t="s">
        <v>2044</v>
      </c>
      <c r="C137" s="99" t="s">
        <v>67</v>
      </c>
      <c r="D137" s="99" t="s">
        <v>405</v>
      </c>
      <c r="E137" s="99" t="s">
        <v>303</v>
      </c>
      <c r="F137" s="97" t="s">
        <v>2045</v>
      </c>
      <c r="G137" s="97"/>
      <c r="H137" s="106" t="s">
        <v>944</v>
      </c>
      <c r="I137" s="146" t="s">
        <v>2343</v>
      </c>
      <c r="J137" s="137">
        <v>168.43</v>
      </c>
      <c r="K137" s="137">
        <v>53.025399999999998</v>
      </c>
    </row>
    <row r="138" spans="1:11">
      <c r="A138" s="148"/>
      <c r="B138" s="99" t="s">
        <v>2046</v>
      </c>
      <c r="C138" s="99" t="s">
        <v>67</v>
      </c>
      <c r="D138" s="99" t="s">
        <v>405</v>
      </c>
      <c r="E138" s="99" t="s">
        <v>303</v>
      </c>
      <c r="F138" s="97" t="s">
        <v>2045</v>
      </c>
      <c r="G138" s="13" t="s">
        <v>1849</v>
      </c>
      <c r="H138" s="106" t="s">
        <v>944</v>
      </c>
      <c r="I138" s="146" t="s">
        <v>2282</v>
      </c>
      <c r="J138" s="137"/>
      <c r="K138" s="137"/>
    </row>
    <row r="139" spans="1:11">
      <c r="A139" s="148"/>
      <c r="B139" s="99" t="s">
        <v>2047</v>
      </c>
      <c r="C139" s="99" t="s">
        <v>67</v>
      </c>
      <c r="D139" s="99" t="s">
        <v>405</v>
      </c>
      <c r="E139" s="99" t="s">
        <v>303</v>
      </c>
      <c r="F139" s="97" t="s">
        <v>2048</v>
      </c>
      <c r="G139" s="97"/>
      <c r="H139" s="106" t="s">
        <v>944</v>
      </c>
      <c r="I139" s="146" t="s">
        <v>2344</v>
      </c>
      <c r="J139" s="137">
        <v>168.43</v>
      </c>
      <c r="K139" s="137">
        <v>53.025399999999998</v>
      </c>
    </row>
    <row r="140" spans="1:11">
      <c r="A140" s="148"/>
      <c r="B140" s="99" t="s">
        <v>2049</v>
      </c>
      <c r="C140" s="99" t="s">
        <v>67</v>
      </c>
      <c r="D140" s="99" t="s">
        <v>405</v>
      </c>
      <c r="E140" s="99" t="s">
        <v>303</v>
      </c>
      <c r="F140" s="97" t="s">
        <v>2048</v>
      </c>
      <c r="G140" s="13" t="s">
        <v>1849</v>
      </c>
      <c r="H140" s="106" t="s">
        <v>944</v>
      </c>
      <c r="I140" s="146" t="s">
        <v>2282</v>
      </c>
      <c r="J140" s="137"/>
      <c r="K140" s="137"/>
    </row>
    <row r="141" spans="1:11">
      <c r="A141" s="148"/>
      <c r="B141" s="99" t="s">
        <v>2050</v>
      </c>
      <c r="C141" s="99" t="s">
        <v>67</v>
      </c>
      <c r="D141" s="99" t="s">
        <v>405</v>
      </c>
      <c r="E141" s="99" t="s">
        <v>303</v>
      </c>
      <c r="F141" s="97" t="s">
        <v>2051</v>
      </c>
      <c r="G141" s="97"/>
      <c r="H141" s="106" t="s">
        <v>944</v>
      </c>
      <c r="I141" s="146" t="s">
        <v>2345</v>
      </c>
      <c r="J141" s="137">
        <v>168.43</v>
      </c>
      <c r="K141" s="137">
        <v>53.025399999999998</v>
      </c>
    </row>
    <row r="142" spans="1:11">
      <c r="A142" s="148"/>
      <c r="B142" s="99" t="s">
        <v>2052</v>
      </c>
      <c r="C142" s="99" t="s">
        <v>67</v>
      </c>
      <c r="D142" s="99" t="s">
        <v>405</v>
      </c>
      <c r="E142" s="99" t="s">
        <v>303</v>
      </c>
      <c r="F142" s="97" t="s">
        <v>2051</v>
      </c>
      <c r="G142" s="13" t="s">
        <v>1849</v>
      </c>
      <c r="H142" s="106" t="s">
        <v>944</v>
      </c>
      <c r="I142" s="146" t="s">
        <v>2282</v>
      </c>
      <c r="J142" s="137"/>
      <c r="K142" s="137"/>
    </row>
    <row r="143" spans="1:11">
      <c r="A143" s="148"/>
      <c r="B143" s="99" t="s">
        <v>2053</v>
      </c>
      <c r="C143" s="99" t="s">
        <v>67</v>
      </c>
      <c r="D143" s="99" t="s">
        <v>405</v>
      </c>
      <c r="E143" s="99" t="s">
        <v>303</v>
      </c>
      <c r="F143" s="97" t="s">
        <v>2054</v>
      </c>
      <c r="G143" s="97"/>
      <c r="H143" s="106" t="s">
        <v>944</v>
      </c>
      <c r="I143" s="146" t="s">
        <v>2346</v>
      </c>
      <c r="J143" s="137">
        <v>168.43</v>
      </c>
      <c r="K143" s="137">
        <v>53.025399999999998</v>
      </c>
    </row>
    <row r="144" spans="1:11">
      <c r="A144" s="148"/>
      <c r="B144" s="99" t="s">
        <v>2055</v>
      </c>
      <c r="C144" s="99" t="s">
        <v>67</v>
      </c>
      <c r="D144" s="99" t="s">
        <v>405</v>
      </c>
      <c r="E144" s="99" t="s">
        <v>303</v>
      </c>
      <c r="F144" s="97" t="s">
        <v>2054</v>
      </c>
      <c r="G144" s="13" t="s">
        <v>1849</v>
      </c>
      <c r="H144" s="106" t="s">
        <v>944</v>
      </c>
      <c r="I144" s="146" t="s">
        <v>2282</v>
      </c>
      <c r="J144" s="137"/>
      <c r="K144" s="137"/>
    </row>
    <row r="145" spans="1:11">
      <c r="A145" s="148"/>
      <c r="B145" s="99" t="s">
        <v>2056</v>
      </c>
      <c r="C145" s="99" t="s">
        <v>67</v>
      </c>
      <c r="D145" s="99" t="s">
        <v>405</v>
      </c>
      <c r="E145" s="99" t="s">
        <v>303</v>
      </c>
      <c r="F145" s="97" t="s">
        <v>2057</v>
      </c>
      <c r="G145" s="97"/>
      <c r="H145" s="106" t="s">
        <v>944</v>
      </c>
      <c r="I145" s="146" t="s">
        <v>2347</v>
      </c>
      <c r="J145" s="137">
        <v>168.43</v>
      </c>
      <c r="K145" s="137">
        <v>53.025399999999998</v>
      </c>
    </row>
    <row r="146" spans="1:11">
      <c r="A146" s="148"/>
      <c r="B146" s="99" t="s">
        <v>2058</v>
      </c>
      <c r="C146" s="99" t="s">
        <v>67</v>
      </c>
      <c r="D146" s="99" t="s">
        <v>405</v>
      </c>
      <c r="E146" s="99" t="s">
        <v>303</v>
      </c>
      <c r="F146" s="97" t="s">
        <v>2057</v>
      </c>
      <c r="G146" s="13" t="s">
        <v>1849</v>
      </c>
      <c r="H146" s="106" t="s">
        <v>944</v>
      </c>
      <c r="I146" s="146" t="s">
        <v>2282</v>
      </c>
      <c r="J146" s="137"/>
      <c r="K146" s="137"/>
    </row>
    <row r="147" spans="1:11">
      <c r="A147" s="148"/>
      <c r="B147" s="99" t="s">
        <v>2059</v>
      </c>
      <c r="C147" s="99" t="s">
        <v>67</v>
      </c>
      <c r="D147" s="99" t="s">
        <v>405</v>
      </c>
      <c r="E147" s="99" t="s">
        <v>303</v>
      </c>
      <c r="F147" s="97" t="s">
        <v>2060</v>
      </c>
      <c r="G147" s="97"/>
      <c r="H147" s="106" t="s">
        <v>944</v>
      </c>
      <c r="I147" s="146" t="s">
        <v>2348</v>
      </c>
      <c r="J147" s="137">
        <v>168.43</v>
      </c>
      <c r="K147" s="137">
        <v>53.025399999999998</v>
      </c>
    </row>
    <row r="148" spans="1:11">
      <c r="A148" s="148"/>
      <c r="B148" s="99" t="s">
        <v>2061</v>
      </c>
      <c r="C148" s="99" t="s">
        <v>67</v>
      </c>
      <c r="D148" s="99" t="s">
        <v>405</v>
      </c>
      <c r="E148" s="99" t="s">
        <v>303</v>
      </c>
      <c r="F148" s="97" t="s">
        <v>2060</v>
      </c>
      <c r="G148" s="13" t="s">
        <v>1849</v>
      </c>
      <c r="H148" s="106" t="s">
        <v>944</v>
      </c>
      <c r="I148" s="146" t="s">
        <v>2282</v>
      </c>
      <c r="J148" s="137"/>
      <c r="K148" s="137"/>
    </row>
    <row r="149" spans="1:11">
      <c r="A149" s="148"/>
      <c r="B149" s="99" t="s">
        <v>2062</v>
      </c>
      <c r="C149" s="99" t="s">
        <v>67</v>
      </c>
      <c r="D149" s="99" t="s">
        <v>405</v>
      </c>
      <c r="E149" s="99" t="s">
        <v>303</v>
      </c>
      <c r="F149" s="97" t="s">
        <v>2063</v>
      </c>
      <c r="G149" s="97"/>
      <c r="H149" s="106" t="s">
        <v>944</v>
      </c>
      <c r="I149" s="146" t="s">
        <v>2349</v>
      </c>
      <c r="J149" s="137">
        <v>168.43</v>
      </c>
      <c r="K149" s="137">
        <v>53.025399999999998</v>
      </c>
    </row>
    <row r="150" spans="1:11">
      <c r="A150" s="148"/>
      <c r="B150" s="99" t="s">
        <v>2064</v>
      </c>
      <c r="C150" s="99" t="s">
        <v>67</v>
      </c>
      <c r="D150" s="99" t="s">
        <v>405</v>
      </c>
      <c r="E150" s="99" t="s">
        <v>303</v>
      </c>
      <c r="F150" s="97" t="s">
        <v>2063</v>
      </c>
      <c r="G150" s="13" t="s">
        <v>1849</v>
      </c>
      <c r="H150" s="106" t="s">
        <v>944</v>
      </c>
      <c r="I150" s="146" t="s">
        <v>2282</v>
      </c>
      <c r="J150" s="137"/>
      <c r="K150" s="137"/>
    </row>
    <row r="151" spans="1:11">
      <c r="A151" s="148"/>
      <c r="B151" s="99" t="s">
        <v>2065</v>
      </c>
      <c r="C151" s="99" t="s">
        <v>67</v>
      </c>
      <c r="D151" s="99" t="s">
        <v>405</v>
      </c>
      <c r="E151" s="99" t="s">
        <v>303</v>
      </c>
      <c r="F151" s="97" t="s">
        <v>2066</v>
      </c>
      <c r="G151" s="97"/>
      <c r="H151" s="106" t="s">
        <v>944</v>
      </c>
      <c r="I151" s="146" t="s">
        <v>2350</v>
      </c>
      <c r="J151" s="137">
        <v>168.43</v>
      </c>
      <c r="K151" s="137">
        <v>53.025399999999998</v>
      </c>
    </row>
    <row r="152" spans="1:11">
      <c r="A152" s="148"/>
      <c r="B152" s="99" t="s">
        <v>2067</v>
      </c>
      <c r="C152" s="99" t="s">
        <v>67</v>
      </c>
      <c r="D152" s="99" t="s">
        <v>405</v>
      </c>
      <c r="E152" s="99" t="s">
        <v>303</v>
      </c>
      <c r="F152" s="97" t="s">
        <v>2066</v>
      </c>
      <c r="G152" s="13" t="s">
        <v>1849</v>
      </c>
      <c r="H152" s="106" t="s">
        <v>944</v>
      </c>
      <c r="I152" s="146" t="s">
        <v>2282</v>
      </c>
      <c r="J152" s="137"/>
      <c r="K152" s="137"/>
    </row>
    <row r="153" spans="1:11">
      <c r="A153" s="148"/>
      <c r="B153" s="99" t="s">
        <v>2068</v>
      </c>
      <c r="C153" s="99" t="s">
        <v>67</v>
      </c>
      <c r="D153" s="99" t="s">
        <v>405</v>
      </c>
      <c r="E153" s="99" t="s">
        <v>303</v>
      </c>
      <c r="F153" s="97" t="s">
        <v>2069</v>
      </c>
      <c r="G153" s="97"/>
      <c r="H153" s="106" t="s">
        <v>944</v>
      </c>
      <c r="I153" s="146" t="s">
        <v>2351</v>
      </c>
      <c r="J153" s="137">
        <v>168.43</v>
      </c>
      <c r="K153" s="137">
        <v>53.025399999999998</v>
      </c>
    </row>
    <row r="154" spans="1:11">
      <c r="A154" s="148"/>
      <c r="B154" s="99" t="s">
        <v>2070</v>
      </c>
      <c r="C154" s="99" t="s">
        <v>67</v>
      </c>
      <c r="D154" s="99" t="s">
        <v>405</v>
      </c>
      <c r="E154" s="99" t="s">
        <v>303</v>
      </c>
      <c r="F154" s="97" t="s">
        <v>2069</v>
      </c>
      <c r="G154" s="13" t="s">
        <v>1849</v>
      </c>
      <c r="H154" s="106" t="s">
        <v>944</v>
      </c>
      <c r="I154" s="146" t="s">
        <v>2282</v>
      </c>
      <c r="J154" s="137"/>
      <c r="K154" s="137"/>
    </row>
    <row r="155" spans="1:11">
      <c r="A155" s="148"/>
      <c r="B155" s="99" t="s">
        <v>2071</v>
      </c>
      <c r="C155" s="99" t="s">
        <v>67</v>
      </c>
      <c r="D155" s="99" t="s">
        <v>405</v>
      </c>
      <c r="E155" s="99" t="s">
        <v>303</v>
      </c>
      <c r="F155" s="97" t="s">
        <v>2072</v>
      </c>
      <c r="G155" s="97"/>
      <c r="H155" s="106" t="s">
        <v>944</v>
      </c>
      <c r="I155" s="146" t="s">
        <v>2352</v>
      </c>
      <c r="J155" s="137">
        <v>168.43</v>
      </c>
      <c r="K155" s="137">
        <v>53.025399999999998</v>
      </c>
    </row>
    <row r="156" spans="1:11">
      <c r="A156" s="148"/>
      <c r="B156" s="99" t="s">
        <v>2073</v>
      </c>
      <c r="C156" s="99" t="s">
        <v>67</v>
      </c>
      <c r="D156" s="99" t="s">
        <v>405</v>
      </c>
      <c r="E156" s="99" t="s">
        <v>303</v>
      </c>
      <c r="F156" s="97" t="s">
        <v>2072</v>
      </c>
      <c r="G156" s="13" t="s">
        <v>1849</v>
      </c>
      <c r="H156" s="106" t="s">
        <v>944</v>
      </c>
      <c r="I156" s="146" t="s">
        <v>2282</v>
      </c>
      <c r="J156" s="137"/>
      <c r="K156" s="137"/>
    </row>
    <row r="157" spans="1:11">
      <c r="A157" s="148"/>
      <c r="B157" s="99" t="s">
        <v>2074</v>
      </c>
      <c r="C157" s="99" t="s">
        <v>67</v>
      </c>
      <c r="D157" s="99" t="s">
        <v>405</v>
      </c>
      <c r="E157" s="99" t="s">
        <v>303</v>
      </c>
      <c r="F157" s="97" t="s">
        <v>2075</v>
      </c>
      <c r="G157" s="97"/>
      <c r="H157" s="106" t="s">
        <v>944</v>
      </c>
      <c r="I157" s="146" t="s">
        <v>2353</v>
      </c>
      <c r="J157" s="137">
        <v>168.43</v>
      </c>
      <c r="K157" s="137">
        <v>53.025399999999998</v>
      </c>
    </row>
    <row r="158" spans="1:11">
      <c r="A158" s="148"/>
      <c r="B158" s="99" t="s">
        <v>2076</v>
      </c>
      <c r="C158" s="99" t="s">
        <v>67</v>
      </c>
      <c r="D158" s="99" t="s">
        <v>405</v>
      </c>
      <c r="E158" s="99" t="s">
        <v>303</v>
      </c>
      <c r="F158" s="97" t="s">
        <v>2075</v>
      </c>
      <c r="G158" s="13" t="s">
        <v>1849</v>
      </c>
      <c r="H158" s="106" t="s">
        <v>944</v>
      </c>
      <c r="I158" s="146" t="s">
        <v>2282</v>
      </c>
      <c r="J158" s="137"/>
      <c r="K158" s="137"/>
    </row>
    <row r="159" spans="1:11">
      <c r="A159" s="148"/>
      <c r="B159" s="99" t="s">
        <v>2077</v>
      </c>
      <c r="C159" s="99" t="s">
        <v>67</v>
      </c>
      <c r="D159" s="99" t="s">
        <v>405</v>
      </c>
      <c r="E159" s="99" t="s">
        <v>303</v>
      </c>
      <c r="F159" s="97" t="s">
        <v>2078</v>
      </c>
      <c r="G159" s="97"/>
      <c r="H159" s="106" t="s">
        <v>944</v>
      </c>
      <c r="I159" s="146" t="s">
        <v>2354</v>
      </c>
      <c r="J159" s="137">
        <v>168.43</v>
      </c>
      <c r="K159" s="137">
        <v>53.025399999999998</v>
      </c>
    </row>
    <row r="160" spans="1:11">
      <c r="A160" s="148"/>
      <c r="B160" s="99" t="s">
        <v>2079</v>
      </c>
      <c r="C160" s="99" t="s">
        <v>67</v>
      </c>
      <c r="D160" s="99" t="s">
        <v>405</v>
      </c>
      <c r="E160" s="99" t="s">
        <v>303</v>
      </c>
      <c r="F160" s="97" t="s">
        <v>2078</v>
      </c>
      <c r="G160" s="13" t="s">
        <v>1849</v>
      </c>
      <c r="H160" s="106" t="s">
        <v>944</v>
      </c>
      <c r="I160" s="146" t="s">
        <v>2282</v>
      </c>
      <c r="J160" s="137"/>
      <c r="K160" s="137"/>
    </row>
    <row r="161" spans="1:11">
      <c r="A161" s="148"/>
      <c r="B161" s="99" t="s">
        <v>2080</v>
      </c>
      <c r="C161" s="99" t="s">
        <v>67</v>
      </c>
      <c r="D161" s="99" t="s">
        <v>405</v>
      </c>
      <c r="E161" s="99" t="s">
        <v>303</v>
      </c>
      <c r="F161" s="97" t="s">
        <v>2081</v>
      </c>
      <c r="G161" s="97"/>
      <c r="H161" s="106" t="s">
        <v>944</v>
      </c>
      <c r="I161" s="146" t="s">
        <v>2355</v>
      </c>
      <c r="J161" s="137">
        <v>168.43</v>
      </c>
      <c r="K161" s="137">
        <v>53.025399999999998</v>
      </c>
    </row>
    <row r="162" spans="1:11">
      <c r="A162" s="148"/>
      <c r="B162" s="99" t="s">
        <v>2082</v>
      </c>
      <c r="C162" s="99" t="s">
        <v>67</v>
      </c>
      <c r="D162" s="99" t="s">
        <v>405</v>
      </c>
      <c r="E162" s="99" t="s">
        <v>303</v>
      </c>
      <c r="F162" s="97" t="s">
        <v>2081</v>
      </c>
      <c r="G162" s="13" t="s">
        <v>1849</v>
      </c>
      <c r="H162" s="106" t="s">
        <v>944</v>
      </c>
      <c r="I162" s="146" t="s">
        <v>2282</v>
      </c>
      <c r="J162" s="137"/>
      <c r="K162" s="137"/>
    </row>
    <row r="163" spans="1:11" hidden="1">
      <c r="A163" s="148"/>
      <c r="B163" s="99" t="s">
        <v>2083</v>
      </c>
      <c r="C163" s="99" t="s">
        <v>67</v>
      </c>
      <c r="D163" s="99" t="s">
        <v>405</v>
      </c>
      <c r="E163" s="99" t="s">
        <v>303</v>
      </c>
      <c r="F163" s="97" t="s">
        <v>2084</v>
      </c>
      <c r="G163" s="97"/>
      <c r="H163" s="135">
        <v>-3.6999999999999998E-2</v>
      </c>
      <c r="I163" s="146" t="s">
        <v>2356</v>
      </c>
      <c r="J163" s="137">
        <v>168.43</v>
      </c>
      <c r="K163" s="137">
        <v>53.025399999999998</v>
      </c>
    </row>
    <row r="164" spans="1:11" ht="9.75" hidden="1" customHeight="1">
      <c r="A164" s="148"/>
      <c r="B164" s="99" t="s">
        <v>2085</v>
      </c>
      <c r="C164" s="99" t="s">
        <v>67</v>
      </c>
      <c r="D164" s="99" t="s">
        <v>405</v>
      </c>
      <c r="E164" s="99" t="s">
        <v>303</v>
      </c>
      <c r="F164" s="97" t="s">
        <v>2084</v>
      </c>
      <c r="G164" s="13" t="s">
        <v>1849</v>
      </c>
      <c r="H164" s="135">
        <v>-3.6999999999999998E-2</v>
      </c>
      <c r="I164" s="146" t="s">
        <v>2282</v>
      </c>
      <c r="J164" s="137"/>
      <c r="K164" s="137"/>
    </row>
    <row r="165" spans="1:11" hidden="1">
      <c r="A165" s="148"/>
      <c r="B165" s="99" t="s">
        <v>2086</v>
      </c>
      <c r="C165" s="99" t="s">
        <v>67</v>
      </c>
      <c r="D165" s="99" t="s">
        <v>405</v>
      </c>
      <c r="E165" s="99" t="s">
        <v>303</v>
      </c>
      <c r="F165" s="97" t="s">
        <v>2087</v>
      </c>
      <c r="G165" s="97"/>
      <c r="H165" s="135">
        <v>-4.4499999999999998E-2</v>
      </c>
      <c r="I165" s="146" t="s">
        <v>2357</v>
      </c>
      <c r="J165" s="137">
        <v>168.43</v>
      </c>
      <c r="K165" s="137">
        <v>53.025399999999998</v>
      </c>
    </row>
    <row r="166" spans="1:11" hidden="1">
      <c r="A166" s="148"/>
      <c r="B166" s="99" t="s">
        <v>2088</v>
      </c>
      <c r="C166" s="99" t="s">
        <v>67</v>
      </c>
      <c r="D166" s="99" t="s">
        <v>405</v>
      </c>
      <c r="E166" s="99" t="s">
        <v>303</v>
      </c>
      <c r="F166" s="97" t="s">
        <v>2087</v>
      </c>
      <c r="G166" s="13" t="s">
        <v>1849</v>
      </c>
      <c r="H166" s="135">
        <v>-4.4499999999999998E-2</v>
      </c>
      <c r="I166" s="146" t="s">
        <v>2282</v>
      </c>
      <c r="J166" s="137"/>
      <c r="K166" s="137"/>
    </row>
    <row r="167" spans="1:11" hidden="1">
      <c r="A167" s="148"/>
      <c r="B167" s="99" t="s">
        <v>2089</v>
      </c>
      <c r="C167" s="99" t="s">
        <v>67</v>
      </c>
      <c r="D167" s="99" t="s">
        <v>405</v>
      </c>
      <c r="E167" s="99" t="s">
        <v>303</v>
      </c>
      <c r="F167" s="97" t="s">
        <v>2090</v>
      </c>
      <c r="G167" s="97"/>
      <c r="H167" s="135">
        <v>-6.6799999999999998E-2</v>
      </c>
      <c r="I167" s="146" t="s">
        <v>2358</v>
      </c>
      <c r="J167" s="137">
        <v>168.43</v>
      </c>
      <c r="K167" s="137">
        <v>53.025399999999998</v>
      </c>
    </row>
    <row r="168" spans="1:11" hidden="1">
      <c r="A168" s="148"/>
      <c r="B168" s="99" t="s">
        <v>2091</v>
      </c>
      <c r="C168" s="99" t="s">
        <v>67</v>
      </c>
      <c r="D168" s="99" t="s">
        <v>405</v>
      </c>
      <c r="E168" s="99" t="s">
        <v>303</v>
      </c>
      <c r="F168" s="97" t="s">
        <v>2090</v>
      </c>
      <c r="G168" s="13" t="s">
        <v>1849</v>
      </c>
      <c r="H168" s="135">
        <v>-6.6799999999999998E-2</v>
      </c>
      <c r="I168" s="146" t="s">
        <v>2282</v>
      </c>
      <c r="J168" s="137"/>
      <c r="K168" s="137"/>
    </row>
    <row r="169" spans="1:11" hidden="1">
      <c r="A169" s="148"/>
      <c r="B169" s="99" t="s">
        <v>2092</v>
      </c>
      <c r="C169" s="99" t="s">
        <v>67</v>
      </c>
      <c r="D169" s="99" t="s">
        <v>405</v>
      </c>
      <c r="E169" s="99" t="s">
        <v>303</v>
      </c>
      <c r="F169" s="97" t="s">
        <v>2093</v>
      </c>
      <c r="G169" s="97"/>
      <c r="H169" s="135">
        <v>-7.4099999999999999E-2</v>
      </c>
      <c r="I169" s="146" t="s">
        <v>2359</v>
      </c>
      <c r="J169" s="137">
        <v>168.43</v>
      </c>
      <c r="K169" s="137">
        <v>53.025399999999998</v>
      </c>
    </row>
    <row r="170" spans="1:11" hidden="1">
      <c r="A170" s="148"/>
      <c r="B170" s="99" t="s">
        <v>2094</v>
      </c>
      <c r="C170" s="99" t="s">
        <v>67</v>
      </c>
      <c r="D170" s="99" t="s">
        <v>405</v>
      </c>
      <c r="E170" s="99" t="s">
        <v>303</v>
      </c>
      <c r="F170" s="97" t="s">
        <v>2093</v>
      </c>
      <c r="G170" s="13" t="s">
        <v>1849</v>
      </c>
      <c r="H170" s="135">
        <v>-7.4099999999999999E-2</v>
      </c>
      <c r="I170" s="146" t="s">
        <v>2282</v>
      </c>
      <c r="J170" s="137"/>
      <c r="K170" s="137"/>
    </row>
    <row r="171" spans="1:11" hidden="1">
      <c r="A171" s="148"/>
      <c r="B171" s="99" t="s">
        <v>2095</v>
      </c>
      <c r="C171" s="99" t="s">
        <v>67</v>
      </c>
      <c r="D171" s="99" t="s">
        <v>405</v>
      </c>
      <c r="E171" s="99" t="s">
        <v>303</v>
      </c>
      <c r="F171" s="97" t="s">
        <v>2096</v>
      </c>
      <c r="G171" s="97"/>
      <c r="H171" s="135">
        <v>-8.8900000000000007E-2</v>
      </c>
      <c r="I171" s="146" t="s">
        <v>2360</v>
      </c>
      <c r="J171" s="137">
        <v>168.43</v>
      </c>
      <c r="K171" s="137">
        <v>53.025399999999998</v>
      </c>
    </row>
    <row r="172" spans="1:11" hidden="1">
      <c r="A172" s="148"/>
      <c r="B172" s="99" t="s">
        <v>2097</v>
      </c>
      <c r="C172" s="99" t="s">
        <v>67</v>
      </c>
      <c r="D172" s="99" t="s">
        <v>405</v>
      </c>
      <c r="E172" s="99" t="s">
        <v>303</v>
      </c>
      <c r="F172" s="97" t="s">
        <v>2096</v>
      </c>
      <c r="G172" s="13" t="s">
        <v>1849</v>
      </c>
      <c r="H172" s="135">
        <v>-8.8900000000000007E-2</v>
      </c>
      <c r="I172" s="146" t="s">
        <v>2282</v>
      </c>
      <c r="J172" s="137"/>
      <c r="K172" s="137"/>
    </row>
    <row r="173" spans="1:11" hidden="1">
      <c r="A173" s="148"/>
      <c r="B173" s="99" t="s">
        <v>2098</v>
      </c>
      <c r="C173" s="99" t="s">
        <v>67</v>
      </c>
      <c r="D173" s="99" t="s">
        <v>405</v>
      </c>
      <c r="E173" s="99" t="s">
        <v>303</v>
      </c>
      <c r="F173" s="97" t="s">
        <v>2099</v>
      </c>
      <c r="G173" s="97"/>
      <c r="H173" s="135">
        <v>-0.1111</v>
      </c>
      <c r="I173" s="146" t="s">
        <v>2361</v>
      </c>
      <c r="J173" s="137">
        <v>168.43</v>
      </c>
      <c r="K173" s="137">
        <v>53.025399999999998</v>
      </c>
    </row>
    <row r="174" spans="1:11" hidden="1">
      <c r="A174" s="148"/>
      <c r="B174" s="99" t="s">
        <v>2100</v>
      </c>
      <c r="C174" s="99" t="s">
        <v>67</v>
      </c>
      <c r="D174" s="99" t="s">
        <v>405</v>
      </c>
      <c r="E174" s="99" t="s">
        <v>303</v>
      </c>
      <c r="F174" s="97" t="s">
        <v>2099</v>
      </c>
      <c r="G174" s="13" t="s">
        <v>1849</v>
      </c>
      <c r="H174" s="135">
        <v>-0.1111</v>
      </c>
      <c r="I174" s="146" t="s">
        <v>2282</v>
      </c>
      <c r="J174" s="137"/>
      <c r="K174" s="137"/>
    </row>
    <row r="175" spans="1:11" hidden="1">
      <c r="A175" s="148"/>
      <c r="B175" s="99" t="s">
        <v>2101</v>
      </c>
      <c r="C175" s="99" t="s">
        <v>67</v>
      </c>
      <c r="D175" s="99" t="s">
        <v>405</v>
      </c>
      <c r="E175" s="99" t="s">
        <v>303</v>
      </c>
      <c r="F175" s="97" t="s">
        <v>2102</v>
      </c>
      <c r="G175" s="97"/>
      <c r="H175" s="135">
        <v>-0.13339999999999999</v>
      </c>
      <c r="I175" s="146" t="s">
        <v>2362</v>
      </c>
      <c r="J175" s="137">
        <v>168.43</v>
      </c>
      <c r="K175" s="137">
        <v>53.025399999999998</v>
      </c>
    </row>
    <row r="176" spans="1:11" hidden="1">
      <c r="A176" s="148"/>
      <c r="B176" s="99" t="s">
        <v>2103</v>
      </c>
      <c r="C176" s="99" t="s">
        <v>67</v>
      </c>
      <c r="D176" s="99" t="s">
        <v>405</v>
      </c>
      <c r="E176" s="99" t="s">
        <v>303</v>
      </c>
      <c r="F176" s="97" t="s">
        <v>2102</v>
      </c>
      <c r="G176" s="13" t="s">
        <v>1849</v>
      </c>
      <c r="H176" s="135">
        <v>-0.13339999999999999</v>
      </c>
      <c r="I176" s="146" t="s">
        <v>2282</v>
      </c>
      <c r="J176" s="137"/>
      <c r="K176" s="137"/>
    </row>
    <row r="177" spans="1:11" hidden="1">
      <c r="A177" s="148"/>
      <c r="B177" s="99" t="s">
        <v>2104</v>
      </c>
      <c r="C177" s="99" t="s">
        <v>67</v>
      </c>
      <c r="D177" s="99" t="s">
        <v>405</v>
      </c>
      <c r="E177" s="99" t="s">
        <v>303</v>
      </c>
      <c r="F177" s="97" t="s">
        <v>2105</v>
      </c>
      <c r="G177" s="97"/>
      <c r="H177" s="135">
        <v>-0.1482</v>
      </c>
      <c r="I177" s="146" t="s">
        <v>2363</v>
      </c>
      <c r="J177" s="137">
        <v>168.43</v>
      </c>
      <c r="K177" s="137">
        <v>53.025399999999998</v>
      </c>
    </row>
    <row r="178" spans="1:11" hidden="1">
      <c r="A178" s="148"/>
      <c r="B178" s="99" t="s">
        <v>2106</v>
      </c>
      <c r="C178" s="99" t="s">
        <v>67</v>
      </c>
      <c r="D178" s="99" t="s">
        <v>405</v>
      </c>
      <c r="E178" s="99" t="s">
        <v>303</v>
      </c>
      <c r="F178" s="97" t="s">
        <v>2105</v>
      </c>
      <c r="G178" s="13" t="s">
        <v>1849</v>
      </c>
      <c r="H178" s="135">
        <v>-0.1482</v>
      </c>
      <c r="I178" s="146" t="s">
        <v>2282</v>
      </c>
      <c r="J178" s="137"/>
      <c r="K178" s="137"/>
    </row>
    <row r="179" spans="1:11" hidden="1">
      <c r="A179" s="148"/>
      <c r="B179" s="99" t="s">
        <v>2107</v>
      </c>
      <c r="C179" s="99" t="s">
        <v>67</v>
      </c>
      <c r="D179" s="99" t="s">
        <v>405</v>
      </c>
      <c r="E179" s="99" t="s">
        <v>303</v>
      </c>
      <c r="F179" s="97" t="s">
        <v>2108</v>
      </c>
      <c r="G179" s="97"/>
      <c r="H179" s="135">
        <v>-0.1741</v>
      </c>
      <c r="I179" s="146" t="s">
        <v>2364</v>
      </c>
      <c r="J179" s="137">
        <v>168.43</v>
      </c>
      <c r="K179" s="137">
        <v>53.025399999999998</v>
      </c>
    </row>
    <row r="180" spans="1:11" hidden="1">
      <c r="A180" s="148"/>
      <c r="B180" s="99" t="s">
        <v>2109</v>
      </c>
      <c r="C180" s="99" t="s">
        <v>67</v>
      </c>
      <c r="D180" s="99" t="s">
        <v>405</v>
      </c>
      <c r="E180" s="99" t="s">
        <v>303</v>
      </c>
      <c r="F180" s="97" t="s">
        <v>2108</v>
      </c>
      <c r="G180" s="13" t="s">
        <v>1849</v>
      </c>
      <c r="H180" s="135">
        <v>-0.1741</v>
      </c>
      <c r="I180" s="146" t="s">
        <v>2282</v>
      </c>
      <c r="J180" s="137"/>
      <c r="K180" s="137"/>
    </row>
    <row r="181" spans="1:11" hidden="1">
      <c r="A181" s="148"/>
      <c r="B181" s="99" t="s">
        <v>2110</v>
      </c>
      <c r="C181" s="99" t="s">
        <v>67</v>
      </c>
      <c r="D181" s="99" t="s">
        <v>405</v>
      </c>
      <c r="E181" s="99" t="s">
        <v>303</v>
      </c>
      <c r="F181" s="97" t="s">
        <v>2111</v>
      </c>
      <c r="G181" s="97"/>
      <c r="H181" s="135">
        <v>-0.20880000000000001</v>
      </c>
      <c r="I181" s="146" t="s">
        <v>2365</v>
      </c>
      <c r="J181" s="137">
        <v>168.43</v>
      </c>
      <c r="K181" s="137">
        <v>53.025399999999998</v>
      </c>
    </row>
    <row r="182" spans="1:11" hidden="1">
      <c r="A182" s="148"/>
      <c r="B182" s="99" t="s">
        <v>2112</v>
      </c>
      <c r="C182" s="99" t="s">
        <v>67</v>
      </c>
      <c r="D182" s="99" t="s">
        <v>405</v>
      </c>
      <c r="E182" s="99" t="s">
        <v>303</v>
      </c>
      <c r="F182" s="97" t="s">
        <v>2111</v>
      </c>
      <c r="G182" s="13" t="s">
        <v>1849</v>
      </c>
      <c r="H182" s="135">
        <v>-0.20880000000000001</v>
      </c>
      <c r="I182" s="146" t="s">
        <v>2282</v>
      </c>
      <c r="J182" s="137"/>
      <c r="K182" s="137"/>
    </row>
    <row r="183" spans="1:11" hidden="1">
      <c r="A183" s="148"/>
      <c r="B183" s="99" t="s">
        <v>2113</v>
      </c>
      <c r="C183" s="99" t="s">
        <v>67</v>
      </c>
      <c r="D183" s="99" t="s">
        <v>405</v>
      </c>
      <c r="E183" s="99" t="s">
        <v>303</v>
      </c>
      <c r="F183" s="97" t="s">
        <v>2114</v>
      </c>
      <c r="G183" s="97"/>
      <c r="H183" s="135">
        <v>-0.2437</v>
      </c>
      <c r="I183" s="146" t="s">
        <v>2366</v>
      </c>
      <c r="J183" s="137">
        <v>168.43</v>
      </c>
      <c r="K183" s="137">
        <v>53.025399999999998</v>
      </c>
    </row>
    <row r="184" spans="1:11" hidden="1">
      <c r="A184" s="148"/>
      <c r="B184" s="99" t="s">
        <v>2115</v>
      </c>
      <c r="C184" s="99" t="s">
        <v>67</v>
      </c>
      <c r="D184" s="99" t="s">
        <v>405</v>
      </c>
      <c r="E184" s="99" t="s">
        <v>303</v>
      </c>
      <c r="F184" s="97" t="s">
        <v>2114</v>
      </c>
      <c r="G184" s="13" t="s">
        <v>1849</v>
      </c>
      <c r="H184" s="135">
        <v>-0.2437</v>
      </c>
      <c r="I184" s="146" t="s">
        <v>2282</v>
      </c>
      <c r="J184" s="137"/>
      <c r="K184" s="137"/>
    </row>
    <row r="185" spans="1:11">
      <c r="A185" s="148"/>
      <c r="B185" s="99" t="s">
        <v>2116</v>
      </c>
      <c r="C185" s="99" t="s">
        <v>67</v>
      </c>
      <c r="D185" s="99" t="s">
        <v>405</v>
      </c>
      <c r="E185" s="99" t="s">
        <v>303</v>
      </c>
      <c r="F185" s="97" t="s">
        <v>2117</v>
      </c>
      <c r="G185" s="97"/>
      <c r="H185" s="135">
        <v>-0.27850000000000003</v>
      </c>
      <c r="I185" s="146" t="s">
        <v>2367</v>
      </c>
      <c r="J185" s="137">
        <v>168.43</v>
      </c>
      <c r="K185" s="137">
        <v>53.025399999999998</v>
      </c>
    </row>
    <row r="186" spans="1:11">
      <c r="A186" s="148"/>
      <c r="B186" s="99" t="s">
        <v>2118</v>
      </c>
      <c r="C186" s="99" t="s">
        <v>67</v>
      </c>
      <c r="D186" s="99" t="s">
        <v>405</v>
      </c>
      <c r="E186" s="99" t="s">
        <v>303</v>
      </c>
      <c r="F186" s="97" t="s">
        <v>2117</v>
      </c>
      <c r="G186" s="13" t="s">
        <v>1849</v>
      </c>
      <c r="H186" s="135">
        <v>-0.27850000000000003</v>
      </c>
      <c r="I186" s="146" t="s">
        <v>2282</v>
      </c>
      <c r="J186" s="137"/>
      <c r="K186" s="137"/>
    </row>
    <row r="187" spans="1:11">
      <c r="A187" s="148"/>
      <c r="B187" s="99" t="s">
        <v>2119</v>
      </c>
      <c r="C187" s="99" t="s">
        <v>67</v>
      </c>
      <c r="D187" s="99" t="s">
        <v>405</v>
      </c>
      <c r="E187" s="99" t="s">
        <v>303</v>
      </c>
      <c r="F187" s="97" t="s">
        <v>2120</v>
      </c>
      <c r="G187" s="97"/>
      <c r="H187" s="135">
        <v>-0.29320000000000002</v>
      </c>
      <c r="I187" s="146" t="s">
        <v>2368</v>
      </c>
      <c r="J187" s="137">
        <v>168.43</v>
      </c>
      <c r="K187" s="137">
        <v>53.025399999999998</v>
      </c>
    </row>
    <row r="188" spans="1:11">
      <c r="A188" s="148"/>
      <c r="B188" s="99" t="s">
        <v>2121</v>
      </c>
      <c r="C188" s="99" t="s">
        <v>67</v>
      </c>
      <c r="D188" s="99" t="s">
        <v>405</v>
      </c>
      <c r="E188" s="99" t="s">
        <v>303</v>
      </c>
      <c r="F188" s="97" t="s">
        <v>2120</v>
      </c>
      <c r="G188" s="13" t="s">
        <v>1849</v>
      </c>
      <c r="H188" s="135">
        <v>-0.29320000000000002</v>
      </c>
      <c r="I188" s="146" t="s">
        <v>2282</v>
      </c>
      <c r="J188" s="137"/>
      <c r="K188" s="137"/>
    </row>
    <row r="189" spans="1:11">
      <c r="A189" s="148"/>
      <c r="B189" s="99" t="s">
        <v>2122</v>
      </c>
      <c r="C189" s="99" t="s">
        <v>67</v>
      </c>
      <c r="D189" s="99" t="s">
        <v>405</v>
      </c>
      <c r="E189" s="99" t="s">
        <v>303</v>
      </c>
      <c r="F189" s="97" t="s">
        <v>2123</v>
      </c>
      <c r="G189" s="97"/>
      <c r="H189" s="135">
        <v>-0.32579999999999998</v>
      </c>
      <c r="I189" s="146" t="s">
        <v>2369</v>
      </c>
      <c r="J189" s="137">
        <v>168.43</v>
      </c>
      <c r="K189" s="137">
        <v>53.025399999999998</v>
      </c>
    </row>
    <row r="190" spans="1:11">
      <c r="A190" s="148"/>
      <c r="B190" s="99" t="s">
        <v>2124</v>
      </c>
      <c r="C190" s="99" t="s">
        <v>67</v>
      </c>
      <c r="D190" s="99" t="s">
        <v>405</v>
      </c>
      <c r="E190" s="99" t="s">
        <v>303</v>
      </c>
      <c r="F190" s="97" t="s">
        <v>2123</v>
      </c>
      <c r="G190" s="13" t="s">
        <v>1849</v>
      </c>
      <c r="H190" s="135">
        <v>-0.32579999999999998</v>
      </c>
      <c r="I190" s="146" t="s">
        <v>2282</v>
      </c>
      <c r="J190" s="137"/>
      <c r="K190" s="137"/>
    </row>
    <row r="191" spans="1:11">
      <c r="A191" s="148"/>
      <c r="B191" s="99" t="s">
        <v>2125</v>
      </c>
      <c r="C191" s="99" t="s">
        <v>67</v>
      </c>
      <c r="D191" s="99" t="s">
        <v>405</v>
      </c>
      <c r="E191" s="99" t="s">
        <v>303</v>
      </c>
      <c r="F191" s="97" t="s">
        <v>2126</v>
      </c>
      <c r="G191" s="97"/>
      <c r="H191" s="135">
        <v>-0.39090000000000003</v>
      </c>
      <c r="I191" s="146" t="s">
        <v>2370</v>
      </c>
      <c r="J191" s="137">
        <v>168.43</v>
      </c>
      <c r="K191" s="137">
        <v>53.025399999999998</v>
      </c>
    </row>
    <row r="192" spans="1:11">
      <c r="A192" s="148"/>
      <c r="B192" s="99" t="s">
        <v>2127</v>
      </c>
      <c r="C192" s="99" t="s">
        <v>67</v>
      </c>
      <c r="D192" s="99" t="s">
        <v>405</v>
      </c>
      <c r="E192" s="99" t="s">
        <v>303</v>
      </c>
      <c r="F192" s="97" t="s">
        <v>2126</v>
      </c>
      <c r="G192" s="13" t="s">
        <v>1849</v>
      </c>
      <c r="H192" s="135">
        <v>-0.39090000000000003</v>
      </c>
      <c r="I192" s="146" t="s">
        <v>2282</v>
      </c>
      <c r="J192" s="137"/>
      <c r="K192" s="137"/>
    </row>
    <row r="193" spans="1:11">
      <c r="A193" s="148"/>
      <c r="B193" s="99" t="s">
        <v>2128</v>
      </c>
      <c r="C193" s="99" t="s">
        <v>67</v>
      </c>
      <c r="D193" s="99" t="s">
        <v>405</v>
      </c>
      <c r="E193" s="99" t="s">
        <v>303</v>
      </c>
      <c r="F193" s="97" t="s">
        <v>2129</v>
      </c>
      <c r="G193" s="97"/>
      <c r="H193" s="135">
        <v>-0.45600000000000002</v>
      </c>
      <c r="I193" s="146" t="s">
        <v>2371</v>
      </c>
      <c r="J193" s="137">
        <v>168.43</v>
      </c>
      <c r="K193" s="137">
        <v>53.025399999999998</v>
      </c>
    </row>
    <row r="194" spans="1:11">
      <c r="A194" s="148"/>
      <c r="B194" s="99" t="s">
        <v>2130</v>
      </c>
      <c r="C194" s="99" t="s">
        <v>67</v>
      </c>
      <c r="D194" s="99" t="s">
        <v>405</v>
      </c>
      <c r="E194" s="99" t="s">
        <v>303</v>
      </c>
      <c r="F194" s="97" t="s">
        <v>2129</v>
      </c>
      <c r="G194" s="13" t="s">
        <v>1849</v>
      </c>
      <c r="H194" s="135">
        <v>-0.45600000000000002</v>
      </c>
      <c r="I194" s="146" t="s">
        <v>2282</v>
      </c>
      <c r="J194" s="137"/>
      <c r="K194" s="137"/>
    </row>
    <row r="195" spans="1:11">
      <c r="A195" s="148"/>
      <c r="B195" s="99" t="s">
        <v>2131</v>
      </c>
      <c r="C195" s="99" t="s">
        <v>67</v>
      </c>
      <c r="D195" s="99" t="s">
        <v>405</v>
      </c>
      <c r="E195" s="99" t="s">
        <v>303</v>
      </c>
      <c r="F195" s="97" t="s">
        <v>2132</v>
      </c>
      <c r="G195" s="97"/>
      <c r="H195" s="135">
        <v>-0.53549999999999998</v>
      </c>
      <c r="I195" s="146" t="s">
        <v>2372</v>
      </c>
      <c r="J195" s="137">
        <v>168.43</v>
      </c>
      <c r="K195" s="137">
        <v>53.025399999999998</v>
      </c>
    </row>
    <row r="196" spans="1:11">
      <c r="A196" s="148"/>
      <c r="B196" s="99" t="s">
        <v>2133</v>
      </c>
      <c r="C196" s="99" t="s">
        <v>67</v>
      </c>
      <c r="D196" s="99" t="s">
        <v>405</v>
      </c>
      <c r="E196" s="99" t="s">
        <v>303</v>
      </c>
      <c r="F196" s="97" t="s">
        <v>2132</v>
      </c>
      <c r="G196" s="13" t="s">
        <v>1849</v>
      </c>
      <c r="H196" s="135">
        <v>-0.53549999999999998</v>
      </c>
      <c r="I196" s="146" t="s">
        <v>2282</v>
      </c>
      <c r="J196" s="137"/>
      <c r="K196" s="137"/>
    </row>
    <row r="197" spans="1:11" hidden="1">
      <c r="A197" s="148"/>
      <c r="B197" s="99" t="s">
        <v>2004</v>
      </c>
      <c r="C197" s="99" t="s">
        <v>66</v>
      </c>
      <c r="D197" s="99" t="s">
        <v>399</v>
      </c>
      <c r="E197" s="99" t="s">
        <v>303</v>
      </c>
      <c r="F197" s="97" t="s">
        <v>1908</v>
      </c>
      <c r="G197" s="97"/>
      <c r="H197" s="135">
        <v>-5.6500000000000002E-2</v>
      </c>
      <c r="I197" s="146" t="s">
        <v>2373</v>
      </c>
      <c r="J197" s="137">
        <v>168.43</v>
      </c>
      <c r="K197" s="137">
        <v>17.1553</v>
      </c>
    </row>
    <row r="198" spans="1:11" hidden="1">
      <c r="A198" s="148"/>
      <c r="B198" s="99" t="s">
        <v>2005</v>
      </c>
      <c r="C198" s="99" t="s">
        <v>66</v>
      </c>
      <c r="D198" s="99" t="s">
        <v>399</v>
      </c>
      <c r="E198" s="99" t="s">
        <v>303</v>
      </c>
      <c r="F198" s="97" t="s">
        <v>1908</v>
      </c>
      <c r="G198" s="13" t="s">
        <v>1849</v>
      </c>
      <c r="H198" s="135">
        <v>-5.6500000000000002E-2</v>
      </c>
      <c r="I198" s="146" t="s">
        <v>2282</v>
      </c>
      <c r="J198" s="137"/>
      <c r="K198" s="137"/>
    </row>
    <row r="199" spans="1:11" hidden="1">
      <c r="A199" s="148"/>
      <c r="B199" s="99" t="s">
        <v>2006</v>
      </c>
      <c r="C199" s="99" t="s">
        <v>66</v>
      </c>
      <c r="D199" s="99" t="s">
        <v>399</v>
      </c>
      <c r="E199" s="99" t="s">
        <v>303</v>
      </c>
      <c r="F199" s="97" t="s">
        <v>1911</v>
      </c>
      <c r="G199" s="97"/>
      <c r="H199" s="135">
        <v>-0.10390000000000001</v>
      </c>
      <c r="I199" s="146" t="s">
        <v>2374</v>
      </c>
      <c r="J199" s="137">
        <v>168.43</v>
      </c>
      <c r="K199" s="137">
        <v>17.1553</v>
      </c>
    </row>
    <row r="200" spans="1:11" hidden="1">
      <c r="A200" s="148"/>
      <c r="B200" s="99" t="s">
        <v>2007</v>
      </c>
      <c r="C200" s="99" t="s">
        <v>66</v>
      </c>
      <c r="D200" s="99" t="s">
        <v>399</v>
      </c>
      <c r="E200" s="99" t="s">
        <v>303</v>
      </c>
      <c r="F200" s="97" t="s">
        <v>1911</v>
      </c>
      <c r="G200" s="13" t="s">
        <v>1849</v>
      </c>
      <c r="H200" s="135">
        <v>-0.10390000000000001</v>
      </c>
      <c r="I200" s="146" t="s">
        <v>2282</v>
      </c>
      <c r="J200" s="137"/>
      <c r="K200" s="137"/>
    </row>
    <row r="201" spans="1:11">
      <c r="A201" s="148"/>
      <c r="B201" s="99" t="s">
        <v>2008</v>
      </c>
      <c r="C201" s="99" t="s">
        <v>66</v>
      </c>
      <c r="D201" s="99" t="s">
        <v>399</v>
      </c>
      <c r="E201" s="99" t="s">
        <v>303</v>
      </c>
      <c r="F201" s="97" t="s">
        <v>1914</v>
      </c>
      <c r="G201" s="97"/>
      <c r="H201" s="135" t="s">
        <v>944</v>
      </c>
      <c r="I201" s="146" t="s">
        <v>2375</v>
      </c>
      <c r="J201" s="137">
        <v>168.43</v>
      </c>
      <c r="K201" s="137">
        <v>17.1553</v>
      </c>
    </row>
    <row r="202" spans="1:11">
      <c r="A202" s="148"/>
      <c r="B202" s="99" t="s">
        <v>2009</v>
      </c>
      <c r="C202" s="99" t="s">
        <v>66</v>
      </c>
      <c r="D202" s="99" t="s">
        <v>399</v>
      </c>
      <c r="E202" s="99" t="s">
        <v>303</v>
      </c>
      <c r="F202" s="97" t="s">
        <v>1914</v>
      </c>
      <c r="G202" s="13" t="s">
        <v>1849</v>
      </c>
      <c r="H202" s="135" t="s">
        <v>944</v>
      </c>
      <c r="I202" s="146" t="s">
        <v>2282</v>
      </c>
      <c r="J202" s="137"/>
      <c r="K202" s="137"/>
    </row>
    <row r="203" spans="1:11" hidden="1">
      <c r="A203" s="148"/>
      <c r="B203" s="99" t="s">
        <v>2268</v>
      </c>
      <c r="C203" s="99" t="s">
        <v>49</v>
      </c>
      <c r="D203" s="99" t="s">
        <v>420</v>
      </c>
      <c r="E203" s="99" t="s">
        <v>303</v>
      </c>
      <c r="F203" s="97" t="s">
        <v>1944</v>
      </c>
      <c r="G203" s="97"/>
      <c r="H203" s="135">
        <v>-4.5900000000000003E-2</v>
      </c>
      <c r="I203" s="146" t="s">
        <v>2376</v>
      </c>
      <c r="J203" s="137">
        <v>168.43</v>
      </c>
      <c r="K203" s="137">
        <v>17.1553</v>
      </c>
    </row>
    <row r="204" spans="1:11" hidden="1">
      <c r="A204" s="148"/>
      <c r="B204" s="99" t="s">
        <v>2269</v>
      </c>
      <c r="C204" s="99" t="s">
        <v>49</v>
      </c>
      <c r="D204" s="99" t="s">
        <v>420</v>
      </c>
      <c r="E204" s="99" t="s">
        <v>303</v>
      </c>
      <c r="F204" s="97" t="s">
        <v>1944</v>
      </c>
      <c r="G204" s="13" t="s">
        <v>1849</v>
      </c>
      <c r="H204" s="135">
        <v>-4.5900000000000003E-2</v>
      </c>
      <c r="I204" s="146" t="s">
        <v>2282</v>
      </c>
      <c r="J204" s="137"/>
      <c r="K204" s="137"/>
    </row>
    <row r="205" spans="1:11" hidden="1">
      <c r="A205" s="148"/>
      <c r="B205" s="99" t="s">
        <v>2270</v>
      </c>
      <c r="C205" s="99" t="s">
        <v>49</v>
      </c>
      <c r="D205" s="99" t="s">
        <v>420</v>
      </c>
      <c r="E205" s="99" t="s">
        <v>303</v>
      </c>
      <c r="F205" s="97" t="s">
        <v>1950</v>
      </c>
      <c r="G205" s="97"/>
      <c r="H205" s="135">
        <v>-4.7E-2</v>
      </c>
      <c r="I205" s="146" t="s">
        <v>2377</v>
      </c>
      <c r="J205" s="137">
        <v>168.43</v>
      </c>
      <c r="K205" s="137">
        <v>17.1553</v>
      </c>
    </row>
    <row r="206" spans="1:11" hidden="1">
      <c r="A206" s="148"/>
      <c r="B206" s="99" t="s">
        <v>2271</v>
      </c>
      <c r="C206" s="99" t="s">
        <v>49</v>
      </c>
      <c r="D206" s="99" t="s">
        <v>420</v>
      </c>
      <c r="E206" s="99" t="s">
        <v>303</v>
      </c>
      <c r="F206" s="97" t="s">
        <v>1950</v>
      </c>
      <c r="G206" s="13" t="s">
        <v>1849</v>
      </c>
      <c r="H206" s="135">
        <v>-4.7E-2</v>
      </c>
      <c r="I206" s="146" t="s">
        <v>2282</v>
      </c>
      <c r="J206" s="137"/>
      <c r="K206" s="137"/>
    </row>
    <row r="207" spans="1:11" hidden="1">
      <c r="A207" s="148"/>
      <c r="B207" s="99" t="s">
        <v>2272</v>
      </c>
      <c r="C207" s="99" t="s">
        <v>53</v>
      </c>
      <c r="D207" s="99" t="s">
        <v>443</v>
      </c>
      <c r="E207" s="99" t="s">
        <v>303</v>
      </c>
      <c r="F207" s="97" t="s">
        <v>1956</v>
      </c>
      <c r="G207" s="97"/>
      <c r="H207" s="135">
        <v>0</v>
      </c>
      <c r="I207" s="146" t="s">
        <v>2378</v>
      </c>
      <c r="J207" s="137">
        <v>168.43</v>
      </c>
      <c r="K207" s="137">
        <v>53.025399999999998</v>
      </c>
    </row>
    <row r="208" spans="1:11" hidden="1">
      <c r="A208" s="148"/>
      <c r="B208" s="99" t="s">
        <v>2273</v>
      </c>
      <c r="C208" s="99" t="s">
        <v>53</v>
      </c>
      <c r="D208" s="99" t="s">
        <v>443</v>
      </c>
      <c r="E208" s="99" t="s">
        <v>303</v>
      </c>
      <c r="F208" s="97" t="s">
        <v>1956</v>
      </c>
      <c r="G208" s="13" t="s">
        <v>1849</v>
      </c>
      <c r="H208" s="135">
        <v>0</v>
      </c>
      <c r="I208" s="146" t="s">
        <v>2282</v>
      </c>
      <c r="J208" s="137"/>
      <c r="K208" s="137"/>
    </row>
    <row r="209" spans="1:11" hidden="1">
      <c r="A209" s="148"/>
      <c r="B209" s="99" t="s">
        <v>2274</v>
      </c>
      <c r="C209" s="99" t="s">
        <v>55</v>
      </c>
      <c r="D209" s="99" t="s">
        <v>444</v>
      </c>
      <c r="E209" s="99" t="s">
        <v>303</v>
      </c>
      <c r="F209" s="97" t="s">
        <v>1959</v>
      </c>
      <c r="G209" s="97"/>
      <c r="H209" s="135">
        <v>-1.38E-2</v>
      </c>
      <c r="I209" s="146" t="s">
        <v>2379</v>
      </c>
      <c r="J209" s="137">
        <v>168.43</v>
      </c>
      <c r="K209" s="137">
        <v>17.1553</v>
      </c>
    </row>
    <row r="210" spans="1:11" hidden="1">
      <c r="A210" s="149"/>
      <c r="B210" s="99" t="s">
        <v>2275</v>
      </c>
      <c r="C210" s="99" t="s">
        <v>55</v>
      </c>
      <c r="D210" s="99" t="s">
        <v>444</v>
      </c>
      <c r="E210" s="99" t="s">
        <v>303</v>
      </c>
      <c r="F210" s="97" t="s">
        <v>1959</v>
      </c>
      <c r="G210" s="13" t="s">
        <v>1849</v>
      </c>
      <c r="H210" s="135">
        <v>-1.38E-2</v>
      </c>
      <c r="I210" s="146" t="s">
        <v>2282</v>
      </c>
      <c r="J210" s="137"/>
      <c r="K210" s="137"/>
    </row>
    <row r="211" spans="1:11" hidden="1">
      <c r="A211" s="149"/>
      <c r="B211" s="99" t="s">
        <v>2276</v>
      </c>
      <c r="C211" s="99" t="s">
        <v>55</v>
      </c>
      <c r="D211" s="99" t="s">
        <v>444</v>
      </c>
      <c r="E211" s="99" t="s">
        <v>303</v>
      </c>
      <c r="F211" s="97" t="s">
        <v>1962</v>
      </c>
      <c r="G211" s="97"/>
      <c r="H211" s="135">
        <v>-2.76E-2</v>
      </c>
      <c r="I211" s="146" t="s">
        <v>2380</v>
      </c>
      <c r="J211" s="137">
        <v>168.43</v>
      </c>
      <c r="K211" s="137">
        <v>17.1553</v>
      </c>
    </row>
    <row r="212" spans="1:11" hidden="1">
      <c r="A212" s="149"/>
      <c r="B212" s="99" t="s">
        <v>2277</v>
      </c>
      <c r="C212" s="99" t="s">
        <v>55</v>
      </c>
      <c r="D212" s="99" t="s">
        <v>444</v>
      </c>
      <c r="E212" s="99" t="s">
        <v>303</v>
      </c>
      <c r="F212" s="97" t="s">
        <v>1962</v>
      </c>
      <c r="G212" s="13" t="s">
        <v>1849</v>
      </c>
      <c r="H212" s="135">
        <v>-2.76E-2</v>
      </c>
      <c r="I212" s="146" t="s">
        <v>2282</v>
      </c>
      <c r="J212" s="137"/>
      <c r="K212" s="137"/>
    </row>
    <row r="213" spans="1:11" hidden="1">
      <c r="A213" s="149"/>
      <c r="B213" s="99" t="s">
        <v>2278</v>
      </c>
      <c r="C213" s="99" t="s">
        <v>56</v>
      </c>
      <c r="D213" s="99" t="s">
        <v>447</v>
      </c>
      <c r="E213" s="99" t="s">
        <v>303</v>
      </c>
      <c r="F213" s="97" t="s">
        <v>1971</v>
      </c>
      <c r="G213" s="97"/>
      <c r="H213" s="135">
        <v>-8.5699999999999998E-2</v>
      </c>
      <c r="I213" s="146" t="s">
        <v>2381</v>
      </c>
      <c r="J213" s="137">
        <v>168.43</v>
      </c>
      <c r="K213" s="137">
        <v>17.1553</v>
      </c>
    </row>
    <row r="214" spans="1:11" hidden="1">
      <c r="A214" s="149"/>
      <c r="B214" s="99" t="s">
        <v>2279</v>
      </c>
      <c r="C214" s="99" t="s">
        <v>56</v>
      </c>
      <c r="D214" s="99" t="s">
        <v>447</v>
      </c>
      <c r="E214" s="99" t="s">
        <v>303</v>
      </c>
      <c r="F214" s="97" t="s">
        <v>1971</v>
      </c>
      <c r="G214" s="13" t="s">
        <v>1849</v>
      </c>
      <c r="H214" s="135">
        <v>-8.5699999999999998E-2</v>
      </c>
      <c r="I214" s="146" t="s">
        <v>2282</v>
      </c>
      <c r="J214" s="137"/>
      <c r="K214" s="137"/>
    </row>
    <row r="215" spans="1:11" hidden="1">
      <c r="A215" s="149"/>
      <c r="B215" s="99" t="s">
        <v>2280</v>
      </c>
      <c r="C215" s="99" t="s">
        <v>56</v>
      </c>
      <c r="D215" s="99" t="s">
        <v>447</v>
      </c>
      <c r="E215" s="99" t="s">
        <v>303</v>
      </c>
      <c r="F215" s="97" t="s">
        <v>1974</v>
      </c>
      <c r="G215" s="97"/>
      <c r="H215" s="135">
        <v>-1.9E-2</v>
      </c>
      <c r="I215" s="146" t="s">
        <v>2382</v>
      </c>
      <c r="J215" s="137">
        <v>168.43</v>
      </c>
      <c r="K215" s="137">
        <v>17.1553</v>
      </c>
    </row>
    <row r="216" spans="1:11" hidden="1">
      <c r="A216" s="149"/>
      <c r="B216" s="99" t="s">
        <v>2281</v>
      </c>
      <c r="C216" s="99" t="s">
        <v>56</v>
      </c>
      <c r="D216" s="99" t="s">
        <v>447</v>
      </c>
      <c r="E216" s="99" t="s">
        <v>303</v>
      </c>
      <c r="F216" s="97" t="s">
        <v>1974</v>
      </c>
      <c r="G216" s="13" t="s">
        <v>1849</v>
      </c>
      <c r="H216" s="135">
        <v>-1.9E-2</v>
      </c>
      <c r="I216" s="146" t="s">
        <v>2282</v>
      </c>
      <c r="J216" s="137"/>
      <c r="K216" s="137"/>
    </row>
    <row r="217" spans="1:11" hidden="1">
      <c r="A217" s="149"/>
      <c r="B217" s="99" t="s">
        <v>2010</v>
      </c>
      <c r="C217" s="99" t="s">
        <v>59</v>
      </c>
      <c r="D217" s="99" t="s">
        <v>402</v>
      </c>
      <c r="E217" s="99" t="s">
        <v>303</v>
      </c>
      <c r="F217" s="97" t="s">
        <v>1923</v>
      </c>
      <c r="G217" s="97"/>
      <c r="H217" s="135">
        <v>-7.5700000000000003E-2</v>
      </c>
      <c r="I217" s="146" t="s">
        <v>2383</v>
      </c>
      <c r="J217" s="137">
        <v>168.43</v>
      </c>
      <c r="K217" s="137">
        <v>17.1553</v>
      </c>
    </row>
    <row r="218" spans="1:11" hidden="1">
      <c r="A218" s="149"/>
      <c r="B218" s="99" t="s">
        <v>2011</v>
      </c>
      <c r="C218" s="99" t="s">
        <v>59</v>
      </c>
      <c r="D218" s="99" t="s">
        <v>402</v>
      </c>
      <c r="E218" s="99" t="s">
        <v>303</v>
      </c>
      <c r="F218" s="97" t="s">
        <v>1923</v>
      </c>
      <c r="G218" s="13" t="s">
        <v>1849</v>
      </c>
      <c r="H218" s="135">
        <v>-7.5700000000000003E-2</v>
      </c>
      <c r="I218" s="146" t="s">
        <v>2282</v>
      </c>
      <c r="J218" s="137"/>
      <c r="K218" s="137"/>
    </row>
    <row r="219" spans="1:11" hidden="1">
      <c r="A219" s="149"/>
      <c r="B219" s="99" t="s">
        <v>2012</v>
      </c>
      <c r="C219" s="99" t="s">
        <v>59</v>
      </c>
      <c r="D219" s="99" t="s">
        <v>402</v>
      </c>
      <c r="E219" s="99" t="s">
        <v>303</v>
      </c>
      <c r="F219" s="97" t="s">
        <v>1926</v>
      </c>
      <c r="G219" s="97"/>
      <c r="H219" s="135">
        <v>-1.7600000000000001E-2</v>
      </c>
      <c r="I219" s="146" t="s">
        <v>2384</v>
      </c>
      <c r="J219" s="137">
        <v>168.43</v>
      </c>
      <c r="K219" s="137">
        <v>17.1553</v>
      </c>
    </row>
    <row r="220" spans="1:11" hidden="1">
      <c r="A220" s="149"/>
      <c r="B220" s="99" t="s">
        <v>2013</v>
      </c>
      <c r="C220" s="99" t="s">
        <v>59</v>
      </c>
      <c r="D220" s="99" t="s">
        <v>402</v>
      </c>
      <c r="E220" s="99" t="s">
        <v>303</v>
      </c>
      <c r="F220" s="97" t="s">
        <v>1926</v>
      </c>
      <c r="G220" s="13" t="s">
        <v>1849</v>
      </c>
      <c r="H220" s="135">
        <v>-1.7600000000000001E-2</v>
      </c>
      <c r="I220" s="146" t="s">
        <v>2282</v>
      </c>
      <c r="J220" s="137"/>
      <c r="K220" s="137"/>
    </row>
    <row r="221" spans="1:11">
      <c r="A221" s="149"/>
      <c r="B221" s="99" t="s">
        <v>2000</v>
      </c>
      <c r="C221" s="99" t="s">
        <v>61</v>
      </c>
      <c r="D221" s="99" t="s">
        <v>393</v>
      </c>
      <c r="E221" s="99" t="s">
        <v>303</v>
      </c>
      <c r="F221" s="97" t="s">
        <v>1893</v>
      </c>
      <c r="G221" s="97"/>
      <c r="H221" s="159" t="s">
        <v>2653</v>
      </c>
      <c r="I221" s="146" t="s">
        <v>2385</v>
      </c>
      <c r="J221" s="137">
        <v>168.43</v>
      </c>
      <c r="K221" s="137">
        <v>17.1553</v>
      </c>
    </row>
    <row r="222" spans="1:11">
      <c r="A222" s="149"/>
      <c r="B222" s="99" t="s">
        <v>2001</v>
      </c>
      <c r="C222" s="99" t="s">
        <v>61</v>
      </c>
      <c r="D222" s="99" t="s">
        <v>393</v>
      </c>
      <c r="E222" s="99" t="s">
        <v>303</v>
      </c>
      <c r="F222" s="97" t="s">
        <v>1893</v>
      </c>
      <c r="G222" s="13" t="s">
        <v>1849</v>
      </c>
      <c r="H222" s="159" t="s">
        <v>2653</v>
      </c>
      <c r="I222" s="146" t="s">
        <v>2282</v>
      </c>
      <c r="J222" s="137"/>
      <c r="K222" s="137"/>
    </row>
    <row r="223" spans="1:11">
      <c r="A223" s="149"/>
      <c r="B223" s="99" t="s">
        <v>2002</v>
      </c>
      <c r="C223" s="99" t="s">
        <v>61</v>
      </c>
      <c r="D223" s="99" t="s">
        <v>393</v>
      </c>
      <c r="E223" s="99" t="s">
        <v>303</v>
      </c>
      <c r="F223" s="97" t="s">
        <v>1896</v>
      </c>
      <c r="G223" s="97"/>
      <c r="H223" s="159" t="s">
        <v>2653</v>
      </c>
      <c r="I223" s="146" t="s">
        <v>2386</v>
      </c>
      <c r="J223" s="137">
        <v>168.43</v>
      </c>
      <c r="K223" s="137">
        <v>17.1553</v>
      </c>
    </row>
    <row r="224" spans="1:11">
      <c r="A224" s="149"/>
      <c r="B224" s="99" t="s">
        <v>2003</v>
      </c>
      <c r="C224" s="99" t="s">
        <v>61</v>
      </c>
      <c r="D224" s="99" t="s">
        <v>393</v>
      </c>
      <c r="E224" s="99" t="s">
        <v>303</v>
      </c>
      <c r="F224" s="97" t="s">
        <v>1896</v>
      </c>
      <c r="G224" s="13" t="s">
        <v>1849</v>
      </c>
      <c r="H224" s="159" t="s">
        <v>2653</v>
      </c>
      <c r="I224" s="146" t="s">
        <v>2282</v>
      </c>
      <c r="J224" s="137"/>
      <c r="K224" s="137"/>
    </row>
    <row r="225" spans="1:11" hidden="1">
      <c r="A225" s="149"/>
      <c r="B225" s="99" t="s">
        <v>2134</v>
      </c>
      <c r="C225" s="99" t="s">
        <v>63</v>
      </c>
      <c r="D225" s="99" t="s">
        <v>406</v>
      </c>
      <c r="E225" s="99" t="s">
        <v>303</v>
      </c>
      <c r="F225" s="97" t="s">
        <v>1932</v>
      </c>
      <c r="G225" s="97"/>
      <c r="H225" s="135">
        <v>-6.0000000000000001E-3</v>
      </c>
      <c r="I225" s="146" t="s">
        <v>2387</v>
      </c>
      <c r="J225" s="137">
        <v>168.43</v>
      </c>
      <c r="K225" s="137">
        <v>53.025399999999998</v>
      </c>
    </row>
    <row r="226" spans="1:11" hidden="1">
      <c r="A226" s="149"/>
      <c r="B226" s="99" t="s">
        <v>2135</v>
      </c>
      <c r="C226" s="99" t="s">
        <v>63</v>
      </c>
      <c r="D226" s="99" t="s">
        <v>406</v>
      </c>
      <c r="E226" s="99" t="s">
        <v>303</v>
      </c>
      <c r="F226" s="97" t="s">
        <v>1932</v>
      </c>
      <c r="G226" s="13" t="s">
        <v>1849</v>
      </c>
      <c r="H226" s="135">
        <v>-6.0000000000000001E-3</v>
      </c>
      <c r="I226" s="146" t="s">
        <v>2282</v>
      </c>
      <c r="J226" s="137"/>
      <c r="K226" s="137"/>
    </row>
    <row r="227" spans="1:11" hidden="1">
      <c r="A227" s="149"/>
      <c r="B227" s="99" t="s">
        <v>2136</v>
      </c>
      <c r="C227" s="99" t="s">
        <v>63</v>
      </c>
      <c r="D227" s="99" t="s">
        <v>406</v>
      </c>
      <c r="E227" s="99" t="s">
        <v>303</v>
      </c>
      <c r="F227" s="97" t="s">
        <v>2137</v>
      </c>
      <c r="G227" s="97"/>
      <c r="H227" s="135">
        <v>-9.2999999999999992E-3</v>
      </c>
      <c r="I227" s="146" t="s">
        <v>2388</v>
      </c>
      <c r="J227" s="137">
        <v>168.43</v>
      </c>
      <c r="K227" s="137">
        <v>53.025399999999998</v>
      </c>
    </row>
    <row r="228" spans="1:11" hidden="1">
      <c r="A228" s="149"/>
      <c r="B228" s="99" t="s">
        <v>2138</v>
      </c>
      <c r="C228" s="99" t="s">
        <v>63</v>
      </c>
      <c r="D228" s="99" t="s">
        <v>406</v>
      </c>
      <c r="E228" s="99" t="s">
        <v>303</v>
      </c>
      <c r="F228" s="97" t="s">
        <v>2137</v>
      </c>
      <c r="G228" s="13" t="s">
        <v>1849</v>
      </c>
      <c r="H228" s="135">
        <v>-9.2999999999999992E-3</v>
      </c>
      <c r="I228" s="146" t="s">
        <v>2282</v>
      </c>
      <c r="J228" s="137"/>
      <c r="K228" s="137"/>
    </row>
    <row r="229" spans="1:11" hidden="1">
      <c r="A229" s="149"/>
      <c r="B229" s="99" t="s">
        <v>2139</v>
      </c>
      <c r="C229" s="99" t="s">
        <v>63</v>
      </c>
      <c r="D229" s="99" t="s">
        <v>406</v>
      </c>
      <c r="E229" s="99" t="s">
        <v>303</v>
      </c>
      <c r="F229" s="97" t="s">
        <v>2140</v>
      </c>
      <c r="G229" s="97"/>
      <c r="H229" s="135">
        <v>-1.9300000000000001E-2</v>
      </c>
      <c r="I229" s="146" t="s">
        <v>2389</v>
      </c>
      <c r="J229" s="137">
        <v>168.43</v>
      </c>
      <c r="K229" s="137">
        <v>53.025399999999998</v>
      </c>
    </row>
    <row r="230" spans="1:11" hidden="1">
      <c r="A230" s="149"/>
      <c r="B230" s="99" t="s">
        <v>2141</v>
      </c>
      <c r="C230" s="99" t="s">
        <v>63</v>
      </c>
      <c r="D230" s="99" t="s">
        <v>406</v>
      </c>
      <c r="E230" s="99" t="s">
        <v>303</v>
      </c>
      <c r="F230" s="97" t="s">
        <v>2140</v>
      </c>
      <c r="G230" s="13" t="s">
        <v>1849</v>
      </c>
      <c r="H230" s="135">
        <v>-1.9300000000000001E-2</v>
      </c>
      <c r="I230" s="146" t="s">
        <v>2282</v>
      </c>
      <c r="J230" s="137"/>
      <c r="K230" s="137"/>
    </row>
    <row r="231" spans="1:11" hidden="1">
      <c r="A231" s="149"/>
      <c r="B231" s="99" t="s">
        <v>2142</v>
      </c>
      <c r="C231" s="99" t="s">
        <v>63</v>
      </c>
      <c r="D231" s="99" t="s">
        <v>406</v>
      </c>
      <c r="E231" s="99" t="s">
        <v>303</v>
      </c>
      <c r="F231" s="97" t="s">
        <v>2143</v>
      </c>
      <c r="G231" s="97"/>
      <c r="H231" s="135">
        <v>-2.9399999999999999E-2</v>
      </c>
      <c r="I231" s="146" t="s">
        <v>2390</v>
      </c>
      <c r="J231" s="137">
        <v>168.43</v>
      </c>
      <c r="K231" s="137">
        <v>53.025399999999998</v>
      </c>
    </row>
    <row r="232" spans="1:11" hidden="1">
      <c r="A232" s="149"/>
      <c r="B232" s="99" t="s">
        <v>2144</v>
      </c>
      <c r="C232" s="99" t="s">
        <v>63</v>
      </c>
      <c r="D232" s="99" t="s">
        <v>406</v>
      </c>
      <c r="E232" s="99" t="s">
        <v>303</v>
      </c>
      <c r="F232" s="97" t="s">
        <v>2143</v>
      </c>
      <c r="G232" s="13" t="s">
        <v>1849</v>
      </c>
      <c r="H232" s="135">
        <v>-2.9399999999999999E-2</v>
      </c>
      <c r="I232" s="146" t="s">
        <v>2282</v>
      </c>
      <c r="J232" s="137"/>
      <c r="K232" s="137"/>
    </row>
    <row r="233" spans="1:11" hidden="1">
      <c r="A233" s="149"/>
      <c r="B233" s="99" t="s">
        <v>2145</v>
      </c>
      <c r="C233" s="99" t="s">
        <v>63</v>
      </c>
      <c r="D233" s="99" t="s">
        <v>406</v>
      </c>
      <c r="E233" s="99" t="s">
        <v>303</v>
      </c>
      <c r="F233" s="97" t="s">
        <v>2146</v>
      </c>
      <c r="G233" s="97"/>
      <c r="H233" s="135">
        <v>-3.9300000000000002E-2</v>
      </c>
      <c r="I233" s="146" t="s">
        <v>2391</v>
      </c>
      <c r="J233" s="137">
        <v>168.43</v>
      </c>
      <c r="K233" s="137">
        <v>53.025399999999998</v>
      </c>
    </row>
    <row r="234" spans="1:11" hidden="1">
      <c r="A234" s="149"/>
      <c r="B234" s="99" t="s">
        <v>2147</v>
      </c>
      <c r="C234" s="99" t="s">
        <v>63</v>
      </c>
      <c r="D234" s="99" t="s">
        <v>406</v>
      </c>
      <c r="E234" s="99" t="s">
        <v>303</v>
      </c>
      <c r="F234" s="97" t="s">
        <v>2146</v>
      </c>
      <c r="G234" s="13" t="s">
        <v>1849</v>
      </c>
      <c r="H234" s="135">
        <v>-3.9300000000000002E-2</v>
      </c>
      <c r="I234" s="146" t="s">
        <v>2282</v>
      </c>
      <c r="J234" s="137"/>
      <c r="K234" s="137"/>
    </row>
    <row r="235" spans="1:11" hidden="1">
      <c r="A235" s="149"/>
      <c r="B235" s="99" t="s">
        <v>2148</v>
      </c>
      <c r="C235" s="99" t="s">
        <v>63</v>
      </c>
      <c r="D235" s="99" t="s">
        <v>406</v>
      </c>
      <c r="E235" s="99" t="s">
        <v>303</v>
      </c>
      <c r="F235" s="97" t="s">
        <v>2149</v>
      </c>
      <c r="G235" s="97"/>
      <c r="H235" s="135">
        <v>-4.9299999999999997E-2</v>
      </c>
      <c r="I235" s="146" t="s">
        <v>2392</v>
      </c>
      <c r="J235" s="137">
        <v>168.43</v>
      </c>
      <c r="K235" s="137">
        <v>53.025399999999998</v>
      </c>
    </row>
    <row r="236" spans="1:11" hidden="1">
      <c r="A236" s="149"/>
      <c r="B236" s="99" t="s">
        <v>2150</v>
      </c>
      <c r="C236" s="99" t="s">
        <v>63</v>
      </c>
      <c r="D236" s="99" t="s">
        <v>406</v>
      </c>
      <c r="E236" s="99" t="s">
        <v>303</v>
      </c>
      <c r="F236" s="97" t="s">
        <v>2149</v>
      </c>
      <c r="G236" s="13" t="s">
        <v>1849</v>
      </c>
      <c r="H236" s="135">
        <v>-4.9299999999999997E-2</v>
      </c>
      <c r="I236" s="146" t="s">
        <v>2282</v>
      </c>
      <c r="J236" s="137"/>
      <c r="K236" s="137"/>
    </row>
    <row r="237" spans="1:11" hidden="1">
      <c r="A237" s="149"/>
      <c r="B237" s="99" t="s">
        <v>2151</v>
      </c>
      <c r="C237" s="99" t="s">
        <v>63</v>
      </c>
      <c r="D237" s="99" t="s">
        <v>406</v>
      </c>
      <c r="E237" s="99" t="s">
        <v>303</v>
      </c>
      <c r="F237" s="97" t="s">
        <v>2152</v>
      </c>
      <c r="G237" s="97"/>
      <c r="H237" s="135">
        <v>-5.9299999999999999E-2</v>
      </c>
      <c r="I237" s="146" t="s">
        <v>2393</v>
      </c>
      <c r="J237" s="137">
        <v>168.43</v>
      </c>
      <c r="K237" s="137">
        <v>53.025399999999998</v>
      </c>
    </row>
    <row r="238" spans="1:11" hidden="1">
      <c r="A238" s="149"/>
      <c r="B238" s="99" t="s">
        <v>2153</v>
      </c>
      <c r="C238" s="99" t="s">
        <v>63</v>
      </c>
      <c r="D238" s="99" t="s">
        <v>406</v>
      </c>
      <c r="E238" s="99" t="s">
        <v>303</v>
      </c>
      <c r="F238" s="97" t="s">
        <v>2152</v>
      </c>
      <c r="G238" s="13" t="s">
        <v>1849</v>
      </c>
      <c r="H238" s="135">
        <v>-5.9299999999999999E-2</v>
      </c>
      <c r="I238" s="146" t="s">
        <v>2282</v>
      </c>
      <c r="J238" s="137"/>
      <c r="K238" s="137"/>
    </row>
    <row r="239" spans="1:11" hidden="1">
      <c r="A239" s="149"/>
      <c r="B239" s="99" t="s">
        <v>2154</v>
      </c>
      <c r="C239" s="99" t="s">
        <v>63</v>
      </c>
      <c r="D239" s="99" t="s">
        <v>406</v>
      </c>
      <c r="E239" s="99" t="s">
        <v>303</v>
      </c>
      <c r="F239" s="97" t="s">
        <v>2155</v>
      </c>
      <c r="G239" s="97"/>
      <c r="H239" s="135">
        <v>-6.9099999999999995E-2</v>
      </c>
      <c r="I239" s="146" t="s">
        <v>2394</v>
      </c>
      <c r="J239" s="137">
        <v>168.43</v>
      </c>
      <c r="K239" s="137">
        <v>53.025399999999998</v>
      </c>
    </row>
    <row r="240" spans="1:11" hidden="1">
      <c r="A240" s="149"/>
      <c r="B240" s="99" t="s">
        <v>2156</v>
      </c>
      <c r="C240" s="99" t="s">
        <v>63</v>
      </c>
      <c r="D240" s="99" t="s">
        <v>406</v>
      </c>
      <c r="E240" s="99" t="s">
        <v>303</v>
      </c>
      <c r="F240" s="97" t="s">
        <v>2155</v>
      </c>
      <c r="G240" s="13" t="s">
        <v>1849</v>
      </c>
      <c r="H240" s="135">
        <v>-6.9099999999999995E-2</v>
      </c>
      <c r="I240" s="146" t="s">
        <v>2282</v>
      </c>
      <c r="J240" s="137"/>
      <c r="K240" s="137"/>
    </row>
    <row r="241" spans="1:11" hidden="1">
      <c r="A241" s="149"/>
      <c r="B241" s="99" t="s">
        <v>2157</v>
      </c>
      <c r="C241" s="99" t="s">
        <v>63</v>
      </c>
      <c r="D241" s="99" t="s">
        <v>406</v>
      </c>
      <c r="E241" s="99" t="s">
        <v>303</v>
      </c>
      <c r="F241" s="97" t="s">
        <v>2158</v>
      </c>
      <c r="G241" s="97"/>
      <c r="H241" s="135">
        <v>-7.9299999999999995E-2</v>
      </c>
      <c r="I241" s="146" t="s">
        <v>2395</v>
      </c>
      <c r="J241" s="137">
        <v>168.43</v>
      </c>
      <c r="K241" s="137">
        <v>53.025399999999998</v>
      </c>
    </row>
    <row r="242" spans="1:11" hidden="1">
      <c r="A242" s="149"/>
      <c r="B242" s="99" t="s">
        <v>2159</v>
      </c>
      <c r="C242" s="99" t="s">
        <v>63</v>
      </c>
      <c r="D242" s="99" t="s">
        <v>406</v>
      </c>
      <c r="E242" s="99" t="s">
        <v>303</v>
      </c>
      <c r="F242" s="97" t="s">
        <v>2158</v>
      </c>
      <c r="G242" s="13" t="s">
        <v>1849</v>
      </c>
      <c r="H242" s="135">
        <v>-7.9299999999999995E-2</v>
      </c>
      <c r="I242" s="146" t="s">
        <v>2282</v>
      </c>
      <c r="J242" s="137"/>
      <c r="K242" s="137"/>
    </row>
    <row r="243" spans="1:11" hidden="1">
      <c r="A243" s="149"/>
      <c r="B243" s="99" t="s">
        <v>2160</v>
      </c>
      <c r="C243" s="99" t="s">
        <v>63</v>
      </c>
      <c r="D243" s="99" t="s">
        <v>406</v>
      </c>
      <c r="E243" s="99" t="s">
        <v>303</v>
      </c>
      <c r="F243" s="97" t="s">
        <v>2161</v>
      </c>
      <c r="G243" s="97"/>
      <c r="H243" s="135">
        <v>-8.9300000000000004E-2</v>
      </c>
      <c r="I243" s="146" t="s">
        <v>2396</v>
      </c>
      <c r="J243" s="137">
        <v>168.43</v>
      </c>
      <c r="K243" s="137">
        <v>53.025399999999998</v>
      </c>
    </row>
    <row r="244" spans="1:11" hidden="1">
      <c r="A244" s="149"/>
      <c r="B244" s="99" t="s">
        <v>2162</v>
      </c>
      <c r="C244" s="99" t="s">
        <v>63</v>
      </c>
      <c r="D244" s="99" t="s">
        <v>406</v>
      </c>
      <c r="E244" s="99" t="s">
        <v>303</v>
      </c>
      <c r="F244" s="97" t="s">
        <v>2161</v>
      </c>
      <c r="G244" s="13" t="s">
        <v>1849</v>
      </c>
      <c r="H244" s="135">
        <v>-8.9300000000000004E-2</v>
      </c>
      <c r="I244" s="146" t="s">
        <v>2282</v>
      </c>
      <c r="J244" s="137"/>
      <c r="K244" s="137"/>
    </row>
    <row r="245" spans="1:11" hidden="1">
      <c r="A245" s="149"/>
      <c r="B245" s="99" t="s">
        <v>2163</v>
      </c>
      <c r="C245" s="99" t="s">
        <v>63</v>
      </c>
      <c r="D245" s="99" t="s">
        <v>406</v>
      </c>
      <c r="E245" s="99" t="s">
        <v>303</v>
      </c>
      <c r="F245" s="97" t="s">
        <v>2164</v>
      </c>
      <c r="G245" s="97"/>
      <c r="H245" s="135">
        <v>-9.9099999999999994E-2</v>
      </c>
      <c r="I245" s="146" t="s">
        <v>2397</v>
      </c>
      <c r="J245" s="137">
        <v>168.43</v>
      </c>
      <c r="K245" s="137">
        <v>53.025399999999998</v>
      </c>
    </row>
    <row r="246" spans="1:11" hidden="1">
      <c r="A246" s="149"/>
      <c r="B246" s="99" t="s">
        <v>2165</v>
      </c>
      <c r="C246" s="99" t="s">
        <v>63</v>
      </c>
      <c r="D246" s="99" t="s">
        <v>406</v>
      </c>
      <c r="E246" s="99" t="s">
        <v>303</v>
      </c>
      <c r="F246" s="97" t="s">
        <v>2164</v>
      </c>
      <c r="G246" s="13" t="s">
        <v>1849</v>
      </c>
      <c r="H246" s="135">
        <v>-9.9099999999999994E-2</v>
      </c>
      <c r="I246" s="146" t="s">
        <v>2282</v>
      </c>
      <c r="J246" s="137"/>
      <c r="K246" s="137"/>
    </row>
    <row r="247" spans="1:11" hidden="1">
      <c r="A247" s="149"/>
      <c r="B247" s="99" t="s">
        <v>2166</v>
      </c>
      <c r="C247" s="99" t="s">
        <v>63</v>
      </c>
      <c r="D247" s="99" t="s">
        <v>406</v>
      </c>
      <c r="E247" s="99" t="s">
        <v>303</v>
      </c>
      <c r="F247" s="97" t="s">
        <v>2167</v>
      </c>
      <c r="G247" s="97"/>
      <c r="H247" s="135">
        <v>-0.1091</v>
      </c>
      <c r="I247" s="146" t="s">
        <v>2398</v>
      </c>
      <c r="J247" s="137">
        <v>168.43</v>
      </c>
      <c r="K247" s="137">
        <v>53.025399999999998</v>
      </c>
    </row>
    <row r="248" spans="1:11" hidden="1">
      <c r="A248" s="149"/>
      <c r="B248" s="99" t="s">
        <v>2168</v>
      </c>
      <c r="C248" s="99" t="s">
        <v>63</v>
      </c>
      <c r="D248" s="99" t="s">
        <v>406</v>
      </c>
      <c r="E248" s="99" t="s">
        <v>303</v>
      </c>
      <c r="F248" s="97" t="s">
        <v>2167</v>
      </c>
      <c r="G248" s="13" t="s">
        <v>1849</v>
      </c>
      <c r="H248" s="135">
        <v>-0.1091</v>
      </c>
      <c r="I248" s="146" t="s">
        <v>2282</v>
      </c>
      <c r="J248" s="137"/>
      <c r="K248" s="137"/>
    </row>
    <row r="249" spans="1:11" hidden="1">
      <c r="A249" s="149"/>
      <c r="B249" s="99" t="s">
        <v>2169</v>
      </c>
      <c r="C249" s="99" t="s">
        <v>63</v>
      </c>
      <c r="D249" s="99" t="s">
        <v>406</v>
      </c>
      <c r="E249" s="99" t="s">
        <v>303</v>
      </c>
      <c r="F249" s="97" t="s">
        <v>2170</v>
      </c>
      <c r="G249" s="97"/>
      <c r="H249" s="135">
        <v>-0.1191</v>
      </c>
      <c r="I249" s="146" t="s">
        <v>2399</v>
      </c>
      <c r="J249" s="137">
        <v>168.43</v>
      </c>
      <c r="K249" s="137">
        <v>53.025399999999998</v>
      </c>
    </row>
    <row r="250" spans="1:11" hidden="1">
      <c r="A250" s="149"/>
      <c r="B250" s="99" t="s">
        <v>2171</v>
      </c>
      <c r="C250" s="99" t="s">
        <v>63</v>
      </c>
      <c r="D250" s="99" t="s">
        <v>406</v>
      </c>
      <c r="E250" s="99" t="s">
        <v>303</v>
      </c>
      <c r="F250" s="97" t="s">
        <v>2170</v>
      </c>
      <c r="G250" s="13" t="s">
        <v>1849</v>
      </c>
      <c r="H250" s="135">
        <v>-0.1191</v>
      </c>
      <c r="I250" s="146" t="s">
        <v>2282</v>
      </c>
      <c r="J250" s="137"/>
      <c r="K250" s="137"/>
    </row>
    <row r="251" spans="1:11" hidden="1">
      <c r="A251" s="149"/>
      <c r="B251" s="99" t="s">
        <v>2172</v>
      </c>
      <c r="C251" s="99" t="s">
        <v>63</v>
      </c>
      <c r="D251" s="99" t="s">
        <v>406</v>
      </c>
      <c r="E251" s="99" t="s">
        <v>303</v>
      </c>
      <c r="F251" s="97" t="s">
        <v>2173</v>
      </c>
      <c r="G251" s="97"/>
      <c r="H251" s="135">
        <v>-0.12909999999999999</v>
      </c>
      <c r="I251" s="146" t="s">
        <v>2400</v>
      </c>
      <c r="J251" s="137">
        <v>168.43</v>
      </c>
      <c r="K251" s="137">
        <v>53.025399999999998</v>
      </c>
    </row>
    <row r="252" spans="1:11" hidden="1">
      <c r="A252" s="149"/>
      <c r="B252" s="99" t="s">
        <v>2174</v>
      </c>
      <c r="C252" s="99" t="s">
        <v>63</v>
      </c>
      <c r="D252" s="99" t="s">
        <v>406</v>
      </c>
      <c r="E252" s="99" t="s">
        <v>303</v>
      </c>
      <c r="F252" s="97" t="s">
        <v>2173</v>
      </c>
      <c r="G252" s="13" t="s">
        <v>1849</v>
      </c>
      <c r="H252" s="135">
        <v>-0.12909999999999999</v>
      </c>
      <c r="I252" s="146" t="s">
        <v>2282</v>
      </c>
      <c r="J252" s="137"/>
      <c r="K252" s="137"/>
    </row>
    <row r="253" spans="1:11" hidden="1">
      <c r="A253" s="149"/>
      <c r="B253" s="99" t="s">
        <v>2175</v>
      </c>
      <c r="C253" s="99" t="s">
        <v>63</v>
      </c>
      <c r="D253" s="99" t="s">
        <v>406</v>
      </c>
      <c r="E253" s="99" t="s">
        <v>303</v>
      </c>
      <c r="F253" s="97" t="s">
        <v>2176</v>
      </c>
      <c r="G253" s="97"/>
      <c r="H253" s="135">
        <v>-0.14299999999999999</v>
      </c>
      <c r="I253" s="146" t="s">
        <v>2401</v>
      </c>
      <c r="J253" s="137">
        <v>168.43</v>
      </c>
      <c r="K253" s="137">
        <v>53.025399999999998</v>
      </c>
    </row>
    <row r="254" spans="1:11" hidden="1">
      <c r="A254" s="149"/>
      <c r="B254" s="99" t="s">
        <v>2177</v>
      </c>
      <c r="C254" s="99" t="s">
        <v>63</v>
      </c>
      <c r="D254" s="99" t="s">
        <v>406</v>
      </c>
      <c r="E254" s="99" t="s">
        <v>303</v>
      </c>
      <c r="F254" s="97" t="s">
        <v>2176</v>
      </c>
      <c r="G254" s="13" t="s">
        <v>1849</v>
      </c>
      <c r="H254" s="135">
        <v>-0.14299999999999999</v>
      </c>
      <c r="I254" s="146" t="s">
        <v>2282</v>
      </c>
      <c r="J254" s="137"/>
      <c r="K254" s="137"/>
    </row>
    <row r="255" spans="1:11" hidden="1">
      <c r="A255" s="149"/>
      <c r="B255" s="99" t="s">
        <v>2178</v>
      </c>
      <c r="C255" s="99" t="s">
        <v>63</v>
      </c>
      <c r="D255" s="99" t="s">
        <v>406</v>
      </c>
      <c r="E255" s="99" t="s">
        <v>303</v>
      </c>
      <c r="F255" s="97" t="s">
        <v>2179</v>
      </c>
      <c r="G255" s="97"/>
      <c r="H255" s="135">
        <v>-0.193</v>
      </c>
      <c r="I255" s="146" t="s">
        <v>2402</v>
      </c>
      <c r="J255" s="137">
        <v>168.43</v>
      </c>
      <c r="K255" s="137">
        <v>53.025399999999998</v>
      </c>
    </row>
    <row r="256" spans="1:11" hidden="1">
      <c r="A256" s="149"/>
      <c r="B256" s="99" t="s">
        <v>2180</v>
      </c>
      <c r="C256" s="99" t="s">
        <v>63</v>
      </c>
      <c r="D256" s="99" t="s">
        <v>406</v>
      </c>
      <c r="E256" s="99" t="s">
        <v>303</v>
      </c>
      <c r="F256" s="97" t="s">
        <v>2179</v>
      </c>
      <c r="G256" s="13" t="s">
        <v>1849</v>
      </c>
      <c r="H256" s="135">
        <v>-0.193</v>
      </c>
      <c r="I256" s="146" t="s">
        <v>2282</v>
      </c>
      <c r="J256" s="137"/>
      <c r="K256" s="137"/>
    </row>
    <row r="257" spans="1:11" hidden="1">
      <c r="A257" s="149"/>
      <c r="B257" s="99" t="s">
        <v>2181</v>
      </c>
      <c r="C257" s="99" t="s">
        <v>63</v>
      </c>
      <c r="D257" s="99" t="s">
        <v>406</v>
      </c>
      <c r="E257" s="99" t="s">
        <v>303</v>
      </c>
      <c r="F257" s="97" t="s">
        <v>2182</v>
      </c>
      <c r="G257" s="97"/>
      <c r="H257" s="135">
        <v>-0.2429</v>
      </c>
      <c r="I257" s="146" t="s">
        <v>2403</v>
      </c>
      <c r="J257" s="137">
        <v>168.43</v>
      </c>
      <c r="K257" s="137">
        <v>53.025399999999998</v>
      </c>
    </row>
    <row r="258" spans="1:11" hidden="1">
      <c r="A258" s="149"/>
      <c r="B258" s="99" t="s">
        <v>2183</v>
      </c>
      <c r="C258" s="99" t="s">
        <v>63</v>
      </c>
      <c r="D258" s="99" t="s">
        <v>406</v>
      </c>
      <c r="E258" s="99" t="s">
        <v>303</v>
      </c>
      <c r="F258" s="97" t="s">
        <v>2182</v>
      </c>
      <c r="G258" s="13" t="s">
        <v>1849</v>
      </c>
      <c r="H258" s="135">
        <v>-0.2429</v>
      </c>
      <c r="I258" s="146" t="s">
        <v>2282</v>
      </c>
      <c r="J258" s="137"/>
      <c r="K258" s="137"/>
    </row>
    <row r="259" spans="1:11">
      <c r="A259" s="149"/>
      <c r="B259" s="99" t="s">
        <v>2184</v>
      </c>
      <c r="C259" s="99" t="s">
        <v>63</v>
      </c>
      <c r="D259" s="99" t="s">
        <v>406</v>
      </c>
      <c r="E259" s="99" t="s">
        <v>303</v>
      </c>
      <c r="F259" s="97" t="s">
        <v>2185</v>
      </c>
      <c r="G259" s="97"/>
      <c r="H259" s="135">
        <v>-0.29289999999999999</v>
      </c>
      <c r="I259" s="146" t="s">
        <v>2404</v>
      </c>
      <c r="J259" s="137">
        <v>168.43</v>
      </c>
      <c r="K259" s="137">
        <v>53.025399999999998</v>
      </c>
    </row>
    <row r="260" spans="1:11">
      <c r="A260" s="149"/>
      <c r="B260" s="99" t="s">
        <v>2186</v>
      </c>
      <c r="C260" s="99" t="s">
        <v>63</v>
      </c>
      <c r="D260" s="99" t="s">
        <v>406</v>
      </c>
      <c r="E260" s="99" t="s">
        <v>303</v>
      </c>
      <c r="F260" s="97" t="s">
        <v>2185</v>
      </c>
      <c r="G260" s="13" t="s">
        <v>1849</v>
      </c>
      <c r="H260" s="135">
        <v>-0.29289999999999999</v>
      </c>
      <c r="I260" s="146" t="s">
        <v>2282</v>
      </c>
      <c r="J260" s="137"/>
      <c r="K260" s="137"/>
    </row>
    <row r="261" spans="1:11">
      <c r="A261" s="149"/>
      <c r="B261" s="99" t="s">
        <v>2187</v>
      </c>
      <c r="C261" s="99" t="s">
        <v>63</v>
      </c>
      <c r="D261" s="99" t="s">
        <v>406</v>
      </c>
      <c r="E261" s="99" t="s">
        <v>303</v>
      </c>
      <c r="F261" s="97" t="s">
        <v>2188</v>
      </c>
      <c r="G261" s="97"/>
      <c r="H261" s="135">
        <v>-0.3427</v>
      </c>
      <c r="I261" s="146" t="s">
        <v>2405</v>
      </c>
      <c r="J261" s="137">
        <v>168.43</v>
      </c>
      <c r="K261" s="137">
        <v>53.025399999999998</v>
      </c>
    </row>
    <row r="262" spans="1:11">
      <c r="A262" s="149"/>
      <c r="B262" s="99" t="s">
        <v>2189</v>
      </c>
      <c r="C262" s="99" t="s">
        <v>63</v>
      </c>
      <c r="D262" s="99" t="s">
        <v>406</v>
      </c>
      <c r="E262" s="99" t="s">
        <v>303</v>
      </c>
      <c r="F262" s="97" t="s">
        <v>2188</v>
      </c>
      <c r="G262" s="13" t="s">
        <v>1849</v>
      </c>
      <c r="H262" s="135">
        <v>-0.3427</v>
      </c>
      <c r="I262" s="146" t="s">
        <v>2282</v>
      </c>
      <c r="J262" s="137"/>
      <c r="K262" s="137"/>
    </row>
    <row r="263" spans="1:11">
      <c r="A263" s="149"/>
      <c r="B263" s="99" t="s">
        <v>2190</v>
      </c>
      <c r="C263" s="99" t="s">
        <v>63</v>
      </c>
      <c r="D263" s="99" t="s">
        <v>406</v>
      </c>
      <c r="E263" s="99" t="s">
        <v>303</v>
      </c>
      <c r="F263" s="97" t="s">
        <v>2191</v>
      </c>
      <c r="G263" s="97"/>
      <c r="H263" s="135">
        <v>-0.35270000000000001</v>
      </c>
      <c r="I263" s="146" t="s">
        <v>2406</v>
      </c>
      <c r="J263" s="137">
        <v>168.43</v>
      </c>
      <c r="K263" s="137">
        <v>53.025399999999998</v>
      </c>
    </row>
    <row r="264" spans="1:11">
      <c r="A264" s="149"/>
      <c r="B264" s="99" t="s">
        <v>2192</v>
      </c>
      <c r="C264" s="99" t="s">
        <v>63</v>
      </c>
      <c r="D264" s="99" t="s">
        <v>406</v>
      </c>
      <c r="E264" s="99" t="s">
        <v>303</v>
      </c>
      <c r="F264" s="97" t="s">
        <v>2191</v>
      </c>
      <c r="G264" s="13" t="s">
        <v>1849</v>
      </c>
      <c r="H264" s="135">
        <v>-0.35270000000000001</v>
      </c>
      <c r="I264" s="146" t="s">
        <v>2282</v>
      </c>
      <c r="J264" s="137"/>
      <c r="K264" s="137"/>
    </row>
    <row r="265" spans="1:11">
      <c r="A265" s="149"/>
      <c r="B265" s="99" t="s">
        <v>2193</v>
      </c>
      <c r="C265" s="99" t="s">
        <v>63</v>
      </c>
      <c r="D265" s="99" t="s">
        <v>406</v>
      </c>
      <c r="E265" s="99" t="s">
        <v>303</v>
      </c>
      <c r="F265" s="97" t="s">
        <v>2194</v>
      </c>
      <c r="G265" s="97"/>
      <c r="H265" s="135">
        <v>-0.3926</v>
      </c>
      <c r="I265" s="146" t="s">
        <v>2407</v>
      </c>
      <c r="J265" s="137">
        <v>168.43</v>
      </c>
      <c r="K265" s="137">
        <v>53.025399999999998</v>
      </c>
    </row>
    <row r="266" spans="1:11">
      <c r="A266" s="149"/>
      <c r="B266" s="99" t="s">
        <v>2195</v>
      </c>
      <c r="C266" s="99" t="s">
        <v>63</v>
      </c>
      <c r="D266" s="99" t="s">
        <v>406</v>
      </c>
      <c r="E266" s="99" t="s">
        <v>303</v>
      </c>
      <c r="F266" s="97" t="s">
        <v>2194</v>
      </c>
      <c r="G266" s="13" t="s">
        <v>1849</v>
      </c>
      <c r="H266" s="135">
        <v>-0.3926</v>
      </c>
      <c r="I266" s="146" t="s">
        <v>2282</v>
      </c>
      <c r="J266" s="137"/>
      <c r="K266" s="137"/>
    </row>
    <row r="267" spans="1:11">
      <c r="A267" s="149"/>
      <c r="B267" s="99" t="s">
        <v>2196</v>
      </c>
      <c r="C267" s="99" t="s">
        <v>63</v>
      </c>
      <c r="D267" s="99" t="s">
        <v>406</v>
      </c>
      <c r="E267" s="99" t="s">
        <v>303</v>
      </c>
      <c r="F267" s="97" t="s">
        <v>2197</v>
      </c>
      <c r="G267" s="97"/>
      <c r="H267" s="135">
        <v>-0.44259999999999999</v>
      </c>
      <c r="I267" s="146" t="s">
        <v>2408</v>
      </c>
      <c r="J267" s="137">
        <v>168.43</v>
      </c>
      <c r="K267" s="137">
        <v>53.025399999999998</v>
      </c>
    </row>
    <row r="268" spans="1:11">
      <c r="A268" s="149"/>
      <c r="B268" s="99" t="s">
        <v>2198</v>
      </c>
      <c r="C268" s="99" t="s">
        <v>63</v>
      </c>
      <c r="D268" s="99" t="s">
        <v>406</v>
      </c>
      <c r="E268" s="99" t="s">
        <v>303</v>
      </c>
      <c r="F268" s="97" t="s">
        <v>2197</v>
      </c>
      <c r="G268" s="13" t="s">
        <v>1849</v>
      </c>
      <c r="H268" s="135">
        <v>-0.44259999999999999</v>
      </c>
      <c r="I268" s="146" t="s">
        <v>2282</v>
      </c>
      <c r="J268" s="137"/>
      <c r="K268" s="137"/>
    </row>
    <row r="269" spans="1:11">
      <c r="A269" s="149"/>
      <c r="B269" s="99" t="s">
        <v>2199</v>
      </c>
      <c r="C269" s="99" t="s">
        <v>63</v>
      </c>
      <c r="D269" s="99" t="s">
        <v>406</v>
      </c>
      <c r="E269" s="99" t="s">
        <v>303</v>
      </c>
      <c r="F269" s="97" t="s">
        <v>2200</v>
      </c>
      <c r="G269" s="97"/>
      <c r="H269" s="135">
        <v>-0.4526</v>
      </c>
      <c r="I269" s="146" t="s">
        <v>2409</v>
      </c>
      <c r="J269" s="137">
        <v>168.43</v>
      </c>
      <c r="K269" s="137">
        <v>53.025399999999998</v>
      </c>
    </row>
    <row r="270" spans="1:11">
      <c r="A270" s="149"/>
      <c r="B270" s="99" t="s">
        <v>2201</v>
      </c>
      <c r="C270" s="99" t="s">
        <v>63</v>
      </c>
      <c r="D270" s="99" t="s">
        <v>406</v>
      </c>
      <c r="E270" s="99" t="s">
        <v>303</v>
      </c>
      <c r="F270" s="97" t="s">
        <v>2200</v>
      </c>
      <c r="G270" s="13" t="s">
        <v>1849</v>
      </c>
      <c r="H270" s="135">
        <v>-0.4526</v>
      </c>
      <c r="I270" s="146" t="s">
        <v>2282</v>
      </c>
      <c r="J270" s="137"/>
      <c r="K270" s="137"/>
    </row>
    <row r="271" spans="1:11">
      <c r="A271" s="149"/>
      <c r="B271" s="99" t="s">
        <v>2202</v>
      </c>
      <c r="C271" s="99" t="s">
        <v>63</v>
      </c>
      <c r="D271" s="99" t="s">
        <v>406</v>
      </c>
      <c r="E271" s="99" t="s">
        <v>303</v>
      </c>
      <c r="F271" s="97" t="s">
        <v>2203</v>
      </c>
      <c r="G271" s="97"/>
      <c r="H271" s="135">
        <v>-0.4924</v>
      </c>
      <c r="I271" s="146" t="s">
        <v>2410</v>
      </c>
      <c r="J271" s="137">
        <v>168.43</v>
      </c>
      <c r="K271" s="137">
        <v>53.025399999999998</v>
      </c>
    </row>
    <row r="272" spans="1:11">
      <c r="A272" s="149"/>
      <c r="B272" s="99" t="s">
        <v>2204</v>
      </c>
      <c r="C272" s="99" t="s">
        <v>63</v>
      </c>
      <c r="D272" s="99" t="s">
        <v>406</v>
      </c>
      <c r="E272" s="99" t="s">
        <v>303</v>
      </c>
      <c r="F272" s="97" t="s">
        <v>2203</v>
      </c>
      <c r="G272" s="13" t="s">
        <v>1849</v>
      </c>
      <c r="H272" s="135">
        <v>-0.4924</v>
      </c>
      <c r="I272" s="146" t="s">
        <v>2282</v>
      </c>
      <c r="J272" s="137"/>
      <c r="K272" s="137"/>
    </row>
    <row r="273" spans="1:11">
      <c r="A273" s="149"/>
      <c r="B273" s="99" t="s">
        <v>2205</v>
      </c>
      <c r="C273" s="99" t="s">
        <v>63</v>
      </c>
      <c r="D273" s="99" t="s">
        <v>406</v>
      </c>
      <c r="E273" s="99" t="s">
        <v>303</v>
      </c>
      <c r="F273" s="97" t="s">
        <v>2206</v>
      </c>
      <c r="G273" s="97"/>
      <c r="H273" s="135">
        <v>-0.54239999999999999</v>
      </c>
      <c r="I273" s="146" t="s">
        <v>2411</v>
      </c>
      <c r="J273" s="137">
        <v>168.43</v>
      </c>
      <c r="K273" s="137">
        <v>53.025399999999998</v>
      </c>
    </row>
    <row r="274" spans="1:11">
      <c r="A274" s="149"/>
      <c r="B274" s="99" t="s">
        <v>2207</v>
      </c>
      <c r="C274" s="99" t="s">
        <v>63</v>
      </c>
      <c r="D274" s="99" t="s">
        <v>406</v>
      </c>
      <c r="E274" s="99" t="s">
        <v>303</v>
      </c>
      <c r="F274" s="97" t="s">
        <v>2206</v>
      </c>
      <c r="G274" s="13" t="s">
        <v>1849</v>
      </c>
      <c r="H274" s="135">
        <v>-0.54239999999999999</v>
      </c>
      <c r="I274" s="146" t="s">
        <v>2282</v>
      </c>
      <c r="J274" s="137"/>
      <c r="K274" s="137"/>
    </row>
    <row r="275" spans="1:11">
      <c r="A275" s="149"/>
      <c r="B275" s="99" t="s">
        <v>2208</v>
      </c>
      <c r="C275" s="99" t="s">
        <v>63</v>
      </c>
      <c r="D275" s="99" t="s">
        <v>406</v>
      </c>
      <c r="E275" s="99" t="s">
        <v>303</v>
      </c>
      <c r="F275" s="97" t="s">
        <v>2209</v>
      </c>
      <c r="G275" s="97"/>
      <c r="H275" s="135">
        <v>-0.59230000000000005</v>
      </c>
      <c r="I275" s="146" t="s">
        <v>2412</v>
      </c>
      <c r="J275" s="137">
        <v>168.43</v>
      </c>
      <c r="K275" s="137">
        <v>53.025399999999998</v>
      </c>
    </row>
    <row r="276" spans="1:11">
      <c r="A276" s="149"/>
      <c r="B276" s="99" t="s">
        <v>2210</v>
      </c>
      <c r="C276" s="99" t="s">
        <v>63</v>
      </c>
      <c r="D276" s="99" t="s">
        <v>406</v>
      </c>
      <c r="E276" s="99" t="s">
        <v>303</v>
      </c>
      <c r="F276" s="97" t="s">
        <v>2209</v>
      </c>
      <c r="G276" s="13" t="s">
        <v>1849</v>
      </c>
      <c r="H276" s="135">
        <v>-0.59230000000000005</v>
      </c>
      <c r="I276" s="146" t="s">
        <v>2282</v>
      </c>
      <c r="J276" s="137"/>
      <c r="K276" s="137"/>
    </row>
    <row r="277" spans="1:11">
      <c r="A277" s="149"/>
      <c r="B277" s="99" t="s">
        <v>2211</v>
      </c>
      <c r="C277" s="99" t="s">
        <v>63</v>
      </c>
      <c r="D277" s="99" t="s">
        <v>406</v>
      </c>
      <c r="E277" s="99" t="s">
        <v>303</v>
      </c>
      <c r="F277" s="97" t="s">
        <v>2212</v>
      </c>
      <c r="G277" s="97"/>
      <c r="H277" s="135">
        <v>-0.6421</v>
      </c>
      <c r="I277" s="146" t="s">
        <v>2413</v>
      </c>
      <c r="J277" s="137">
        <v>168.43</v>
      </c>
      <c r="K277" s="137">
        <v>53.025399999999998</v>
      </c>
    </row>
    <row r="278" spans="1:11">
      <c r="A278" s="149"/>
      <c r="B278" s="99" t="s">
        <v>2213</v>
      </c>
      <c r="C278" s="99" t="s">
        <v>63</v>
      </c>
      <c r="D278" s="99" t="s">
        <v>406</v>
      </c>
      <c r="E278" s="99" t="s">
        <v>303</v>
      </c>
      <c r="F278" s="97" t="s">
        <v>2212</v>
      </c>
      <c r="G278" s="13" t="s">
        <v>1849</v>
      </c>
      <c r="H278" s="135">
        <v>-0.6421</v>
      </c>
      <c r="I278" s="146" t="s">
        <v>2282</v>
      </c>
      <c r="J278" s="137"/>
      <c r="K278" s="137"/>
    </row>
    <row r="279" spans="1:11">
      <c r="A279" s="149"/>
      <c r="B279" s="99" t="s">
        <v>2214</v>
      </c>
      <c r="C279" s="99" t="s">
        <v>63</v>
      </c>
      <c r="D279" s="99" t="s">
        <v>406</v>
      </c>
      <c r="E279" s="99" t="s">
        <v>303</v>
      </c>
      <c r="F279" s="97" t="s">
        <v>2215</v>
      </c>
      <c r="G279" s="97"/>
      <c r="H279" s="135">
        <v>-0.69210000000000005</v>
      </c>
      <c r="I279" s="146" t="s">
        <v>2414</v>
      </c>
      <c r="J279" s="137">
        <v>168.43</v>
      </c>
      <c r="K279" s="137">
        <v>53.025399999999998</v>
      </c>
    </row>
    <row r="280" spans="1:11">
      <c r="A280" s="149"/>
      <c r="B280" s="99" t="s">
        <v>2216</v>
      </c>
      <c r="C280" s="99" t="s">
        <v>63</v>
      </c>
      <c r="D280" s="99" t="s">
        <v>406</v>
      </c>
      <c r="E280" s="99" t="s">
        <v>303</v>
      </c>
      <c r="F280" s="97" t="s">
        <v>2215</v>
      </c>
      <c r="G280" s="13" t="s">
        <v>1849</v>
      </c>
      <c r="H280" s="135">
        <v>-0.69210000000000005</v>
      </c>
      <c r="I280" s="146" t="s">
        <v>2282</v>
      </c>
      <c r="J280" s="137"/>
      <c r="K280" s="137"/>
    </row>
    <row r="281" spans="1:11">
      <c r="A281" s="149"/>
      <c r="B281" s="99" t="s">
        <v>2217</v>
      </c>
      <c r="C281" s="99" t="s">
        <v>63</v>
      </c>
      <c r="D281" s="99" t="s">
        <v>406</v>
      </c>
      <c r="E281" s="99" t="s">
        <v>303</v>
      </c>
      <c r="F281" s="97" t="s">
        <v>2218</v>
      </c>
      <c r="G281" s="97"/>
      <c r="H281" s="135">
        <v>-0.74199999999999999</v>
      </c>
      <c r="I281" s="146" t="s">
        <v>2415</v>
      </c>
      <c r="J281" s="137">
        <v>168.43</v>
      </c>
      <c r="K281" s="137">
        <v>53.025399999999998</v>
      </c>
    </row>
    <row r="282" spans="1:11">
      <c r="A282" s="149"/>
      <c r="B282" s="99" t="s">
        <v>2219</v>
      </c>
      <c r="C282" s="99" t="s">
        <v>63</v>
      </c>
      <c r="D282" s="99" t="s">
        <v>406</v>
      </c>
      <c r="E282" s="99" t="s">
        <v>303</v>
      </c>
      <c r="F282" s="97" t="s">
        <v>2218</v>
      </c>
      <c r="G282" s="13" t="s">
        <v>1849</v>
      </c>
      <c r="H282" s="135">
        <v>-0.74199999999999999</v>
      </c>
      <c r="I282" s="146" t="s">
        <v>2282</v>
      </c>
      <c r="J282" s="137"/>
      <c r="K282" s="137"/>
    </row>
    <row r="283" spans="1:11">
      <c r="A283" s="149"/>
      <c r="B283" s="99" t="s">
        <v>2220</v>
      </c>
      <c r="C283" s="99" t="s">
        <v>63</v>
      </c>
      <c r="D283" s="99" t="s">
        <v>406</v>
      </c>
      <c r="E283" s="99" t="s">
        <v>303</v>
      </c>
      <c r="F283" s="97" t="s">
        <v>2221</v>
      </c>
      <c r="G283" s="97"/>
      <c r="H283" s="135">
        <v>-0.79190000000000005</v>
      </c>
      <c r="I283" s="146" t="s">
        <v>2416</v>
      </c>
      <c r="J283" s="137">
        <v>168.43</v>
      </c>
      <c r="K283" s="137">
        <v>53.025399999999998</v>
      </c>
    </row>
    <row r="284" spans="1:11">
      <c r="A284" s="149"/>
      <c r="B284" s="99" t="s">
        <v>2222</v>
      </c>
      <c r="C284" s="99" t="s">
        <v>63</v>
      </c>
      <c r="D284" s="99" t="s">
        <v>406</v>
      </c>
      <c r="E284" s="99" t="s">
        <v>303</v>
      </c>
      <c r="F284" s="97" t="s">
        <v>2221</v>
      </c>
      <c r="G284" s="13" t="s">
        <v>1849</v>
      </c>
      <c r="H284" s="135">
        <v>-0.79190000000000005</v>
      </c>
      <c r="I284" s="146" t="s">
        <v>2282</v>
      </c>
      <c r="J284" s="137"/>
      <c r="K284" s="137"/>
    </row>
    <row r="285" spans="1:11">
      <c r="A285" s="149"/>
      <c r="B285" s="99" t="s">
        <v>2223</v>
      </c>
      <c r="C285" s="99" t="s">
        <v>63</v>
      </c>
      <c r="D285" s="99" t="s">
        <v>406</v>
      </c>
      <c r="E285" s="99" t="s">
        <v>303</v>
      </c>
      <c r="F285" s="97" t="s">
        <v>2224</v>
      </c>
      <c r="G285" s="97"/>
      <c r="H285" s="135">
        <v>-0.89170000000000005</v>
      </c>
      <c r="I285" s="146" t="s">
        <v>2417</v>
      </c>
      <c r="J285" s="137">
        <v>168.43</v>
      </c>
      <c r="K285" s="137">
        <v>53.025399999999998</v>
      </c>
    </row>
    <row r="286" spans="1:11">
      <c r="A286" s="149"/>
      <c r="B286" s="99" t="s">
        <v>2225</v>
      </c>
      <c r="C286" s="99" t="s">
        <v>63</v>
      </c>
      <c r="D286" s="99" t="s">
        <v>406</v>
      </c>
      <c r="E286" s="99" t="s">
        <v>303</v>
      </c>
      <c r="F286" s="97" t="s">
        <v>2224</v>
      </c>
      <c r="G286" s="13" t="s">
        <v>1849</v>
      </c>
      <c r="H286" s="135">
        <v>-0.89170000000000005</v>
      </c>
      <c r="I286" s="146" t="s">
        <v>2282</v>
      </c>
      <c r="J286" s="137"/>
      <c r="K286" s="137"/>
    </row>
    <row r="287" spans="1:11">
      <c r="A287" s="149"/>
      <c r="B287" s="99" t="s">
        <v>2226</v>
      </c>
      <c r="C287" s="99" t="s">
        <v>63</v>
      </c>
      <c r="D287" s="99" t="s">
        <v>406</v>
      </c>
      <c r="E287" s="99" t="s">
        <v>303</v>
      </c>
      <c r="F287" s="97" t="s">
        <v>2227</v>
      </c>
      <c r="G287" s="97"/>
      <c r="H287" s="135">
        <v>-0.94159999999999999</v>
      </c>
      <c r="I287" s="146" t="s">
        <v>2418</v>
      </c>
      <c r="J287" s="137">
        <v>168.43</v>
      </c>
      <c r="K287" s="137">
        <v>53.025399999999998</v>
      </c>
    </row>
    <row r="288" spans="1:11">
      <c r="A288" s="149"/>
      <c r="B288" s="99" t="s">
        <v>2228</v>
      </c>
      <c r="C288" s="99" t="s">
        <v>63</v>
      </c>
      <c r="D288" s="99" t="s">
        <v>406</v>
      </c>
      <c r="E288" s="99" t="s">
        <v>303</v>
      </c>
      <c r="F288" s="97" t="s">
        <v>2227</v>
      </c>
      <c r="G288" s="13" t="s">
        <v>1849</v>
      </c>
      <c r="H288" s="135">
        <v>-0.94159999999999999</v>
      </c>
      <c r="I288" s="146" t="s">
        <v>2282</v>
      </c>
      <c r="J288" s="137"/>
      <c r="K288" s="137"/>
    </row>
    <row r="289" spans="1:11">
      <c r="A289" s="149"/>
      <c r="B289" s="99" t="s">
        <v>2229</v>
      </c>
      <c r="C289" s="99" t="s">
        <v>63</v>
      </c>
      <c r="D289" s="99" t="s">
        <v>406</v>
      </c>
      <c r="E289" s="99" t="s">
        <v>303</v>
      </c>
      <c r="F289" s="97" t="s">
        <v>2230</v>
      </c>
      <c r="G289" s="97"/>
      <c r="H289" s="135">
        <v>-0.98150000000000004</v>
      </c>
      <c r="I289" s="146" t="s">
        <v>2419</v>
      </c>
      <c r="J289" s="137">
        <v>168.43</v>
      </c>
      <c r="K289" s="137">
        <v>53.025399999999998</v>
      </c>
    </row>
    <row r="290" spans="1:11">
      <c r="A290" s="149"/>
      <c r="B290" s="99" t="s">
        <v>2231</v>
      </c>
      <c r="C290" s="99" t="s">
        <v>63</v>
      </c>
      <c r="D290" s="99" t="s">
        <v>406</v>
      </c>
      <c r="E290" s="99" t="s">
        <v>303</v>
      </c>
      <c r="F290" s="97" t="s">
        <v>2230</v>
      </c>
      <c r="G290" s="13" t="s">
        <v>1849</v>
      </c>
      <c r="H290" s="135">
        <v>-0.98150000000000004</v>
      </c>
      <c r="I290" s="146" t="s">
        <v>2282</v>
      </c>
      <c r="J290" s="137"/>
      <c r="K290" s="137"/>
    </row>
    <row r="291" spans="1:11">
      <c r="A291" s="149"/>
      <c r="B291" s="99" t="s">
        <v>2232</v>
      </c>
      <c r="C291" s="99" t="s">
        <v>63</v>
      </c>
      <c r="D291" s="99" t="s">
        <v>406</v>
      </c>
      <c r="E291" s="99" t="s">
        <v>303</v>
      </c>
      <c r="F291" s="97" t="s">
        <v>2233</v>
      </c>
      <c r="G291" s="97"/>
      <c r="H291" s="135">
        <v>-0.99150000000000005</v>
      </c>
      <c r="I291" s="146" t="s">
        <v>2420</v>
      </c>
      <c r="J291" s="137">
        <v>168.43</v>
      </c>
      <c r="K291" s="137">
        <v>53.025399999999998</v>
      </c>
    </row>
    <row r="292" spans="1:11">
      <c r="A292" s="149"/>
      <c r="B292" s="99" t="s">
        <v>2234</v>
      </c>
      <c r="C292" s="99" t="s">
        <v>63</v>
      </c>
      <c r="D292" s="99" t="s">
        <v>406</v>
      </c>
      <c r="E292" s="99" t="s">
        <v>303</v>
      </c>
      <c r="F292" s="97" t="s">
        <v>2233</v>
      </c>
      <c r="G292" s="13" t="s">
        <v>1849</v>
      </c>
      <c r="H292" s="135">
        <v>-0.99150000000000005</v>
      </c>
      <c r="I292" s="146" t="s">
        <v>2282</v>
      </c>
      <c r="J292" s="137"/>
      <c r="K292" s="137"/>
    </row>
    <row r="293" spans="1:11">
      <c r="A293" s="149"/>
      <c r="B293" s="99" t="s">
        <v>2235</v>
      </c>
      <c r="C293" s="99" t="s">
        <v>63</v>
      </c>
      <c r="D293" s="99" t="s">
        <v>406</v>
      </c>
      <c r="E293" s="99" t="s">
        <v>303</v>
      </c>
      <c r="F293" s="97" t="s">
        <v>2236</v>
      </c>
      <c r="G293" s="97"/>
      <c r="H293" s="135">
        <v>-1.0911999999999999</v>
      </c>
      <c r="I293" s="146" t="s">
        <v>2421</v>
      </c>
      <c r="J293" s="137">
        <v>168.43</v>
      </c>
      <c r="K293" s="137">
        <v>53.025399999999998</v>
      </c>
    </row>
    <row r="294" spans="1:11">
      <c r="A294" s="149"/>
      <c r="B294" s="99" t="s">
        <v>2237</v>
      </c>
      <c r="C294" s="99" t="s">
        <v>63</v>
      </c>
      <c r="D294" s="99" t="s">
        <v>406</v>
      </c>
      <c r="E294" s="99" t="s">
        <v>303</v>
      </c>
      <c r="F294" s="97" t="s">
        <v>2236</v>
      </c>
      <c r="G294" s="13" t="s">
        <v>1849</v>
      </c>
      <c r="H294" s="135">
        <v>-1.0911999999999999</v>
      </c>
      <c r="I294" s="146" t="s">
        <v>2282</v>
      </c>
      <c r="J294" s="137"/>
      <c r="K294" s="137"/>
    </row>
    <row r="295" spans="1:11">
      <c r="A295" s="149"/>
      <c r="B295" s="99" t="s">
        <v>2238</v>
      </c>
      <c r="C295" s="99" t="s">
        <v>63</v>
      </c>
      <c r="D295" s="99" t="s">
        <v>406</v>
      </c>
      <c r="E295" s="99" t="s">
        <v>303</v>
      </c>
      <c r="F295" s="97" t="s">
        <v>2239</v>
      </c>
      <c r="G295" s="97"/>
      <c r="H295" s="135">
        <v>-1.1911</v>
      </c>
      <c r="I295" s="146" t="s">
        <v>2422</v>
      </c>
      <c r="J295" s="137">
        <v>168.43</v>
      </c>
      <c r="K295" s="137">
        <v>53.025399999999998</v>
      </c>
    </row>
    <row r="296" spans="1:11">
      <c r="A296" s="149"/>
      <c r="B296" s="99" t="s">
        <v>2240</v>
      </c>
      <c r="C296" s="99" t="s">
        <v>63</v>
      </c>
      <c r="D296" s="99" t="s">
        <v>406</v>
      </c>
      <c r="E296" s="99" t="s">
        <v>303</v>
      </c>
      <c r="F296" s="97" t="s">
        <v>2239</v>
      </c>
      <c r="G296" s="13" t="s">
        <v>1849</v>
      </c>
      <c r="H296" s="135">
        <v>-1.1911</v>
      </c>
      <c r="I296" s="146" t="s">
        <v>2282</v>
      </c>
      <c r="J296" s="137"/>
      <c r="K296" s="137"/>
    </row>
    <row r="297" spans="1:11">
      <c r="A297" s="149"/>
      <c r="B297" s="99" t="s">
        <v>2241</v>
      </c>
      <c r="C297" s="99" t="s">
        <v>63</v>
      </c>
      <c r="D297" s="99" t="s">
        <v>406</v>
      </c>
      <c r="E297" s="99" t="s">
        <v>303</v>
      </c>
      <c r="F297" s="97" t="s">
        <v>2242</v>
      </c>
      <c r="G297" s="97"/>
      <c r="H297" s="135">
        <v>-1.4406000000000001</v>
      </c>
      <c r="I297" s="146" t="s">
        <v>2423</v>
      </c>
      <c r="J297" s="137">
        <v>168.43</v>
      </c>
      <c r="K297" s="137">
        <v>53.025399999999998</v>
      </c>
    </row>
    <row r="298" spans="1:11">
      <c r="A298" s="149"/>
      <c r="B298" s="99" t="s">
        <v>2243</v>
      </c>
      <c r="C298" s="99" t="s">
        <v>63</v>
      </c>
      <c r="D298" s="99" t="s">
        <v>406</v>
      </c>
      <c r="E298" s="99" t="s">
        <v>303</v>
      </c>
      <c r="F298" s="97" t="s">
        <v>2242</v>
      </c>
      <c r="G298" s="13" t="s">
        <v>1849</v>
      </c>
      <c r="H298" s="135">
        <v>-1.4406000000000001</v>
      </c>
      <c r="I298" s="146" t="s">
        <v>2282</v>
      </c>
      <c r="J298" s="137"/>
      <c r="K298" s="137"/>
    </row>
    <row r="299" spans="1:11">
      <c r="A299" s="149"/>
      <c r="B299" s="99" t="s">
        <v>2244</v>
      </c>
      <c r="C299" s="99" t="s">
        <v>63</v>
      </c>
      <c r="D299" s="99" t="s">
        <v>406</v>
      </c>
      <c r="E299" s="99" t="s">
        <v>303</v>
      </c>
      <c r="F299" s="97" t="s">
        <v>2245</v>
      </c>
      <c r="G299" s="97"/>
      <c r="H299" s="135">
        <v>-1.4904999999999999</v>
      </c>
      <c r="I299" s="146" t="s">
        <v>2424</v>
      </c>
      <c r="J299" s="137">
        <v>168.43</v>
      </c>
      <c r="K299" s="137">
        <v>53.025399999999998</v>
      </c>
    </row>
    <row r="300" spans="1:11">
      <c r="A300" s="149"/>
      <c r="B300" s="99" t="s">
        <v>2246</v>
      </c>
      <c r="C300" s="99" t="s">
        <v>63</v>
      </c>
      <c r="D300" s="99" t="s">
        <v>406</v>
      </c>
      <c r="E300" s="99" t="s">
        <v>303</v>
      </c>
      <c r="F300" s="97" t="s">
        <v>2245</v>
      </c>
      <c r="G300" s="13" t="s">
        <v>1849</v>
      </c>
      <c r="H300" s="135">
        <v>-1.4904999999999999</v>
      </c>
      <c r="I300" s="146" t="s">
        <v>2282</v>
      </c>
      <c r="J300" s="137"/>
      <c r="K300" s="137"/>
    </row>
    <row r="301" spans="1:11">
      <c r="A301" s="149"/>
      <c r="B301" s="99" t="s">
        <v>2247</v>
      </c>
      <c r="C301" s="99" t="s">
        <v>63</v>
      </c>
      <c r="D301" s="99" t="s">
        <v>406</v>
      </c>
      <c r="E301" s="99" t="s">
        <v>303</v>
      </c>
      <c r="F301" s="97" t="s">
        <v>2248</v>
      </c>
      <c r="G301" s="97"/>
      <c r="H301" s="135">
        <v>-1.5405</v>
      </c>
      <c r="I301" s="146" t="s">
        <v>2425</v>
      </c>
      <c r="J301" s="137">
        <v>168.43</v>
      </c>
      <c r="K301" s="137">
        <v>53.025399999999998</v>
      </c>
    </row>
    <row r="302" spans="1:11">
      <c r="A302" s="149"/>
      <c r="B302" s="99" t="s">
        <v>2249</v>
      </c>
      <c r="C302" s="99" t="s">
        <v>63</v>
      </c>
      <c r="D302" s="99" t="s">
        <v>406</v>
      </c>
      <c r="E302" s="99" t="s">
        <v>303</v>
      </c>
      <c r="F302" s="97" t="s">
        <v>2248</v>
      </c>
      <c r="G302" s="13" t="s">
        <v>1849</v>
      </c>
      <c r="H302" s="135">
        <v>-1.5405</v>
      </c>
      <c r="I302" s="146" t="s">
        <v>2282</v>
      </c>
      <c r="J302" s="137"/>
      <c r="K302" s="137"/>
    </row>
    <row r="303" spans="1:11">
      <c r="A303" s="149"/>
      <c r="B303" s="99" t="s">
        <v>2250</v>
      </c>
      <c r="C303" s="99" t="s">
        <v>63</v>
      </c>
      <c r="D303" s="99" t="s">
        <v>406</v>
      </c>
      <c r="E303" s="99" t="s">
        <v>303</v>
      </c>
      <c r="F303" s="97" t="s">
        <v>2251</v>
      </c>
      <c r="G303" s="97"/>
      <c r="H303" s="135">
        <v>-1.79</v>
      </c>
      <c r="I303" s="146" t="s">
        <v>2426</v>
      </c>
      <c r="J303" s="137">
        <v>168.43</v>
      </c>
      <c r="K303" s="137">
        <v>53.025399999999998</v>
      </c>
    </row>
    <row r="304" spans="1:11">
      <c r="A304" s="149"/>
      <c r="B304" s="99" t="s">
        <v>2252</v>
      </c>
      <c r="C304" s="99" t="s">
        <v>63</v>
      </c>
      <c r="D304" s="99" t="s">
        <v>406</v>
      </c>
      <c r="E304" s="99" t="s">
        <v>303</v>
      </c>
      <c r="F304" s="97" t="s">
        <v>2251</v>
      </c>
      <c r="G304" s="13" t="s">
        <v>1849</v>
      </c>
      <c r="H304" s="135">
        <v>-1.79</v>
      </c>
      <c r="I304" s="146" t="s">
        <v>2282</v>
      </c>
      <c r="J304" s="137"/>
      <c r="K304" s="137"/>
    </row>
    <row r="305" spans="1:11">
      <c r="A305" s="149"/>
      <c r="B305" s="99" t="s">
        <v>2253</v>
      </c>
      <c r="C305" s="99" t="s">
        <v>63</v>
      </c>
      <c r="D305" s="99" t="s">
        <v>406</v>
      </c>
      <c r="E305" s="99" t="s">
        <v>303</v>
      </c>
      <c r="F305" s="97" t="s">
        <v>2254</v>
      </c>
      <c r="G305" s="97"/>
      <c r="H305" s="135">
        <v>-1.9896</v>
      </c>
      <c r="I305" s="146" t="s">
        <v>2427</v>
      </c>
      <c r="J305" s="137">
        <v>168.43</v>
      </c>
      <c r="K305" s="137">
        <v>53.025399999999998</v>
      </c>
    </row>
    <row r="306" spans="1:11">
      <c r="A306" s="149"/>
      <c r="B306" s="99" t="s">
        <v>2255</v>
      </c>
      <c r="C306" s="99" t="s">
        <v>63</v>
      </c>
      <c r="D306" s="99" t="s">
        <v>406</v>
      </c>
      <c r="E306" s="99" t="s">
        <v>303</v>
      </c>
      <c r="F306" s="97" t="s">
        <v>2254</v>
      </c>
      <c r="G306" s="13" t="s">
        <v>1849</v>
      </c>
      <c r="H306" s="135">
        <v>-1.9896</v>
      </c>
      <c r="I306" s="146" t="s">
        <v>2282</v>
      </c>
      <c r="J306" s="137"/>
      <c r="K306" s="137"/>
    </row>
    <row r="307" spans="1:11">
      <c r="A307" s="149"/>
      <c r="B307" s="99" t="s">
        <v>2256</v>
      </c>
      <c r="C307" s="99" t="s">
        <v>63</v>
      </c>
      <c r="D307" s="99" t="s">
        <v>406</v>
      </c>
      <c r="E307" s="99" t="s">
        <v>303</v>
      </c>
      <c r="F307" s="97" t="s">
        <v>2257</v>
      </c>
      <c r="G307" s="97"/>
      <c r="H307" s="135">
        <v>-2.1892</v>
      </c>
      <c r="I307" s="146" t="s">
        <v>2428</v>
      </c>
      <c r="J307" s="137">
        <v>168.43</v>
      </c>
      <c r="K307" s="137">
        <v>53.025399999999998</v>
      </c>
    </row>
    <row r="308" spans="1:11">
      <c r="A308" s="149"/>
      <c r="B308" s="99" t="s">
        <v>2258</v>
      </c>
      <c r="C308" s="99" t="s">
        <v>63</v>
      </c>
      <c r="D308" s="99" t="s">
        <v>406</v>
      </c>
      <c r="E308" s="99" t="s">
        <v>303</v>
      </c>
      <c r="F308" s="97" t="s">
        <v>2257</v>
      </c>
      <c r="G308" s="13" t="s">
        <v>1849</v>
      </c>
      <c r="H308" s="135">
        <v>-2.1892</v>
      </c>
      <c r="I308" s="146" t="s">
        <v>2282</v>
      </c>
      <c r="J308" s="137"/>
      <c r="K308" s="137"/>
    </row>
    <row r="309" spans="1:11">
      <c r="A309" s="149"/>
      <c r="B309" s="99" t="s">
        <v>2259</v>
      </c>
      <c r="C309" s="99" t="s">
        <v>63</v>
      </c>
      <c r="D309" s="99" t="s">
        <v>406</v>
      </c>
      <c r="E309" s="99" t="s">
        <v>303</v>
      </c>
      <c r="F309" s="97" t="s">
        <v>2260</v>
      </c>
      <c r="G309" s="97"/>
      <c r="H309" s="135">
        <v>-2.4885000000000002</v>
      </c>
      <c r="I309" s="146" t="s">
        <v>2429</v>
      </c>
      <c r="J309" s="137">
        <v>168.43</v>
      </c>
      <c r="K309" s="137">
        <v>53.025399999999998</v>
      </c>
    </row>
    <row r="310" spans="1:11">
      <c r="A310" s="149"/>
      <c r="B310" s="99" t="s">
        <v>2261</v>
      </c>
      <c r="C310" s="99" t="s">
        <v>63</v>
      </c>
      <c r="D310" s="99" t="s">
        <v>406</v>
      </c>
      <c r="E310" s="99" t="s">
        <v>303</v>
      </c>
      <c r="F310" s="97" t="s">
        <v>2260</v>
      </c>
      <c r="G310" s="13" t="s">
        <v>1849</v>
      </c>
      <c r="H310" s="135">
        <v>-2.4885000000000002</v>
      </c>
      <c r="I310" s="146" t="s">
        <v>2282</v>
      </c>
      <c r="J310" s="137"/>
      <c r="K310" s="137"/>
    </row>
    <row r="311" spans="1:11">
      <c r="A311" s="149"/>
      <c r="B311" s="99" t="s">
        <v>2262</v>
      </c>
      <c r="C311" s="99" t="s">
        <v>63</v>
      </c>
      <c r="D311" s="99" t="s">
        <v>406</v>
      </c>
      <c r="E311" s="99" t="s">
        <v>303</v>
      </c>
      <c r="F311" s="97" t="s">
        <v>2263</v>
      </c>
      <c r="G311" s="97"/>
      <c r="H311" s="135">
        <v>-2.9876</v>
      </c>
      <c r="I311" s="146" t="s">
        <v>2430</v>
      </c>
      <c r="J311" s="137">
        <v>168.43</v>
      </c>
      <c r="K311" s="137">
        <v>53.025399999999998</v>
      </c>
    </row>
    <row r="312" spans="1:11">
      <c r="A312" s="149"/>
      <c r="B312" s="99" t="s">
        <v>2264</v>
      </c>
      <c r="C312" s="99" t="s">
        <v>63</v>
      </c>
      <c r="D312" s="99" t="s">
        <v>406</v>
      </c>
      <c r="E312" s="99" t="s">
        <v>303</v>
      </c>
      <c r="F312" s="97" t="s">
        <v>2263</v>
      </c>
      <c r="G312" s="13" t="s">
        <v>1849</v>
      </c>
      <c r="H312" s="135">
        <v>-2.9876</v>
      </c>
      <c r="I312" s="146" t="s">
        <v>2282</v>
      </c>
      <c r="J312" s="137"/>
      <c r="K312" s="137"/>
    </row>
    <row r="313" spans="1:11">
      <c r="A313" s="149"/>
      <c r="B313" s="99" t="s">
        <v>2265</v>
      </c>
      <c r="C313" s="99" t="s">
        <v>63</v>
      </c>
      <c r="D313" s="99" t="s">
        <v>406</v>
      </c>
      <c r="E313" s="99" t="s">
        <v>303</v>
      </c>
      <c r="F313" s="97" t="s">
        <v>2266</v>
      </c>
      <c r="G313" s="97"/>
      <c r="H313" s="135">
        <v>-3.5865</v>
      </c>
      <c r="I313" s="146" t="s">
        <v>2431</v>
      </c>
      <c r="J313" s="137">
        <v>168.43</v>
      </c>
      <c r="K313" s="137">
        <v>53.025399999999998</v>
      </c>
    </row>
    <row r="314" spans="1:11">
      <c r="A314" s="149"/>
      <c r="B314" s="99" t="s">
        <v>2267</v>
      </c>
      <c r="C314" s="99" t="s">
        <v>63</v>
      </c>
      <c r="D314" s="99" t="s">
        <v>406</v>
      </c>
      <c r="E314" s="99" t="s">
        <v>303</v>
      </c>
      <c r="F314" s="97" t="s">
        <v>2266</v>
      </c>
      <c r="G314" s="13" t="s">
        <v>1849</v>
      </c>
      <c r="H314" s="135">
        <v>-3.5865</v>
      </c>
      <c r="I314" s="146" t="s">
        <v>2282</v>
      </c>
      <c r="J314" s="137"/>
      <c r="K314" s="137"/>
    </row>
  </sheetData>
  <autoFilter ref="B16:K314" xr:uid="{B87B37EA-BDA9-46AE-BA05-09112850BCCD}">
    <filterColumn colId="6">
      <filters>
        <filter val="0.0017"/>
        <filter val="0.0024"/>
        <filter val="0.0026"/>
        <filter val="0.0037"/>
        <filter val="0.0048"/>
        <filter val="0.0060"/>
        <filter val="0.0093"/>
        <filter val="0.0105"/>
        <filter val="0.0139"/>
        <filter val="0.0140"/>
        <filter val="0.0146"/>
        <filter val="0.0148"/>
        <filter val="0.0209"/>
        <filter val="0.0227"/>
        <filter val="0.0238"/>
        <filter val="0.0405"/>
        <filter val="0.0414"/>
        <filter val="0.0539"/>
        <filter val="0.0651"/>
        <filter val="0.0702"/>
        <filter val="0.0900"/>
        <filter val="0.1179"/>
        <filter val="0.1627"/>
        <filter val="-0.2785"/>
        <filter val="-0.2929"/>
        <filter val="-0.2932"/>
        <filter val="-0.2992"/>
        <filter val="-0.3258"/>
        <filter val="-0.3427"/>
        <filter val="-0.3527"/>
        <filter val="-0.3909"/>
        <filter val="-0.3926"/>
        <filter val="-0.4426"/>
        <filter val="-0.4526"/>
        <filter val="-0.4560"/>
        <filter val="-0.4924"/>
        <filter val="-0.5355"/>
        <filter val="-0.5424"/>
        <filter val="-0.5923"/>
        <filter val="-0.6421"/>
        <filter val="-0.6921"/>
        <filter val="-0.7420"/>
        <filter val="-0.7919"/>
        <filter val="-0.8917"/>
        <filter val="-0.9416"/>
        <filter val="-0.9815"/>
        <filter val="-0.9915"/>
        <filter val="-1.0912"/>
        <filter val="-1.1911"/>
        <filter val="-1.4406"/>
        <filter val="-1.4905"/>
        <filter val="-1.5405"/>
        <filter val="-1.7900"/>
        <filter val="-1.9896"/>
        <filter val="-2.1892"/>
        <filter val="-2.4885"/>
        <filter val="-2.9876"/>
        <filter val="-3.5865"/>
        <filter val="price availabl upon request"/>
        <filter val="to be confirmed"/>
      </filters>
    </filterColumn>
  </autoFilter>
  <sortState xmlns:xlrd2="http://schemas.microsoft.com/office/spreadsheetml/2017/richdata2" ref="B17:K314">
    <sortCondition descending="1" ref="E17:E314"/>
    <sortCondition ref="F17:F314"/>
    <sortCondition ref="B17:B314"/>
  </sortState>
  <mergeCells count="3">
    <mergeCell ref="H14:H15"/>
    <mergeCell ref="I14:K14"/>
    <mergeCell ref="H11:K11"/>
  </mergeCells>
  <hyperlinks>
    <hyperlink ref="B2" location="'Main Menu'!A1" tooltip="Go to the main menu" display="&gt;&gt; Main Menu" xr:uid="{B7D13DB2-5F7B-421F-98E0-773A5C75EC18}"/>
  </hyperlinks>
  <printOptions horizontalCentered="1" verticalCentered="1"/>
  <pageMargins left="0" right="0" top="0.25" bottom="0.75" header="0.5" footer="0.5"/>
  <pageSetup paperSize="9" fitToWidth="2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8"/>
  <dimension ref="B1:O1229"/>
  <sheetViews>
    <sheetView zoomScale="80" zoomScaleNormal="80" workbookViewId="0">
      <selection activeCell="B1" sqref="B1"/>
    </sheetView>
  </sheetViews>
  <sheetFormatPr defaultColWidth="11.42578125" defaultRowHeight="12.75"/>
  <cols>
    <col min="1" max="1" width="2.42578125" style="87" customWidth="1"/>
    <col min="2" max="2" width="16.42578125" style="87" customWidth="1"/>
    <col min="10" max="10" width="2.7109375" style="87" customWidth="1"/>
    <col min="11" max="11" width="14" style="92" customWidth="1"/>
    <col min="12" max="12" width="39.42578125" style="92" customWidth="1"/>
    <col min="13" max="13" width="2.7109375" style="87" customWidth="1"/>
    <col min="14" max="14" width="19.28515625" style="87" customWidth="1"/>
    <col min="15" max="15" width="54.7109375" style="87" customWidth="1"/>
    <col min="16" max="257" width="11.42578125" style="87"/>
    <col min="258" max="258" width="2.5703125" style="87" customWidth="1"/>
    <col min="259" max="259" width="22.42578125" style="87" customWidth="1"/>
    <col min="260" max="260" width="10.42578125" style="87" customWidth="1"/>
    <col min="261" max="261" width="14.42578125" style="87" customWidth="1"/>
    <col min="262" max="262" width="14.28515625" style="87" customWidth="1"/>
    <col min="263" max="264" width="14" style="87" customWidth="1"/>
    <col min="265" max="265" width="28.5703125" style="87" customWidth="1"/>
    <col min="266" max="266" width="2.7109375" style="87" customWidth="1"/>
    <col min="267" max="267" width="14" style="87" customWidth="1"/>
    <col min="268" max="268" width="39.42578125" style="87" customWidth="1"/>
    <col min="269" max="269" width="2.7109375" style="87" customWidth="1"/>
    <col min="270" max="270" width="19.28515625" style="87" customWidth="1"/>
    <col min="271" max="271" width="54.7109375" style="87" customWidth="1"/>
    <col min="272" max="513" width="11.42578125" style="87"/>
    <col min="514" max="514" width="2.5703125" style="87" customWidth="1"/>
    <col min="515" max="515" width="22.42578125" style="87" customWidth="1"/>
    <col min="516" max="516" width="10.42578125" style="87" customWidth="1"/>
    <col min="517" max="517" width="14.42578125" style="87" customWidth="1"/>
    <col min="518" max="518" width="14.28515625" style="87" customWidth="1"/>
    <col min="519" max="520" width="14" style="87" customWidth="1"/>
    <col min="521" max="521" width="28.5703125" style="87" customWidth="1"/>
    <col min="522" max="522" width="2.7109375" style="87" customWidth="1"/>
    <col min="523" max="523" width="14" style="87" customWidth="1"/>
    <col min="524" max="524" width="39.42578125" style="87" customWidth="1"/>
    <col min="525" max="525" width="2.7109375" style="87" customWidth="1"/>
    <col min="526" max="526" width="19.28515625" style="87" customWidth="1"/>
    <col min="527" max="527" width="54.7109375" style="87" customWidth="1"/>
    <col min="528" max="769" width="11.42578125" style="87"/>
    <col min="770" max="770" width="2.5703125" style="87" customWidth="1"/>
    <col min="771" max="771" width="22.42578125" style="87" customWidth="1"/>
    <col min="772" max="772" width="10.42578125" style="87" customWidth="1"/>
    <col min="773" max="773" width="14.42578125" style="87" customWidth="1"/>
    <col min="774" max="774" width="14.28515625" style="87" customWidth="1"/>
    <col min="775" max="776" width="14" style="87" customWidth="1"/>
    <col min="777" max="777" width="28.5703125" style="87" customWidth="1"/>
    <col min="778" max="778" width="2.7109375" style="87" customWidth="1"/>
    <col min="779" max="779" width="14" style="87" customWidth="1"/>
    <col min="780" max="780" width="39.42578125" style="87" customWidth="1"/>
    <col min="781" max="781" width="2.7109375" style="87" customWidth="1"/>
    <col min="782" max="782" width="19.28515625" style="87" customWidth="1"/>
    <col min="783" max="783" width="54.7109375" style="87" customWidth="1"/>
    <col min="784" max="1025" width="11.42578125" style="87"/>
    <col min="1026" max="1026" width="2.5703125" style="87" customWidth="1"/>
    <col min="1027" max="1027" width="22.42578125" style="87" customWidth="1"/>
    <col min="1028" max="1028" width="10.42578125" style="87" customWidth="1"/>
    <col min="1029" max="1029" width="14.42578125" style="87" customWidth="1"/>
    <col min="1030" max="1030" width="14.28515625" style="87" customWidth="1"/>
    <col min="1031" max="1032" width="14" style="87" customWidth="1"/>
    <col min="1033" max="1033" width="28.5703125" style="87" customWidth="1"/>
    <col min="1034" max="1034" width="2.7109375" style="87" customWidth="1"/>
    <col min="1035" max="1035" width="14" style="87" customWidth="1"/>
    <col min="1036" max="1036" width="39.42578125" style="87" customWidth="1"/>
    <col min="1037" max="1037" width="2.7109375" style="87" customWidth="1"/>
    <col min="1038" max="1038" width="19.28515625" style="87" customWidth="1"/>
    <col min="1039" max="1039" width="54.7109375" style="87" customWidth="1"/>
    <col min="1040" max="1281" width="11.42578125" style="87"/>
    <col min="1282" max="1282" width="2.5703125" style="87" customWidth="1"/>
    <col min="1283" max="1283" width="22.42578125" style="87" customWidth="1"/>
    <col min="1284" max="1284" width="10.42578125" style="87" customWidth="1"/>
    <col min="1285" max="1285" width="14.42578125" style="87" customWidth="1"/>
    <col min="1286" max="1286" width="14.28515625" style="87" customWidth="1"/>
    <col min="1287" max="1288" width="14" style="87" customWidth="1"/>
    <col min="1289" max="1289" width="28.5703125" style="87" customWidth="1"/>
    <col min="1290" max="1290" width="2.7109375" style="87" customWidth="1"/>
    <col min="1291" max="1291" width="14" style="87" customWidth="1"/>
    <col min="1292" max="1292" width="39.42578125" style="87" customWidth="1"/>
    <col min="1293" max="1293" width="2.7109375" style="87" customWidth="1"/>
    <col min="1294" max="1294" width="19.28515625" style="87" customWidth="1"/>
    <col min="1295" max="1295" width="54.7109375" style="87" customWidth="1"/>
    <col min="1296" max="1537" width="11.42578125" style="87"/>
    <col min="1538" max="1538" width="2.5703125" style="87" customWidth="1"/>
    <col min="1539" max="1539" width="22.42578125" style="87" customWidth="1"/>
    <col min="1540" max="1540" width="10.42578125" style="87" customWidth="1"/>
    <col min="1541" max="1541" width="14.42578125" style="87" customWidth="1"/>
    <col min="1542" max="1542" width="14.28515625" style="87" customWidth="1"/>
    <col min="1543" max="1544" width="14" style="87" customWidth="1"/>
    <col min="1545" max="1545" width="28.5703125" style="87" customWidth="1"/>
    <col min="1546" max="1546" width="2.7109375" style="87" customWidth="1"/>
    <col min="1547" max="1547" width="14" style="87" customWidth="1"/>
    <col min="1548" max="1548" width="39.42578125" style="87" customWidth="1"/>
    <col min="1549" max="1549" width="2.7109375" style="87" customWidth="1"/>
    <col min="1550" max="1550" width="19.28515625" style="87" customWidth="1"/>
    <col min="1551" max="1551" width="54.7109375" style="87" customWidth="1"/>
    <col min="1552" max="1793" width="11.42578125" style="87"/>
    <col min="1794" max="1794" width="2.5703125" style="87" customWidth="1"/>
    <col min="1795" max="1795" width="22.42578125" style="87" customWidth="1"/>
    <col min="1796" max="1796" width="10.42578125" style="87" customWidth="1"/>
    <col min="1797" max="1797" width="14.42578125" style="87" customWidth="1"/>
    <col min="1798" max="1798" width="14.28515625" style="87" customWidth="1"/>
    <col min="1799" max="1800" width="14" style="87" customWidth="1"/>
    <col min="1801" max="1801" width="28.5703125" style="87" customWidth="1"/>
    <col min="1802" max="1802" width="2.7109375" style="87" customWidth="1"/>
    <col min="1803" max="1803" width="14" style="87" customWidth="1"/>
    <col min="1804" max="1804" width="39.42578125" style="87" customWidth="1"/>
    <col min="1805" max="1805" width="2.7109375" style="87" customWidth="1"/>
    <col min="1806" max="1806" width="19.28515625" style="87" customWidth="1"/>
    <col min="1807" max="1807" width="54.7109375" style="87" customWidth="1"/>
    <col min="1808" max="2049" width="11.42578125" style="87"/>
    <col min="2050" max="2050" width="2.5703125" style="87" customWidth="1"/>
    <col min="2051" max="2051" width="22.42578125" style="87" customWidth="1"/>
    <col min="2052" max="2052" width="10.42578125" style="87" customWidth="1"/>
    <col min="2053" max="2053" width="14.42578125" style="87" customWidth="1"/>
    <col min="2054" max="2054" width="14.28515625" style="87" customWidth="1"/>
    <col min="2055" max="2056" width="14" style="87" customWidth="1"/>
    <col min="2057" max="2057" width="28.5703125" style="87" customWidth="1"/>
    <col min="2058" max="2058" width="2.7109375" style="87" customWidth="1"/>
    <col min="2059" max="2059" width="14" style="87" customWidth="1"/>
    <col min="2060" max="2060" width="39.42578125" style="87" customWidth="1"/>
    <col min="2061" max="2061" width="2.7109375" style="87" customWidth="1"/>
    <col min="2062" max="2062" width="19.28515625" style="87" customWidth="1"/>
    <col min="2063" max="2063" width="54.7109375" style="87" customWidth="1"/>
    <col min="2064" max="2305" width="11.42578125" style="87"/>
    <col min="2306" max="2306" width="2.5703125" style="87" customWidth="1"/>
    <col min="2307" max="2307" width="22.42578125" style="87" customWidth="1"/>
    <col min="2308" max="2308" width="10.42578125" style="87" customWidth="1"/>
    <col min="2309" max="2309" width="14.42578125" style="87" customWidth="1"/>
    <col min="2310" max="2310" width="14.28515625" style="87" customWidth="1"/>
    <col min="2311" max="2312" width="14" style="87" customWidth="1"/>
    <col min="2313" max="2313" width="28.5703125" style="87" customWidth="1"/>
    <col min="2314" max="2314" width="2.7109375" style="87" customWidth="1"/>
    <col min="2315" max="2315" width="14" style="87" customWidth="1"/>
    <col min="2316" max="2316" width="39.42578125" style="87" customWidth="1"/>
    <col min="2317" max="2317" width="2.7109375" style="87" customWidth="1"/>
    <col min="2318" max="2318" width="19.28515625" style="87" customWidth="1"/>
    <col min="2319" max="2319" width="54.7109375" style="87" customWidth="1"/>
    <col min="2320" max="2561" width="11.42578125" style="87"/>
    <col min="2562" max="2562" width="2.5703125" style="87" customWidth="1"/>
    <col min="2563" max="2563" width="22.42578125" style="87" customWidth="1"/>
    <col min="2564" max="2564" width="10.42578125" style="87" customWidth="1"/>
    <col min="2565" max="2565" width="14.42578125" style="87" customWidth="1"/>
    <col min="2566" max="2566" width="14.28515625" style="87" customWidth="1"/>
    <col min="2567" max="2568" width="14" style="87" customWidth="1"/>
    <col min="2569" max="2569" width="28.5703125" style="87" customWidth="1"/>
    <col min="2570" max="2570" width="2.7109375" style="87" customWidth="1"/>
    <col min="2571" max="2571" width="14" style="87" customWidth="1"/>
    <col min="2572" max="2572" width="39.42578125" style="87" customWidth="1"/>
    <col min="2573" max="2573" width="2.7109375" style="87" customWidth="1"/>
    <col min="2574" max="2574" width="19.28515625" style="87" customWidth="1"/>
    <col min="2575" max="2575" width="54.7109375" style="87" customWidth="1"/>
    <col min="2576" max="2817" width="11.42578125" style="87"/>
    <col min="2818" max="2818" width="2.5703125" style="87" customWidth="1"/>
    <col min="2819" max="2819" width="22.42578125" style="87" customWidth="1"/>
    <col min="2820" max="2820" width="10.42578125" style="87" customWidth="1"/>
    <col min="2821" max="2821" width="14.42578125" style="87" customWidth="1"/>
    <col min="2822" max="2822" width="14.28515625" style="87" customWidth="1"/>
    <col min="2823" max="2824" width="14" style="87" customWidth="1"/>
    <col min="2825" max="2825" width="28.5703125" style="87" customWidth="1"/>
    <col min="2826" max="2826" width="2.7109375" style="87" customWidth="1"/>
    <col min="2827" max="2827" width="14" style="87" customWidth="1"/>
    <col min="2828" max="2828" width="39.42578125" style="87" customWidth="1"/>
    <col min="2829" max="2829" width="2.7109375" style="87" customWidth="1"/>
    <col min="2830" max="2830" width="19.28515625" style="87" customWidth="1"/>
    <col min="2831" max="2831" width="54.7109375" style="87" customWidth="1"/>
    <col min="2832" max="3073" width="11.42578125" style="87"/>
    <col min="3074" max="3074" width="2.5703125" style="87" customWidth="1"/>
    <col min="3075" max="3075" width="22.42578125" style="87" customWidth="1"/>
    <col min="3076" max="3076" width="10.42578125" style="87" customWidth="1"/>
    <col min="3077" max="3077" width="14.42578125" style="87" customWidth="1"/>
    <col min="3078" max="3078" width="14.28515625" style="87" customWidth="1"/>
    <col min="3079" max="3080" width="14" style="87" customWidth="1"/>
    <col min="3081" max="3081" width="28.5703125" style="87" customWidth="1"/>
    <col min="3082" max="3082" width="2.7109375" style="87" customWidth="1"/>
    <col min="3083" max="3083" width="14" style="87" customWidth="1"/>
    <col min="3084" max="3084" width="39.42578125" style="87" customWidth="1"/>
    <col min="3085" max="3085" width="2.7109375" style="87" customWidth="1"/>
    <col min="3086" max="3086" width="19.28515625" style="87" customWidth="1"/>
    <col min="3087" max="3087" width="54.7109375" style="87" customWidth="1"/>
    <col min="3088" max="3329" width="11.42578125" style="87"/>
    <col min="3330" max="3330" width="2.5703125" style="87" customWidth="1"/>
    <col min="3331" max="3331" width="22.42578125" style="87" customWidth="1"/>
    <col min="3332" max="3332" width="10.42578125" style="87" customWidth="1"/>
    <col min="3333" max="3333" width="14.42578125" style="87" customWidth="1"/>
    <col min="3334" max="3334" width="14.28515625" style="87" customWidth="1"/>
    <col min="3335" max="3336" width="14" style="87" customWidth="1"/>
    <col min="3337" max="3337" width="28.5703125" style="87" customWidth="1"/>
    <col min="3338" max="3338" width="2.7109375" style="87" customWidth="1"/>
    <col min="3339" max="3339" width="14" style="87" customWidth="1"/>
    <col min="3340" max="3340" width="39.42578125" style="87" customWidth="1"/>
    <col min="3341" max="3341" width="2.7109375" style="87" customWidth="1"/>
    <col min="3342" max="3342" width="19.28515625" style="87" customWidth="1"/>
    <col min="3343" max="3343" width="54.7109375" style="87" customWidth="1"/>
    <col min="3344" max="3585" width="11.42578125" style="87"/>
    <col min="3586" max="3586" width="2.5703125" style="87" customWidth="1"/>
    <col min="3587" max="3587" width="22.42578125" style="87" customWidth="1"/>
    <col min="3588" max="3588" width="10.42578125" style="87" customWidth="1"/>
    <col min="3589" max="3589" width="14.42578125" style="87" customWidth="1"/>
    <col min="3590" max="3590" width="14.28515625" style="87" customWidth="1"/>
    <col min="3591" max="3592" width="14" style="87" customWidth="1"/>
    <col min="3593" max="3593" width="28.5703125" style="87" customWidth="1"/>
    <col min="3594" max="3594" width="2.7109375" style="87" customWidth="1"/>
    <col min="3595" max="3595" width="14" style="87" customWidth="1"/>
    <col min="3596" max="3596" width="39.42578125" style="87" customWidth="1"/>
    <col min="3597" max="3597" width="2.7109375" style="87" customWidth="1"/>
    <col min="3598" max="3598" width="19.28515625" style="87" customWidth="1"/>
    <col min="3599" max="3599" width="54.7109375" style="87" customWidth="1"/>
    <col min="3600" max="3841" width="11.42578125" style="87"/>
    <col min="3842" max="3842" width="2.5703125" style="87" customWidth="1"/>
    <col min="3843" max="3843" width="22.42578125" style="87" customWidth="1"/>
    <col min="3844" max="3844" width="10.42578125" style="87" customWidth="1"/>
    <col min="3845" max="3845" width="14.42578125" style="87" customWidth="1"/>
    <col min="3846" max="3846" width="14.28515625" style="87" customWidth="1"/>
    <col min="3847" max="3848" width="14" style="87" customWidth="1"/>
    <col min="3849" max="3849" width="28.5703125" style="87" customWidth="1"/>
    <col min="3850" max="3850" width="2.7109375" style="87" customWidth="1"/>
    <col min="3851" max="3851" width="14" style="87" customWidth="1"/>
    <col min="3852" max="3852" width="39.42578125" style="87" customWidth="1"/>
    <col min="3853" max="3853" width="2.7109375" style="87" customWidth="1"/>
    <col min="3854" max="3854" width="19.28515625" style="87" customWidth="1"/>
    <col min="3855" max="3855" width="54.7109375" style="87" customWidth="1"/>
    <col min="3856" max="4097" width="11.42578125" style="87"/>
    <col min="4098" max="4098" width="2.5703125" style="87" customWidth="1"/>
    <col min="4099" max="4099" width="22.42578125" style="87" customWidth="1"/>
    <col min="4100" max="4100" width="10.42578125" style="87" customWidth="1"/>
    <col min="4101" max="4101" width="14.42578125" style="87" customWidth="1"/>
    <col min="4102" max="4102" width="14.28515625" style="87" customWidth="1"/>
    <col min="4103" max="4104" width="14" style="87" customWidth="1"/>
    <col min="4105" max="4105" width="28.5703125" style="87" customWidth="1"/>
    <col min="4106" max="4106" width="2.7109375" style="87" customWidth="1"/>
    <col min="4107" max="4107" width="14" style="87" customWidth="1"/>
    <col min="4108" max="4108" width="39.42578125" style="87" customWidth="1"/>
    <col min="4109" max="4109" width="2.7109375" style="87" customWidth="1"/>
    <col min="4110" max="4110" width="19.28515625" style="87" customWidth="1"/>
    <col min="4111" max="4111" width="54.7109375" style="87" customWidth="1"/>
    <col min="4112" max="4353" width="11.42578125" style="87"/>
    <col min="4354" max="4354" width="2.5703125" style="87" customWidth="1"/>
    <col min="4355" max="4355" width="22.42578125" style="87" customWidth="1"/>
    <col min="4356" max="4356" width="10.42578125" style="87" customWidth="1"/>
    <col min="4357" max="4357" width="14.42578125" style="87" customWidth="1"/>
    <col min="4358" max="4358" width="14.28515625" style="87" customWidth="1"/>
    <col min="4359" max="4360" width="14" style="87" customWidth="1"/>
    <col min="4361" max="4361" width="28.5703125" style="87" customWidth="1"/>
    <col min="4362" max="4362" width="2.7109375" style="87" customWidth="1"/>
    <col min="4363" max="4363" width="14" style="87" customWidth="1"/>
    <col min="4364" max="4364" width="39.42578125" style="87" customWidth="1"/>
    <col min="4365" max="4365" width="2.7109375" style="87" customWidth="1"/>
    <col min="4366" max="4366" width="19.28515625" style="87" customWidth="1"/>
    <col min="4367" max="4367" width="54.7109375" style="87" customWidth="1"/>
    <col min="4368" max="4609" width="11.42578125" style="87"/>
    <col min="4610" max="4610" width="2.5703125" style="87" customWidth="1"/>
    <col min="4611" max="4611" width="22.42578125" style="87" customWidth="1"/>
    <col min="4612" max="4612" width="10.42578125" style="87" customWidth="1"/>
    <col min="4613" max="4613" width="14.42578125" style="87" customWidth="1"/>
    <col min="4614" max="4614" width="14.28515625" style="87" customWidth="1"/>
    <col min="4615" max="4616" width="14" style="87" customWidth="1"/>
    <col min="4617" max="4617" width="28.5703125" style="87" customWidth="1"/>
    <col min="4618" max="4618" width="2.7109375" style="87" customWidth="1"/>
    <col min="4619" max="4619" width="14" style="87" customWidth="1"/>
    <col min="4620" max="4620" width="39.42578125" style="87" customWidth="1"/>
    <col min="4621" max="4621" width="2.7109375" style="87" customWidth="1"/>
    <col min="4622" max="4622" width="19.28515625" style="87" customWidth="1"/>
    <col min="4623" max="4623" width="54.7109375" style="87" customWidth="1"/>
    <col min="4624" max="4865" width="11.42578125" style="87"/>
    <col min="4866" max="4866" width="2.5703125" style="87" customWidth="1"/>
    <col min="4867" max="4867" width="22.42578125" style="87" customWidth="1"/>
    <col min="4868" max="4868" width="10.42578125" style="87" customWidth="1"/>
    <col min="4869" max="4869" width="14.42578125" style="87" customWidth="1"/>
    <col min="4870" max="4870" width="14.28515625" style="87" customWidth="1"/>
    <col min="4871" max="4872" width="14" style="87" customWidth="1"/>
    <col min="4873" max="4873" width="28.5703125" style="87" customWidth="1"/>
    <col min="4874" max="4874" width="2.7109375" style="87" customWidth="1"/>
    <col min="4875" max="4875" width="14" style="87" customWidth="1"/>
    <col min="4876" max="4876" width="39.42578125" style="87" customWidth="1"/>
    <col min="4877" max="4877" width="2.7109375" style="87" customWidth="1"/>
    <col min="4878" max="4878" width="19.28515625" style="87" customWidth="1"/>
    <col min="4879" max="4879" width="54.7109375" style="87" customWidth="1"/>
    <col min="4880" max="5121" width="11.42578125" style="87"/>
    <col min="5122" max="5122" width="2.5703125" style="87" customWidth="1"/>
    <col min="5123" max="5123" width="22.42578125" style="87" customWidth="1"/>
    <col min="5124" max="5124" width="10.42578125" style="87" customWidth="1"/>
    <col min="5125" max="5125" width="14.42578125" style="87" customWidth="1"/>
    <col min="5126" max="5126" width="14.28515625" style="87" customWidth="1"/>
    <col min="5127" max="5128" width="14" style="87" customWidth="1"/>
    <col min="5129" max="5129" width="28.5703125" style="87" customWidth="1"/>
    <col min="5130" max="5130" width="2.7109375" style="87" customWidth="1"/>
    <col min="5131" max="5131" width="14" style="87" customWidth="1"/>
    <col min="5132" max="5132" width="39.42578125" style="87" customWidth="1"/>
    <col min="5133" max="5133" width="2.7109375" style="87" customWidth="1"/>
    <col min="5134" max="5134" width="19.28515625" style="87" customWidth="1"/>
    <col min="5135" max="5135" width="54.7109375" style="87" customWidth="1"/>
    <col min="5136" max="5377" width="11.42578125" style="87"/>
    <col min="5378" max="5378" width="2.5703125" style="87" customWidth="1"/>
    <col min="5379" max="5379" width="22.42578125" style="87" customWidth="1"/>
    <col min="5380" max="5380" width="10.42578125" style="87" customWidth="1"/>
    <col min="5381" max="5381" width="14.42578125" style="87" customWidth="1"/>
    <col min="5382" max="5382" width="14.28515625" style="87" customWidth="1"/>
    <col min="5383" max="5384" width="14" style="87" customWidth="1"/>
    <col min="5385" max="5385" width="28.5703125" style="87" customWidth="1"/>
    <col min="5386" max="5386" width="2.7109375" style="87" customWidth="1"/>
    <col min="5387" max="5387" width="14" style="87" customWidth="1"/>
    <col min="5388" max="5388" width="39.42578125" style="87" customWidth="1"/>
    <col min="5389" max="5389" width="2.7109375" style="87" customWidth="1"/>
    <col min="5390" max="5390" width="19.28515625" style="87" customWidth="1"/>
    <col min="5391" max="5391" width="54.7109375" style="87" customWidth="1"/>
    <col min="5392" max="5633" width="11.42578125" style="87"/>
    <col min="5634" max="5634" width="2.5703125" style="87" customWidth="1"/>
    <col min="5635" max="5635" width="22.42578125" style="87" customWidth="1"/>
    <col min="5636" max="5636" width="10.42578125" style="87" customWidth="1"/>
    <col min="5637" max="5637" width="14.42578125" style="87" customWidth="1"/>
    <col min="5638" max="5638" width="14.28515625" style="87" customWidth="1"/>
    <col min="5639" max="5640" width="14" style="87" customWidth="1"/>
    <col min="5641" max="5641" width="28.5703125" style="87" customWidth="1"/>
    <col min="5642" max="5642" width="2.7109375" style="87" customWidth="1"/>
    <col min="5643" max="5643" width="14" style="87" customWidth="1"/>
    <col min="5644" max="5644" width="39.42578125" style="87" customWidth="1"/>
    <col min="5645" max="5645" width="2.7109375" style="87" customWidth="1"/>
    <col min="5646" max="5646" width="19.28515625" style="87" customWidth="1"/>
    <col min="5647" max="5647" width="54.7109375" style="87" customWidth="1"/>
    <col min="5648" max="5889" width="11.42578125" style="87"/>
    <col min="5890" max="5890" width="2.5703125" style="87" customWidth="1"/>
    <col min="5891" max="5891" width="22.42578125" style="87" customWidth="1"/>
    <col min="5892" max="5892" width="10.42578125" style="87" customWidth="1"/>
    <col min="5893" max="5893" width="14.42578125" style="87" customWidth="1"/>
    <col min="5894" max="5894" width="14.28515625" style="87" customWidth="1"/>
    <col min="5895" max="5896" width="14" style="87" customWidth="1"/>
    <col min="5897" max="5897" width="28.5703125" style="87" customWidth="1"/>
    <col min="5898" max="5898" width="2.7109375" style="87" customWidth="1"/>
    <col min="5899" max="5899" width="14" style="87" customWidth="1"/>
    <col min="5900" max="5900" width="39.42578125" style="87" customWidth="1"/>
    <col min="5901" max="5901" width="2.7109375" style="87" customWidth="1"/>
    <col min="5902" max="5902" width="19.28515625" style="87" customWidth="1"/>
    <col min="5903" max="5903" width="54.7109375" style="87" customWidth="1"/>
    <col min="5904" max="6145" width="11.42578125" style="87"/>
    <col min="6146" max="6146" width="2.5703125" style="87" customWidth="1"/>
    <col min="6147" max="6147" width="22.42578125" style="87" customWidth="1"/>
    <col min="6148" max="6148" width="10.42578125" style="87" customWidth="1"/>
    <col min="6149" max="6149" width="14.42578125" style="87" customWidth="1"/>
    <col min="6150" max="6150" width="14.28515625" style="87" customWidth="1"/>
    <col min="6151" max="6152" width="14" style="87" customWidth="1"/>
    <col min="6153" max="6153" width="28.5703125" style="87" customWidth="1"/>
    <col min="6154" max="6154" width="2.7109375" style="87" customWidth="1"/>
    <col min="6155" max="6155" width="14" style="87" customWidth="1"/>
    <col min="6156" max="6156" width="39.42578125" style="87" customWidth="1"/>
    <col min="6157" max="6157" width="2.7109375" style="87" customWidth="1"/>
    <col min="6158" max="6158" width="19.28515625" style="87" customWidth="1"/>
    <col min="6159" max="6159" width="54.7109375" style="87" customWidth="1"/>
    <col min="6160" max="6401" width="11.42578125" style="87"/>
    <col min="6402" max="6402" width="2.5703125" style="87" customWidth="1"/>
    <col min="6403" max="6403" width="22.42578125" style="87" customWidth="1"/>
    <col min="6404" max="6404" width="10.42578125" style="87" customWidth="1"/>
    <col min="6405" max="6405" width="14.42578125" style="87" customWidth="1"/>
    <col min="6406" max="6406" width="14.28515625" style="87" customWidth="1"/>
    <col min="6407" max="6408" width="14" style="87" customWidth="1"/>
    <col min="6409" max="6409" width="28.5703125" style="87" customWidth="1"/>
    <col min="6410" max="6410" width="2.7109375" style="87" customWidth="1"/>
    <col min="6411" max="6411" width="14" style="87" customWidth="1"/>
    <col min="6412" max="6412" width="39.42578125" style="87" customWidth="1"/>
    <col min="6413" max="6413" width="2.7109375" style="87" customWidth="1"/>
    <col min="6414" max="6414" width="19.28515625" style="87" customWidth="1"/>
    <col min="6415" max="6415" width="54.7109375" style="87" customWidth="1"/>
    <col min="6416" max="6657" width="11.42578125" style="87"/>
    <col min="6658" max="6658" width="2.5703125" style="87" customWidth="1"/>
    <col min="6659" max="6659" width="22.42578125" style="87" customWidth="1"/>
    <col min="6660" max="6660" width="10.42578125" style="87" customWidth="1"/>
    <col min="6661" max="6661" width="14.42578125" style="87" customWidth="1"/>
    <col min="6662" max="6662" width="14.28515625" style="87" customWidth="1"/>
    <col min="6663" max="6664" width="14" style="87" customWidth="1"/>
    <col min="6665" max="6665" width="28.5703125" style="87" customWidth="1"/>
    <col min="6666" max="6666" width="2.7109375" style="87" customWidth="1"/>
    <col min="6667" max="6667" width="14" style="87" customWidth="1"/>
    <col min="6668" max="6668" width="39.42578125" style="87" customWidth="1"/>
    <col min="6669" max="6669" width="2.7109375" style="87" customWidth="1"/>
    <col min="6670" max="6670" width="19.28515625" style="87" customWidth="1"/>
    <col min="6671" max="6671" width="54.7109375" style="87" customWidth="1"/>
    <col min="6672" max="6913" width="11.42578125" style="87"/>
    <col min="6914" max="6914" width="2.5703125" style="87" customWidth="1"/>
    <col min="6915" max="6915" width="22.42578125" style="87" customWidth="1"/>
    <col min="6916" max="6916" width="10.42578125" style="87" customWidth="1"/>
    <col min="6917" max="6917" width="14.42578125" style="87" customWidth="1"/>
    <col min="6918" max="6918" width="14.28515625" style="87" customWidth="1"/>
    <col min="6919" max="6920" width="14" style="87" customWidth="1"/>
    <col min="6921" max="6921" width="28.5703125" style="87" customWidth="1"/>
    <col min="6922" max="6922" width="2.7109375" style="87" customWidth="1"/>
    <col min="6923" max="6923" width="14" style="87" customWidth="1"/>
    <col min="6924" max="6924" width="39.42578125" style="87" customWidth="1"/>
    <col min="6925" max="6925" width="2.7109375" style="87" customWidth="1"/>
    <col min="6926" max="6926" width="19.28515625" style="87" customWidth="1"/>
    <col min="6927" max="6927" width="54.7109375" style="87" customWidth="1"/>
    <col min="6928" max="7169" width="11.42578125" style="87"/>
    <col min="7170" max="7170" width="2.5703125" style="87" customWidth="1"/>
    <col min="7171" max="7171" width="22.42578125" style="87" customWidth="1"/>
    <col min="7172" max="7172" width="10.42578125" style="87" customWidth="1"/>
    <col min="7173" max="7173" width="14.42578125" style="87" customWidth="1"/>
    <col min="7174" max="7174" width="14.28515625" style="87" customWidth="1"/>
    <col min="7175" max="7176" width="14" style="87" customWidth="1"/>
    <col min="7177" max="7177" width="28.5703125" style="87" customWidth="1"/>
    <col min="7178" max="7178" width="2.7109375" style="87" customWidth="1"/>
    <col min="7179" max="7179" width="14" style="87" customWidth="1"/>
    <col min="7180" max="7180" width="39.42578125" style="87" customWidth="1"/>
    <col min="7181" max="7181" width="2.7109375" style="87" customWidth="1"/>
    <col min="7182" max="7182" width="19.28515625" style="87" customWidth="1"/>
    <col min="7183" max="7183" width="54.7109375" style="87" customWidth="1"/>
    <col min="7184" max="7425" width="11.42578125" style="87"/>
    <col min="7426" max="7426" width="2.5703125" style="87" customWidth="1"/>
    <col min="7427" max="7427" width="22.42578125" style="87" customWidth="1"/>
    <col min="7428" max="7428" width="10.42578125" style="87" customWidth="1"/>
    <col min="7429" max="7429" width="14.42578125" style="87" customWidth="1"/>
    <col min="7430" max="7430" width="14.28515625" style="87" customWidth="1"/>
    <col min="7431" max="7432" width="14" style="87" customWidth="1"/>
    <col min="7433" max="7433" width="28.5703125" style="87" customWidth="1"/>
    <col min="7434" max="7434" width="2.7109375" style="87" customWidth="1"/>
    <col min="7435" max="7435" width="14" style="87" customWidth="1"/>
    <col min="7436" max="7436" width="39.42578125" style="87" customWidth="1"/>
    <col min="7437" max="7437" width="2.7109375" style="87" customWidth="1"/>
    <col min="7438" max="7438" width="19.28515625" style="87" customWidth="1"/>
    <col min="7439" max="7439" width="54.7109375" style="87" customWidth="1"/>
    <col min="7440" max="7681" width="11.42578125" style="87"/>
    <col min="7682" max="7682" width="2.5703125" style="87" customWidth="1"/>
    <col min="7683" max="7683" width="22.42578125" style="87" customWidth="1"/>
    <col min="7684" max="7684" width="10.42578125" style="87" customWidth="1"/>
    <col min="7685" max="7685" width="14.42578125" style="87" customWidth="1"/>
    <col min="7686" max="7686" width="14.28515625" style="87" customWidth="1"/>
    <col min="7687" max="7688" width="14" style="87" customWidth="1"/>
    <col min="7689" max="7689" width="28.5703125" style="87" customWidth="1"/>
    <col min="7690" max="7690" width="2.7109375" style="87" customWidth="1"/>
    <col min="7691" max="7691" width="14" style="87" customWidth="1"/>
    <col min="7692" max="7692" width="39.42578125" style="87" customWidth="1"/>
    <col min="7693" max="7693" width="2.7109375" style="87" customWidth="1"/>
    <col min="7694" max="7694" width="19.28515625" style="87" customWidth="1"/>
    <col min="7695" max="7695" width="54.7109375" style="87" customWidth="1"/>
    <col min="7696" max="7937" width="11.42578125" style="87"/>
    <col min="7938" max="7938" width="2.5703125" style="87" customWidth="1"/>
    <col min="7939" max="7939" width="22.42578125" style="87" customWidth="1"/>
    <col min="7940" max="7940" width="10.42578125" style="87" customWidth="1"/>
    <col min="7941" max="7941" width="14.42578125" style="87" customWidth="1"/>
    <col min="7942" max="7942" width="14.28515625" style="87" customWidth="1"/>
    <col min="7943" max="7944" width="14" style="87" customWidth="1"/>
    <col min="7945" max="7945" width="28.5703125" style="87" customWidth="1"/>
    <col min="7946" max="7946" width="2.7109375" style="87" customWidth="1"/>
    <col min="7947" max="7947" width="14" style="87" customWidth="1"/>
    <col min="7948" max="7948" width="39.42578125" style="87" customWidth="1"/>
    <col min="7949" max="7949" width="2.7109375" style="87" customWidth="1"/>
    <col min="7950" max="7950" width="19.28515625" style="87" customWidth="1"/>
    <col min="7951" max="7951" width="54.7109375" style="87" customWidth="1"/>
    <col min="7952" max="8193" width="11.42578125" style="87"/>
    <col min="8194" max="8194" width="2.5703125" style="87" customWidth="1"/>
    <col min="8195" max="8195" width="22.42578125" style="87" customWidth="1"/>
    <col min="8196" max="8196" width="10.42578125" style="87" customWidth="1"/>
    <col min="8197" max="8197" width="14.42578125" style="87" customWidth="1"/>
    <col min="8198" max="8198" width="14.28515625" style="87" customWidth="1"/>
    <col min="8199" max="8200" width="14" style="87" customWidth="1"/>
    <col min="8201" max="8201" width="28.5703125" style="87" customWidth="1"/>
    <col min="8202" max="8202" width="2.7109375" style="87" customWidth="1"/>
    <col min="8203" max="8203" width="14" style="87" customWidth="1"/>
    <col min="8204" max="8204" width="39.42578125" style="87" customWidth="1"/>
    <col min="8205" max="8205" width="2.7109375" style="87" customWidth="1"/>
    <col min="8206" max="8206" width="19.28515625" style="87" customWidth="1"/>
    <col min="8207" max="8207" width="54.7109375" style="87" customWidth="1"/>
    <col min="8208" max="8449" width="11.42578125" style="87"/>
    <col min="8450" max="8450" width="2.5703125" style="87" customWidth="1"/>
    <col min="8451" max="8451" width="22.42578125" style="87" customWidth="1"/>
    <col min="8452" max="8452" width="10.42578125" style="87" customWidth="1"/>
    <col min="8453" max="8453" width="14.42578125" style="87" customWidth="1"/>
    <col min="8454" max="8454" width="14.28515625" style="87" customWidth="1"/>
    <col min="8455" max="8456" width="14" style="87" customWidth="1"/>
    <col min="8457" max="8457" width="28.5703125" style="87" customWidth="1"/>
    <col min="8458" max="8458" width="2.7109375" style="87" customWidth="1"/>
    <col min="8459" max="8459" width="14" style="87" customWidth="1"/>
    <col min="8460" max="8460" width="39.42578125" style="87" customWidth="1"/>
    <col min="8461" max="8461" width="2.7109375" style="87" customWidth="1"/>
    <col min="8462" max="8462" width="19.28515625" style="87" customWidth="1"/>
    <col min="8463" max="8463" width="54.7109375" style="87" customWidth="1"/>
    <col min="8464" max="8705" width="11.42578125" style="87"/>
    <col min="8706" max="8706" width="2.5703125" style="87" customWidth="1"/>
    <col min="8707" max="8707" width="22.42578125" style="87" customWidth="1"/>
    <col min="8708" max="8708" width="10.42578125" style="87" customWidth="1"/>
    <col min="8709" max="8709" width="14.42578125" style="87" customWidth="1"/>
    <col min="8710" max="8710" width="14.28515625" style="87" customWidth="1"/>
    <col min="8711" max="8712" width="14" style="87" customWidth="1"/>
    <col min="8713" max="8713" width="28.5703125" style="87" customWidth="1"/>
    <col min="8714" max="8714" width="2.7109375" style="87" customWidth="1"/>
    <col min="8715" max="8715" width="14" style="87" customWidth="1"/>
    <col min="8716" max="8716" width="39.42578125" style="87" customWidth="1"/>
    <col min="8717" max="8717" width="2.7109375" style="87" customWidth="1"/>
    <col min="8718" max="8718" width="19.28515625" style="87" customWidth="1"/>
    <col min="8719" max="8719" width="54.7109375" style="87" customWidth="1"/>
    <col min="8720" max="8961" width="11.42578125" style="87"/>
    <col min="8962" max="8962" width="2.5703125" style="87" customWidth="1"/>
    <col min="8963" max="8963" width="22.42578125" style="87" customWidth="1"/>
    <col min="8964" max="8964" width="10.42578125" style="87" customWidth="1"/>
    <col min="8965" max="8965" width="14.42578125" style="87" customWidth="1"/>
    <col min="8966" max="8966" width="14.28515625" style="87" customWidth="1"/>
    <col min="8967" max="8968" width="14" style="87" customWidth="1"/>
    <col min="8969" max="8969" width="28.5703125" style="87" customWidth="1"/>
    <col min="8970" max="8970" width="2.7109375" style="87" customWidth="1"/>
    <col min="8971" max="8971" width="14" style="87" customWidth="1"/>
    <col min="8972" max="8972" width="39.42578125" style="87" customWidth="1"/>
    <col min="8973" max="8973" width="2.7109375" style="87" customWidth="1"/>
    <col min="8974" max="8974" width="19.28515625" style="87" customWidth="1"/>
    <col min="8975" max="8975" width="54.7109375" style="87" customWidth="1"/>
    <col min="8976" max="9217" width="11.42578125" style="87"/>
    <col min="9218" max="9218" width="2.5703125" style="87" customWidth="1"/>
    <col min="9219" max="9219" width="22.42578125" style="87" customWidth="1"/>
    <col min="9220" max="9220" width="10.42578125" style="87" customWidth="1"/>
    <col min="9221" max="9221" width="14.42578125" style="87" customWidth="1"/>
    <col min="9222" max="9222" width="14.28515625" style="87" customWidth="1"/>
    <col min="9223" max="9224" width="14" style="87" customWidth="1"/>
    <col min="9225" max="9225" width="28.5703125" style="87" customWidth="1"/>
    <col min="9226" max="9226" width="2.7109375" style="87" customWidth="1"/>
    <col min="9227" max="9227" width="14" style="87" customWidth="1"/>
    <col min="9228" max="9228" width="39.42578125" style="87" customWidth="1"/>
    <col min="9229" max="9229" width="2.7109375" style="87" customWidth="1"/>
    <col min="9230" max="9230" width="19.28515625" style="87" customWidth="1"/>
    <col min="9231" max="9231" width="54.7109375" style="87" customWidth="1"/>
    <col min="9232" max="9473" width="11.42578125" style="87"/>
    <col min="9474" max="9474" width="2.5703125" style="87" customWidth="1"/>
    <col min="9475" max="9475" width="22.42578125" style="87" customWidth="1"/>
    <col min="9476" max="9476" width="10.42578125" style="87" customWidth="1"/>
    <col min="9477" max="9477" width="14.42578125" style="87" customWidth="1"/>
    <col min="9478" max="9478" width="14.28515625" style="87" customWidth="1"/>
    <col min="9479" max="9480" width="14" style="87" customWidth="1"/>
    <col min="9481" max="9481" width="28.5703125" style="87" customWidth="1"/>
    <col min="9482" max="9482" width="2.7109375" style="87" customWidth="1"/>
    <col min="9483" max="9483" width="14" style="87" customWidth="1"/>
    <col min="9484" max="9484" width="39.42578125" style="87" customWidth="1"/>
    <col min="9485" max="9485" width="2.7109375" style="87" customWidth="1"/>
    <col min="9486" max="9486" width="19.28515625" style="87" customWidth="1"/>
    <col min="9487" max="9487" width="54.7109375" style="87" customWidth="1"/>
    <col min="9488" max="9729" width="11.42578125" style="87"/>
    <col min="9730" max="9730" width="2.5703125" style="87" customWidth="1"/>
    <col min="9731" max="9731" width="22.42578125" style="87" customWidth="1"/>
    <col min="9732" max="9732" width="10.42578125" style="87" customWidth="1"/>
    <col min="9733" max="9733" width="14.42578125" style="87" customWidth="1"/>
    <col min="9734" max="9734" width="14.28515625" style="87" customWidth="1"/>
    <col min="9735" max="9736" width="14" style="87" customWidth="1"/>
    <col min="9737" max="9737" width="28.5703125" style="87" customWidth="1"/>
    <col min="9738" max="9738" width="2.7109375" style="87" customWidth="1"/>
    <col min="9739" max="9739" width="14" style="87" customWidth="1"/>
    <col min="9740" max="9740" width="39.42578125" style="87" customWidth="1"/>
    <col min="9741" max="9741" width="2.7109375" style="87" customWidth="1"/>
    <col min="9742" max="9742" width="19.28515625" style="87" customWidth="1"/>
    <col min="9743" max="9743" width="54.7109375" style="87" customWidth="1"/>
    <col min="9744" max="9985" width="11.42578125" style="87"/>
    <col min="9986" max="9986" width="2.5703125" style="87" customWidth="1"/>
    <col min="9987" max="9987" width="22.42578125" style="87" customWidth="1"/>
    <col min="9988" max="9988" width="10.42578125" style="87" customWidth="1"/>
    <col min="9989" max="9989" width="14.42578125" style="87" customWidth="1"/>
    <col min="9990" max="9990" width="14.28515625" style="87" customWidth="1"/>
    <col min="9991" max="9992" width="14" style="87" customWidth="1"/>
    <col min="9993" max="9993" width="28.5703125" style="87" customWidth="1"/>
    <col min="9994" max="9994" width="2.7109375" style="87" customWidth="1"/>
    <col min="9995" max="9995" width="14" style="87" customWidth="1"/>
    <col min="9996" max="9996" width="39.42578125" style="87" customWidth="1"/>
    <col min="9997" max="9997" width="2.7109375" style="87" customWidth="1"/>
    <col min="9998" max="9998" width="19.28515625" style="87" customWidth="1"/>
    <col min="9999" max="9999" width="54.7109375" style="87" customWidth="1"/>
    <col min="10000" max="10241" width="11.42578125" style="87"/>
    <col min="10242" max="10242" width="2.5703125" style="87" customWidth="1"/>
    <col min="10243" max="10243" width="22.42578125" style="87" customWidth="1"/>
    <col min="10244" max="10244" width="10.42578125" style="87" customWidth="1"/>
    <col min="10245" max="10245" width="14.42578125" style="87" customWidth="1"/>
    <col min="10246" max="10246" width="14.28515625" style="87" customWidth="1"/>
    <col min="10247" max="10248" width="14" style="87" customWidth="1"/>
    <col min="10249" max="10249" width="28.5703125" style="87" customWidth="1"/>
    <col min="10250" max="10250" width="2.7109375" style="87" customWidth="1"/>
    <col min="10251" max="10251" width="14" style="87" customWidth="1"/>
    <col min="10252" max="10252" width="39.42578125" style="87" customWidth="1"/>
    <col min="10253" max="10253" width="2.7109375" style="87" customWidth="1"/>
    <col min="10254" max="10254" width="19.28515625" style="87" customWidth="1"/>
    <col min="10255" max="10255" width="54.7109375" style="87" customWidth="1"/>
    <col min="10256" max="10497" width="11.42578125" style="87"/>
    <col min="10498" max="10498" width="2.5703125" style="87" customWidth="1"/>
    <col min="10499" max="10499" width="22.42578125" style="87" customWidth="1"/>
    <col min="10500" max="10500" width="10.42578125" style="87" customWidth="1"/>
    <col min="10501" max="10501" width="14.42578125" style="87" customWidth="1"/>
    <col min="10502" max="10502" width="14.28515625" style="87" customWidth="1"/>
    <col min="10503" max="10504" width="14" style="87" customWidth="1"/>
    <col min="10505" max="10505" width="28.5703125" style="87" customWidth="1"/>
    <col min="10506" max="10506" width="2.7109375" style="87" customWidth="1"/>
    <col min="10507" max="10507" width="14" style="87" customWidth="1"/>
    <col min="10508" max="10508" width="39.42578125" style="87" customWidth="1"/>
    <col min="10509" max="10509" width="2.7109375" style="87" customWidth="1"/>
    <col min="10510" max="10510" width="19.28515625" style="87" customWidth="1"/>
    <col min="10511" max="10511" width="54.7109375" style="87" customWidth="1"/>
    <col min="10512" max="10753" width="11.42578125" style="87"/>
    <col min="10754" max="10754" width="2.5703125" style="87" customWidth="1"/>
    <col min="10755" max="10755" width="22.42578125" style="87" customWidth="1"/>
    <col min="10756" max="10756" width="10.42578125" style="87" customWidth="1"/>
    <col min="10757" max="10757" width="14.42578125" style="87" customWidth="1"/>
    <col min="10758" max="10758" width="14.28515625" style="87" customWidth="1"/>
    <col min="10759" max="10760" width="14" style="87" customWidth="1"/>
    <col min="10761" max="10761" width="28.5703125" style="87" customWidth="1"/>
    <col min="10762" max="10762" width="2.7109375" style="87" customWidth="1"/>
    <col min="10763" max="10763" width="14" style="87" customWidth="1"/>
    <col min="10764" max="10764" width="39.42578125" style="87" customWidth="1"/>
    <col min="10765" max="10765" width="2.7109375" style="87" customWidth="1"/>
    <col min="10766" max="10766" width="19.28515625" style="87" customWidth="1"/>
    <col min="10767" max="10767" width="54.7109375" style="87" customWidth="1"/>
    <col min="10768" max="11009" width="11.42578125" style="87"/>
    <col min="11010" max="11010" width="2.5703125" style="87" customWidth="1"/>
    <col min="11011" max="11011" width="22.42578125" style="87" customWidth="1"/>
    <col min="11012" max="11012" width="10.42578125" style="87" customWidth="1"/>
    <col min="11013" max="11013" width="14.42578125" style="87" customWidth="1"/>
    <col min="11014" max="11014" width="14.28515625" style="87" customWidth="1"/>
    <col min="11015" max="11016" width="14" style="87" customWidth="1"/>
    <col min="11017" max="11017" width="28.5703125" style="87" customWidth="1"/>
    <col min="11018" max="11018" width="2.7109375" style="87" customWidth="1"/>
    <col min="11019" max="11019" width="14" style="87" customWidth="1"/>
    <col min="11020" max="11020" width="39.42578125" style="87" customWidth="1"/>
    <col min="11021" max="11021" width="2.7109375" style="87" customWidth="1"/>
    <col min="11022" max="11022" width="19.28515625" style="87" customWidth="1"/>
    <col min="11023" max="11023" width="54.7109375" style="87" customWidth="1"/>
    <col min="11024" max="11265" width="11.42578125" style="87"/>
    <col min="11266" max="11266" width="2.5703125" style="87" customWidth="1"/>
    <col min="11267" max="11267" width="22.42578125" style="87" customWidth="1"/>
    <col min="11268" max="11268" width="10.42578125" style="87" customWidth="1"/>
    <col min="11269" max="11269" width="14.42578125" style="87" customWidth="1"/>
    <col min="11270" max="11270" width="14.28515625" style="87" customWidth="1"/>
    <col min="11271" max="11272" width="14" style="87" customWidth="1"/>
    <col min="11273" max="11273" width="28.5703125" style="87" customWidth="1"/>
    <col min="11274" max="11274" width="2.7109375" style="87" customWidth="1"/>
    <col min="11275" max="11275" width="14" style="87" customWidth="1"/>
    <col min="11276" max="11276" width="39.42578125" style="87" customWidth="1"/>
    <col min="11277" max="11277" width="2.7109375" style="87" customWidth="1"/>
    <col min="11278" max="11278" width="19.28515625" style="87" customWidth="1"/>
    <col min="11279" max="11279" width="54.7109375" style="87" customWidth="1"/>
    <col min="11280" max="11521" width="11.42578125" style="87"/>
    <col min="11522" max="11522" width="2.5703125" style="87" customWidth="1"/>
    <col min="11523" max="11523" width="22.42578125" style="87" customWidth="1"/>
    <col min="11524" max="11524" width="10.42578125" style="87" customWidth="1"/>
    <col min="11525" max="11525" width="14.42578125" style="87" customWidth="1"/>
    <col min="11526" max="11526" width="14.28515625" style="87" customWidth="1"/>
    <col min="11527" max="11528" width="14" style="87" customWidth="1"/>
    <col min="11529" max="11529" width="28.5703125" style="87" customWidth="1"/>
    <col min="11530" max="11530" width="2.7109375" style="87" customWidth="1"/>
    <col min="11531" max="11531" width="14" style="87" customWidth="1"/>
    <col min="11532" max="11532" width="39.42578125" style="87" customWidth="1"/>
    <col min="11533" max="11533" width="2.7109375" style="87" customWidth="1"/>
    <col min="11534" max="11534" width="19.28515625" style="87" customWidth="1"/>
    <col min="11535" max="11535" width="54.7109375" style="87" customWidth="1"/>
    <col min="11536" max="11777" width="11.42578125" style="87"/>
    <col min="11778" max="11778" width="2.5703125" style="87" customWidth="1"/>
    <col min="11779" max="11779" width="22.42578125" style="87" customWidth="1"/>
    <col min="11780" max="11780" width="10.42578125" style="87" customWidth="1"/>
    <col min="11781" max="11781" width="14.42578125" style="87" customWidth="1"/>
    <col min="11782" max="11782" width="14.28515625" style="87" customWidth="1"/>
    <col min="11783" max="11784" width="14" style="87" customWidth="1"/>
    <col min="11785" max="11785" width="28.5703125" style="87" customWidth="1"/>
    <col min="11786" max="11786" width="2.7109375" style="87" customWidth="1"/>
    <col min="11787" max="11787" width="14" style="87" customWidth="1"/>
    <col min="11788" max="11788" width="39.42578125" style="87" customWidth="1"/>
    <col min="11789" max="11789" width="2.7109375" style="87" customWidth="1"/>
    <col min="11790" max="11790" width="19.28515625" style="87" customWidth="1"/>
    <col min="11791" max="11791" width="54.7109375" style="87" customWidth="1"/>
    <col min="11792" max="12033" width="11.42578125" style="87"/>
    <col min="12034" max="12034" width="2.5703125" style="87" customWidth="1"/>
    <col min="12035" max="12035" width="22.42578125" style="87" customWidth="1"/>
    <col min="12036" max="12036" width="10.42578125" style="87" customWidth="1"/>
    <col min="12037" max="12037" width="14.42578125" style="87" customWidth="1"/>
    <col min="12038" max="12038" width="14.28515625" style="87" customWidth="1"/>
    <col min="12039" max="12040" width="14" style="87" customWidth="1"/>
    <col min="12041" max="12041" width="28.5703125" style="87" customWidth="1"/>
    <col min="12042" max="12042" width="2.7109375" style="87" customWidth="1"/>
    <col min="12043" max="12043" width="14" style="87" customWidth="1"/>
    <col min="12044" max="12044" width="39.42578125" style="87" customWidth="1"/>
    <col min="12045" max="12045" width="2.7109375" style="87" customWidth="1"/>
    <col min="12046" max="12046" width="19.28515625" style="87" customWidth="1"/>
    <col min="12047" max="12047" width="54.7109375" style="87" customWidth="1"/>
    <col min="12048" max="12289" width="11.42578125" style="87"/>
    <col min="12290" max="12290" width="2.5703125" style="87" customWidth="1"/>
    <col min="12291" max="12291" width="22.42578125" style="87" customWidth="1"/>
    <col min="12292" max="12292" width="10.42578125" style="87" customWidth="1"/>
    <col min="12293" max="12293" width="14.42578125" style="87" customWidth="1"/>
    <col min="12294" max="12294" width="14.28515625" style="87" customWidth="1"/>
    <col min="12295" max="12296" width="14" style="87" customWidth="1"/>
    <col min="12297" max="12297" width="28.5703125" style="87" customWidth="1"/>
    <col min="12298" max="12298" width="2.7109375" style="87" customWidth="1"/>
    <col min="12299" max="12299" width="14" style="87" customWidth="1"/>
    <col min="12300" max="12300" width="39.42578125" style="87" customWidth="1"/>
    <col min="12301" max="12301" width="2.7109375" style="87" customWidth="1"/>
    <col min="12302" max="12302" width="19.28515625" style="87" customWidth="1"/>
    <col min="12303" max="12303" width="54.7109375" style="87" customWidth="1"/>
    <col min="12304" max="12545" width="11.42578125" style="87"/>
    <col min="12546" max="12546" width="2.5703125" style="87" customWidth="1"/>
    <col min="12547" max="12547" width="22.42578125" style="87" customWidth="1"/>
    <col min="12548" max="12548" width="10.42578125" style="87" customWidth="1"/>
    <col min="12549" max="12549" width="14.42578125" style="87" customWidth="1"/>
    <col min="12550" max="12550" width="14.28515625" style="87" customWidth="1"/>
    <col min="12551" max="12552" width="14" style="87" customWidth="1"/>
    <col min="12553" max="12553" width="28.5703125" style="87" customWidth="1"/>
    <col min="12554" max="12554" width="2.7109375" style="87" customWidth="1"/>
    <col min="12555" max="12555" width="14" style="87" customWidth="1"/>
    <col min="12556" max="12556" width="39.42578125" style="87" customWidth="1"/>
    <col min="12557" max="12557" width="2.7109375" style="87" customWidth="1"/>
    <col min="12558" max="12558" width="19.28515625" style="87" customWidth="1"/>
    <col min="12559" max="12559" width="54.7109375" style="87" customWidth="1"/>
    <col min="12560" max="12801" width="11.42578125" style="87"/>
    <col min="12802" max="12802" width="2.5703125" style="87" customWidth="1"/>
    <col min="12803" max="12803" width="22.42578125" style="87" customWidth="1"/>
    <col min="12804" max="12804" width="10.42578125" style="87" customWidth="1"/>
    <col min="12805" max="12805" width="14.42578125" style="87" customWidth="1"/>
    <col min="12806" max="12806" width="14.28515625" style="87" customWidth="1"/>
    <col min="12807" max="12808" width="14" style="87" customWidth="1"/>
    <col min="12809" max="12809" width="28.5703125" style="87" customWidth="1"/>
    <col min="12810" max="12810" width="2.7109375" style="87" customWidth="1"/>
    <col min="12811" max="12811" width="14" style="87" customWidth="1"/>
    <col min="12812" max="12812" width="39.42578125" style="87" customWidth="1"/>
    <col min="12813" max="12813" width="2.7109375" style="87" customWidth="1"/>
    <col min="12814" max="12814" width="19.28515625" style="87" customWidth="1"/>
    <col min="12815" max="12815" width="54.7109375" style="87" customWidth="1"/>
    <col min="12816" max="13057" width="11.42578125" style="87"/>
    <col min="13058" max="13058" width="2.5703125" style="87" customWidth="1"/>
    <col min="13059" max="13059" width="22.42578125" style="87" customWidth="1"/>
    <col min="13060" max="13060" width="10.42578125" style="87" customWidth="1"/>
    <col min="13061" max="13061" width="14.42578125" style="87" customWidth="1"/>
    <col min="13062" max="13062" width="14.28515625" style="87" customWidth="1"/>
    <col min="13063" max="13064" width="14" style="87" customWidth="1"/>
    <col min="13065" max="13065" width="28.5703125" style="87" customWidth="1"/>
    <col min="13066" max="13066" width="2.7109375" style="87" customWidth="1"/>
    <col min="13067" max="13067" width="14" style="87" customWidth="1"/>
    <col min="13068" max="13068" width="39.42578125" style="87" customWidth="1"/>
    <col min="13069" max="13069" width="2.7109375" style="87" customWidth="1"/>
    <col min="13070" max="13070" width="19.28515625" style="87" customWidth="1"/>
    <col min="13071" max="13071" width="54.7109375" style="87" customWidth="1"/>
    <col min="13072" max="13313" width="11.42578125" style="87"/>
    <col min="13314" max="13314" width="2.5703125" style="87" customWidth="1"/>
    <col min="13315" max="13315" width="22.42578125" style="87" customWidth="1"/>
    <col min="13316" max="13316" width="10.42578125" style="87" customWidth="1"/>
    <col min="13317" max="13317" width="14.42578125" style="87" customWidth="1"/>
    <col min="13318" max="13318" width="14.28515625" style="87" customWidth="1"/>
    <col min="13319" max="13320" width="14" style="87" customWidth="1"/>
    <col min="13321" max="13321" width="28.5703125" style="87" customWidth="1"/>
    <col min="13322" max="13322" width="2.7109375" style="87" customWidth="1"/>
    <col min="13323" max="13323" width="14" style="87" customWidth="1"/>
    <col min="13324" max="13324" width="39.42578125" style="87" customWidth="1"/>
    <col min="13325" max="13325" width="2.7109375" style="87" customWidth="1"/>
    <col min="13326" max="13326" width="19.28515625" style="87" customWidth="1"/>
    <col min="13327" max="13327" width="54.7109375" style="87" customWidth="1"/>
    <col min="13328" max="13569" width="11.42578125" style="87"/>
    <col min="13570" max="13570" width="2.5703125" style="87" customWidth="1"/>
    <col min="13571" max="13571" width="22.42578125" style="87" customWidth="1"/>
    <col min="13572" max="13572" width="10.42578125" style="87" customWidth="1"/>
    <col min="13573" max="13573" width="14.42578125" style="87" customWidth="1"/>
    <col min="13574" max="13574" width="14.28515625" style="87" customWidth="1"/>
    <col min="13575" max="13576" width="14" style="87" customWidth="1"/>
    <col min="13577" max="13577" width="28.5703125" style="87" customWidth="1"/>
    <col min="13578" max="13578" width="2.7109375" style="87" customWidth="1"/>
    <col min="13579" max="13579" width="14" style="87" customWidth="1"/>
    <col min="13580" max="13580" width="39.42578125" style="87" customWidth="1"/>
    <col min="13581" max="13581" width="2.7109375" style="87" customWidth="1"/>
    <col min="13582" max="13582" width="19.28515625" style="87" customWidth="1"/>
    <col min="13583" max="13583" width="54.7109375" style="87" customWidth="1"/>
    <col min="13584" max="13825" width="11.42578125" style="87"/>
    <col min="13826" max="13826" width="2.5703125" style="87" customWidth="1"/>
    <col min="13827" max="13827" width="22.42578125" style="87" customWidth="1"/>
    <col min="13828" max="13828" width="10.42578125" style="87" customWidth="1"/>
    <col min="13829" max="13829" width="14.42578125" style="87" customWidth="1"/>
    <col min="13830" max="13830" width="14.28515625" style="87" customWidth="1"/>
    <col min="13831" max="13832" width="14" style="87" customWidth="1"/>
    <col min="13833" max="13833" width="28.5703125" style="87" customWidth="1"/>
    <col min="13834" max="13834" width="2.7109375" style="87" customWidth="1"/>
    <col min="13835" max="13835" width="14" style="87" customWidth="1"/>
    <col min="13836" max="13836" width="39.42578125" style="87" customWidth="1"/>
    <col min="13837" max="13837" width="2.7109375" style="87" customWidth="1"/>
    <col min="13838" max="13838" width="19.28515625" style="87" customWidth="1"/>
    <col min="13839" max="13839" width="54.7109375" style="87" customWidth="1"/>
    <col min="13840" max="14081" width="11.42578125" style="87"/>
    <col min="14082" max="14082" width="2.5703125" style="87" customWidth="1"/>
    <col min="14083" max="14083" width="22.42578125" style="87" customWidth="1"/>
    <col min="14084" max="14084" width="10.42578125" style="87" customWidth="1"/>
    <col min="14085" max="14085" width="14.42578125" style="87" customWidth="1"/>
    <col min="14086" max="14086" width="14.28515625" style="87" customWidth="1"/>
    <col min="14087" max="14088" width="14" style="87" customWidth="1"/>
    <col min="14089" max="14089" width="28.5703125" style="87" customWidth="1"/>
    <col min="14090" max="14090" width="2.7109375" style="87" customWidth="1"/>
    <col min="14091" max="14091" width="14" style="87" customWidth="1"/>
    <col min="14092" max="14092" width="39.42578125" style="87" customWidth="1"/>
    <col min="14093" max="14093" width="2.7109375" style="87" customWidth="1"/>
    <col min="14094" max="14094" width="19.28515625" style="87" customWidth="1"/>
    <col min="14095" max="14095" width="54.7109375" style="87" customWidth="1"/>
    <col min="14096" max="14337" width="11.42578125" style="87"/>
    <col min="14338" max="14338" width="2.5703125" style="87" customWidth="1"/>
    <col min="14339" max="14339" width="22.42578125" style="87" customWidth="1"/>
    <col min="14340" max="14340" width="10.42578125" style="87" customWidth="1"/>
    <col min="14341" max="14341" width="14.42578125" style="87" customWidth="1"/>
    <col min="14342" max="14342" width="14.28515625" style="87" customWidth="1"/>
    <col min="14343" max="14344" width="14" style="87" customWidth="1"/>
    <col min="14345" max="14345" width="28.5703125" style="87" customWidth="1"/>
    <col min="14346" max="14346" width="2.7109375" style="87" customWidth="1"/>
    <col min="14347" max="14347" width="14" style="87" customWidth="1"/>
    <col min="14348" max="14348" width="39.42578125" style="87" customWidth="1"/>
    <col min="14349" max="14349" width="2.7109375" style="87" customWidth="1"/>
    <col min="14350" max="14350" width="19.28515625" style="87" customWidth="1"/>
    <col min="14351" max="14351" width="54.7109375" style="87" customWidth="1"/>
    <col min="14352" max="14593" width="11.42578125" style="87"/>
    <col min="14594" max="14594" width="2.5703125" style="87" customWidth="1"/>
    <col min="14595" max="14595" width="22.42578125" style="87" customWidth="1"/>
    <col min="14596" max="14596" width="10.42578125" style="87" customWidth="1"/>
    <col min="14597" max="14597" width="14.42578125" style="87" customWidth="1"/>
    <col min="14598" max="14598" width="14.28515625" style="87" customWidth="1"/>
    <col min="14599" max="14600" width="14" style="87" customWidth="1"/>
    <col min="14601" max="14601" width="28.5703125" style="87" customWidth="1"/>
    <col min="14602" max="14602" width="2.7109375" style="87" customWidth="1"/>
    <col min="14603" max="14603" width="14" style="87" customWidth="1"/>
    <col min="14604" max="14604" width="39.42578125" style="87" customWidth="1"/>
    <col min="14605" max="14605" width="2.7109375" style="87" customWidth="1"/>
    <col min="14606" max="14606" width="19.28515625" style="87" customWidth="1"/>
    <col min="14607" max="14607" width="54.7109375" style="87" customWidth="1"/>
    <col min="14608" max="14849" width="11.42578125" style="87"/>
    <col min="14850" max="14850" width="2.5703125" style="87" customWidth="1"/>
    <col min="14851" max="14851" width="22.42578125" style="87" customWidth="1"/>
    <col min="14852" max="14852" width="10.42578125" style="87" customWidth="1"/>
    <col min="14853" max="14853" width="14.42578125" style="87" customWidth="1"/>
    <col min="14854" max="14854" width="14.28515625" style="87" customWidth="1"/>
    <col min="14855" max="14856" width="14" style="87" customWidth="1"/>
    <col min="14857" max="14857" width="28.5703125" style="87" customWidth="1"/>
    <col min="14858" max="14858" width="2.7109375" style="87" customWidth="1"/>
    <col min="14859" max="14859" width="14" style="87" customWidth="1"/>
    <col min="14860" max="14860" width="39.42578125" style="87" customWidth="1"/>
    <col min="14861" max="14861" width="2.7109375" style="87" customWidth="1"/>
    <col min="14862" max="14862" width="19.28515625" style="87" customWidth="1"/>
    <col min="14863" max="14863" width="54.7109375" style="87" customWidth="1"/>
    <col min="14864" max="15105" width="11.42578125" style="87"/>
    <col min="15106" max="15106" width="2.5703125" style="87" customWidth="1"/>
    <col min="15107" max="15107" width="22.42578125" style="87" customWidth="1"/>
    <col min="15108" max="15108" width="10.42578125" style="87" customWidth="1"/>
    <col min="15109" max="15109" width="14.42578125" style="87" customWidth="1"/>
    <col min="15110" max="15110" width="14.28515625" style="87" customWidth="1"/>
    <col min="15111" max="15112" width="14" style="87" customWidth="1"/>
    <col min="15113" max="15113" width="28.5703125" style="87" customWidth="1"/>
    <col min="15114" max="15114" width="2.7109375" style="87" customWidth="1"/>
    <col min="15115" max="15115" width="14" style="87" customWidth="1"/>
    <col min="15116" max="15116" width="39.42578125" style="87" customWidth="1"/>
    <col min="15117" max="15117" width="2.7109375" style="87" customWidth="1"/>
    <col min="15118" max="15118" width="19.28515625" style="87" customWidth="1"/>
    <col min="15119" max="15119" width="54.7109375" style="87" customWidth="1"/>
    <col min="15120" max="15361" width="11.42578125" style="87"/>
    <col min="15362" max="15362" width="2.5703125" style="87" customWidth="1"/>
    <col min="15363" max="15363" width="22.42578125" style="87" customWidth="1"/>
    <col min="15364" max="15364" width="10.42578125" style="87" customWidth="1"/>
    <col min="15365" max="15365" width="14.42578125" style="87" customWidth="1"/>
    <col min="15366" max="15366" width="14.28515625" style="87" customWidth="1"/>
    <col min="15367" max="15368" width="14" style="87" customWidth="1"/>
    <col min="15369" max="15369" width="28.5703125" style="87" customWidth="1"/>
    <col min="15370" max="15370" width="2.7109375" style="87" customWidth="1"/>
    <col min="15371" max="15371" width="14" style="87" customWidth="1"/>
    <col min="15372" max="15372" width="39.42578125" style="87" customWidth="1"/>
    <col min="15373" max="15373" width="2.7109375" style="87" customWidth="1"/>
    <col min="15374" max="15374" width="19.28515625" style="87" customWidth="1"/>
    <col min="15375" max="15375" width="54.7109375" style="87" customWidth="1"/>
    <col min="15376" max="15617" width="11.42578125" style="87"/>
    <col min="15618" max="15618" width="2.5703125" style="87" customWidth="1"/>
    <col min="15619" max="15619" width="22.42578125" style="87" customWidth="1"/>
    <col min="15620" max="15620" width="10.42578125" style="87" customWidth="1"/>
    <col min="15621" max="15621" width="14.42578125" style="87" customWidth="1"/>
    <col min="15622" max="15622" width="14.28515625" style="87" customWidth="1"/>
    <col min="15623" max="15624" width="14" style="87" customWidth="1"/>
    <col min="15625" max="15625" width="28.5703125" style="87" customWidth="1"/>
    <col min="15626" max="15626" width="2.7109375" style="87" customWidth="1"/>
    <col min="15627" max="15627" width="14" style="87" customWidth="1"/>
    <col min="15628" max="15628" width="39.42578125" style="87" customWidth="1"/>
    <col min="15629" max="15629" width="2.7109375" style="87" customWidth="1"/>
    <col min="15630" max="15630" width="19.28515625" style="87" customWidth="1"/>
    <col min="15631" max="15631" width="54.7109375" style="87" customWidth="1"/>
    <col min="15632" max="15873" width="11.42578125" style="87"/>
    <col min="15874" max="15874" width="2.5703125" style="87" customWidth="1"/>
    <col min="15875" max="15875" width="22.42578125" style="87" customWidth="1"/>
    <col min="15876" max="15876" width="10.42578125" style="87" customWidth="1"/>
    <col min="15877" max="15877" width="14.42578125" style="87" customWidth="1"/>
    <col min="15878" max="15878" width="14.28515625" style="87" customWidth="1"/>
    <col min="15879" max="15880" width="14" style="87" customWidth="1"/>
    <col min="15881" max="15881" width="28.5703125" style="87" customWidth="1"/>
    <col min="15882" max="15882" width="2.7109375" style="87" customWidth="1"/>
    <col min="15883" max="15883" width="14" style="87" customWidth="1"/>
    <col min="15884" max="15884" width="39.42578125" style="87" customWidth="1"/>
    <col min="15885" max="15885" width="2.7109375" style="87" customWidth="1"/>
    <col min="15886" max="15886" width="19.28515625" style="87" customWidth="1"/>
    <col min="15887" max="15887" width="54.7109375" style="87" customWidth="1"/>
    <col min="15888" max="16129" width="11.42578125" style="87"/>
    <col min="16130" max="16130" width="2.5703125" style="87" customWidth="1"/>
    <col min="16131" max="16131" width="22.42578125" style="87" customWidth="1"/>
    <col min="16132" max="16132" width="10.42578125" style="87" customWidth="1"/>
    <col min="16133" max="16133" width="14.42578125" style="87" customWidth="1"/>
    <col min="16134" max="16134" width="14.28515625" style="87" customWidth="1"/>
    <col min="16135" max="16136" width="14" style="87" customWidth="1"/>
    <col min="16137" max="16137" width="28.5703125" style="87" customWidth="1"/>
    <col min="16138" max="16138" width="2.7109375" style="87" customWidth="1"/>
    <col min="16139" max="16139" width="14" style="87" customWidth="1"/>
    <col min="16140" max="16140" width="39.42578125" style="87" customWidth="1"/>
    <col min="16141" max="16141" width="2.7109375" style="87" customWidth="1"/>
    <col min="16142" max="16142" width="19.28515625" style="87" customWidth="1"/>
    <col min="16143" max="16143" width="54.7109375" style="87" customWidth="1"/>
    <col min="16144" max="16384" width="11.42578125" style="87"/>
  </cols>
  <sheetData>
    <row r="1" spans="2:15">
      <c r="B1" s="133" t="s">
        <v>108</v>
      </c>
      <c r="C1" s="36"/>
      <c r="D1" s="36"/>
      <c r="E1" s="36"/>
      <c r="F1" s="36"/>
      <c r="G1" s="36"/>
      <c r="H1" s="36"/>
      <c r="I1" s="36"/>
    </row>
    <row r="2" spans="2:15">
      <c r="C2" s="36"/>
      <c r="D2" s="36"/>
      <c r="E2" s="36"/>
      <c r="F2" s="36"/>
      <c r="G2" s="36"/>
      <c r="H2" s="36"/>
      <c r="I2" s="36"/>
    </row>
    <row r="3" spans="2:15" s="32" customFormat="1" ht="93" customHeight="1">
      <c r="B3" s="130" t="s">
        <v>967</v>
      </c>
      <c r="G3" s="124" t="s">
        <v>946</v>
      </c>
      <c r="J3" s="77"/>
      <c r="K3" s="76"/>
      <c r="M3" s="77"/>
    </row>
    <row r="4" spans="2:15" s="78" customFormat="1" ht="12.75" customHeight="1">
      <c r="J4" s="79"/>
      <c r="K4" s="80"/>
      <c r="L4" s="81"/>
      <c r="M4" s="79"/>
    </row>
    <row r="5" spans="2:15" s="82" customFormat="1" ht="18.75" customHeight="1">
      <c r="B5" s="78"/>
      <c r="C5" s="78"/>
      <c r="D5" s="78"/>
      <c r="E5" s="78"/>
      <c r="F5" s="78"/>
      <c r="G5" s="78"/>
      <c r="H5" s="78"/>
      <c r="J5" s="83"/>
      <c r="K5" s="83"/>
      <c r="L5" s="83"/>
      <c r="M5" s="83"/>
    </row>
    <row r="6" spans="2:15" s="82" customFormat="1" ht="12.75" customHeight="1">
      <c r="B6" s="175" t="s">
        <v>966</v>
      </c>
      <c r="C6" s="176"/>
      <c r="D6" s="176"/>
      <c r="E6" s="176"/>
      <c r="F6" s="176"/>
      <c r="G6" s="176"/>
      <c r="H6" s="176"/>
      <c r="J6" s="88"/>
      <c r="K6" s="173" t="s">
        <v>623</v>
      </c>
      <c r="L6" s="173"/>
      <c r="M6" s="88"/>
      <c r="N6" s="174" t="s">
        <v>624</v>
      </c>
      <c r="O6" s="174"/>
    </row>
    <row r="7" spans="2:15" s="84" customFormat="1" ht="63.75">
      <c r="B7" s="125" t="s">
        <v>625</v>
      </c>
      <c r="C7" s="125" t="s">
        <v>626</v>
      </c>
      <c r="D7" s="125" t="s">
        <v>947</v>
      </c>
      <c r="E7" s="125" t="s">
        <v>948</v>
      </c>
      <c r="F7" s="125" t="s">
        <v>949</v>
      </c>
      <c r="G7" s="125" t="s">
        <v>950</v>
      </c>
      <c r="H7" s="125" t="s">
        <v>951</v>
      </c>
      <c r="K7" s="72" t="s">
        <v>626</v>
      </c>
      <c r="L7" s="72" t="s">
        <v>627</v>
      </c>
      <c r="N7" s="73" t="s">
        <v>628</v>
      </c>
      <c r="O7" s="73" t="s">
        <v>627</v>
      </c>
    </row>
    <row r="8" spans="2:15" s="82" customFormat="1">
      <c r="B8" s="74" t="s">
        <v>171</v>
      </c>
      <c r="C8" s="74" t="s">
        <v>629</v>
      </c>
      <c r="D8" s="126"/>
      <c r="E8" s="74" t="s">
        <v>464</v>
      </c>
      <c r="F8" s="74" t="s">
        <v>464</v>
      </c>
      <c r="G8" s="74" t="s">
        <v>630</v>
      </c>
      <c r="H8" s="127" t="s">
        <v>171</v>
      </c>
      <c r="K8" s="75" t="s">
        <v>631</v>
      </c>
      <c r="L8" s="74" t="s">
        <v>632</v>
      </c>
      <c r="N8" s="75" t="s">
        <v>633</v>
      </c>
      <c r="O8" s="74" t="s">
        <v>634</v>
      </c>
    </row>
    <row r="9" spans="2:15" s="82" customFormat="1">
      <c r="B9" s="74" t="s">
        <v>172</v>
      </c>
      <c r="C9" s="74" t="s">
        <v>635</v>
      </c>
      <c r="D9" s="126"/>
      <c r="E9" s="74" t="s">
        <v>467</v>
      </c>
      <c r="F9" s="74" t="s">
        <v>467</v>
      </c>
      <c r="G9" s="74" t="s">
        <v>636</v>
      </c>
      <c r="H9" s="127" t="s">
        <v>172</v>
      </c>
      <c r="K9" s="75" t="s">
        <v>635</v>
      </c>
      <c r="L9" s="74" t="s">
        <v>637</v>
      </c>
      <c r="N9" s="75" t="s">
        <v>638</v>
      </c>
      <c r="O9" s="74" t="s">
        <v>639</v>
      </c>
    </row>
    <row r="10" spans="2:15" s="82" customFormat="1">
      <c r="B10" s="74" t="s">
        <v>173</v>
      </c>
      <c r="C10" s="74" t="s">
        <v>629</v>
      </c>
      <c r="D10" s="126"/>
      <c r="E10" s="74" t="s">
        <v>506</v>
      </c>
      <c r="F10" s="74" t="s">
        <v>506</v>
      </c>
      <c r="G10" s="74" t="s">
        <v>640</v>
      </c>
      <c r="H10" s="127" t="s">
        <v>173</v>
      </c>
      <c r="K10" s="75" t="s">
        <v>196</v>
      </c>
      <c r="L10" s="74" t="s">
        <v>641</v>
      </c>
      <c r="N10" s="75" t="s">
        <v>642</v>
      </c>
      <c r="O10" s="74" t="s">
        <v>643</v>
      </c>
    </row>
    <row r="11" spans="2:15" s="82" customFormat="1">
      <c r="B11" s="74" t="s">
        <v>952</v>
      </c>
      <c r="C11" s="74" t="s">
        <v>629</v>
      </c>
      <c r="D11" s="126"/>
      <c r="E11" s="74" t="s">
        <v>953</v>
      </c>
      <c r="F11" s="74" t="s">
        <v>644</v>
      </c>
      <c r="G11" s="74" t="s">
        <v>644</v>
      </c>
      <c r="H11" s="127" t="s">
        <v>952</v>
      </c>
      <c r="K11" s="75" t="s">
        <v>645</v>
      </c>
      <c r="L11" s="74" t="s">
        <v>646</v>
      </c>
      <c r="N11" s="75" t="s">
        <v>647</v>
      </c>
      <c r="O11" s="74" t="s">
        <v>648</v>
      </c>
    </row>
    <row r="12" spans="2:15" s="82" customFormat="1">
      <c r="B12" s="74" t="s">
        <v>174</v>
      </c>
      <c r="C12" s="74" t="s">
        <v>629</v>
      </c>
      <c r="D12" s="126"/>
      <c r="E12" s="74" t="s">
        <v>472</v>
      </c>
      <c r="F12" s="74" t="s">
        <v>472</v>
      </c>
      <c r="G12" s="74" t="s">
        <v>649</v>
      </c>
      <c r="H12" s="127" t="s">
        <v>174</v>
      </c>
      <c r="K12" s="75" t="s">
        <v>650</v>
      </c>
      <c r="L12" s="74" t="s">
        <v>651</v>
      </c>
      <c r="N12" s="75" t="s">
        <v>652</v>
      </c>
      <c r="O12" s="74" t="s">
        <v>653</v>
      </c>
    </row>
    <row r="13" spans="2:15" s="82" customFormat="1">
      <c r="B13" s="74" t="s">
        <v>175</v>
      </c>
      <c r="C13" s="74" t="s">
        <v>635</v>
      </c>
      <c r="D13" s="126"/>
      <c r="E13" s="74" t="s">
        <v>468</v>
      </c>
      <c r="F13" s="74" t="s">
        <v>468</v>
      </c>
      <c r="G13" s="74" t="s">
        <v>654</v>
      </c>
      <c r="H13" s="127" t="s">
        <v>175</v>
      </c>
      <c r="K13" s="75" t="s">
        <v>655</v>
      </c>
      <c r="L13" s="74" t="s">
        <v>656</v>
      </c>
      <c r="N13" s="75" t="s">
        <v>657</v>
      </c>
      <c r="O13" s="74" t="s">
        <v>658</v>
      </c>
    </row>
    <row r="14" spans="2:15" s="82" customFormat="1">
      <c r="B14" s="74" t="s">
        <v>176</v>
      </c>
      <c r="C14" s="74" t="s">
        <v>629</v>
      </c>
      <c r="D14" s="126"/>
      <c r="E14" s="74" t="s">
        <v>465</v>
      </c>
      <c r="F14" s="74" t="s">
        <v>465</v>
      </c>
      <c r="G14" s="74" t="s">
        <v>659</v>
      </c>
      <c r="H14" s="127" t="s">
        <v>176</v>
      </c>
      <c r="K14" s="75" t="s">
        <v>660</v>
      </c>
      <c r="L14" s="74" t="s">
        <v>661</v>
      </c>
      <c r="N14" s="89"/>
    </row>
    <row r="15" spans="2:15" s="82" customFormat="1">
      <c r="B15" s="74" t="s">
        <v>177</v>
      </c>
      <c r="C15" s="74" t="s">
        <v>629</v>
      </c>
      <c r="D15" s="126"/>
      <c r="E15" s="74" t="s">
        <v>466</v>
      </c>
      <c r="F15" s="74" t="s">
        <v>466</v>
      </c>
      <c r="G15" s="74" t="s">
        <v>662</v>
      </c>
      <c r="H15" s="127" t="s">
        <v>177</v>
      </c>
      <c r="K15" s="75" t="s">
        <v>629</v>
      </c>
      <c r="L15" s="74" t="s">
        <v>663</v>
      </c>
      <c r="N15" s="89"/>
    </row>
    <row r="16" spans="2:15" s="82" customFormat="1">
      <c r="B16" s="74" t="s">
        <v>23</v>
      </c>
      <c r="C16" s="74" t="s">
        <v>629</v>
      </c>
      <c r="D16" s="126"/>
      <c r="E16" s="74" t="s">
        <v>473</v>
      </c>
      <c r="F16" s="74" t="s">
        <v>473</v>
      </c>
      <c r="G16" s="74" t="s">
        <v>664</v>
      </c>
      <c r="H16" s="127" t="s">
        <v>23</v>
      </c>
      <c r="K16" s="75" t="s">
        <v>642</v>
      </c>
      <c r="L16" s="74" t="s">
        <v>665</v>
      </c>
      <c r="N16" s="89"/>
    </row>
    <row r="17" spans="2:14" s="82" customFormat="1">
      <c r="B17" s="74" t="s">
        <v>178</v>
      </c>
      <c r="C17" s="74" t="s">
        <v>629</v>
      </c>
      <c r="D17" s="126"/>
      <c r="E17" s="74" t="s">
        <v>474</v>
      </c>
      <c r="F17" s="74" t="s">
        <v>474</v>
      </c>
      <c r="G17" s="74" t="s">
        <v>666</v>
      </c>
      <c r="H17" s="127" t="s">
        <v>178</v>
      </c>
      <c r="K17" s="75" t="s">
        <v>667</v>
      </c>
      <c r="L17" s="74" t="s">
        <v>668</v>
      </c>
      <c r="N17" s="89"/>
    </row>
    <row r="18" spans="2:14" s="82" customFormat="1">
      <c r="B18" s="74" t="s">
        <v>68</v>
      </c>
      <c r="C18" s="74" t="s">
        <v>645</v>
      </c>
      <c r="D18" s="126"/>
      <c r="E18" s="74" t="s">
        <v>470</v>
      </c>
      <c r="F18" s="74" t="s">
        <v>470</v>
      </c>
      <c r="G18" s="74" t="s">
        <v>669</v>
      </c>
      <c r="H18" s="127" t="s">
        <v>68</v>
      </c>
    </row>
    <row r="19" spans="2:14" s="82" customFormat="1">
      <c r="B19" s="74" t="s">
        <v>179</v>
      </c>
      <c r="C19" s="74" t="s">
        <v>660</v>
      </c>
      <c r="D19" s="126"/>
      <c r="E19" s="74" t="s">
        <v>471</v>
      </c>
      <c r="F19" s="74" t="s">
        <v>471</v>
      </c>
      <c r="G19" s="74" t="s">
        <v>670</v>
      </c>
      <c r="H19" s="127" t="s">
        <v>179</v>
      </c>
    </row>
    <row r="20" spans="2:14" s="82" customFormat="1">
      <c r="B20" s="74" t="s">
        <v>180</v>
      </c>
      <c r="C20" s="74" t="s">
        <v>629</v>
      </c>
      <c r="D20" s="126"/>
      <c r="E20" s="74" t="s">
        <v>463</v>
      </c>
      <c r="F20" s="74" t="s">
        <v>463</v>
      </c>
      <c r="G20" s="74" t="s">
        <v>671</v>
      </c>
      <c r="H20" s="127" t="s">
        <v>180</v>
      </c>
    </row>
    <row r="21" spans="2:14" s="82" customFormat="1">
      <c r="B21" s="74" t="s">
        <v>672</v>
      </c>
      <c r="C21" s="74" t="s">
        <v>629</v>
      </c>
      <c r="D21" s="126"/>
      <c r="E21" s="74" t="s">
        <v>673</v>
      </c>
      <c r="F21" s="74" t="s">
        <v>673</v>
      </c>
      <c r="G21" s="74" t="s">
        <v>674</v>
      </c>
      <c r="H21" s="127" t="s">
        <v>672</v>
      </c>
    </row>
    <row r="22" spans="2:14" s="82" customFormat="1">
      <c r="B22" s="74" t="s">
        <v>43</v>
      </c>
      <c r="C22" s="74" t="s">
        <v>650</v>
      </c>
      <c r="D22" s="126"/>
      <c r="E22" s="74" t="s">
        <v>385</v>
      </c>
      <c r="F22" s="74" t="s">
        <v>385</v>
      </c>
      <c r="G22" s="74" t="s">
        <v>294</v>
      </c>
      <c r="H22" s="127" t="s">
        <v>43</v>
      </c>
    </row>
    <row r="23" spans="2:14" s="82" customFormat="1">
      <c r="B23" s="74" t="s">
        <v>44</v>
      </c>
      <c r="C23" s="74" t="s">
        <v>631</v>
      </c>
      <c r="D23" s="126"/>
      <c r="E23" s="74" t="s">
        <v>386</v>
      </c>
      <c r="F23" s="74" t="s">
        <v>386</v>
      </c>
      <c r="G23" s="74" t="s">
        <v>295</v>
      </c>
      <c r="H23" s="127" t="s">
        <v>44</v>
      </c>
    </row>
    <row r="24" spans="2:14" s="82" customFormat="1">
      <c r="B24" s="74" t="s">
        <v>181</v>
      </c>
      <c r="C24" s="74" t="s">
        <v>635</v>
      </c>
      <c r="D24" s="126"/>
      <c r="E24" s="74" t="s">
        <v>475</v>
      </c>
      <c r="F24" s="74" t="s">
        <v>475</v>
      </c>
      <c r="G24" s="74" t="s">
        <v>675</v>
      </c>
      <c r="H24" s="127" t="s">
        <v>181</v>
      </c>
    </row>
    <row r="25" spans="2:14" s="82" customFormat="1">
      <c r="B25" s="74" t="s">
        <v>183</v>
      </c>
      <c r="C25" s="74" t="s">
        <v>629</v>
      </c>
      <c r="D25" s="126"/>
      <c r="E25" s="74" t="s">
        <v>481</v>
      </c>
      <c r="F25" s="74" t="s">
        <v>481</v>
      </c>
      <c r="G25" s="74" t="s">
        <v>676</v>
      </c>
      <c r="H25" s="127" t="s">
        <v>183</v>
      </c>
    </row>
    <row r="26" spans="2:14" s="82" customFormat="1">
      <c r="B26" s="74" t="s">
        <v>69</v>
      </c>
      <c r="C26" s="74" t="s">
        <v>660</v>
      </c>
      <c r="D26" s="126"/>
      <c r="E26" s="74" t="s">
        <v>389</v>
      </c>
      <c r="F26" s="74" t="s">
        <v>389</v>
      </c>
      <c r="G26" s="74" t="s">
        <v>677</v>
      </c>
      <c r="H26" s="127" t="s">
        <v>69</v>
      </c>
    </row>
    <row r="27" spans="2:14" s="82" customFormat="1">
      <c r="B27" s="74" t="s">
        <v>184</v>
      </c>
      <c r="C27" s="74" t="s">
        <v>629</v>
      </c>
      <c r="D27" s="126"/>
      <c r="E27" s="74" t="s">
        <v>480</v>
      </c>
      <c r="F27" s="74" t="s">
        <v>480</v>
      </c>
      <c r="G27" s="74" t="s">
        <v>678</v>
      </c>
      <c r="H27" s="127" t="s">
        <v>184</v>
      </c>
    </row>
    <row r="28" spans="2:14" s="82" customFormat="1">
      <c r="B28" s="74" t="s">
        <v>185</v>
      </c>
      <c r="C28" s="74" t="s">
        <v>629</v>
      </c>
      <c r="D28" s="126"/>
      <c r="E28" s="74" t="s">
        <v>486</v>
      </c>
      <c r="F28" s="74" t="s">
        <v>486</v>
      </c>
      <c r="G28" s="74" t="s">
        <v>679</v>
      </c>
      <c r="H28" s="127" t="s">
        <v>185</v>
      </c>
    </row>
    <row r="29" spans="2:14" s="82" customFormat="1">
      <c r="B29" s="74" t="s">
        <v>186</v>
      </c>
      <c r="C29" s="74" t="s">
        <v>635</v>
      </c>
      <c r="D29" s="126"/>
      <c r="E29" s="74" t="s">
        <v>483</v>
      </c>
      <c r="F29" s="74" t="s">
        <v>483</v>
      </c>
      <c r="G29" s="74" t="s">
        <v>680</v>
      </c>
      <c r="H29" s="127" t="s">
        <v>186</v>
      </c>
    </row>
    <row r="30" spans="2:14" s="82" customFormat="1">
      <c r="B30" s="74" t="s">
        <v>65</v>
      </c>
      <c r="C30" s="74" t="s">
        <v>631</v>
      </c>
      <c r="D30" s="126"/>
      <c r="E30" s="74" t="s">
        <v>387</v>
      </c>
      <c r="F30" s="74" t="s">
        <v>387</v>
      </c>
      <c r="G30" s="74" t="s">
        <v>296</v>
      </c>
      <c r="H30" s="127" t="s">
        <v>65</v>
      </c>
    </row>
    <row r="31" spans="2:14" s="82" customFormat="1">
      <c r="B31" s="74" t="s">
        <v>187</v>
      </c>
      <c r="C31" s="74" t="s">
        <v>629</v>
      </c>
      <c r="D31" s="126"/>
      <c r="E31" s="74" t="s">
        <v>484</v>
      </c>
      <c r="F31" s="74" t="s">
        <v>484</v>
      </c>
      <c r="G31" s="74" t="s">
        <v>681</v>
      </c>
      <c r="H31" s="127" t="s">
        <v>187</v>
      </c>
    </row>
    <row r="32" spans="2:14" s="82" customFormat="1">
      <c r="B32" s="74" t="s">
        <v>188</v>
      </c>
      <c r="C32" s="74" t="s">
        <v>629</v>
      </c>
      <c r="D32" s="126"/>
      <c r="E32" s="74" t="s">
        <v>477</v>
      </c>
      <c r="F32" s="74" t="s">
        <v>477</v>
      </c>
      <c r="G32" s="74" t="s">
        <v>682</v>
      </c>
      <c r="H32" s="127" t="s">
        <v>188</v>
      </c>
    </row>
    <row r="33" spans="2:8" s="82" customFormat="1">
      <c r="B33" s="74" t="s">
        <v>189</v>
      </c>
      <c r="C33" s="74" t="s">
        <v>629</v>
      </c>
      <c r="D33" s="126"/>
      <c r="E33" s="74" t="s">
        <v>390</v>
      </c>
      <c r="F33" s="74" t="s">
        <v>390</v>
      </c>
      <c r="G33" s="74" t="s">
        <v>683</v>
      </c>
      <c r="H33" s="127" t="s">
        <v>189</v>
      </c>
    </row>
    <row r="34" spans="2:8" s="82" customFormat="1">
      <c r="B34" s="74" t="s">
        <v>190</v>
      </c>
      <c r="C34" s="74" t="s">
        <v>629</v>
      </c>
      <c r="D34" s="126"/>
      <c r="E34" s="74" t="s">
        <v>488</v>
      </c>
      <c r="F34" s="74" t="s">
        <v>488</v>
      </c>
      <c r="G34" s="74" t="s">
        <v>684</v>
      </c>
      <c r="H34" s="127" t="s">
        <v>190</v>
      </c>
    </row>
    <row r="35" spans="2:8" s="82" customFormat="1">
      <c r="B35" s="74" t="s">
        <v>191</v>
      </c>
      <c r="C35" s="74" t="s">
        <v>629</v>
      </c>
      <c r="D35" s="126"/>
      <c r="E35" s="74" t="s">
        <v>485</v>
      </c>
      <c r="F35" s="74" t="s">
        <v>485</v>
      </c>
      <c r="G35" s="74" t="s">
        <v>685</v>
      </c>
      <c r="H35" s="127" t="s">
        <v>191</v>
      </c>
    </row>
    <row r="36" spans="2:8" s="82" customFormat="1">
      <c r="B36" s="74" t="s">
        <v>954</v>
      </c>
      <c r="C36" s="74" t="s">
        <v>629</v>
      </c>
      <c r="D36" s="126"/>
      <c r="E36" s="74" t="s">
        <v>478</v>
      </c>
      <c r="F36" s="74" t="s">
        <v>478</v>
      </c>
      <c r="G36" s="74" t="s">
        <v>686</v>
      </c>
      <c r="H36" s="127" t="s">
        <v>954</v>
      </c>
    </row>
    <row r="37" spans="2:8" s="82" customFormat="1">
      <c r="B37" s="74" t="s">
        <v>197</v>
      </c>
      <c r="C37" s="74" t="s">
        <v>635</v>
      </c>
      <c r="D37" s="126"/>
      <c r="E37" s="74" t="s">
        <v>482</v>
      </c>
      <c r="F37" s="74" t="s">
        <v>482</v>
      </c>
      <c r="G37" s="74" t="s">
        <v>687</v>
      </c>
      <c r="H37" s="127" t="s">
        <v>197</v>
      </c>
    </row>
    <row r="38" spans="2:8" s="82" customFormat="1">
      <c r="B38" s="74" t="s">
        <v>192</v>
      </c>
      <c r="C38" s="74" t="s">
        <v>629</v>
      </c>
      <c r="D38" s="126"/>
      <c r="E38" s="74" t="s">
        <v>489</v>
      </c>
      <c r="F38" s="74" t="s">
        <v>489</v>
      </c>
      <c r="G38" s="74" t="s">
        <v>688</v>
      </c>
      <c r="H38" s="127" t="s">
        <v>192</v>
      </c>
    </row>
    <row r="39" spans="2:8" s="82" customFormat="1">
      <c r="B39" s="74" t="s">
        <v>45</v>
      </c>
      <c r="C39" s="74" t="s">
        <v>645</v>
      </c>
      <c r="D39" s="126"/>
      <c r="E39" s="74" t="s">
        <v>391</v>
      </c>
      <c r="F39" s="74" t="s">
        <v>391</v>
      </c>
      <c r="G39" s="74" t="s">
        <v>689</v>
      </c>
      <c r="H39" s="127" t="s">
        <v>45</v>
      </c>
    </row>
    <row r="40" spans="2:8" s="82" customFormat="1">
      <c r="B40" s="74" t="s">
        <v>7</v>
      </c>
      <c r="C40" s="74" t="s">
        <v>629</v>
      </c>
      <c r="D40" s="126"/>
      <c r="E40" s="74" t="s">
        <v>487</v>
      </c>
      <c r="F40" s="74" t="s">
        <v>487</v>
      </c>
      <c r="G40" s="74" t="s">
        <v>690</v>
      </c>
      <c r="H40" s="127" t="s">
        <v>7</v>
      </c>
    </row>
    <row r="41" spans="2:8" s="82" customFormat="1">
      <c r="B41" s="74" t="s">
        <v>70</v>
      </c>
      <c r="C41" s="74" t="s">
        <v>635</v>
      </c>
      <c r="D41" s="126"/>
      <c r="E41" s="74" t="s">
        <v>388</v>
      </c>
      <c r="F41" s="74" t="s">
        <v>388</v>
      </c>
      <c r="G41" s="74" t="s">
        <v>691</v>
      </c>
      <c r="H41" s="127" t="s">
        <v>70</v>
      </c>
    </row>
    <row r="42" spans="2:8" s="82" customFormat="1">
      <c r="B42" s="74" t="s">
        <v>8</v>
      </c>
      <c r="C42" s="74" t="s">
        <v>629</v>
      </c>
      <c r="D42" s="126"/>
      <c r="E42" s="74" t="s">
        <v>479</v>
      </c>
      <c r="F42" s="74" t="s">
        <v>479</v>
      </c>
      <c r="G42" s="74" t="s">
        <v>692</v>
      </c>
      <c r="H42" s="127" t="s">
        <v>8</v>
      </c>
    </row>
    <row r="43" spans="2:8" s="82" customFormat="1">
      <c r="B43" s="74" t="s">
        <v>9</v>
      </c>
      <c r="C43" s="74" t="s">
        <v>629</v>
      </c>
      <c r="D43" s="126"/>
      <c r="E43" s="74" t="s">
        <v>476</v>
      </c>
      <c r="F43" s="74" t="s">
        <v>476</v>
      </c>
      <c r="G43" s="74" t="s">
        <v>693</v>
      </c>
      <c r="H43" s="127" t="s">
        <v>9</v>
      </c>
    </row>
    <row r="44" spans="2:8" s="82" customFormat="1">
      <c r="B44" s="74" t="s">
        <v>10</v>
      </c>
      <c r="C44" s="74" t="s">
        <v>629</v>
      </c>
      <c r="D44" s="126"/>
      <c r="E44" s="74" t="s">
        <v>532</v>
      </c>
      <c r="F44" s="74" t="s">
        <v>532</v>
      </c>
      <c r="G44" s="74" t="s">
        <v>694</v>
      </c>
      <c r="H44" s="127" t="s">
        <v>10</v>
      </c>
    </row>
    <row r="45" spans="2:8" s="82" customFormat="1">
      <c r="B45" s="74" t="s">
        <v>11</v>
      </c>
      <c r="C45" s="74" t="s">
        <v>629</v>
      </c>
      <c r="D45" s="126"/>
      <c r="E45" s="74" t="s">
        <v>493</v>
      </c>
      <c r="F45" s="74" t="s">
        <v>493</v>
      </c>
      <c r="G45" s="74" t="s">
        <v>695</v>
      </c>
      <c r="H45" s="127" t="s">
        <v>11</v>
      </c>
    </row>
    <row r="46" spans="2:8" s="82" customFormat="1">
      <c r="B46" s="74" t="s">
        <v>46</v>
      </c>
      <c r="C46" s="74" t="s">
        <v>196</v>
      </c>
      <c r="D46" s="126"/>
      <c r="E46" s="74" t="s">
        <v>392</v>
      </c>
      <c r="F46" s="74" t="s">
        <v>392</v>
      </c>
      <c r="G46" s="74" t="s">
        <v>696</v>
      </c>
      <c r="H46" s="127" t="s">
        <v>46</v>
      </c>
    </row>
    <row r="47" spans="2:8" s="82" customFormat="1">
      <c r="B47" s="74" t="s">
        <v>13</v>
      </c>
      <c r="C47" s="74" t="s">
        <v>629</v>
      </c>
      <c r="D47" s="126"/>
      <c r="E47" s="74" t="s">
        <v>498</v>
      </c>
      <c r="F47" s="74" t="s">
        <v>498</v>
      </c>
      <c r="G47" s="74" t="s">
        <v>697</v>
      </c>
      <c r="H47" s="127" t="s">
        <v>13</v>
      </c>
    </row>
    <row r="48" spans="2:8" s="82" customFormat="1">
      <c r="B48" s="74" t="s">
        <v>14</v>
      </c>
      <c r="C48" s="74" t="s">
        <v>629</v>
      </c>
      <c r="D48" s="126"/>
      <c r="E48" s="74" t="s">
        <v>501</v>
      </c>
      <c r="F48" s="74" t="s">
        <v>501</v>
      </c>
      <c r="G48" s="74" t="s">
        <v>698</v>
      </c>
      <c r="H48" s="127" t="s">
        <v>14</v>
      </c>
    </row>
    <row r="49" spans="2:8" s="82" customFormat="1">
      <c r="B49" s="74" t="s">
        <v>15</v>
      </c>
      <c r="C49" s="74" t="s">
        <v>629</v>
      </c>
      <c r="D49" s="126"/>
      <c r="E49" s="74" t="s">
        <v>490</v>
      </c>
      <c r="F49" s="74" t="s">
        <v>490</v>
      </c>
      <c r="G49" s="74" t="s">
        <v>699</v>
      </c>
      <c r="H49" s="127" t="s">
        <v>15</v>
      </c>
    </row>
    <row r="50" spans="2:8" s="82" customFormat="1">
      <c r="B50" s="74" t="s">
        <v>16</v>
      </c>
      <c r="C50" s="74" t="s">
        <v>629</v>
      </c>
      <c r="D50" s="126"/>
      <c r="E50" s="74" t="s">
        <v>597</v>
      </c>
      <c r="F50" s="74" t="s">
        <v>597</v>
      </c>
      <c r="G50" s="74" t="s">
        <v>700</v>
      </c>
      <c r="H50" s="127" t="s">
        <v>16</v>
      </c>
    </row>
    <row r="51" spans="2:8" s="82" customFormat="1">
      <c r="B51" s="74" t="s">
        <v>71</v>
      </c>
      <c r="C51" s="74" t="s">
        <v>645</v>
      </c>
      <c r="D51" s="126"/>
      <c r="E51" s="74" t="s">
        <v>394</v>
      </c>
      <c r="F51" s="74" t="s">
        <v>394</v>
      </c>
      <c r="G51" s="74" t="s">
        <v>701</v>
      </c>
      <c r="H51" s="127" t="s">
        <v>71</v>
      </c>
    </row>
    <row r="52" spans="2:8" s="82" customFormat="1">
      <c r="B52" s="74" t="s">
        <v>72</v>
      </c>
      <c r="C52" s="74" t="s">
        <v>650</v>
      </c>
      <c r="D52" s="126"/>
      <c r="E52" s="74" t="s">
        <v>395</v>
      </c>
      <c r="F52" s="74" t="s">
        <v>395</v>
      </c>
      <c r="G52" s="74" t="s">
        <v>702</v>
      </c>
      <c r="H52" s="127" t="s">
        <v>72</v>
      </c>
    </row>
    <row r="53" spans="2:8" s="82" customFormat="1">
      <c r="B53" s="74" t="s">
        <v>73</v>
      </c>
      <c r="C53" s="74" t="s">
        <v>660</v>
      </c>
      <c r="D53" s="126"/>
      <c r="E53" s="74" t="s">
        <v>496</v>
      </c>
      <c r="F53" s="74" t="s">
        <v>496</v>
      </c>
      <c r="G53" s="74" t="s">
        <v>703</v>
      </c>
      <c r="H53" s="127" t="s">
        <v>73</v>
      </c>
    </row>
    <row r="54" spans="2:8" s="82" customFormat="1">
      <c r="B54" s="74" t="s">
        <v>17</v>
      </c>
      <c r="C54" s="74" t="s">
        <v>629</v>
      </c>
      <c r="D54" s="126"/>
      <c r="E54" s="74" t="s">
        <v>497</v>
      </c>
      <c r="F54" s="74" t="s">
        <v>497</v>
      </c>
      <c r="G54" s="74" t="s">
        <v>704</v>
      </c>
      <c r="H54" s="127" t="s">
        <v>17</v>
      </c>
    </row>
    <row r="55" spans="2:8" s="82" customFormat="1">
      <c r="B55" s="74" t="s">
        <v>18</v>
      </c>
      <c r="C55" s="74" t="s">
        <v>629</v>
      </c>
      <c r="D55" s="126"/>
      <c r="E55" s="74" t="s">
        <v>396</v>
      </c>
      <c r="F55" s="74" t="s">
        <v>396</v>
      </c>
      <c r="G55" s="74" t="s">
        <v>705</v>
      </c>
      <c r="H55" s="127" t="s">
        <v>18</v>
      </c>
    </row>
    <row r="56" spans="2:8" s="82" customFormat="1">
      <c r="B56" s="74" t="s">
        <v>198</v>
      </c>
      <c r="C56" s="74" t="s">
        <v>629</v>
      </c>
      <c r="D56" s="126"/>
      <c r="E56" s="74" t="s">
        <v>494</v>
      </c>
      <c r="F56" s="74" t="s">
        <v>494</v>
      </c>
      <c r="G56" s="74" t="s">
        <v>706</v>
      </c>
      <c r="H56" s="127" t="s">
        <v>198</v>
      </c>
    </row>
    <row r="57" spans="2:8" s="82" customFormat="1">
      <c r="B57" s="74" t="s">
        <v>19</v>
      </c>
      <c r="C57" s="74" t="s">
        <v>629</v>
      </c>
      <c r="D57" s="126"/>
      <c r="E57" s="74" t="s">
        <v>495</v>
      </c>
      <c r="F57" s="74" t="s">
        <v>495</v>
      </c>
      <c r="G57" s="74" t="s">
        <v>707</v>
      </c>
      <c r="H57" s="127" t="s">
        <v>19</v>
      </c>
    </row>
    <row r="58" spans="2:8" s="82" customFormat="1">
      <c r="B58" s="74" t="s">
        <v>20</v>
      </c>
      <c r="C58" s="74" t="s">
        <v>629</v>
      </c>
      <c r="D58" s="126"/>
      <c r="E58" s="74" t="s">
        <v>397</v>
      </c>
      <c r="F58" s="74" t="s">
        <v>397</v>
      </c>
      <c r="G58" s="74" t="s">
        <v>708</v>
      </c>
      <c r="H58" s="127" t="s">
        <v>20</v>
      </c>
    </row>
    <row r="59" spans="2:8" s="82" customFormat="1">
      <c r="B59" s="74" t="s">
        <v>492</v>
      </c>
      <c r="C59" s="74" t="s">
        <v>629</v>
      </c>
      <c r="D59" s="126"/>
      <c r="E59" s="74" t="s">
        <v>491</v>
      </c>
      <c r="F59" s="74" t="s">
        <v>491</v>
      </c>
      <c r="G59" s="74" t="s">
        <v>709</v>
      </c>
      <c r="H59" s="127" t="s">
        <v>492</v>
      </c>
    </row>
    <row r="60" spans="2:8" s="82" customFormat="1">
      <c r="B60" s="74" t="s">
        <v>21</v>
      </c>
      <c r="C60" s="74" t="s">
        <v>635</v>
      </c>
      <c r="D60" s="126"/>
      <c r="E60" s="74" t="s">
        <v>417</v>
      </c>
      <c r="F60" s="74" t="s">
        <v>417</v>
      </c>
      <c r="G60" s="74" t="s">
        <v>710</v>
      </c>
      <c r="H60" s="127" t="s">
        <v>21</v>
      </c>
    </row>
    <row r="61" spans="2:8" s="82" customFormat="1">
      <c r="B61" s="74" t="s">
        <v>22</v>
      </c>
      <c r="C61" s="74" t="s">
        <v>629</v>
      </c>
      <c r="D61" s="126"/>
      <c r="E61" s="74" t="s">
        <v>499</v>
      </c>
      <c r="F61" s="74" t="s">
        <v>499</v>
      </c>
      <c r="G61" s="74" t="s">
        <v>711</v>
      </c>
      <c r="H61" s="127" t="s">
        <v>22</v>
      </c>
    </row>
    <row r="62" spans="2:8" s="82" customFormat="1">
      <c r="B62" s="74" t="s">
        <v>955</v>
      </c>
      <c r="C62" s="74" t="s">
        <v>629</v>
      </c>
      <c r="D62" s="126"/>
      <c r="E62" s="74" t="s">
        <v>500</v>
      </c>
      <c r="F62" s="74" t="s">
        <v>500</v>
      </c>
      <c r="G62" s="74"/>
      <c r="H62" s="127" t="s">
        <v>955</v>
      </c>
    </row>
    <row r="63" spans="2:8" s="82" customFormat="1">
      <c r="B63" s="74" t="s">
        <v>240</v>
      </c>
      <c r="C63" s="74" t="s">
        <v>629</v>
      </c>
      <c r="D63" s="126"/>
      <c r="E63" s="74" t="s">
        <v>503</v>
      </c>
      <c r="F63" s="74" t="s">
        <v>503</v>
      </c>
      <c r="G63" s="74" t="s">
        <v>712</v>
      </c>
      <c r="H63" s="127" t="s">
        <v>240</v>
      </c>
    </row>
    <row r="64" spans="2:8" s="82" customFormat="1">
      <c r="B64" s="74" t="s">
        <v>74</v>
      </c>
      <c r="C64" s="74" t="s">
        <v>635</v>
      </c>
      <c r="D64" s="126"/>
      <c r="E64" s="74" t="s">
        <v>398</v>
      </c>
      <c r="F64" s="74" t="s">
        <v>398</v>
      </c>
      <c r="G64" s="74" t="s">
        <v>713</v>
      </c>
      <c r="H64" s="127" t="s">
        <v>74</v>
      </c>
    </row>
    <row r="65" spans="2:8" s="82" customFormat="1">
      <c r="B65" s="74" t="s">
        <v>47</v>
      </c>
      <c r="C65" s="74" t="s">
        <v>631</v>
      </c>
      <c r="D65" s="126"/>
      <c r="E65" s="74" t="s">
        <v>400</v>
      </c>
      <c r="F65" s="74" t="s">
        <v>400</v>
      </c>
      <c r="G65" s="74" t="s">
        <v>216</v>
      </c>
      <c r="H65" s="127" t="s">
        <v>47</v>
      </c>
    </row>
    <row r="66" spans="2:8" s="82" customFormat="1">
      <c r="B66" s="74" t="s">
        <v>241</v>
      </c>
      <c r="C66" s="74" t="s">
        <v>629</v>
      </c>
      <c r="D66" s="126"/>
      <c r="E66" s="74" t="s">
        <v>526</v>
      </c>
      <c r="F66" s="74" t="s">
        <v>956</v>
      </c>
      <c r="G66" s="74" t="s">
        <v>714</v>
      </c>
      <c r="H66" s="127" t="s">
        <v>241</v>
      </c>
    </row>
    <row r="67" spans="2:8" s="82" customFormat="1">
      <c r="B67" s="74" t="s">
        <v>242</v>
      </c>
      <c r="C67" s="74" t="s">
        <v>629</v>
      </c>
      <c r="D67" s="126"/>
      <c r="E67" s="74" t="s">
        <v>504</v>
      </c>
      <c r="F67" s="74" t="s">
        <v>504</v>
      </c>
      <c r="G67" s="74" t="s">
        <v>715</v>
      </c>
      <c r="H67" s="127" t="s">
        <v>242</v>
      </c>
    </row>
    <row r="68" spans="2:8" s="82" customFormat="1">
      <c r="B68" s="74" t="s">
        <v>249</v>
      </c>
      <c r="C68" s="74" t="s">
        <v>629</v>
      </c>
      <c r="D68" s="126"/>
      <c r="E68" s="74" t="s">
        <v>505</v>
      </c>
      <c r="F68" s="74" t="s">
        <v>505</v>
      </c>
      <c r="G68" s="74" t="s">
        <v>716</v>
      </c>
      <c r="H68" s="127" t="s">
        <v>249</v>
      </c>
    </row>
    <row r="69" spans="2:8" s="82" customFormat="1">
      <c r="B69" s="74" t="s">
        <v>250</v>
      </c>
      <c r="C69" s="74" t="s">
        <v>629</v>
      </c>
      <c r="D69" s="126"/>
      <c r="E69" s="74" t="s">
        <v>401</v>
      </c>
      <c r="F69" s="74" t="s">
        <v>401</v>
      </c>
      <c r="G69" s="74" t="s">
        <v>717</v>
      </c>
      <c r="H69" s="127" t="s">
        <v>250</v>
      </c>
    </row>
    <row r="70" spans="2:8" s="82" customFormat="1">
      <c r="B70" s="74" t="s">
        <v>251</v>
      </c>
      <c r="C70" s="74" t="s">
        <v>629</v>
      </c>
      <c r="D70" s="126"/>
      <c r="E70" s="74" t="s">
        <v>603</v>
      </c>
      <c r="F70" s="74" t="s">
        <v>603</v>
      </c>
      <c r="G70" s="74" t="s">
        <v>718</v>
      </c>
      <c r="H70" s="127" t="s">
        <v>251</v>
      </c>
    </row>
    <row r="71" spans="2:8" s="82" customFormat="1">
      <c r="B71" s="74" t="s">
        <v>252</v>
      </c>
      <c r="C71" s="74" t="s">
        <v>629</v>
      </c>
      <c r="D71" s="126"/>
      <c r="E71" s="74" t="s">
        <v>507</v>
      </c>
      <c r="F71" s="74" t="s">
        <v>507</v>
      </c>
      <c r="G71" s="74" t="s">
        <v>719</v>
      </c>
      <c r="H71" s="127" t="s">
        <v>252</v>
      </c>
    </row>
    <row r="72" spans="2:8" s="82" customFormat="1">
      <c r="B72" s="74" t="s">
        <v>253</v>
      </c>
      <c r="C72" s="74" t="s">
        <v>660</v>
      </c>
      <c r="D72" s="126"/>
      <c r="E72" s="74" t="s">
        <v>508</v>
      </c>
      <c r="F72" s="74" t="s">
        <v>508</v>
      </c>
      <c r="G72" s="74" t="s">
        <v>720</v>
      </c>
      <c r="H72" s="127" t="s">
        <v>253</v>
      </c>
    </row>
    <row r="73" spans="2:8" s="82" customFormat="1">
      <c r="B73" s="74" t="s">
        <v>254</v>
      </c>
      <c r="C73" s="74" t="s">
        <v>629</v>
      </c>
      <c r="D73" s="126"/>
      <c r="E73" s="74" t="s">
        <v>586</v>
      </c>
      <c r="F73" s="74" t="s">
        <v>586</v>
      </c>
      <c r="G73" s="74" t="s">
        <v>721</v>
      </c>
      <c r="H73" s="127" t="s">
        <v>254</v>
      </c>
    </row>
    <row r="74" spans="2:8" s="82" customFormat="1">
      <c r="B74" s="74" t="s">
        <v>255</v>
      </c>
      <c r="C74" s="74" t="s">
        <v>629</v>
      </c>
      <c r="D74" s="126"/>
      <c r="E74" s="74" t="s">
        <v>518</v>
      </c>
      <c r="F74" s="74" t="s">
        <v>518</v>
      </c>
      <c r="G74" s="74" t="s">
        <v>722</v>
      </c>
      <c r="H74" s="127" t="s">
        <v>255</v>
      </c>
    </row>
    <row r="75" spans="2:8" s="82" customFormat="1">
      <c r="B75" s="74" t="s">
        <v>256</v>
      </c>
      <c r="C75" s="74" t="s">
        <v>629</v>
      </c>
      <c r="D75" s="126"/>
      <c r="E75" s="74" t="s">
        <v>509</v>
      </c>
      <c r="F75" s="74" t="s">
        <v>509</v>
      </c>
      <c r="G75" s="74" t="s">
        <v>723</v>
      </c>
      <c r="H75" s="127" t="s">
        <v>256</v>
      </c>
    </row>
    <row r="76" spans="2:8" s="82" customFormat="1">
      <c r="B76" s="74" t="s">
        <v>75</v>
      </c>
      <c r="C76" s="74" t="s">
        <v>635</v>
      </c>
      <c r="D76" s="126"/>
      <c r="E76" s="74" t="s">
        <v>403</v>
      </c>
      <c r="F76" s="74" t="s">
        <v>403</v>
      </c>
      <c r="G76" s="74" t="s">
        <v>0</v>
      </c>
      <c r="H76" s="127" t="s">
        <v>75</v>
      </c>
    </row>
    <row r="77" spans="2:8" s="82" customFormat="1">
      <c r="B77" s="74" t="s">
        <v>257</v>
      </c>
      <c r="C77" s="74" t="s">
        <v>629</v>
      </c>
      <c r="D77" s="126"/>
      <c r="E77" s="74" t="s">
        <v>510</v>
      </c>
      <c r="F77" s="74" t="s">
        <v>510</v>
      </c>
      <c r="G77" s="74" t="s">
        <v>724</v>
      </c>
      <c r="H77" s="127" t="s">
        <v>257</v>
      </c>
    </row>
    <row r="78" spans="2:8" s="82" customFormat="1">
      <c r="B78" s="74" t="s">
        <v>258</v>
      </c>
      <c r="C78" s="74" t="s">
        <v>629</v>
      </c>
      <c r="D78" s="126"/>
      <c r="E78" s="74" t="s">
        <v>513</v>
      </c>
      <c r="F78" s="74" t="s">
        <v>513</v>
      </c>
      <c r="G78" s="74" t="s">
        <v>725</v>
      </c>
      <c r="H78" s="127" t="s">
        <v>258</v>
      </c>
    </row>
    <row r="79" spans="2:8" s="82" customFormat="1">
      <c r="B79" s="74" t="s">
        <v>259</v>
      </c>
      <c r="C79" s="74" t="s">
        <v>629</v>
      </c>
      <c r="D79" s="126"/>
      <c r="E79" s="74" t="s">
        <v>512</v>
      </c>
      <c r="F79" s="74" t="s">
        <v>512</v>
      </c>
      <c r="G79" s="74" t="s">
        <v>726</v>
      </c>
      <c r="H79" s="127" t="s">
        <v>259</v>
      </c>
    </row>
    <row r="80" spans="2:8" s="82" customFormat="1">
      <c r="B80" s="74" t="s">
        <v>260</v>
      </c>
      <c r="C80" s="74" t="s">
        <v>629</v>
      </c>
      <c r="D80" s="126"/>
      <c r="E80" s="74" t="s">
        <v>511</v>
      </c>
      <c r="F80" s="74" t="s">
        <v>511</v>
      </c>
      <c r="G80" s="74" t="s">
        <v>727</v>
      </c>
      <c r="H80" s="127" t="s">
        <v>260</v>
      </c>
    </row>
    <row r="81" spans="2:8" s="82" customFormat="1">
      <c r="B81" s="74" t="s">
        <v>48</v>
      </c>
      <c r="C81" s="74" t="s">
        <v>631</v>
      </c>
      <c r="D81" s="126"/>
      <c r="E81" s="74" t="s">
        <v>404</v>
      </c>
      <c r="F81" s="74" t="s">
        <v>404</v>
      </c>
      <c r="G81" s="74" t="s">
        <v>1</v>
      </c>
      <c r="H81" s="127" t="s">
        <v>48</v>
      </c>
    </row>
    <row r="82" spans="2:8" s="82" customFormat="1">
      <c r="B82" s="74" t="s">
        <v>67</v>
      </c>
      <c r="C82" s="74" t="s">
        <v>631</v>
      </c>
      <c r="D82" s="126"/>
      <c r="E82" s="74" t="s">
        <v>405</v>
      </c>
      <c r="F82" s="74" t="s">
        <v>405</v>
      </c>
      <c r="G82" s="74" t="s">
        <v>2</v>
      </c>
      <c r="H82" s="127" t="s">
        <v>67</v>
      </c>
    </row>
    <row r="83" spans="2:8" s="82" customFormat="1">
      <c r="B83" s="74" t="s">
        <v>199</v>
      </c>
      <c r="C83" s="74" t="s">
        <v>629</v>
      </c>
      <c r="D83" s="126"/>
      <c r="E83" s="74" t="s">
        <v>414</v>
      </c>
      <c r="F83" s="74" t="s">
        <v>414</v>
      </c>
      <c r="G83" s="74" t="s">
        <v>728</v>
      </c>
      <c r="H83" s="127" t="s">
        <v>199</v>
      </c>
    </row>
    <row r="84" spans="2:8" s="82" customFormat="1">
      <c r="B84" s="74" t="s">
        <v>141</v>
      </c>
      <c r="C84" s="74" t="s">
        <v>629</v>
      </c>
      <c r="D84" s="126"/>
      <c r="E84" s="74" t="s">
        <v>577</v>
      </c>
      <c r="F84" s="74" t="s">
        <v>577</v>
      </c>
      <c r="G84" s="74" t="s">
        <v>729</v>
      </c>
      <c r="H84" s="127" t="s">
        <v>141</v>
      </c>
    </row>
    <row r="85" spans="2:8" s="82" customFormat="1">
      <c r="B85" s="74" t="s">
        <v>142</v>
      </c>
      <c r="C85" s="74" t="s">
        <v>629</v>
      </c>
      <c r="D85" s="126"/>
      <c r="E85" s="74" t="s">
        <v>515</v>
      </c>
      <c r="F85" s="74" t="s">
        <v>515</v>
      </c>
      <c r="G85" s="74" t="s">
        <v>730</v>
      </c>
      <c r="H85" s="127" t="s">
        <v>142</v>
      </c>
    </row>
    <row r="86" spans="2:8" s="82" customFormat="1">
      <c r="B86" s="74" t="s">
        <v>143</v>
      </c>
      <c r="C86" s="74" t="s">
        <v>660</v>
      </c>
      <c r="D86" s="126"/>
      <c r="E86" s="74" t="s">
        <v>516</v>
      </c>
      <c r="F86" s="74" t="s">
        <v>516</v>
      </c>
      <c r="G86" s="74" t="s">
        <v>731</v>
      </c>
      <c r="H86" s="127" t="s">
        <v>143</v>
      </c>
    </row>
    <row r="87" spans="2:8" s="82" customFormat="1">
      <c r="B87" s="74" t="s">
        <v>144</v>
      </c>
      <c r="C87" s="74" t="s">
        <v>635</v>
      </c>
      <c r="D87" s="126"/>
      <c r="E87" s="74" t="s">
        <v>407</v>
      </c>
      <c r="F87" s="74" t="s">
        <v>407</v>
      </c>
      <c r="G87" s="74" t="s">
        <v>732</v>
      </c>
      <c r="H87" s="127" t="s">
        <v>144</v>
      </c>
    </row>
    <row r="88" spans="2:8" s="82" customFormat="1">
      <c r="B88" s="74" t="s">
        <v>66</v>
      </c>
      <c r="C88" s="74" t="s">
        <v>631</v>
      </c>
      <c r="D88" s="126"/>
      <c r="E88" s="74" t="s">
        <v>399</v>
      </c>
      <c r="F88" s="74" t="s">
        <v>399</v>
      </c>
      <c r="G88" s="74" t="s">
        <v>3</v>
      </c>
      <c r="H88" s="127" t="s">
        <v>66</v>
      </c>
    </row>
    <row r="89" spans="2:8" s="82" customFormat="1">
      <c r="B89" s="74" t="s">
        <v>145</v>
      </c>
      <c r="C89" s="74" t="s">
        <v>660</v>
      </c>
      <c r="D89" s="126"/>
      <c r="E89" s="74" t="s">
        <v>408</v>
      </c>
      <c r="F89" s="74" t="s">
        <v>408</v>
      </c>
      <c r="G89" s="74" t="s">
        <v>733</v>
      </c>
      <c r="H89" s="127" t="s">
        <v>145</v>
      </c>
    </row>
    <row r="90" spans="2:8" s="82" customFormat="1">
      <c r="B90" s="74" t="s">
        <v>159</v>
      </c>
      <c r="C90" s="74" t="s">
        <v>635</v>
      </c>
      <c r="D90" s="126"/>
      <c r="E90" s="74" t="s">
        <v>409</v>
      </c>
      <c r="F90" s="74" t="s">
        <v>409</v>
      </c>
      <c r="G90" s="74" t="s">
        <v>734</v>
      </c>
      <c r="H90" s="127" t="s">
        <v>159</v>
      </c>
    </row>
    <row r="91" spans="2:8" s="82" customFormat="1">
      <c r="B91" s="74" t="s">
        <v>735</v>
      </c>
      <c r="C91" s="74" t="s">
        <v>667</v>
      </c>
      <c r="D91" s="126"/>
      <c r="E91" s="74" t="s">
        <v>957</v>
      </c>
      <c r="F91" s="127" t="s">
        <v>644</v>
      </c>
      <c r="G91" s="127" t="s">
        <v>644</v>
      </c>
      <c r="H91" s="127" t="s">
        <v>735</v>
      </c>
    </row>
    <row r="92" spans="2:8" s="82" customFormat="1">
      <c r="B92" s="74" t="s">
        <v>76</v>
      </c>
      <c r="C92" s="74" t="s">
        <v>635</v>
      </c>
      <c r="D92" s="126"/>
      <c r="E92" s="74" t="s">
        <v>412</v>
      </c>
      <c r="F92" s="74" t="s">
        <v>412</v>
      </c>
      <c r="G92" s="74" t="s">
        <v>736</v>
      </c>
      <c r="H92" s="127" t="s">
        <v>76</v>
      </c>
    </row>
    <row r="93" spans="2:8" s="82" customFormat="1">
      <c r="B93" s="74" t="s">
        <v>160</v>
      </c>
      <c r="C93" s="74" t="s">
        <v>635</v>
      </c>
      <c r="D93" s="126"/>
      <c r="E93" s="74" t="s">
        <v>520</v>
      </c>
      <c r="F93" s="74" t="s">
        <v>520</v>
      </c>
      <c r="G93" s="74" t="s">
        <v>737</v>
      </c>
      <c r="H93" s="127" t="s">
        <v>160</v>
      </c>
    </row>
    <row r="94" spans="2:8" s="82" customFormat="1">
      <c r="B94" s="74" t="s">
        <v>146</v>
      </c>
      <c r="C94" s="74" t="s">
        <v>629</v>
      </c>
      <c r="D94" s="126"/>
      <c r="E94" s="74" t="s">
        <v>519</v>
      </c>
      <c r="F94" s="74" t="s">
        <v>519</v>
      </c>
      <c r="G94" s="74" t="s">
        <v>738</v>
      </c>
      <c r="H94" s="127" t="s">
        <v>146</v>
      </c>
    </row>
    <row r="95" spans="2:8" s="82" customFormat="1">
      <c r="B95" s="74" t="s">
        <v>161</v>
      </c>
      <c r="C95" s="74" t="s">
        <v>629</v>
      </c>
      <c r="D95" s="126"/>
      <c r="E95" s="74" t="s">
        <v>411</v>
      </c>
      <c r="F95" s="74" t="s">
        <v>411</v>
      </c>
      <c r="G95" s="74" t="s">
        <v>739</v>
      </c>
      <c r="H95" s="127" t="s">
        <v>161</v>
      </c>
    </row>
    <row r="96" spans="2:8" s="82" customFormat="1">
      <c r="B96" s="74" t="s">
        <v>162</v>
      </c>
      <c r="C96" s="74" t="s">
        <v>629</v>
      </c>
      <c r="D96" s="126"/>
      <c r="E96" s="74" t="s">
        <v>415</v>
      </c>
      <c r="F96" s="74" t="s">
        <v>415</v>
      </c>
      <c r="G96" s="74" t="s">
        <v>740</v>
      </c>
      <c r="H96" s="127" t="s">
        <v>162</v>
      </c>
    </row>
    <row r="97" spans="2:8" s="82" customFormat="1">
      <c r="B97" s="74" t="s">
        <v>148</v>
      </c>
      <c r="C97" s="74" t="s">
        <v>629</v>
      </c>
      <c r="D97" s="126"/>
      <c r="E97" s="74" t="s">
        <v>521</v>
      </c>
      <c r="F97" s="74" t="s">
        <v>521</v>
      </c>
      <c r="G97" s="74" t="s">
        <v>741</v>
      </c>
      <c r="H97" s="127" t="s">
        <v>148</v>
      </c>
    </row>
    <row r="98" spans="2:8" s="82" customFormat="1">
      <c r="B98" s="74" t="s">
        <v>153</v>
      </c>
      <c r="C98" s="74" t="s">
        <v>629</v>
      </c>
      <c r="D98" s="126"/>
      <c r="E98" s="74" t="s">
        <v>410</v>
      </c>
      <c r="F98" s="74" t="s">
        <v>410</v>
      </c>
      <c r="G98" s="74" t="s">
        <v>742</v>
      </c>
      <c r="H98" s="127" t="s">
        <v>153</v>
      </c>
    </row>
    <row r="99" spans="2:8" s="82" customFormat="1">
      <c r="B99" s="74" t="s">
        <v>149</v>
      </c>
      <c r="C99" s="74" t="s">
        <v>629</v>
      </c>
      <c r="D99" s="126"/>
      <c r="E99" s="74" t="s">
        <v>517</v>
      </c>
      <c r="F99" s="74" t="s">
        <v>517</v>
      </c>
      <c r="G99" s="74" t="s">
        <v>743</v>
      </c>
      <c r="H99" s="127" t="s">
        <v>149</v>
      </c>
    </row>
    <row r="100" spans="2:8" s="82" customFormat="1">
      <c r="B100" s="74" t="s">
        <v>150</v>
      </c>
      <c r="C100" s="74" t="s">
        <v>629</v>
      </c>
      <c r="D100" s="126"/>
      <c r="E100" s="74" t="s">
        <v>522</v>
      </c>
      <c r="F100" s="74" t="s">
        <v>522</v>
      </c>
      <c r="G100" s="74" t="s">
        <v>744</v>
      </c>
      <c r="H100" s="127" t="s">
        <v>150</v>
      </c>
    </row>
    <row r="101" spans="2:8" s="82" customFormat="1">
      <c r="B101" s="74" t="s">
        <v>151</v>
      </c>
      <c r="C101" s="74" t="s">
        <v>629</v>
      </c>
      <c r="D101" s="126"/>
      <c r="E101" s="74" t="s">
        <v>524</v>
      </c>
      <c r="F101" s="74" t="s">
        <v>524</v>
      </c>
      <c r="G101" s="74" t="s">
        <v>745</v>
      </c>
      <c r="H101" s="127" t="s">
        <v>151</v>
      </c>
    </row>
    <row r="102" spans="2:8" s="82" customFormat="1">
      <c r="B102" s="74" t="s">
        <v>152</v>
      </c>
      <c r="C102" s="74" t="s">
        <v>629</v>
      </c>
      <c r="D102" s="126"/>
      <c r="E102" s="74" t="s">
        <v>523</v>
      </c>
      <c r="F102" s="74" t="s">
        <v>523</v>
      </c>
      <c r="G102" s="74" t="s">
        <v>746</v>
      </c>
      <c r="H102" s="127" t="s">
        <v>152</v>
      </c>
    </row>
    <row r="103" spans="2:8" s="82" customFormat="1">
      <c r="B103" s="74" t="s">
        <v>77</v>
      </c>
      <c r="C103" s="74" t="s">
        <v>650</v>
      </c>
      <c r="D103" s="126"/>
      <c r="E103" s="74" t="s">
        <v>416</v>
      </c>
      <c r="F103" s="74" t="s">
        <v>416</v>
      </c>
      <c r="G103" s="74" t="s">
        <v>139</v>
      </c>
      <c r="H103" s="127" t="s">
        <v>77</v>
      </c>
    </row>
    <row r="104" spans="2:8" s="82" customFormat="1">
      <c r="B104" s="74" t="s">
        <v>78</v>
      </c>
      <c r="C104" s="74" t="s">
        <v>635</v>
      </c>
      <c r="D104" s="126"/>
      <c r="E104" s="74" t="s">
        <v>418</v>
      </c>
      <c r="F104" s="74" t="s">
        <v>418</v>
      </c>
      <c r="G104" s="74" t="s">
        <v>747</v>
      </c>
      <c r="H104" s="127" t="s">
        <v>78</v>
      </c>
    </row>
    <row r="105" spans="2:8" s="82" customFormat="1">
      <c r="B105" s="74" t="s">
        <v>79</v>
      </c>
      <c r="C105" s="74" t="s">
        <v>635</v>
      </c>
      <c r="D105" s="126"/>
      <c r="E105" s="74" t="s">
        <v>421</v>
      </c>
      <c r="F105" s="74" t="s">
        <v>421</v>
      </c>
      <c r="G105" s="74" t="s">
        <v>748</v>
      </c>
      <c r="H105" s="127" t="s">
        <v>79</v>
      </c>
    </row>
    <row r="106" spans="2:8" s="82" customFormat="1">
      <c r="B106" s="74" t="s">
        <v>80</v>
      </c>
      <c r="C106" s="74" t="s">
        <v>655</v>
      </c>
      <c r="D106" s="126"/>
      <c r="E106" s="74" t="s">
        <v>419</v>
      </c>
      <c r="F106" s="74" t="s">
        <v>419</v>
      </c>
      <c r="G106" s="74" t="s">
        <v>749</v>
      </c>
      <c r="H106" s="127" t="s">
        <v>80</v>
      </c>
    </row>
    <row r="107" spans="2:8" s="82" customFormat="1">
      <c r="B107" s="74" t="s">
        <v>81</v>
      </c>
      <c r="C107" s="74" t="s">
        <v>655</v>
      </c>
      <c r="D107" s="126"/>
      <c r="E107" s="74" t="s">
        <v>525</v>
      </c>
      <c r="F107" s="74" t="s">
        <v>525</v>
      </c>
      <c r="G107" s="74" t="s">
        <v>750</v>
      </c>
      <c r="H107" s="127" t="s">
        <v>81</v>
      </c>
    </row>
    <row r="108" spans="2:8" s="82" customFormat="1">
      <c r="B108" s="74" t="s">
        <v>32</v>
      </c>
      <c r="C108" s="74" t="s">
        <v>667</v>
      </c>
      <c r="D108" s="126"/>
      <c r="E108" s="74" t="s">
        <v>751</v>
      </c>
      <c r="F108" s="127" t="s">
        <v>644</v>
      </c>
      <c r="G108" s="127" t="s">
        <v>644</v>
      </c>
      <c r="H108" s="127" t="s">
        <v>32</v>
      </c>
    </row>
    <row r="109" spans="2:8" s="82" customFormat="1">
      <c r="B109" s="74" t="s">
        <v>31</v>
      </c>
      <c r="C109" s="74" t="s">
        <v>667</v>
      </c>
      <c r="D109" s="126"/>
      <c r="E109" s="74" t="s">
        <v>752</v>
      </c>
      <c r="F109" s="127" t="s">
        <v>644</v>
      </c>
      <c r="G109" s="127" t="s">
        <v>644</v>
      </c>
      <c r="H109" s="127" t="s">
        <v>31</v>
      </c>
    </row>
    <row r="110" spans="2:8" s="82" customFormat="1">
      <c r="B110" s="74" t="s">
        <v>35</v>
      </c>
      <c r="C110" s="74" t="s">
        <v>642</v>
      </c>
      <c r="D110" s="126"/>
      <c r="E110" s="74" t="s">
        <v>753</v>
      </c>
      <c r="F110" s="127" t="s">
        <v>644</v>
      </c>
      <c r="G110" s="127" t="s">
        <v>644</v>
      </c>
      <c r="H110" s="127" t="s">
        <v>35</v>
      </c>
    </row>
    <row r="111" spans="2:8" s="82" customFormat="1">
      <c r="B111" s="74" t="s">
        <v>121</v>
      </c>
      <c r="C111" s="74" t="s">
        <v>660</v>
      </c>
      <c r="D111" s="126"/>
      <c r="E111" s="74" t="s">
        <v>527</v>
      </c>
      <c r="F111" s="74" t="s">
        <v>527</v>
      </c>
      <c r="G111" s="74" t="s">
        <v>754</v>
      </c>
      <c r="H111" s="127" t="s">
        <v>121</v>
      </c>
    </row>
    <row r="112" spans="2:8" s="82" customFormat="1">
      <c r="B112" s="74" t="s">
        <v>122</v>
      </c>
      <c r="C112" s="74" t="s">
        <v>660</v>
      </c>
      <c r="D112" s="126"/>
      <c r="E112" s="74" t="s">
        <v>528</v>
      </c>
      <c r="F112" s="74" t="s">
        <v>528</v>
      </c>
      <c r="G112" s="74" t="s">
        <v>755</v>
      </c>
      <c r="H112" s="127" t="s">
        <v>122</v>
      </c>
    </row>
    <row r="113" spans="2:8" s="82" customFormat="1">
      <c r="B113" s="74" t="s">
        <v>49</v>
      </c>
      <c r="C113" s="74" t="s">
        <v>631</v>
      </c>
      <c r="D113" s="126"/>
      <c r="E113" s="74" t="s">
        <v>420</v>
      </c>
      <c r="F113" s="74" t="s">
        <v>420</v>
      </c>
      <c r="G113" s="74" t="s">
        <v>200</v>
      </c>
      <c r="H113" s="127" t="s">
        <v>49</v>
      </c>
    </row>
    <row r="114" spans="2:8" s="82" customFormat="1">
      <c r="B114" s="74" t="s">
        <v>82</v>
      </c>
      <c r="C114" s="74" t="s">
        <v>660</v>
      </c>
      <c r="D114" s="126"/>
      <c r="E114" s="74" t="s">
        <v>422</v>
      </c>
      <c r="F114" s="74" t="s">
        <v>422</v>
      </c>
      <c r="G114" s="74" t="s">
        <v>756</v>
      </c>
      <c r="H114" s="127" t="s">
        <v>82</v>
      </c>
    </row>
    <row r="115" spans="2:8" s="82" customFormat="1">
      <c r="B115" s="74" t="s">
        <v>50</v>
      </c>
      <c r="C115" s="74" t="s">
        <v>631</v>
      </c>
      <c r="D115" s="126"/>
      <c r="E115" s="74" t="s">
        <v>423</v>
      </c>
      <c r="F115" s="74" t="s">
        <v>423</v>
      </c>
      <c r="G115" s="74" t="s">
        <v>194</v>
      </c>
      <c r="H115" s="127" t="s">
        <v>50</v>
      </c>
    </row>
    <row r="116" spans="2:8" s="82" customFormat="1">
      <c r="B116" s="74" t="s">
        <v>123</v>
      </c>
      <c r="C116" s="74" t="s">
        <v>629</v>
      </c>
      <c r="D116" s="126"/>
      <c r="E116" s="74" t="s">
        <v>424</v>
      </c>
      <c r="F116" s="74" t="s">
        <v>424</v>
      </c>
      <c r="G116" s="74" t="s">
        <v>757</v>
      </c>
      <c r="H116" s="127" t="s">
        <v>123</v>
      </c>
    </row>
    <row r="117" spans="2:8" s="82" customFormat="1">
      <c r="B117" s="74" t="s">
        <v>51</v>
      </c>
      <c r="C117" s="74" t="s">
        <v>650</v>
      </c>
      <c r="D117" s="126"/>
      <c r="E117" s="74" t="s">
        <v>425</v>
      </c>
      <c r="F117" s="74" t="s">
        <v>425</v>
      </c>
      <c r="G117" s="74" t="s">
        <v>195</v>
      </c>
      <c r="H117" s="127" t="s">
        <v>51</v>
      </c>
    </row>
    <row r="118" spans="2:8" s="82" customFormat="1">
      <c r="B118" s="74" t="s">
        <v>124</v>
      </c>
      <c r="C118" s="74" t="s">
        <v>629</v>
      </c>
      <c r="D118" s="126"/>
      <c r="E118" s="74" t="s">
        <v>529</v>
      </c>
      <c r="F118" s="74" t="s">
        <v>529</v>
      </c>
      <c r="G118" s="74" t="s">
        <v>758</v>
      </c>
      <c r="H118" s="127" t="s">
        <v>124</v>
      </c>
    </row>
    <row r="119" spans="2:8" s="82" customFormat="1">
      <c r="B119" s="74" t="s">
        <v>125</v>
      </c>
      <c r="C119" s="74" t="s">
        <v>635</v>
      </c>
      <c r="D119" s="126"/>
      <c r="E119" s="74" t="s">
        <v>530</v>
      </c>
      <c r="F119" s="74" t="s">
        <v>530</v>
      </c>
      <c r="G119" s="74" t="s">
        <v>759</v>
      </c>
      <c r="H119" s="127" t="s">
        <v>125</v>
      </c>
    </row>
    <row r="120" spans="2:8" s="82" customFormat="1">
      <c r="B120" s="74" t="s">
        <v>83</v>
      </c>
      <c r="C120" s="74" t="s">
        <v>660</v>
      </c>
      <c r="D120" s="126"/>
      <c r="E120" s="74" t="s">
        <v>426</v>
      </c>
      <c r="F120" s="74" t="s">
        <v>426</v>
      </c>
      <c r="G120" s="74" t="s">
        <v>760</v>
      </c>
      <c r="H120" s="127" t="s">
        <v>83</v>
      </c>
    </row>
    <row r="121" spans="2:8" s="82" customFormat="1">
      <c r="B121" s="74" t="s">
        <v>126</v>
      </c>
      <c r="C121" s="74" t="s">
        <v>629</v>
      </c>
      <c r="D121" s="126"/>
      <c r="E121" s="74" t="s">
        <v>533</v>
      </c>
      <c r="F121" s="74" t="s">
        <v>533</v>
      </c>
      <c r="G121" s="74" t="s">
        <v>761</v>
      </c>
      <c r="H121" s="127" t="s">
        <v>126</v>
      </c>
    </row>
    <row r="122" spans="2:8" s="82" customFormat="1">
      <c r="B122" s="74" t="s">
        <v>154</v>
      </c>
      <c r="C122" s="74" t="s">
        <v>660</v>
      </c>
      <c r="D122" s="126"/>
      <c r="E122" s="74" t="s">
        <v>573</v>
      </c>
      <c r="F122" s="74" t="s">
        <v>573</v>
      </c>
      <c r="G122" s="74" t="s">
        <v>762</v>
      </c>
      <c r="H122" s="127" t="s">
        <v>154</v>
      </c>
    </row>
    <row r="123" spans="2:8" s="82" customFormat="1">
      <c r="B123" s="74" t="s">
        <v>155</v>
      </c>
      <c r="C123" s="74" t="s">
        <v>650</v>
      </c>
      <c r="D123" s="126"/>
      <c r="E123" s="74" t="s">
        <v>427</v>
      </c>
      <c r="F123" s="74" t="s">
        <v>427</v>
      </c>
      <c r="G123" s="74" t="s">
        <v>763</v>
      </c>
      <c r="H123" s="127" t="s">
        <v>155</v>
      </c>
    </row>
    <row r="124" spans="2:8" s="82" customFormat="1">
      <c r="B124" s="74" t="s">
        <v>127</v>
      </c>
      <c r="C124" s="74" t="s">
        <v>629</v>
      </c>
      <c r="D124" s="126"/>
      <c r="E124" s="74" t="s">
        <v>535</v>
      </c>
      <c r="F124" s="74" t="s">
        <v>535</v>
      </c>
      <c r="G124" s="74" t="s">
        <v>764</v>
      </c>
      <c r="H124" s="127" t="s">
        <v>127</v>
      </c>
    </row>
    <row r="125" spans="2:8" s="82" customFormat="1">
      <c r="B125" s="74" t="s">
        <v>204</v>
      </c>
      <c r="C125" s="74" t="s">
        <v>635</v>
      </c>
      <c r="D125" s="126"/>
      <c r="E125" s="74" t="s">
        <v>531</v>
      </c>
      <c r="F125" s="74" t="s">
        <v>531</v>
      </c>
      <c r="G125" s="74" t="s">
        <v>765</v>
      </c>
      <c r="H125" s="127" t="s">
        <v>204</v>
      </c>
    </row>
    <row r="126" spans="2:8" s="82" customFormat="1">
      <c r="B126" s="74" t="s">
        <v>128</v>
      </c>
      <c r="C126" s="74" t="s">
        <v>629</v>
      </c>
      <c r="D126" s="126"/>
      <c r="E126" s="74" t="s">
        <v>536</v>
      </c>
      <c r="F126" s="74" t="s">
        <v>536</v>
      </c>
      <c r="G126" s="74" t="s">
        <v>766</v>
      </c>
      <c r="H126" s="127" t="s">
        <v>128</v>
      </c>
    </row>
    <row r="127" spans="2:8" s="82" customFormat="1">
      <c r="B127" s="74" t="s">
        <v>84</v>
      </c>
      <c r="C127" s="74" t="s">
        <v>635</v>
      </c>
      <c r="D127" s="126"/>
      <c r="E127" s="74" t="s">
        <v>431</v>
      </c>
      <c r="F127" s="74" t="s">
        <v>431</v>
      </c>
      <c r="G127" s="74" t="s">
        <v>767</v>
      </c>
      <c r="H127" s="127" t="s">
        <v>84</v>
      </c>
    </row>
    <row r="128" spans="2:8" s="82" customFormat="1">
      <c r="B128" s="74" t="s">
        <v>85</v>
      </c>
      <c r="C128" s="74" t="s">
        <v>629</v>
      </c>
      <c r="D128" s="126"/>
      <c r="E128" s="74" t="s">
        <v>537</v>
      </c>
      <c r="F128" s="74" t="s">
        <v>537</v>
      </c>
      <c r="G128" s="74" t="s">
        <v>768</v>
      </c>
      <c r="H128" s="127" t="s">
        <v>85</v>
      </c>
    </row>
    <row r="129" spans="2:8" s="82" customFormat="1">
      <c r="B129" s="74" t="s">
        <v>129</v>
      </c>
      <c r="C129" s="74" t="s">
        <v>629</v>
      </c>
      <c r="D129" s="126"/>
      <c r="E129" s="74" t="s">
        <v>542</v>
      </c>
      <c r="F129" s="74" t="s">
        <v>542</v>
      </c>
      <c r="G129" s="74" t="s">
        <v>769</v>
      </c>
      <c r="H129" s="127" t="s">
        <v>129</v>
      </c>
    </row>
    <row r="130" spans="2:8" s="82" customFormat="1">
      <c r="B130" s="74" t="s">
        <v>130</v>
      </c>
      <c r="C130" s="74" t="s">
        <v>629</v>
      </c>
      <c r="D130" s="126"/>
      <c r="E130" s="74" t="s">
        <v>538</v>
      </c>
      <c r="F130" s="74" t="s">
        <v>538</v>
      </c>
      <c r="G130" s="74" t="s">
        <v>770</v>
      </c>
      <c r="H130" s="127" t="s">
        <v>130</v>
      </c>
    </row>
    <row r="131" spans="2:8" s="82" customFormat="1">
      <c r="B131" s="74" t="s">
        <v>131</v>
      </c>
      <c r="C131" s="74" t="s">
        <v>629</v>
      </c>
      <c r="D131" s="126"/>
      <c r="E131" s="74" t="s">
        <v>539</v>
      </c>
      <c r="F131" s="74" t="s">
        <v>539</v>
      </c>
      <c r="G131" s="74" t="s">
        <v>771</v>
      </c>
      <c r="H131" s="127" t="s">
        <v>131</v>
      </c>
    </row>
    <row r="132" spans="2:8" s="82" customFormat="1">
      <c r="B132" s="74" t="s">
        <v>163</v>
      </c>
      <c r="C132" s="74" t="s">
        <v>631</v>
      </c>
      <c r="D132" s="126"/>
      <c r="E132" s="74" t="s">
        <v>428</v>
      </c>
      <c r="F132" s="74" t="s">
        <v>428</v>
      </c>
      <c r="G132" s="74" t="s">
        <v>772</v>
      </c>
      <c r="H132" s="127" t="s">
        <v>163</v>
      </c>
    </row>
    <row r="133" spans="2:8" s="82" customFormat="1">
      <c r="B133" s="74" t="s">
        <v>86</v>
      </c>
      <c r="C133" s="74" t="s">
        <v>635</v>
      </c>
      <c r="D133" s="126"/>
      <c r="E133" s="74" t="s">
        <v>429</v>
      </c>
      <c r="F133" s="74" t="s">
        <v>429</v>
      </c>
      <c r="G133" s="74" t="s">
        <v>773</v>
      </c>
      <c r="H133" s="127" t="s">
        <v>86</v>
      </c>
    </row>
    <row r="134" spans="2:8" s="82" customFormat="1">
      <c r="B134" s="74" t="s">
        <v>52</v>
      </c>
      <c r="C134" s="74" t="s">
        <v>631</v>
      </c>
      <c r="D134" s="126"/>
      <c r="E134" s="74" t="s">
        <v>430</v>
      </c>
      <c r="F134" s="74" t="s">
        <v>430</v>
      </c>
      <c r="G134" s="74" t="s">
        <v>158</v>
      </c>
      <c r="H134" s="127" t="s">
        <v>52</v>
      </c>
    </row>
    <row r="135" spans="2:8" s="82" customFormat="1">
      <c r="B135" s="74" t="s">
        <v>132</v>
      </c>
      <c r="C135" s="74" t="s">
        <v>629</v>
      </c>
      <c r="D135" s="126"/>
      <c r="E135" s="74" t="s">
        <v>543</v>
      </c>
      <c r="F135" s="74" t="s">
        <v>543</v>
      </c>
      <c r="G135" s="74" t="s">
        <v>774</v>
      </c>
      <c r="H135" s="127" t="s">
        <v>132</v>
      </c>
    </row>
    <row r="136" spans="2:8" s="82" customFormat="1">
      <c r="B136" s="74" t="s">
        <v>133</v>
      </c>
      <c r="C136" s="74" t="s">
        <v>635</v>
      </c>
      <c r="D136" s="126"/>
      <c r="E136" s="74" t="s">
        <v>548</v>
      </c>
      <c r="F136" s="74" t="s">
        <v>548</v>
      </c>
      <c r="G136" s="74" t="s">
        <v>775</v>
      </c>
      <c r="H136" s="127" t="s">
        <v>133</v>
      </c>
    </row>
    <row r="137" spans="2:8" s="82" customFormat="1">
      <c r="B137" s="74" t="s">
        <v>205</v>
      </c>
      <c r="C137" s="74" t="s">
        <v>629</v>
      </c>
      <c r="D137" s="126"/>
      <c r="E137" s="74" t="s">
        <v>545</v>
      </c>
      <c r="F137" s="74" t="s">
        <v>545</v>
      </c>
      <c r="G137" s="74" t="s">
        <v>776</v>
      </c>
      <c r="H137" s="127" t="s">
        <v>205</v>
      </c>
    </row>
    <row r="138" spans="2:8" s="82" customFormat="1">
      <c r="B138" s="74" t="s">
        <v>207</v>
      </c>
      <c r="C138" s="74" t="s">
        <v>629</v>
      </c>
      <c r="D138" s="126"/>
      <c r="E138" s="74" t="s">
        <v>557</v>
      </c>
      <c r="F138" s="74" t="s">
        <v>557</v>
      </c>
      <c r="G138" s="74" t="s">
        <v>777</v>
      </c>
      <c r="H138" s="127" t="s">
        <v>207</v>
      </c>
    </row>
    <row r="139" spans="2:8" s="82" customFormat="1">
      <c r="B139" s="74" t="s">
        <v>87</v>
      </c>
      <c r="C139" s="74" t="s">
        <v>650</v>
      </c>
      <c r="D139" s="126"/>
      <c r="E139" s="74" t="s">
        <v>439</v>
      </c>
      <c r="F139" s="74" t="s">
        <v>439</v>
      </c>
      <c r="G139" s="74" t="s">
        <v>778</v>
      </c>
      <c r="H139" s="127" t="s">
        <v>87</v>
      </c>
    </row>
    <row r="140" spans="2:8" s="82" customFormat="1">
      <c r="B140" s="74" t="s">
        <v>208</v>
      </c>
      <c r="C140" s="74" t="s">
        <v>629</v>
      </c>
      <c r="D140" s="126"/>
      <c r="E140" s="74" t="s">
        <v>546</v>
      </c>
      <c r="F140" s="74" t="s">
        <v>546</v>
      </c>
      <c r="G140" s="74" t="s">
        <v>779</v>
      </c>
      <c r="H140" s="127" t="s">
        <v>208</v>
      </c>
    </row>
    <row r="141" spans="2:8" s="82" customFormat="1">
      <c r="B141" s="74" t="s">
        <v>209</v>
      </c>
      <c r="C141" s="74" t="s">
        <v>629</v>
      </c>
      <c r="D141" s="126"/>
      <c r="E141" s="74" t="s">
        <v>435</v>
      </c>
      <c r="F141" s="74" t="s">
        <v>435</v>
      </c>
      <c r="G141" s="74" t="s">
        <v>780</v>
      </c>
      <c r="H141" s="127" t="s">
        <v>209</v>
      </c>
    </row>
    <row r="142" spans="2:8" s="82" customFormat="1">
      <c r="B142" s="74" t="s">
        <v>164</v>
      </c>
      <c r="C142" s="74" t="s">
        <v>635</v>
      </c>
      <c r="D142" s="126"/>
      <c r="E142" s="74" t="s">
        <v>436</v>
      </c>
      <c r="F142" s="74" t="s">
        <v>436</v>
      </c>
      <c r="G142" s="74" t="s">
        <v>781</v>
      </c>
      <c r="H142" s="127" t="s">
        <v>164</v>
      </c>
    </row>
    <row r="143" spans="2:8" s="82" customFormat="1">
      <c r="B143" s="74" t="s">
        <v>210</v>
      </c>
      <c r="C143" s="74" t="s">
        <v>629</v>
      </c>
      <c r="D143" s="126"/>
      <c r="E143" s="74" t="s">
        <v>547</v>
      </c>
      <c r="F143" s="74" t="s">
        <v>547</v>
      </c>
      <c r="G143" s="74" t="s">
        <v>782</v>
      </c>
      <c r="H143" s="127" t="s">
        <v>210</v>
      </c>
    </row>
    <row r="144" spans="2:8" s="82" customFormat="1">
      <c r="B144" s="74" t="s">
        <v>165</v>
      </c>
      <c r="C144" s="74" t="s">
        <v>629</v>
      </c>
      <c r="D144" s="126"/>
      <c r="E144" s="74" t="s">
        <v>437</v>
      </c>
      <c r="F144" s="74" t="s">
        <v>437</v>
      </c>
      <c r="G144" s="74" t="s">
        <v>783</v>
      </c>
      <c r="H144" s="127" t="s">
        <v>165</v>
      </c>
    </row>
    <row r="145" spans="2:8" s="82" customFormat="1">
      <c r="B145" s="74" t="s">
        <v>211</v>
      </c>
      <c r="C145" s="74" t="s">
        <v>629</v>
      </c>
      <c r="D145" s="126"/>
      <c r="E145" s="74" t="s">
        <v>555</v>
      </c>
      <c r="F145" s="74" t="s">
        <v>555</v>
      </c>
      <c r="G145" s="74" t="s">
        <v>784</v>
      </c>
      <c r="H145" s="127" t="s">
        <v>211</v>
      </c>
    </row>
    <row r="146" spans="2:8" s="82" customFormat="1">
      <c r="B146" s="74" t="s">
        <v>212</v>
      </c>
      <c r="C146" s="74" t="s">
        <v>629</v>
      </c>
      <c r="D146" s="126"/>
      <c r="E146" s="74" t="s">
        <v>438</v>
      </c>
      <c r="F146" s="74" t="s">
        <v>438</v>
      </c>
      <c r="G146" s="74" t="s">
        <v>785</v>
      </c>
      <c r="H146" s="127" t="s">
        <v>212</v>
      </c>
    </row>
    <row r="147" spans="2:8" s="82" customFormat="1">
      <c r="B147" s="74" t="s">
        <v>213</v>
      </c>
      <c r="C147" s="74" t="s">
        <v>629</v>
      </c>
      <c r="D147" s="126"/>
      <c r="E147" s="74" t="s">
        <v>440</v>
      </c>
      <c r="F147" s="74" t="s">
        <v>440</v>
      </c>
      <c r="G147" s="74" t="s">
        <v>786</v>
      </c>
      <c r="H147" s="127" t="s">
        <v>213</v>
      </c>
    </row>
    <row r="148" spans="2:8" s="82" customFormat="1">
      <c r="B148" s="74" t="s">
        <v>88</v>
      </c>
      <c r="C148" s="74" t="s">
        <v>645</v>
      </c>
      <c r="D148" s="126"/>
      <c r="E148" s="74" t="s">
        <v>434</v>
      </c>
      <c r="F148" s="74" t="s">
        <v>434</v>
      </c>
      <c r="G148" s="74" t="s">
        <v>787</v>
      </c>
      <c r="H148" s="127" t="s">
        <v>88</v>
      </c>
    </row>
    <row r="149" spans="2:8" s="82" customFormat="1">
      <c r="B149" s="74" t="s">
        <v>214</v>
      </c>
      <c r="C149" s="74" t="s">
        <v>629</v>
      </c>
      <c r="D149" s="126"/>
      <c r="E149" s="74" t="s">
        <v>514</v>
      </c>
      <c r="F149" s="74" t="s">
        <v>514</v>
      </c>
      <c r="G149" s="74" t="s">
        <v>788</v>
      </c>
      <c r="H149" s="127" t="s">
        <v>214</v>
      </c>
    </row>
    <row r="150" spans="2:8" s="82" customFormat="1">
      <c r="B150" s="74" t="s">
        <v>789</v>
      </c>
      <c r="C150" s="74" t="s">
        <v>629</v>
      </c>
      <c r="D150" s="126"/>
      <c r="E150" s="74" t="s">
        <v>790</v>
      </c>
      <c r="F150" s="74" t="s">
        <v>790</v>
      </c>
      <c r="G150" s="74" t="s">
        <v>791</v>
      </c>
      <c r="H150" s="127" t="s">
        <v>789</v>
      </c>
    </row>
    <row r="151" spans="2:8" s="82" customFormat="1">
      <c r="B151" s="74" t="s">
        <v>215</v>
      </c>
      <c r="C151" s="74" t="s">
        <v>635</v>
      </c>
      <c r="D151" s="126"/>
      <c r="E151" s="74" t="s">
        <v>544</v>
      </c>
      <c r="F151" s="74" t="s">
        <v>544</v>
      </c>
      <c r="G151" s="74" t="s">
        <v>792</v>
      </c>
      <c r="H151" s="127" t="s">
        <v>215</v>
      </c>
    </row>
    <row r="152" spans="2:8" s="82" customFormat="1">
      <c r="B152" s="74" t="s">
        <v>166</v>
      </c>
      <c r="C152" s="74" t="s">
        <v>635</v>
      </c>
      <c r="D152" s="126"/>
      <c r="E152" s="74" t="s">
        <v>433</v>
      </c>
      <c r="F152" s="74" t="s">
        <v>433</v>
      </c>
      <c r="G152" s="74" t="s">
        <v>793</v>
      </c>
      <c r="H152" s="127" t="s">
        <v>166</v>
      </c>
    </row>
    <row r="153" spans="2:8" s="82" customFormat="1">
      <c r="B153" s="74" t="s">
        <v>39</v>
      </c>
      <c r="C153" s="74" t="s">
        <v>629</v>
      </c>
      <c r="D153" s="126"/>
      <c r="E153" s="74" t="s">
        <v>551</v>
      </c>
      <c r="F153" s="74" t="s">
        <v>551</v>
      </c>
      <c r="G153" s="74" t="s">
        <v>794</v>
      </c>
      <c r="H153" s="127" t="s">
        <v>39</v>
      </c>
    </row>
    <row r="154" spans="2:8" s="82" customFormat="1">
      <c r="B154" s="74" t="s">
        <v>156</v>
      </c>
      <c r="C154" s="74" t="s">
        <v>635</v>
      </c>
      <c r="D154" s="126"/>
      <c r="E154" s="74" t="s">
        <v>550</v>
      </c>
      <c r="F154" s="74" t="s">
        <v>550</v>
      </c>
      <c r="G154" s="74" t="s">
        <v>795</v>
      </c>
      <c r="H154" s="127" t="s">
        <v>156</v>
      </c>
    </row>
    <row r="155" spans="2:8" s="82" customFormat="1">
      <c r="B155" s="74" t="s">
        <v>40</v>
      </c>
      <c r="C155" s="74" t="s">
        <v>629</v>
      </c>
      <c r="D155" s="126"/>
      <c r="E155" s="74" t="s">
        <v>556</v>
      </c>
      <c r="F155" s="74" t="s">
        <v>556</v>
      </c>
      <c r="G155" s="74" t="s">
        <v>796</v>
      </c>
      <c r="H155" s="127" t="s">
        <v>40</v>
      </c>
    </row>
    <row r="156" spans="2:8" s="82" customFormat="1">
      <c r="B156" s="74" t="s">
        <v>89</v>
      </c>
      <c r="C156" s="74" t="s">
        <v>629</v>
      </c>
      <c r="D156" s="126"/>
      <c r="E156" s="74" t="s">
        <v>432</v>
      </c>
      <c r="F156" s="74" t="s">
        <v>432</v>
      </c>
      <c r="G156" s="74" t="s">
        <v>797</v>
      </c>
      <c r="H156" s="127" t="s">
        <v>89</v>
      </c>
    </row>
    <row r="157" spans="2:8" s="82" customFormat="1">
      <c r="B157" s="74" t="s">
        <v>221</v>
      </c>
      <c r="C157" s="74" t="s">
        <v>629</v>
      </c>
      <c r="D157" s="126"/>
      <c r="E157" s="74" t="s">
        <v>554</v>
      </c>
      <c r="F157" s="74" t="s">
        <v>554</v>
      </c>
      <c r="G157" s="74" t="s">
        <v>798</v>
      </c>
      <c r="H157" s="127" t="s">
        <v>221</v>
      </c>
    </row>
    <row r="158" spans="2:8" s="82" customFormat="1">
      <c r="B158" s="74" t="s">
        <v>157</v>
      </c>
      <c r="C158" s="74" t="s">
        <v>629</v>
      </c>
      <c r="D158" s="126"/>
      <c r="E158" s="74" t="s">
        <v>549</v>
      </c>
      <c r="F158" s="74" t="s">
        <v>549</v>
      </c>
      <c r="G158" s="74" t="s">
        <v>799</v>
      </c>
      <c r="H158" s="127" t="s">
        <v>157</v>
      </c>
    </row>
    <row r="159" spans="2:8" s="82" customFormat="1">
      <c r="B159" s="74" t="s">
        <v>222</v>
      </c>
      <c r="C159" s="74" t="s">
        <v>629</v>
      </c>
      <c r="D159" s="126"/>
      <c r="E159" s="74" t="s">
        <v>196</v>
      </c>
      <c r="F159" s="74" t="s">
        <v>196</v>
      </c>
      <c r="G159" s="74" t="s">
        <v>800</v>
      </c>
      <c r="H159" s="127" t="s">
        <v>222</v>
      </c>
    </row>
    <row r="160" spans="2:8" s="82" customFormat="1">
      <c r="B160" s="74" t="s">
        <v>223</v>
      </c>
      <c r="C160" s="74" t="s">
        <v>629</v>
      </c>
      <c r="D160" s="126"/>
      <c r="E160" s="74" t="s">
        <v>563</v>
      </c>
      <c r="F160" s="74" t="s">
        <v>563</v>
      </c>
      <c r="G160" s="74" t="s">
        <v>801</v>
      </c>
      <c r="H160" s="127" t="s">
        <v>223</v>
      </c>
    </row>
    <row r="161" spans="2:8" s="82" customFormat="1">
      <c r="B161" s="74" t="s">
        <v>224</v>
      </c>
      <c r="C161" s="74" t="s">
        <v>629</v>
      </c>
      <c r="D161" s="126"/>
      <c r="E161" s="74" t="s">
        <v>562</v>
      </c>
      <c r="F161" s="74" t="s">
        <v>562</v>
      </c>
      <c r="G161" s="74" t="s">
        <v>802</v>
      </c>
      <c r="H161" s="127" t="s">
        <v>224</v>
      </c>
    </row>
    <row r="162" spans="2:8" s="82" customFormat="1">
      <c r="B162" s="74" t="s">
        <v>53</v>
      </c>
      <c r="C162" s="74" t="s">
        <v>631</v>
      </c>
      <c r="D162" s="126"/>
      <c r="E162" s="74" t="s">
        <v>443</v>
      </c>
      <c r="F162" s="74" t="s">
        <v>443</v>
      </c>
      <c r="G162" s="74" t="s">
        <v>193</v>
      </c>
      <c r="H162" s="127" t="s">
        <v>53</v>
      </c>
    </row>
    <row r="163" spans="2:8" s="82" customFormat="1">
      <c r="B163" s="74" t="s">
        <v>803</v>
      </c>
      <c r="C163" s="74" t="s">
        <v>629</v>
      </c>
      <c r="D163" s="126"/>
      <c r="E163" s="74" t="s">
        <v>804</v>
      </c>
      <c r="F163" s="74" t="s">
        <v>804</v>
      </c>
      <c r="G163" s="74" t="s">
        <v>686</v>
      </c>
      <c r="H163" s="127" t="s">
        <v>803</v>
      </c>
    </row>
    <row r="164" spans="2:8" s="82" customFormat="1">
      <c r="B164" s="74" t="s">
        <v>225</v>
      </c>
      <c r="C164" s="74" t="s">
        <v>629</v>
      </c>
      <c r="D164" s="126"/>
      <c r="E164" s="74" t="s">
        <v>558</v>
      </c>
      <c r="F164" s="74" t="s">
        <v>558</v>
      </c>
      <c r="G164" s="74" t="s">
        <v>805</v>
      </c>
      <c r="H164" s="127" t="s">
        <v>225</v>
      </c>
    </row>
    <row r="165" spans="2:8" s="82" customFormat="1">
      <c r="B165" s="74" t="s">
        <v>54</v>
      </c>
      <c r="C165" s="74" t="s">
        <v>650</v>
      </c>
      <c r="D165" s="126"/>
      <c r="E165" s="74" t="s">
        <v>445</v>
      </c>
      <c r="F165" s="74" t="s">
        <v>445</v>
      </c>
      <c r="G165" s="74" t="s">
        <v>806</v>
      </c>
      <c r="H165" s="127" t="s">
        <v>54</v>
      </c>
    </row>
    <row r="166" spans="2:8" s="82" customFormat="1">
      <c r="B166" s="74" t="s">
        <v>167</v>
      </c>
      <c r="C166" s="74" t="s">
        <v>629</v>
      </c>
      <c r="D166" s="126"/>
      <c r="E166" s="74" t="s">
        <v>442</v>
      </c>
      <c r="F166" s="74" t="s">
        <v>442</v>
      </c>
      <c r="G166" s="74" t="s">
        <v>807</v>
      </c>
      <c r="H166" s="127" t="s">
        <v>167</v>
      </c>
    </row>
    <row r="167" spans="2:8" s="82" customFormat="1">
      <c r="B167" s="74" t="s">
        <v>226</v>
      </c>
      <c r="C167" s="74" t="s">
        <v>629</v>
      </c>
      <c r="D167" s="126"/>
      <c r="E167" s="74" t="s">
        <v>441</v>
      </c>
      <c r="F167" s="74" t="s">
        <v>441</v>
      </c>
      <c r="G167" s="74" t="s">
        <v>808</v>
      </c>
      <c r="H167" s="127" t="s">
        <v>226</v>
      </c>
    </row>
    <row r="168" spans="2:8" s="82" customFormat="1">
      <c r="B168" s="74" t="s">
        <v>227</v>
      </c>
      <c r="C168" s="74" t="s">
        <v>660</v>
      </c>
      <c r="D168" s="126"/>
      <c r="E168" s="74" t="s">
        <v>559</v>
      </c>
      <c r="F168" s="74" t="s">
        <v>559</v>
      </c>
      <c r="G168" s="74" t="s">
        <v>809</v>
      </c>
      <c r="H168" s="127" t="s">
        <v>227</v>
      </c>
    </row>
    <row r="169" spans="2:8" s="82" customFormat="1">
      <c r="B169" s="74" t="s">
        <v>228</v>
      </c>
      <c r="C169" s="74" t="s">
        <v>629</v>
      </c>
      <c r="D169" s="126"/>
      <c r="E169" s="74" t="s">
        <v>560</v>
      </c>
      <c r="F169" s="74" t="s">
        <v>560</v>
      </c>
      <c r="G169" s="74" t="s">
        <v>810</v>
      </c>
      <c r="H169" s="127" t="s">
        <v>228</v>
      </c>
    </row>
    <row r="170" spans="2:8" s="82" customFormat="1">
      <c r="B170" s="74" t="s">
        <v>229</v>
      </c>
      <c r="C170" s="74" t="s">
        <v>629</v>
      </c>
      <c r="D170" s="126"/>
      <c r="E170" s="74" t="s">
        <v>811</v>
      </c>
      <c r="F170" s="74" t="s">
        <v>811</v>
      </c>
      <c r="G170" s="74" t="s">
        <v>958</v>
      </c>
      <c r="H170" s="127" t="s">
        <v>229</v>
      </c>
    </row>
    <row r="171" spans="2:8" s="82" customFormat="1">
      <c r="B171" s="74" t="s">
        <v>4</v>
      </c>
      <c r="C171" s="74" t="s">
        <v>629</v>
      </c>
      <c r="D171" s="126"/>
      <c r="E171" s="74" t="s">
        <v>552</v>
      </c>
      <c r="F171" s="74" t="s">
        <v>552</v>
      </c>
      <c r="G171" s="74" t="s">
        <v>812</v>
      </c>
      <c r="H171" s="127" t="s">
        <v>4</v>
      </c>
    </row>
    <row r="172" spans="2:8" s="82" customFormat="1">
      <c r="B172" s="74" t="s">
        <v>55</v>
      </c>
      <c r="C172" s="74" t="s">
        <v>631</v>
      </c>
      <c r="D172" s="126"/>
      <c r="E172" s="74" t="s">
        <v>444</v>
      </c>
      <c r="F172" s="74" t="s">
        <v>444</v>
      </c>
      <c r="G172" s="74" t="s">
        <v>289</v>
      </c>
      <c r="H172" s="127" t="s">
        <v>55</v>
      </c>
    </row>
    <row r="173" spans="2:8" s="82" customFormat="1">
      <c r="B173" s="74" t="s">
        <v>230</v>
      </c>
      <c r="C173" s="74" t="s">
        <v>629</v>
      </c>
      <c r="D173" s="126"/>
      <c r="E173" s="74" t="s">
        <v>565</v>
      </c>
      <c r="F173" s="74" t="s">
        <v>565</v>
      </c>
      <c r="G173" s="74" t="s">
        <v>813</v>
      </c>
      <c r="H173" s="127" t="s">
        <v>230</v>
      </c>
    </row>
    <row r="174" spans="2:8" s="82" customFormat="1">
      <c r="B174" s="74" t="s">
        <v>231</v>
      </c>
      <c r="C174" s="74" t="s">
        <v>655</v>
      </c>
      <c r="D174" s="126"/>
      <c r="E174" s="74" t="s">
        <v>566</v>
      </c>
      <c r="F174" s="74" t="s">
        <v>566</v>
      </c>
      <c r="G174" s="74" t="s">
        <v>814</v>
      </c>
      <c r="H174" s="127" t="s">
        <v>231</v>
      </c>
    </row>
    <row r="175" spans="2:8" s="82" customFormat="1">
      <c r="B175" s="74" t="s">
        <v>232</v>
      </c>
      <c r="C175" s="74" t="s">
        <v>629</v>
      </c>
      <c r="D175" s="126"/>
      <c r="E175" s="74" t="s">
        <v>570</v>
      </c>
      <c r="F175" s="74" t="s">
        <v>570</v>
      </c>
      <c r="G175" s="74" t="s">
        <v>815</v>
      </c>
      <c r="H175" s="127" t="s">
        <v>232</v>
      </c>
    </row>
    <row r="176" spans="2:8" s="82" customFormat="1">
      <c r="B176" s="74" t="s">
        <v>233</v>
      </c>
      <c r="C176" s="74" t="s">
        <v>629</v>
      </c>
      <c r="D176" s="126"/>
      <c r="E176" s="74" t="s">
        <v>576</v>
      </c>
      <c r="F176" s="74" t="s">
        <v>549</v>
      </c>
      <c r="G176" s="74" t="s">
        <v>816</v>
      </c>
      <c r="H176" s="127" t="s">
        <v>233</v>
      </c>
    </row>
    <row r="177" spans="2:8" s="82" customFormat="1">
      <c r="B177" s="74" t="s">
        <v>119</v>
      </c>
      <c r="C177" s="74" t="s">
        <v>629</v>
      </c>
      <c r="D177" s="126"/>
      <c r="E177" s="74" t="s">
        <v>567</v>
      </c>
      <c r="F177" s="74" t="s">
        <v>567</v>
      </c>
      <c r="G177" s="74" t="s">
        <v>817</v>
      </c>
      <c r="H177" s="127" t="s">
        <v>119</v>
      </c>
    </row>
    <row r="178" spans="2:8" s="82" customFormat="1">
      <c r="B178" s="74" t="s">
        <v>234</v>
      </c>
      <c r="C178" s="74" t="s">
        <v>629</v>
      </c>
      <c r="D178" s="126"/>
      <c r="E178" s="74" t="s">
        <v>571</v>
      </c>
      <c r="F178" s="74" t="s">
        <v>571</v>
      </c>
      <c r="G178" s="74" t="s">
        <v>818</v>
      </c>
      <c r="H178" s="127" t="s">
        <v>234</v>
      </c>
    </row>
    <row r="179" spans="2:8" s="82" customFormat="1">
      <c r="B179" s="74" t="s">
        <v>235</v>
      </c>
      <c r="C179" s="74" t="s">
        <v>629</v>
      </c>
      <c r="D179" s="126"/>
      <c r="E179" s="74" t="s">
        <v>575</v>
      </c>
      <c r="F179" s="74" t="s">
        <v>575</v>
      </c>
      <c r="G179" s="74" t="s">
        <v>819</v>
      </c>
      <c r="H179" s="127" t="s">
        <v>235</v>
      </c>
    </row>
    <row r="180" spans="2:8" s="82" customFormat="1">
      <c r="B180" s="74" t="s">
        <v>90</v>
      </c>
      <c r="C180" s="74" t="s">
        <v>629</v>
      </c>
      <c r="D180" s="126"/>
      <c r="E180" s="74" t="s">
        <v>568</v>
      </c>
      <c r="F180" s="74" t="s">
        <v>568</v>
      </c>
      <c r="G180" s="74" t="s">
        <v>820</v>
      </c>
      <c r="H180" s="127" t="s">
        <v>90</v>
      </c>
    </row>
    <row r="181" spans="2:8" s="82" customFormat="1">
      <c r="B181" s="74" t="s">
        <v>91</v>
      </c>
      <c r="C181" s="74" t="s">
        <v>655</v>
      </c>
      <c r="D181" s="126"/>
      <c r="E181" s="74" t="s">
        <v>569</v>
      </c>
      <c r="F181" s="74" t="s">
        <v>569</v>
      </c>
      <c r="G181" s="74" t="s">
        <v>821</v>
      </c>
      <c r="H181" s="127" t="s">
        <v>91</v>
      </c>
    </row>
    <row r="182" spans="2:8" s="82" customFormat="1">
      <c r="B182" s="74" t="s">
        <v>92</v>
      </c>
      <c r="C182" s="74" t="s">
        <v>635</v>
      </c>
      <c r="D182" s="126"/>
      <c r="E182" s="74" t="s">
        <v>446</v>
      </c>
      <c r="F182" s="74" t="s">
        <v>446</v>
      </c>
      <c r="G182" s="74" t="s">
        <v>243</v>
      </c>
      <c r="H182" s="127" t="s">
        <v>92</v>
      </c>
    </row>
    <row r="183" spans="2:8" s="82" customFormat="1">
      <c r="B183" s="74" t="s">
        <v>56</v>
      </c>
      <c r="C183" s="74" t="s">
        <v>631</v>
      </c>
      <c r="D183" s="126"/>
      <c r="E183" s="74" t="s">
        <v>447</v>
      </c>
      <c r="F183" s="74" t="s">
        <v>447</v>
      </c>
      <c r="G183" s="74" t="s">
        <v>244</v>
      </c>
      <c r="H183" s="127" t="s">
        <v>56</v>
      </c>
    </row>
    <row r="184" spans="2:8" s="82" customFormat="1">
      <c r="B184" s="74" t="s">
        <v>93</v>
      </c>
      <c r="C184" s="74" t="s">
        <v>629</v>
      </c>
      <c r="D184" s="126"/>
      <c r="E184" s="74" t="s">
        <v>572</v>
      </c>
      <c r="F184" s="74" t="s">
        <v>572</v>
      </c>
      <c r="G184" s="74" t="s">
        <v>822</v>
      </c>
      <c r="H184" s="127" t="s">
        <v>93</v>
      </c>
    </row>
    <row r="185" spans="2:8" s="82" customFormat="1">
      <c r="B185" s="74" t="s">
        <v>134</v>
      </c>
      <c r="C185" s="74" t="s">
        <v>629</v>
      </c>
      <c r="D185" s="126"/>
      <c r="E185" s="74" t="s">
        <v>578</v>
      </c>
      <c r="F185" s="74" t="s">
        <v>578</v>
      </c>
      <c r="G185" s="74" t="s">
        <v>823</v>
      </c>
      <c r="H185" s="127" t="s">
        <v>134</v>
      </c>
    </row>
    <row r="186" spans="2:8" s="82" customFormat="1">
      <c r="B186" s="74" t="s">
        <v>168</v>
      </c>
      <c r="C186" s="74" t="s">
        <v>629</v>
      </c>
      <c r="D186" s="126"/>
      <c r="E186" s="74" t="s">
        <v>449</v>
      </c>
      <c r="F186" s="74" t="s">
        <v>449</v>
      </c>
      <c r="G186" s="74" t="s">
        <v>824</v>
      </c>
      <c r="H186" s="127" t="s">
        <v>168</v>
      </c>
    </row>
    <row r="187" spans="2:8" s="82" customFormat="1">
      <c r="B187" s="74" t="s">
        <v>94</v>
      </c>
      <c r="C187" s="74" t="s">
        <v>635</v>
      </c>
      <c r="D187" s="126"/>
      <c r="E187" s="74" t="s">
        <v>825</v>
      </c>
      <c r="F187" s="74" t="s">
        <v>825</v>
      </c>
      <c r="G187" s="74" t="s">
        <v>826</v>
      </c>
      <c r="H187" s="127" t="s">
        <v>94</v>
      </c>
    </row>
    <row r="188" spans="2:8" s="82" customFormat="1">
      <c r="B188" s="74" t="s">
        <v>57</v>
      </c>
      <c r="C188" s="74" t="s">
        <v>635</v>
      </c>
      <c r="D188" s="126"/>
      <c r="E188" s="74" t="s">
        <v>450</v>
      </c>
      <c r="F188" s="74" t="s">
        <v>450</v>
      </c>
      <c r="G188" s="74" t="s">
        <v>290</v>
      </c>
      <c r="H188" s="127" t="s">
        <v>57</v>
      </c>
    </row>
    <row r="189" spans="2:8" s="82" customFormat="1">
      <c r="B189" s="74" t="s">
        <v>137</v>
      </c>
      <c r="C189" s="74" t="s">
        <v>629</v>
      </c>
      <c r="D189" s="126"/>
      <c r="E189" s="74" t="s">
        <v>579</v>
      </c>
      <c r="F189" s="74" t="s">
        <v>579</v>
      </c>
      <c r="G189" s="74" t="s">
        <v>827</v>
      </c>
      <c r="H189" s="127" t="s">
        <v>137</v>
      </c>
    </row>
    <row r="190" spans="2:8" s="82" customFormat="1">
      <c r="B190" s="74" t="s">
        <v>237</v>
      </c>
      <c r="C190" s="74" t="s">
        <v>629</v>
      </c>
      <c r="D190" s="126"/>
      <c r="E190" s="74" t="s">
        <v>619</v>
      </c>
      <c r="F190" s="74" t="s">
        <v>619</v>
      </c>
      <c r="G190" s="74" t="s">
        <v>828</v>
      </c>
      <c r="H190" s="127" t="s">
        <v>237</v>
      </c>
    </row>
    <row r="191" spans="2:8" s="82" customFormat="1">
      <c r="B191" s="74" t="s">
        <v>169</v>
      </c>
      <c r="C191" s="74" t="s">
        <v>635</v>
      </c>
      <c r="D191" s="126"/>
      <c r="E191" s="74" t="s">
        <v>452</v>
      </c>
      <c r="F191" s="74" t="s">
        <v>452</v>
      </c>
      <c r="G191" s="74" t="s">
        <v>829</v>
      </c>
      <c r="H191" s="127" t="s">
        <v>169</v>
      </c>
    </row>
    <row r="192" spans="2:8" s="82" customFormat="1">
      <c r="B192" s="74" t="s">
        <v>138</v>
      </c>
      <c r="C192" s="74" t="s">
        <v>629</v>
      </c>
      <c r="D192" s="126"/>
      <c r="E192" s="74" t="s">
        <v>590</v>
      </c>
      <c r="F192" s="74" t="s">
        <v>590</v>
      </c>
      <c r="G192" s="74" t="s">
        <v>830</v>
      </c>
      <c r="H192" s="127" t="s">
        <v>138</v>
      </c>
    </row>
    <row r="193" spans="2:8" s="82" customFormat="1">
      <c r="B193" s="74" t="s">
        <v>95</v>
      </c>
      <c r="C193" s="74" t="s">
        <v>660</v>
      </c>
      <c r="D193" s="126"/>
      <c r="E193" s="74" t="s">
        <v>580</v>
      </c>
      <c r="F193" s="74" t="s">
        <v>580</v>
      </c>
      <c r="G193" s="74" t="s">
        <v>831</v>
      </c>
      <c r="H193" s="127" t="s">
        <v>95</v>
      </c>
    </row>
    <row r="194" spans="2:8" s="82" customFormat="1">
      <c r="B194" s="74" t="s">
        <v>96</v>
      </c>
      <c r="C194" s="74" t="s">
        <v>629</v>
      </c>
      <c r="D194" s="126"/>
      <c r="E194" s="74" t="s">
        <v>582</v>
      </c>
      <c r="F194" s="74" t="s">
        <v>582</v>
      </c>
      <c r="G194" s="74" t="s">
        <v>832</v>
      </c>
      <c r="H194" s="127" t="s">
        <v>96</v>
      </c>
    </row>
    <row r="195" spans="2:8" s="82" customFormat="1">
      <c r="B195" s="74" t="s">
        <v>239</v>
      </c>
      <c r="C195" s="74" t="s">
        <v>635</v>
      </c>
      <c r="D195" s="126"/>
      <c r="E195" s="74" t="s">
        <v>588</v>
      </c>
      <c r="F195" s="74" t="s">
        <v>959</v>
      </c>
      <c r="G195" s="74" t="s">
        <v>960</v>
      </c>
      <c r="H195" s="127" t="s">
        <v>239</v>
      </c>
    </row>
    <row r="196" spans="2:8" s="82" customFormat="1">
      <c r="B196" s="74" t="s">
        <v>261</v>
      </c>
      <c r="C196" s="74" t="s">
        <v>629</v>
      </c>
      <c r="D196" s="126"/>
      <c r="E196" s="74" t="s">
        <v>594</v>
      </c>
      <c r="F196" s="74" t="s">
        <v>594</v>
      </c>
      <c r="G196" s="74" t="s">
        <v>833</v>
      </c>
      <c r="H196" s="127" t="s">
        <v>261</v>
      </c>
    </row>
    <row r="197" spans="2:8" s="82" customFormat="1">
      <c r="B197" s="74" t="s">
        <v>262</v>
      </c>
      <c r="C197" s="74" t="s">
        <v>629</v>
      </c>
      <c r="D197" s="126"/>
      <c r="E197" s="74" t="s">
        <v>585</v>
      </c>
      <c r="F197" s="74" t="s">
        <v>585</v>
      </c>
      <c r="G197" s="74" t="s">
        <v>834</v>
      </c>
      <c r="H197" s="127" t="s">
        <v>262</v>
      </c>
    </row>
    <row r="198" spans="2:8" s="82" customFormat="1">
      <c r="B198" s="74" t="s">
        <v>58</v>
      </c>
      <c r="C198" s="74" t="s">
        <v>650</v>
      </c>
      <c r="D198" s="126"/>
      <c r="E198" s="74" t="s">
        <v>451</v>
      </c>
      <c r="F198" s="74" t="s">
        <v>451</v>
      </c>
      <c r="G198" s="74" t="s">
        <v>292</v>
      </c>
      <c r="H198" s="127" t="s">
        <v>58</v>
      </c>
    </row>
    <row r="199" spans="2:8" s="82" customFormat="1">
      <c r="B199" s="74" t="s">
        <v>961</v>
      </c>
      <c r="C199" s="74" t="s">
        <v>629</v>
      </c>
      <c r="D199" s="126"/>
      <c r="E199" s="74" t="s">
        <v>593</v>
      </c>
      <c r="F199" s="74" t="s">
        <v>593</v>
      </c>
      <c r="G199" s="74"/>
      <c r="H199" s="127" t="s">
        <v>961</v>
      </c>
    </row>
    <row r="200" spans="2:8" s="82" customFormat="1">
      <c r="B200" s="74" t="s">
        <v>97</v>
      </c>
      <c r="C200" s="74" t="s">
        <v>635</v>
      </c>
      <c r="D200" s="126"/>
      <c r="E200" s="74" t="s">
        <v>454</v>
      </c>
      <c r="F200" s="74" t="s">
        <v>454</v>
      </c>
      <c r="G200" s="74" t="s">
        <v>835</v>
      </c>
      <c r="H200" s="127" t="s">
        <v>97</v>
      </c>
    </row>
    <row r="201" spans="2:8" s="82" customFormat="1">
      <c r="B201" s="74" t="s">
        <v>170</v>
      </c>
      <c r="C201" s="74" t="s">
        <v>635</v>
      </c>
      <c r="D201" s="126"/>
      <c r="E201" s="74" t="s">
        <v>455</v>
      </c>
      <c r="F201" s="74" t="s">
        <v>455</v>
      </c>
      <c r="G201" s="74" t="s">
        <v>836</v>
      </c>
      <c r="H201" s="127" t="s">
        <v>170</v>
      </c>
    </row>
    <row r="202" spans="2:8" s="82" customFormat="1">
      <c r="B202" s="74" t="s">
        <v>263</v>
      </c>
      <c r="C202" s="74" t="s">
        <v>629</v>
      </c>
      <c r="D202" s="126"/>
      <c r="E202" s="74" t="s">
        <v>584</v>
      </c>
      <c r="F202" s="74" t="s">
        <v>584</v>
      </c>
      <c r="G202" s="74" t="s">
        <v>837</v>
      </c>
      <c r="H202" s="127" t="s">
        <v>263</v>
      </c>
    </row>
    <row r="203" spans="2:8" s="82" customFormat="1">
      <c r="B203" s="74" t="s">
        <v>264</v>
      </c>
      <c r="C203" s="74" t="s">
        <v>629</v>
      </c>
      <c r="D203" s="126"/>
      <c r="E203" s="74" t="s">
        <v>587</v>
      </c>
      <c r="F203" s="74" t="s">
        <v>587</v>
      </c>
      <c r="G203" s="74" t="s">
        <v>838</v>
      </c>
      <c r="H203" s="127" t="s">
        <v>264</v>
      </c>
    </row>
    <row r="204" spans="2:8" s="82" customFormat="1">
      <c r="B204" s="74" t="s">
        <v>98</v>
      </c>
      <c r="C204" s="74" t="s">
        <v>660</v>
      </c>
      <c r="D204" s="126"/>
      <c r="E204" s="74" t="s">
        <v>462</v>
      </c>
      <c r="F204" s="74" t="s">
        <v>462</v>
      </c>
      <c r="G204" s="74" t="s">
        <v>41</v>
      </c>
      <c r="H204" s="127" t="s">
        <v>98</v>
      </c>
    </row>
    <row r="205" spans="2:8" s="82" customFormat="1">
      <c r="B205" s="74" t="s">
        <v>298</v>
      </c>
      <c r="C205" s="74" t="s">
        <v>629</v>
      </c>
      <c r="D205" s="126"/>
      <c r="E205" s="74" t="s">
        <v>589</v>
      </c>
      <c r="F205" s="74" t="s">
        <v>589</v>
      </c>
      <c r="G205" s="74"/>
      <c r="H205" s="127" t="s">
        <v>298</v>
      </c>
    </row>
    <row r="206" spans="2:8" s="82" customFormat="1">
      <c r="B206" s="74" t="s">
        <v>962</v>
      </c>
      <c r="C206" s="74" t="s">
        <v>631</v>
      </c>
      <c r="D206" s="126"/>
      <c r="E206" s="74" t="s">
        <v>402</v>
      </c>
      <c r="F206" s="74" t="s">
        <v>402</v>
      </c>
      <c r="G206" s="74" t="s">
        <v>42</v>
      </c>
      <c r="H206" s="127" t="s">
        <v>962</v>
      </c>
    </row>
    <row r="207" spans="2:8" s="82" customFormat="1">
      <c r="B207" s="74" t="s">
        <v>265</v>
      </c>
      <c r="C207" s="74" t="s">
        <v>655</v>
      </c>
      <c r="D207" s="126"/>
      <c r="E207" s="74" t="s">
        <v>541</v>
      </c>
      <c r="F207" s="74" t="s">
        <v>541</v>
      </c>
      <c r="G207" s="74" t="s">
        <v>839</v>
      </c>
      <c r="H207" s="127" t="s">
        <v>265</v>
      </c>
    </row>
    <row r="208" spans="2:8" s="82" customFormat="1">
      <c r="B208" s="74" t="s">
        <v>266</v>
      </c>
      <c r="C208" s="74" t="s">
        <v>629</v>
      </c>
      <c r="D208" s="126"/>
      <c r="E208" s="74" t="s">
        <v>583</v>
      </c>
      <c r="F208" s="74" t="s">
        <v>583</v>
      </c>
      <c r="G208" s="74" t="s">
        <v>840</v>
      </c>
      <c r="H208" s="127" t="s">
        <v>266</v>
      </c>
    </row>
    <row r="209" spans="2:8" s="82" customFormat="1">
      <c r="B209" s="74" t="s">
        <v>267</v>
      </c>
      <c r="C209" s="74" t="s">
        <v>629</v>
      </c>
      <c r="D209" s="126"/>
      <c r="E209" s="74" t="s">
        <v>534</v>
      </c>
      <c r="F209" s="74" t="s">
        <v>534</v>
      </c>
      <c r="G209" s="74" t="s">
        <v>841</v>
      </c>
      <c r="H209" s="127" t="s">
        <v>267</v>
      </c>
    </row>
    <row r="210" spans="2:8" s="82" customFormat="1">
      <c r="B210" s="74" t="s">
        <v>268</v>
      </c>
      <c r="C210" s="74" t="s">
        <v>629</v>
      </c>
      <c r="D210" s="126"/>
      <c r="E210" s="74" t="s">
        <v>540</v>
      </c>
      <c r="F210" s="74" t="s">
        <v>540</v>
      </c>
      <c r="G210" s="74" t="s">
        <v>842</v>
      </c>
      <c r="H210" s="127" t="s">
        <v>268</v>
      </c>
    </row>
    <row r="211" spans="2:8" s="82" customFormat="1">
      <c r="B211" s="74" t="s">
        <v>269</v>
      </c>
      <c r="C211" s="74" t="s">
        <v>629</v>
      </c>
      <c r="D211" s="126"/>
      <c r="E211" s="74" t="s">
        <v>453</v>
      </c>
      <c r="F211" s="74" t="s">
        <v>453</v>
      </c>
      <c r="G211" s="74" t="s">
        <v>843</v>
      </c>
      <c r="H211" s="127" t="s">
        <v>269</v>
      </c>
    </row>
    <row r="212" spans="2:8" s="82" customFormat="1">
      <c r="B212" s="74" t="s">
        <v>844</v>
      </c>
      <c r="C212" s="74" t="s">
        <v>629</v>
      </c>
      <c r="D212" s="126"/>
      <c r="E212" s="74" t="s">
        <v>612</v>
      </c>
      <c r="F212" s="74" t="s">
        <v>612</v>
      </c>
      <c r="G212" s="74" t="s">
        <v>845</v>
      </c>
      <c r="H212" s="127" t="s">
        <v>844</v>
      </c>
    </row>
    <row r="213" spans="2:8" s="82" customFormat="1">
      <c r="B213" s="74" t="s">
        <v>270</v>
      </c>
      <c r="C213" s="74" t="s">
        <v>629</v>
      </c>
      <c r="D213" s="126"/>
      <c r="E213" s="74" t="s">
        <v>581</v>
      </c>
      <c r="F213" s="74" t="s">
        <v>581</v>
      </c>
      <c r="G213" s="74" t="s">
        <v>846</v>
      </c>
      <c r="H213" s="127" t="s">
        <v>270</v>
      </c>
    </row>
    <row r="214" spans="2:8" s="82" customFormat="1">
      <c r="B214" s="74" t="s">
        <v>271</v>
      </c>
      <c r="C214" s="74" t="s">
        <v>629</v>
      </c>
      <c r="D214" s="126"/>
      <c r="E214" s="74" t="s">
        <v>591</v>
      </c>
      <c r="F214" s="74" t="s">
        <v>591</v>
      </c>
      <c r="G214" s="74" t="s">
        <v>847</v>
      </c>
      <c r="H214" s="127" t="s">
        <v>271</v>
      </c>
    </row>
    <row r="215" spans="2:8" s="82" customFormat="1">
      <c r="B215" s="74" t="s">
        <v>272</v>
      </c>
      <c r="C215" s="74" t="s">
        <v>629</v>
      </c>
      <c r="D215" s="126"/>
      <c r="E215" s="74" t="s">
        <v>592</v>
      </c>
      <c r="F215" s="74" t="s">
        <v>592</v>
      </c>
      <c r="G215" s="74" t="s">
        <v>848</v>
      </c>
      <c r="H215" s="127" t="s">
        <v>272</v>
      </c>
    </row>
    <row r="216" spans="2:8" s="82" customFormat="1">
      <c r="B216" s="74" t="s">
        <v>60</v>
      </c>
      <c r="C216" s="74" t="s">
        <v>631</v>
      </c>
      <c r="D216" s="126"/>
      <c r="E216" s="74" t="s">
        <v>456</v>
      </c>
      <c r="F216" s="74" t="s">
        <v>456</v>
      </c>
      <c r="G216" s="74" t="s">
        <v>247</v>
      </c>
      <c r="H216" s="127" t="s">
        <v>60</v>
      </c>
    </row>
    <row r="217" spans="2:8" s="82" customFormat="1">
      <c r="B217" s="74" t="s">
        <v>61</v>
      </c>
      <c r="C217" s="74" t="s">
        <v>631</v>
      </c>
      <c r="D217" s="126"/>
      <c r="E217" s="74" t="s">
        <v>393</v>
      </c>
      <c r="F217" s="74" t="s">
        <v>393</v>
      </c>
      <c r="G217" s="74" t="s">
        <v>248</v>
      </c>
      <c r="H217" s="127" t="s">
        <v>61</v>
      </c>
    </row>
    <row r="218" spans="2:8" s="82" customFormat="1">
      <c r="B218" s="74" t="s">
        <v>273</v>
      </c>
      <c r="C218" s="74" t="s">
        <v>629</v>
      </c>
      <c r="D218" s="126"/>
      <c r="E218" s="74" t="s">
        <v>595</v>
      </c>
      <c r="F218" s="74" t="s">
        <v>595</v>
      </c>
      <c r="G218" s="74" t="s">
        <v>849</v>
      </c>
      <c r="H218" s="127" t="s">
        <v>273</v>
      </c>
    </row>
    <row r="219" spans="2:8" s="82" customFormat="1">
      <c r="B219" s="74" t="s">
        <v>62</v>
      </c>
      <c r="C219" s="74" t="s">
        <v>655</v>
      </c>
      <c r="D219" s="126"/>
      <c r="E219" s="74" t="s">
        <v>458</v>
      </c>
      <c r="F219" s="74" t="s">
        <v>458</v>
      </c>
      <c r="G219" s="74" t="s">
        <v>236</v>
      </c>
      <c r="H219" s="127" t="s">
        <v>62</v>
      </c>
    </row>
    <row r="220" spans="2:8" s="82" customFormat="1">
      <c r="B220" s="74" t="s">
        <v>274</v>
      </c>
      <c r="C220" s="74" t="s">
        <v>660</v>
      </c>
      <c r="D220" s="126"/>
      <c r="E220" s="74" t="s">
        <v>600</v>
      </c>
      <c r="F220" s="74" t="s">
        <v>600</v>
      </c>
      <c r="G220" s="74" t="s">
        <v>850</v>
      </c>
      <c r="H220" s="127" t="s">
        <v>274</v>
      </c>
    </row>
    <row r="221" spans="2:8" s="82" customFormat="1">
      <c r="B221" s="74" t="s">
        <v>275</v>
      </c>
      <c r="C221" s="74" t="s">
        <v>629</v>
      </c>
      <c r="D221" s="126"/>
      <c r="E221" s="74" t="s">
        <v>459</v>
      </c>
      <c r="F221" s="74" t="s">
        <v>459</v>
      </c>
      <c r="G221" s="74" t="s">
        <v>851</v>
      </c>
      <c r="H221" s="127" t="s">
        <v>275</v>
      </c>
    </row>
    <row r="222" spans="2:8" s="82" customFormat="1">
      <c r="B222" s="74" t="s">
        <v>99</v>
      </c>
      <c r="C222" s="74" t="s">
        <v>655</v>
      </c>
      <c r="D222" s="126"/>
      <c r="E222" s="74" t="s">
        <v>599</v>
      </c>
      <c r="F222" s="74" t="s">
        <v>599</v>
      </c>
      <c r="G222" s="74" t="s">
        <v>852</v>
      </c>
      <c r="H222" s="127" t="s">
        <v>99</v>
      </c>
    </row>
    <row r="223" spans="2:8" s="82" customFormat="1">
      <c r="B223" s="74" t="s">
        <v>276</v>
      </c>
      <c r="C223" s="74" t="s">
        <v>629</v>
      </c>
      <c r="D223" s="126"/>
      <c r="E223" s="74" t="s">
        <v>598</v>
      </c>
      <c r="F223" s="74" t="s">
        <v>598</v>
      </c>
      <c r="G223" s="74" t="s">
        <v>853</v>
      </c>
      <c r="H223" s="127" t="s">
        <v>276</v>
      </c>
    </row>
    <row r="224" spans="2:8" s="82" customFormat="1">
      <c r="B224" s="74" t="s">
        <v>277</v>
      </c>
      <c r="C224" s="74" t="s">
        <v>629</v>
      </c>
      <c r="D224" s="126"/>
      <c r="E224" s="74" t="s">
        <v>601</v>
      </c>
      <c r="F224" s="74" t="s">
        <v>601</v>
      </c>
      <c r="G224" s="74" t="s">
        <v>854</v>
      </c>
      <c r="H224" s="127" t="s">
        <v>277</v>
      </c>
    </row>
    <row r="225" spans="2:8" s="82" customFormat="1">
      <c r="B225" s="74" t="s">
        <v>278</v>
      </c>
      <c r="C225" s="74" t="s">
        <v>629</v>
      </c>
      <c r="D225" s="126"/>
      <c r="E225" s="74" t="s">
        <v>604</v>
      </c>
      <c r="F225" s="74" t="s">
        <v>604</v>
      </c>
      <c r="G225" s="74" t="s">
        <v>855</v>
      </c>
      <c r="H225" s="127" t="s">
        <v>278</v>
      </c>
    </row>
    <row r="226" spans="2:8" s="82" customFormat="1">
      <c r="B226" s="74" t="s">
        <v>279</v>
      </c>
      <c r="C226" s="74" t="s">
        <v>629</v>
      </c>
      <c r="D226" s="126"/>
      <c r="E226" s="74" t="s">
        <v>605</v>
      </c>
      <c r="F226" s="74" t="s">
        <v>605</v>
      </c>
      <c r="G226" s="74" t="s">
        <v>856</v>
      </c>
      <c r="H226" s="127" t="s">
        <v>279</v>
      </c>
    </row>
    <row r="227" spans="2:8" s="82" customFormat="1">
      <c r="B227" s="74" t="s">
        <v>100</v>
      </c>
      <c r="C227" s="74" t="s">
        <v>629</v>
      </c>
      <c r="D227" s="126"/>
      <c r="E227" s="74" t="s">
        <v>606</v>
      </c>
      <c r="F227" s="74" t="s">
        <v>606</v>
      </c>
      <c r="G227" s="74" t="s">
        <v>857</v>
      </c>
      <c r="H227" s="127" t="s">
        <v>100</v>
      </c>
    </row>
    <row r="228" spans="2:8" s="82" customFormat="1">
      <c r="B228" s="74" t="s">
        <v>101</v>
      </c>
      <c r="C228" s="74" t="s">
        <v>635</v>
      </c>
      <c r="D228" s="126"/>
      <c r="E228" s="74" t="s">
        <v>457</v>
      </c>
      <c r="F228" s="74" t="s">
        <v>457</v>
      </c>
      <c r="G228" s="74" t="s">
        <v>858</v>
      </c>
      <c r="H228" s="127" t="s">
        <v>101</v>
      </c>
    </row>
    <row r="229" spans="2:8" s="82" customFormat="1">
      <c r="B229" s="74" t="s">
        <v>280</v>
      </c>
      <c r="C229" s="74" t="s">
        <v>635</v>
      </c>
      <c r="D229" s="126"/>
      <c r="E229" s="74" t="s">
        <v>602</v>
      </c>
      <c r="F229" s="74" t="s">
        <v>602</v>
      </c>
      <c r="G229" s="74" t="s">
        <v>859</v>
      </c>
      <c r="H229" s="127" t="s">
        <v>280</v>
      </c>
    </row>
    <row r="230" spans="2:8" s="82" customFormat="1">
      <c r="B230" s="74" t="s">
        <v>245</v>
      </c>
      <c r="C230" s="74" t="s">
        <v>629</v>
      </c>
      <c r="D230" s="126"/>
      <c r="E230" s="74" t="s">
        <v>596</v>
      </c>
      <c r="F230" s="74" t="s">
        <v>596</v>
      </c>
      <c r="G230" s="74" t="s">
        <v>860</v>
      </c>
      <c r="H230" s="127" t="s">
        <v>245</v>
      </c>
    </row>
    <row r="231" spans="2:8" s="82" customFormat="1">
      <c r="B231" s="74" t="s">
        <v>281</v>
      </c>
      <c r="C231" s="74" t="s">
        <v>629</v>
      </c>
      <c r="D231" s="126"/>
      <c r="E231" s="74" t="s">
        <v>607</v>
      </c>
      <c r="F231" s="74" t="s">
        <v>607</v>
      </c>
      <c r="G231" s="74" t="s">
        <v>861</v>
      </c>
      <c r="H231" s="127" t="s">
        <v>281</v>
      </c>
    </row>
    <row r="232" spans="2:8" s="82" customFormat="1">
      <c r="B232" s="74" t="s">
        <v>282</v>
      </c>
      <c r="C232" s="74" t="s">
        <v>629</v>
      </c>
      <c r="D232" s="126"/>
      <c r="E232" s="74" t="s">
        <v>608</v>
      </c>
      <c r="F232" s="74" t="s">
        <v>608</v>
      </c>
      <c r="G232" s="74" t="s">
        <v>862</v>
      </c>
      <c r="H232" s="127" t="s">
        <v>282</v>
      </c>
    </row>
    <row r="233" spans="2:8" s="82" customFormat="1">
      <c r="B233" s="74" t="s">
        <v>283</v>
      </c>
      <c r="C233" s="74" t="s">
        <v>635</v>
      </c>
      <c r="D233" s="126"/>
      <c r="E233" s="74" t="s">
        <v>609</v>
      </c>
      <c r="F233" s="74" t="s">
        <v>609</v>
      </c>
      <c r="G233" s="74" t="s">
        <v>863</v>
      </c>
      <c r="H233" s="127" t="s">
        <v>283</v>
      </c>
    </row>
    <row r="234" spans="2:8" s="82" customFormat="1">
      <c r="B234" s="74" t="s">
        <v>102</v>
      </c>
      <c r="C234" s="74" t="s">
        <v>660</v>
      </c>
      <c r="D234" s="126"/>
      <c r="E234" s="74" t="s">
        <v>469</v>
      </c>
      <c r="F234" s="74" t="s">
        <v>469</v>
      </c>
      <c r="G234" s="74" t="s">
        <v>864</v>
      </c>
      <c r="H234" s="127" t="s">
        <v>102</v>
      </c>
    </row>
    <row r="235" spans="2:8" s="82" customFormat="1">
      <c r="B235" s="74" t="s">
        <v>63</v>
      </c>
      <c r="C235" s="74" t="s">
        <v>631</v>
      </c>
      <c r="D235" s="126"/>
      <c r="E235" s="74" t="s">
        <v>406</v>
      </c>
      <c r="F235" s="74" t="s">
        <v>406</v>
      </c>
      <c r="G235" s="74" t="s">
        <v>140</v>
      </c>
      <c r="H235" s="127" t="s">
        <v>63</v>
      </c>
    </row>
    <row r="236" spans="2:8" s="82" customFormat="1">
      <c r="B236" s="74" t="s">
        <v>865</v>
      </c>
      <c r="C236" s="74" t="s">
        <v>635</v>
      </c>
      <c r="D236" s="126"/>
      <c r="E236" s="74" t="s">
        <v>963</v>
      </c>
      <c r="F236" s="74" t="s">
        <v>963</v>
      </c>
      <c r="G236" s="74"/>
      <c r="H236" s="127" t="s">
        <v>865</v>
      </c>
    </row>
    <row r="237" spans="2:8" s="82" customFormat="1">
      <c r="B237" s="74" t="s">
        <v>284</v>
      </c>
      <c r="C237" s="74" t="s">
        <v>629</v>
      </c>
      <c r="D237" s="126"/>
      <c r="E237" s="74" t="s">
        <v>610</v>
      </c>
      <c r="F237" s="74" t="s">
        <v>610</v>
      </c>
      <c r="G237" s="74" t="s">
        <v>866</v>
      </c>
      <c r="H237" s="127" t="s">
        <v>284</v>
      </c>
    </row>
    <row r="238" spans="2:8" s="82" customFormat="1">
      <c r="B238" s="74" t="s">
        <v>64</v>
      </c>
      <c r="C238" s="74" t="s">
        <v>196</v>
      </c>
      <c r="D238" s="126"/>
      <c r="E238" s="74" t="s">
        <v>64</v>
      </c>
      <c r="F238" s="74" t="s">
        <v>64</v>
      </c>
      <c r="G238" s="74" t="s">
        <v>293</v>
      </c>
      <c r="H238" s="127" t="s">
        <v>64</v>
      </c>
    </row>
    <row r="239" spans="2:8" s="82" customFormat="1">
      <c r="B239" s="74" t="s">
        <v>285</v>
      </c>
      <c r="C239" s="74" t="s">
        <v>635</v>
      </c>
      <c r="D239" s="126"/>
      <c r="E239" s="74" t="s">
        <v>611</v>
      </c>
      <c r="F239" s="74" t="s">
        <v>611</v>
      </c>
      <c r="G239" s="74" t="s">
        <v>867</v>
      </c>
      <c r="H239" s="127" t="s">
        <v>285</v>
      </c>
    </row>
    <row r="240" spans="2:8" s="82" customFormat="1">
      <c r="B240" s="74" t="s">
        <v>286</v>
      </c>
      <c r="C240" s="74" t="s">
        <v>629</v>
      </c>
      <c r="D240" s="126"/>
      <c r="E240" s="74" t="s">
        <v>617</v>
      </c>
      <c r="F240" s="74" t="s">
        <v>617</v>
      </c>
      <c r="G240" s="74" t="s">
        <v>868</v>
      </c>
      <c r="H240" s="127" t="s">
        <v>286</v>
      </c>
    </row>
    <row r="241" spans="2:12" s="82" customFormat="1">
      <c r="B241" s="74" t="s">
        <v>287</v>
      </c>
      <c r="C241" s="74" t="s">
        <v>631</v>
      </c>
      <c r="D241" s="126"/>
      <c r="E241" s="74" t="s">
        <v>460</v>
      </c>
      <c r="F241" s="74" t="s">
        <v>460</v>
      </c>
      <c r="G241" s="74" t="s">
        <v>869</v>
      </c>
      <c r="H241" s="127" t="s">
        <v>287</v>
      </c>
    </row>
    <row r="242" spans="2:12" s="82" customFormat="1">
      <c r="B242" s="74" t="s">
        <v>103</v>
      </c>
      <c r="C242" s="74" t="s">
        <v>629</v>
      </c>
      <c r="D242" s="126"/>
      <c r="E242" s="74" t="s">
        <v>613</v>
      </c>
      <c r="F242" s="74" t="s">
        <v>613</v>
      </c>
      <c r="G242" s="74" t="s">
        <v>870</v>
      </c>
      <c r="H242" s="127" t="s">
        <v>103</v>
      </c>
    </row>
    <row r="243" spans="2:12" s="82" customFormat="1">
      <c r="B243" s="74" t="s">
        <v>288</v>
      </c>
      <c r="C243" s="74" t="s">
        <v>655</v>
      </c>
      <c r="D243" s="126"/>
      <c r="E243" s="74" t="s">
        <v>616</v>
      </c>
      <c r="F243" s="74" t="s">
        <v>616</v>
      </c>
      <c r="G243" s="74" t="s">
        <v>871</v>
      </c>
      <c r="H243" s="127" t="s">
        <v>288</v>
      </c>
    </row>
    <row r="244" spans="2:12" s="82" customFormat="1">
      <c r="B244" s="74" t="s">
        <v>964</v>
      </c>
      <c r="C244" s="74" t="s">
        <v>629</v>
      </c>
      <c r="D244" s="126"/>
      <c r="E244" s="74" t="s">
        <v>964</v>
      </c>
      <c r="F244" s="74" t="s">
        <v>644</v>
      </c>
      <c r="G244" s="74" t="s">
        <v>644</v>
      </c>
      <c r="H244" s="127" t="s">
        <v>964</v>
      </c>
    </row>
    <row r="245" spans="2:12" s="82" customFormat="1">
      <c r="B245" s="74" t="s">
        <v>615</v>
      </c>
      <c r="C245" s="74" t="s">
        <v>629</v>
      </c>
      <c r="D245" s="126"/>
      <c r="E245" s="74" t="s">
        <v>614</v>
      </c>
      <c r="F245" s="74" t="s">
        <v>614</v>
      </c>
      <c r="G245" s="74" t="s">
        <v>872</v>
      </c>
      <c r="H245" s="127" t="s">
        <v>615</v>
      </c>
    </row>
    <row r="246" spans="2:12" s="82" customFormat="1">
      <c r="B246" s="74" t="s">
        <v>873</v>
      </c>
      <c r="C246" s="74" t="s">
        <v>629</v>
      </c>
      <c r="D246" s="126"/>
      <c r="E246" s="74" t="s">
        <v>461</v>
      </c>
      <c r="F246" s="74" t="s">
        <v>461</v>
      </c>
      <c r="G246" s="74" t="s">
        <v>874</v>
      </c>
      <c r="H246" s="127" t="s">
        <v>873</v>
      </c>
    </row>
    <row r="247" spans="2:12" s="82" customFormat="1">
      <c r="B247" s="74" t="s">
        <v>201</v>
      </c>
      <c r="C247" s="74" t="s">
        <v>629</v>
      </c>
      <c r="D247" s="126"/>
      <c r="E247" s="74" t="s">
        <v>618</v>
      </c>
      <c r="F247" s="74" t="s">
        <v>618</v>
      </c>
      <c r="G247" s="74" t="s">
        <v>875</v>
      </c>
      <c r="H247" s="127" t="s">
        <v>201</v>
      </c>
    </row>
    <row r="248" spans="2:12" s="82" customFormat="1">
      <c r="B248" s="74" t="s">
        <v>202</v>
      </c>
      <c r="C248" s="74" t="s">
        <v>629</v>
      </c>
      <c r="D248" s="126"/>
      <c r="E248" s="74" t="s">
        <v>620</v>
      </c>
      <c r="F248" s="74" t="s">
        <v>620</v>
      </c>
      <c r="G248" s="74" t="s">
        <v>876</v>
      </c>
      <c r="H248" s="127" t="s">
        <v>202</v>
      </c>
    </row>
    <row r="249" spans="2:12" s="85" customFormat="1">
      <c r="B249" s="74" t="s">
        <v>203</v>
      </c>
      <c r="C249" s="74" t="s">
        <v>629</v>
      </c>
      <c r="D249" s="126"/>
      <c r="E249" s="74" t="s">
        <v>621</v>
      </c>
      <c r="F249" s="74" t="s">
        <v>621</v>
      </c>
      <c r="G249" s="74" t="s">
        <v>877</v>
      </c>
      <c r="H249" s="127" t="s">
        <v>203</v>
      </c>
      <c r="J249" s="82"/>
      <c r="K249" s="90"/>
      <c r="L249" s="90"/>
    </row>
    <row r="250" spans="2:12" s="85" customFormat="1">
      <c r="B250" s="74" t="s">
        <v>104</v>
      </c>
      <c r="C250" s="74" t="s">
        <v>629</v>
      </c>
      <c r="D250" s="126"/>
      <c r="E250" s="74" t="s">
        <v>622</v>
      </c>
      <c r="F250" s="74" t="s">
        <v>622</v>
      </c>
      <c r="G250" s="74" t="s">
        <v>878</v>
      </c>
      <c r="H250" s="127" t="s">
        <v>104</v>
      </c>
      <c r="J250" s="82"/>
      <c r="K250" s="90"/>
      <c r="L250" s="90"/>
    </row>
    <row r="251" spans="2:12" s="85" customFormat="1">
      <c r="B251" s="128"/>
      <c r="C251" s="128"/>
      <c r="D251" s="128"/>
      <c r="E251" s="128"/>
      <c r="F251" s="128"/>
      <c r="G251" s="128"/>
      <c r="H251" s="128"/>
      <c r="K251" s="90"/>
      <c r="L251" s="90"/>
    </row>
    <row r="252" spans="2:12" s="85" customFormat="1">
      <c r="B252" s="128"/>
      <c r="C252" s="128"/>
      <c r="D252" s="128"/>
      <c r="E252" s="128"/>
      <c r="F252" s="128"/>
      <c r="G252" s="128"/>
      <c r="H252" s="128"/>
      <c r="K252" s="90"/>
      <c r="L252" s="90"/>
    </row>
    <row r="253" spans="2:12" s="85" customFormat="1">
      <c r="B253" s="129" t="s">
        <v>965</v>
      </c>
      <c r="C253" s="128"/>
      <c r="D253" s="128"/>
      <c r="E253" s="128"/>
      <c r="F253" s="128"/>
      <c r="G253" s="128"/>
      <c r="H253" s="128"/>
      <c r="K253" s="90"/>
      <c r="L253" s="90"/>
    </row>
    <row r="254" spans="2:12" s="85" customFormat="1">
      <c r="K254" s="90"/>
      <c r="L254" s="90"/>
    </row>
    <row r="255" spans="2:12" s="85" customFormat="1">
      <c r="K255" s="90"/>
      <c r="L255" s="90"/>
    </row>
    <row r="256" spans="2:12" s="85" customFormat="1">
      <c r="K256" s="90"/>
      <c r="L256" s="90"/>
    </row>
    <row r="257" spans="11:12" s="85" customFormat="1">
      <c r="K257" s="90"/>
      <c r="L257" s="90"/>
    </row>
    <row r="258" spans="11:12" s="85" customFormat="1">
      <c r="K258" s="90"/>
      <c r="L258" s="90"/>
    </row>
    <row r="259" spans="11:12" s="85" customFormat="1">
      <c r="K259" s="90"/>
      <c r="L259" s="90"/>
    </row>
    <row r="260" spans="11:12" s="85" customFormat="1">
      <c r="K260" s="90"/>
      <c r="L260" s="90"/>
    </row>
    <row r="261" spans="11:12" s="85" customFormat="1">
      <c r="K261" s="90"/>
      <c r="L261" s="90"/>
    </row>
    <row r="262" spans="11:12" s="85" customFormat="1">
      <c r="K262" s="90"/>
      <c r="L262" s="90"/>
    </row>
    <row r="263" spans="11:12" s="85" customFormat="1">
      <c r="K263" s="90"/>
      <c r="L263" s="90"/>
    </row>
    <row r="264" spans="11:12" s="85" customFormat="1">
      <c r="K264" s="90"/>
      <c r="L264" s="90"/>
    </row>
    <row r="265" spans="11:12" s="85" customFormat="1">
      <c r="K265" s="90"/>
      <c r="L265" s="90"/>
    </row>
    <row r="266" spans="11:12" s="85" customFormat="1">
      <c r="K266" s="90"/>
      <c r="L266" s="90"/>
    </row>
    <row r="267" spans="11:12" s="85" customFormat="1">
      <c r="K267" s="90"/>
      <c r="L267" s="90"/>
    </row>
    <row r="268" spans="11:12" s="85" customFormat="1">
      <c r="K268" s="90"/>
      <c r="L268" s="90"/>
    </row>
    <row r="269" spans="11:12" s="85" customFormat="1">
      <c r="K269" s="90"/>
      <c r="L269" s="90"/>
    </row>
    <row r="270" spans="11:12" s="85" customFormat="1">
      <c r="K270" s="90"/>
      <c r="L270" s="90"/>
    </row>
    <row r="271" spans="11:12" s="85" customFormat="1">
      <c r="K271" s="90"/>
      <c r="L271" s="90"/>
    </row>
    <row r="272" spans="11:12" s="85" customFormat="1">
      <c r="K272" s="90"/>
      <c r="L272" s="90"/>
    </row>
    <row r="273" spans="11:12" s="85" customFormat="1">
      <c r="K273" s="90"/>
      <c r="L273" s="90"/>
    </row>
    <row r="274" spans="11:12" s="85" customFormat="1">
      <c r="K274" s="90"/>
      <c r="L274" s="90"/>
    </row>
    <row r="275" spans="11:12" s="85" customFormat="1">
      <c r="K275" s="90"/>
      <c r="L275" s="90"/>
    </row>
    <row r="276" spans="11:12" s="85" customFormat="1">
      <c r="K276" s="90"/>
      <c r="L276" s="90"/>
    </row>
    <row r="277" spans="11:12" s="85" customFormat="1">
      <c r="K277" s="90"/>
      <c r="L277" s="90"/>
    </row>
    <row r="278" spans="11:12" s="85" customFormat="1">
      <c r="K278" s="90"/>
      <c r="L278" s="90"/>
    </row>
    <row r="279" spans="11:12" s="85" customFormat="1">
      <c r="K279" s="90"/>
      <c r="L279" s="90"/>
    </row>
    <row r="280" spans="11:12" s="85" customFormat="1">
      <c r="K280" s="90"/>
      <c r="L280" s="90"/>
    </row>
    <row r="281" spans="11:12" s="85" customFormat="1">
      <c r="K281" s="90"/>
      <c r="L281" s="90"/>
    </row>
    <row r="282" spans="11:12" s="85" customFormat="1">
      <c r="K282" s="90"/>
      <c r="L282" s="90"/>
    </row>
    <row r="283" spans="11:12" s="85" customFormat="1">
      <c r="K283" s="90"/>
      <c r="L283" s="90"/>
    </row>
    <row r="284" spans="11:12" s="85" customFormat="1">
      <c r="K284" s="90"/>
      <c r="L284" s="90"/>
    </row>
    <row r="285" spans="11:12" s="85" customFormat="1">
      <c r="K285" s="90"/>
      <c r="L285" s="90"/>
    </row>
    <row r="286" spans="11:12" s="85" customFormat="1">
      <c r="K286" s="90"/>
      <c r="L286" s="90"/>
    </row>
    <row r="287" spans="11:12" s="85" customFormat="1">
      <c r="K287" s="90"/>
      <c r="L287" s="90"/>
    </row>
    <row r="288" spans="11:12" s="85" customFormat="1">
      <c r="K288" s="90"/>
      <c r="L288" s="90"/>
    </row>
    <row r="289" spans="11:12" s="85" customFormat="1">
      <c r="K289" s="90"/>
      <c r="L289" s="90"/>
    </row>
    <row r="290" spans="11:12" s="85" customFormat="1">
      <c r="K290" s="90"/>
      <c r="L290" s="90"/>
    </row>
    <row r="291" spans="11:12" s="85" customFormat="1">
      <c r="K291" s="90"/>
      <c r="L291" s="90"/>
    </row>
    <row r="292" spans="11:12" s="85" customFormat="1">
      <c r="K292" s="90"/>
      <c r="L292" s="90"/>
    </row>
    <row r="293" spans="11:12" s="85" customFormat="1">
      <c r="K293" s="90"/>
      <c r="L293" s="90"/>
    </row>
    <row r="294" spans="11:12" s="85" customFormat="1">
      <c r="K294" s="90"/>
      <c r="L294" s="90"/>
    </row>
    <row r="295" spans="11:12" s="85" customFormat="1">
      <c r="K295" s="90"/>
      <c r="L295" s="90"/>
    </row>
    <row r="296" spans="11:12" s="85" customFormat="1">
      <c r="K296" s="90"/>
      <c r="L296" s="90"/>
    </row>
    <row r="297" spans="11:12" s="85" customFormat="1">
      <c r="K297" s="90"/>
      <c r="L297" s="90"/>
    </row>
    <row r="298" spans="11:12" s="85" customFormat="1">
      <c r="K298" s="90"/>
      <c r="L298" s="90"/>
    </row>
    <row r="299" spans="11:12" s="85" customFormat="1">
      <c r="K299" s="90"/>
      <c r="L299" s="90"/>
    </row>
    <row r="300" spans="11:12" s="85" customFormat="1">
      <c r="K300" s="90"/>
      <c r="L300" s="90"/>
    </row>
    <row r="301" spans="11:12" s="85" customFormat="1">
      <c r="K301" s="90"/>
      <c r="L301" s="90"/>
    </row>
    <row r="302" spans="11:12" s="85" customFormat="1">
      <c r="K302" s="90"/>
      <c r="L302" s="90"/>
    </row>
    <row r="303" spans="11:12" s="85" customFormat="1">
      <c r="K303" s="90"/>
      <c r="L303" s="90"/>
    </row>
    <row r="304" spans="11:12" s="85" customFormat="1">
      <c r="K304" s="90"/>
      <c r="L304" s="90"/>
    </row>
    <row r="305" spans="11:12" s="85" customFormat="1">
      <c r="K305" s="90"/>
      <c r="L305" s="90"/>
    </row>
    <row r="306" spans="11:12" s="85" customFormat="1">
      <c r="K306" s="90"/>
      <c r="L306" s="90"/>
    </row>
    <row r="307" spans="11:12" s="85" customFormat="1">
      <c r="K307" s="90"/>
      <c r="L307" s="90"/>
    </row>
    <row r="308" spans="11:12" s="85" customFormat="1">
      <c r="K308" s="90"/>
      <c r="L308" s="90"/>
    </row>
    <row r="309" spans="11:12" s="85" customFormat="1">
      <c r="K309" s="90"/>
      <c r="L309" s="90"/>
    </row>
    <row r="310" spans="11:12" s="85" customFormat="1">
      <c r="K310" s="90"/>
      <c r="L310" s="90"/>
    </row>
    <row r="311" spans="11:12" s="85" customFormat="1">
      <c r="K311" s="90"/>
      <c r="L311" s="90"/>
    </row>
    <row r="312" spans="11:12" s="85" customFormat="1">
      <c r="K312" s="90"/>
      <c r="L312" s="90"/>
    </row>
    <row r="313" spans="11:12" s="85" customFormat="1">
      <c r="K313" s="90"/>
      <c r="L313" s="90"/>
    </row>
    <row r="314" spans="11:12" s="85" customFormat="1">
      <c r="K314" s="90"/>
      <c r="L314" s="90"/>
    </row>
    <row r="315" spans="11:12" s="85" customFormat="1">
      <c r="K315" s="90"/>
      <c r="L315" s="90"/>
    </row>
    <row r="316" spans="11:12" s="85" customFormat="1">
      <c r="K316" s="90"/>
      <c r="L316" s="90"/>
    </row>
    <row r="317" spans="11:12" s="85" customFormat="1">
      <c r="K317" s="90"/>
      <c r="L317" s="90"/>
    </row>
    <row r="318" spans="11:12" s="85" customFormat="1">
      <c r="K318" s="90"/>
      <c r="L318" s="90"/>
    </row>
    <row r="319" spans="11:12" s="85" customFormat="1">
      <c r="K319" s="90"/>
      <c r="L319" s="90"/>
    </row>
    <row r="320" spans="11:12" s="85" customFormat="1">
      <c r="K320" s="90"/>
      <c r="L320" s="90"/>
    </row>
    <row r="321" spans="11:12" s="85" customFormat="1">
      <c r="K321" s="90"/>
      <c r="L321" s="90"/>
    </row>
    <row r="322" spans="11:12" s="85" customFormat="1">
      <c r="K322" s="90"/>
      <c r="L322" s="90"/>
    </row>
    <row r="323" spans="11:12" s="85" customFormat="1">
      <c r="K323" s="90"/>
      <c r="L323" s="90"/>
    </row>
    <row r="324" spans="11:12" s="85" customFormat="1">
      <c r="K324" s="90"/>
      <c r="L324" s="90"/>
    </row>
    <row r="325" spans="11:12" s="85" customFormat="1">
      <c r="K325" s="90"/>
      <c r="L325" s="90"/>
    </row>
    <row r="326" spans="11:12" s="85" customFormat="1">
      <c r="K326" s="90"/>
      <c r="L326" s="90"/>
    </row>
    <row r="327" spans="11:12" s="85" customFormat="1">
      <c r="K327" s="90"/>
      <c r="L327" s="90"/>
    </row>
    <row r="328" spans="11:12" s="85" customFormat="1">
      <c r="K328" s="90"/>
      <c r="L328" s="90"/>
    </row>
    <row r="329" spans="11:12" s="85" customFormat="1">
      <c r="K329" s="90"/>
      <c r="L329" s="90"/>
    </row>
    <row r="330" spans="11:12" s="85" customFormat="1">
      <c r="K330" s="90"/>
      <c r="L330" s="90"/>
    </row>
    <row r="331" spans="11:12" s="85" customFormat="1">
      <c r="K331" s="90"/>
      <c r="L331" s="90"/>
    </row>
    <row r="332" spans="11:12" s="85" customFormat="1">
      <c r="K332" s="90"/>
      <c r="L332" s="90"/>
    </row>
    <row r="333" spans="11:12" s="85" customFormat="1">
      <c r="K333" s="90"/>
      <c r="L333" s="90"/>
    </row>
    <row r="334" spans="11:12" s="85" customFormat="1">
      <c r="K334" s="90"/>
      <c r="L334" s="90"/>
    </row>
    <row r="335" spans="11:12" s="85" customFormat="1">
      <c r="K335" s="90"/>
      <c r="L335" s="90"/>
    </row>
    <row r="336" spans="11:12" s="85" customFormat="1">
      <c r="K336" s="90"/>
      <c r="L336" s="90"/>
    </row>
    <row r="337" spans="11:12" s="85" customFormat="1">
      <c r="K337" s="90"/>
      <c r="L337" s="90"/>
    </row>
    <row r="338" spans="11:12" s="85" customFormat="1">
      <c r="K338" s="90"/>
      <c r="L338" s="90"/>
    </row>
    <row r="339" spans="11:12" s="85" customFormat="1">
      <c r="K339" s="90"/>
      <c r="L339" s="90"/>
    </row>
    <row r="340" spans="11:12" s="85" customFormat="1">
      <c r="K340" s="90"/>
      <c r="L340" s="90"/>
    </row>
    <row r="341" spans="11:12" s="85" customFormat="1">
      <c r="K341" s="90"/>
      <c r="L341" s="90"/>
    </row>
    <row r="342" spans="11:12" s="85" customFormat="1">
      <c r="K342" s="90"/>
      <c r="L342" s="90"/>
    </row>
    <row r="343" spans="11:12" s="85" customFormat="1">
      <c r="K343" s="90"/>
      <c r="L343" s="90"/>
    </row>
    <row r="344" spans="11:12" s="85" customFormat="1">
      <c r="K344" s="90"/>
      <c r="L344" s="90"/>
    </row>
    <row r="345" spans="11:12" s="85" customFormat="1">
      <c r="K345" s="90"/>
      <c r="L345" s="90"/>
    </row>
    <row r="346" spans="11:12" s="85" customFormat="1">
      <c r="K346" s="90"/>
      <c r="L346" s="90"/>
    </row>
    <row r="347" spans="11:12" s="85" customFormat="1">
      <c r="K347" s="90"/>
      <c r="L347" s="90"/>
    </row>
    <row r="348" spans="11:12" s="85" customFormat="1">
      <c r="K348" s="90"/>
      <c r="L348" s="90"/>
    </row>
    <row r="349" spans="11:12" s="85" customFormat="1">
      <c r="K349" s="90"/>
      <c r="L349" s="90"/>
    </row>
    <row r="350" spans="11:12" s="85" customFormat="1">
      <c r="K350" s="90"/>
      <c r="L350" s="90"/>
    </row>
    <row r="351" spans="11:12" s="85" customFormat="1">
      <c r="K351" s="90"/>
      <c r="L351" s="90"/>
    </row>
    <row r="352" spans="11:12" s="85" customFormat="1">
      <c r="K352" s="90"/>
      <c r="L352" s="90"/>
    </row>
    <row r="353" spans="11:12" s="85" customFormat="1">
      <c r="K353" s="90"/>
      <c r="L353" s="90"/>
    </row>
    <row r="354" spans="11:12" s="85" customFormat="1">
      <c r="K354" s="90"/>
      <c r="L354" s="90"/>
    </row>
    <row r="355" spans="11:12" s="85" customFormat="1">
      <c r="K355" s="90"/>
      <c r="L355" s="90"/>
    </row>
    <row r="356" spans="11:12" s="85" customFormat="1">
      <c r="K356" s="90"/>
      <c r="L356" s="90"/>
    </row>
    <row r="357" spans="11:12" s="85" customFormat="1">
      <c r="K357" s="90"/>
      <c r="L357" s="90"/>
    </row>
    <row r="358" spans="11:12" s="85" customFormat="1">
      <c r="K358" s="90"/>
      <c r="L358" s="90"/>
    </row>
    <row r="359" spans="11:12" s="85" customFormat="1">
      <c r="K359" s="90"/>
      <c r="L359" s="90"/>
    </row>
    <row r="360" spans="11:12" s="85" customFormat="1">
      <c r="K360" s="90"/>
      <c r="L360" s="90"/>
    </row>
    <row r="361" spans="11:12" s="85" customFormat="1">
      <c r="K361" s="90"/>
      <c r="L361" s="90"/>
    </row>
    <row r="362" spans="11:12" s="85" customFormat="1">
      <c r="K362" s="90"/>
      <c r="L362" s="90"/>
    </row>
    <row r="363" spans="11:12" s="85" customFormat="1">
      <c r="K363" s="90"/>
      <c r="L363" s="90"/>
    </row>
    <row r="364" spans="11:12" s="85" customFormat="1">
      <c r="K364" s="90"/>
      <c r="L364" s="90"/>
    </row>
    <row r="365" spans="11:12" s="85" customFormat="1">
      <c r="K365" s="90"/>
      <c r="L365" s="90"/>
    </row>
    <row r="366" spans="11:12" s="85" customFormat="1">
      <c r="K366" s="90"/>
      <c r="L366" s="90"/>
    </row>
    <row r="367" spans="11:12" s="85" customFormat="1">
      <c r="K367" s="90"/>
      <c r="L367" s="90"/>
    </row>
    <row r="368" spans="11:12" s="85" customFormat="1">
      <c r="K368" s="90"/>
      <c r="L368" s="90"/>
    </row>
    <row r="369" spans="11:12" s="85" customFormat="1">
      <c r="K369" s="90"/>
      <c r="L369" s="90"/>
    </row>
    <row r="370" spans="11:12" s="85" customFormat="1">
      <c r="K370" s="90"/>
      <c r="L370" s="90"/>
    </row>
    <row r="371" spans="11:12" s="85" customFormat="1">
      <c r="K371" s="90"/>
      <c r="L371" s="90"/>
    </row>
    <row r="372" spans="11:12" s="85" customFormat="1">
      <c r="K372" s="90"/>
      <c r="L372" s="90"/>
    </row>
    <row r="373" spans="11:12" s="85" customFormat="1">
      <c r="K373" s="90"/>
      <c r="L373" s="90"/>
    </row>
    <row r="374" spans="11:12" s="85" customFormat="1">
      <c r="K374" s="90"/>
      <c r="L374" s="90"/>
    </row>
    <row r="375" spans="11:12" s="85" customFormat="1">
      <c r="K375" s="90"/>
      <c r="L375" s="90"/>
    </row>
    <row r="376" spans="11:12" s="85" customFormat="1">
      <c r="K376" s="90"/>
      <c r="L376" s="90"/>
    </row>
    <row r="377" spans="11:12" s="85" customFormat="1">
      <c r="K377" s="90"/>
      <c r="L377" s="90"/>
    </row>
    <row r="378" spans="11:12" s="85" customFormat="1">
      <c r="K378" s="90"/>
      <c r="L378" s="90"/>
    </row>
    <row r="379" spans="11:12" s="85" customFormat="1">
      <c r="K379" s="90"/>
      <c r="L379" s="90"/>
    </row>
    <row r="380" spans="11:12" s="85" customFormat="1">
      <c r="K380" s="90"/>
      <c r="L380" s="90"/>
    </row>
    <row r="381" spans="11:12" s="85" customFormat="1">
      <c r="K381" s="90"/>
      <c r="L381" s="90"/>
    </row>
    <row r="382" spans="11:12" s="85" customFormat="1">
      <c r="K382" s="90"/>
      <c r="L382" s="90"/>
    </row>
    <row r="383" spans="11:12" s="85" customFormat="1">
      <c r="K383" s="90"/>
      <c r="L383" s="90"/>
    </row>
    <row r="384" spans="11:12" s="85" customFormat="1">
      <c r="K384" s="90"/>
      <c r="L384" s="90"/>
    </row>
    <row r="385" spans="2:12" s="85" customFormat="1">
      <c r="K385" s="90"/>
      <c r="L385" s="90"/>
    </row>
    <row r="386" spans="2:12" s="85" customFormat="1">
      <c r="K386" s="90"/>
      <c r="L386" s="90"/>
    </row>
    <row r="387" spans="2:12" s="85" customFormat="1">
      <c r="K387" s="90"/>
      <c r="L387" s="90"/>
    </row>
    <row r="388" spans="2:12" s="85" customFormat="1">
      <c r="K388" s="90"/>
      <c r="L388" s="90"/>
    </row>
    <row r="389" spans="2:12" s="85" customFormat="1">
      <c r="K389" s="90"/>
      <c r="L389" s="90"/>
    </row>
    <row r="390" spans="2:12" s="85" customFormat="1">
      <c r="K390" s="90"/>
      <c r="L390" s="90"/>
    </row>
    <row r="391" spans="2:12" s="85" customFormat="1">
      <c r="K391" s="90"/>
      <c r="L391" s="90"/>
    </row>
    <row r="392" spans="2:12" s="85" customFormat="1">
      <c r="K392" s="90"/>
      <c r="L392" s="90"/>
    </row>
    <row r="393" spans="2:12" s="86" customFormat="1">
      <c r="B393" s="85"/>
      <c r="C393" s="85"/>
      <c r="D393" s="85"/>
      <c r="E393" s="85"/>
      <c r="F393" s="85"/>
      <c r="G393" s="85"/>
      <c r="H393" s="85"/>
      <c r="K393" s="91"/>
      <c r="L393" s="91"/>
    </row>
    <row r="394" spans="2:12" s="86" customFormat="1">
      <c r="K394" s="91"/>
      <c r="L394" s="91"/>
    </row>
    <row r="395" spans="2:12" s="86" customFormat="1">
      <c r="K395" s="91"/>
      <c r="L395" s="91"/>
    </row>
    <row r="396" spans="2:12" s="86" customFormat="1">
      <c r="K396" s="91"/>
      <c r="L396" s="91"/>
    </row>
    <row r="397" spans="2:12" s="86" customFormat="1">
      <c r="K397" s="91"/>
      <c r="L397" s="91"/>
    </row>
    <row r="398" spans="2:12" s="86" customFormat="1">
      <c r="K398" s="91"/>
      <c r="L398" s="91"/>
    </row>
    <row r="399" spans="2:12" s="86" customFormat="1">
      <c r="K399" s="91"/>
      <c r="L399" s="91"/>
    </row>
    <row r="400" spans="2:12" s="86" customFormat="1">
      <c r="K400" s="91"/>
      <c r="L400" s="91"/>
    </row>
    <row r="401" spans="11:12" s="86" customFormat="1">
      <c r="K401" s="91"/>
      <c r="L401" s="91"/>
    </row>
    <row r="402" spans="11:12" s="86" customFormat="1">
      <c r="K402" s="91"/>
      <c r="L402" s="91"/>
    </row>
    <row r="403" spans="11:12" s="86" customFormat="1">
      <c r="K403" s="91"/>
      <c r="L403" s="91"/>
    </row>
    <row r="404" spans="11:12" s="86" customFormat="1">
      <c r="K404" s="91"/>
      <c r="L404" s="91"/>
    </row>
    <row r="405" spans="11:12" s="86" customFormat="1">
      <c r="K405" s="91"/>
      <c r="L405" s="91"/>
    </row>
    <row r="406" spans="11:12" s="86" customFormat="1">
      <c r="K406" s="91"/>
      <c r="L406" s="91"/>
    </row>
    <row r="407" spans="11:12" s="86" customFormat="1">
      <c r="K407" s="91"/>
      <c r="L407" s="91"/>
    </row>
    <row r="408" spans="11:12" s="86" customFormat="1">
      <c r="K408" s="91"/>
      <c r="L408" s="91"/>
    </row>
    <row r="409" spans="11:12" s="86" customFormat="1">
      <c r="K409" s="91"/>
      <c r="L409" s="91"/>
    </row>
    <row r="410" spans="11:12" s="86" customFormat="1">
      <c r="K410" s="91"/>
      <c r="L410" s="91"/>
    </row>
    <row r="411" spans="11:12" s="86" customFormat="1">
      <c r="K411" s="91"/>
      <c r="L411" s="91"/>
    </row>
    <row r="412" spans="11:12" s="86" customFormat="1">
      <c r="K412" s="91"/>
      <c r="L412" s="91"/>
    </row>
    <row r="413" spans="11:12" s="86" customFormat="1">
      <c r="K413" s="91"/>
      <c r="L413" s="91"/>
    </row>
    <row r="414" spans="11:12" s="86" customFormat="1">
      <c r="K414" s="91"/>
      <c r="L414" s="91"/>
    </row>
    <row r="415" spans="11:12" s="86" customFormat="1">
      <c r="K415" s="91"/>
      <c r="L415" s="91"/>
    </row>
    <row r="416" spans="11:12" s="86" customFormat="1">
      <c r="K416" s="91"/>
      <c r="L416" s="91"/>
    </row>
    <row r="417" spans="11:12" s="86" customFormat="1">
      <c r="K417" s="91"/>
      <c r="L417" s="91"/>
    </row>
    <row r="418" spans="11:12" s="86" customFormat="1">
      <c r="K418" s="91"/>
      <c r="L418" s="91"/>
    </row>
    <row r="419" spans="11:12" s="86" customFormat="1">
      <c r="K419" s="91"/>
      <c r="L419" s="91"/>
    </row>
    <row r="420" spans="11:12" s="86" customFormat="1">
      <c r="K420" s="91"/>
      <c r="L420" s="91"/>
    </row>
    <row r="421" spans="11:12" s="86" customFormat="1">
      <c r="K421" s="91"/>
      <c r="L421" s="91"/>
    </row>
    <row r="422" spans="11:12" s="86" customFormat="1">
      <c r="K422" s="91"/>
      <c r="L422" s="91"/>
    </row>
    <row r="423" spans="11:12" s="86" customFormat="1">
      <c r="K423" s="91"/>
      <c r="L423" s="91"/>
    </row>
    <row r="424" spans="11:12" s="86" customFormat="1">
      <c r="K424" s="91"/>
      <c r="L424" s="91"/>
    </row>
    <row r="425" spans="11:12" s="86" customFormat="1">
      <c r="K425" s="91"/>
      <c r="L425" s="91"/>
    </row>
    <row r="426" spans="11:12" s="86" customFormat="1">
      <c r="K426" s="91"/>
      <c r="L426" s="91"/>
    </row>
    <row r="427" spans="11:12" s="86" customFormat="1">
      <c r="K427" s="91"/>
      <c r="L427" s="91"/>
    </row>
    <row r="428" spans="11:12" s="86" customFormat="1">
      <c r="K428" s="91"/>
      <c r="L428" s="91"/>
    </row>
    <row r="429" spans="11:12" s="86" customFormat="1">
      <c r="K429" s="91"/>
      <c r="L429" s="91"/>
    </row>
    <row r="430" spans="11:12" s="86" customFormat="1">
      <c r="K430" s="91"/>
      <c r="L430" s="91"/>
    </row>
    <row r="431" spans="11:12" s="86" customFormat="1">
      <c r="K431" s="91"/>
      <c r="L431" s="91"/>
    </row>
    <row r="432" spans="11:12" s="86" customFormat="1">
      <c r="K432" s="91"/>
      <c r="L432" s="91"/>
    </row>
    <row r="433" spans="11:12" s="86" customFormat="1">
      <c r="K433" s="91"/>
      <c r="L433" s="91"/>
    </row>
    <row r="434" spans="11:12" s="86" customFormat="1">
      <c r="K434" s="91"/>
      <c r="L434" s="91"/>
    </row>
    <row r="435" spans="11:12" s="86" customFormat="1">
      <c r="K435" s="91"/>
      <c r="L435" s="91"/>
    </row>
    <row r="436" spans="11:12" s="86" customFormat="1">
      <c r="K436" s="91"/>
      <c r="L436" s="91"/>
    </row>
    <row r="437" spans="11:12" s="86" customFormat="1">
      <c r="K437" s="91"/>
      <c r="L437" s="91"/>
    </row>
    <row r="438" spans="11:12" s="86" customFormat="1">
      <c r="K438" s="91"/>
      <c r="L438" s="91"/>
    </row>
    <row r="439" spans="11:12" s="86" customFormat="1">
      <c r="K439" s="91"/>
      <c r="L439" s="91"/>
    </row>
    <row r="440" spans="11:12" s="86" customFormat="1">
      <c r="K440" s="91"/>
      <c r="L440" s="91"/>
    </row>
    <row r="441" spans="11:12" s="86" customFormat="1">
      <c r="K441" s="91"/>
      <c r="L441" s="91"/>
    </row>
    <row r="442" spans="11:12" s="86" customFormat="1">
      <c r="K442" s="91"/>
      <c r="L442" s="91"/>
    </row>
    <row r="443" spans="11:12" s="86" customFormat="1">
      <c r="K443" s="91"/>
      <c r="L443" s="91"/>
    </row>
    <row r="444" spans="11:12" s="86" customFormat="1">
      <c r="K444" s="91"/>
      <c r="L444" s="91"/>
    </row>
    <row r="445" spans="11:12" s="86" customFormat="1">
      <c r="K445" s="91"/>
      <c r="L445" s="91"/>
    </row>
    <row r="446" spans="11:12" s="86" customFormat="1">
      <c r="K446" s="91"/>
      <c r="L446" s="91"/>
    </row>
    <row r="447" spans="11:12" s="86" customFormat="1">
      <c r="K447" s="91"/>
      <c r="L447" s="91"/>
    </row>
    <row r="448" spans="11:12" s="86" customFormat="1">
      <c r="K448" s="91"/>
      <c r="L448" s="91"/>
    </row>
    <row r="449" spans="11:12" s="86" customFormat="1">
      <c r="K449" s="91"/>
      <c r="L449" s="91"/>
    </row>
    <row r="450" spans="11:12" s="86" customFormat="1">
      <c r="K450" s="91"/>
      <c r="L450" s="91"/>
    </row>
    <row r="451" spans="11:12" s="86" customFormat="1">
      <c r="K451" s="91"/>
      <c r="L451" s="91"/>
    </row>
    <row r="452" spans="11:12" s="86" customFormat="1">
      <c r="K452" s="91"/>
      <c r="L452" s="91"/>
    </row>
    <row r="453" spans="11:12" s="86" customFormat="1">
      <c r="K453" s="91"/>
      <c r="L453" s="91"/>
    </row>
    <row r="454" spans="11:12" s="86" customFormat="1">
      <c r="K454" s="91"/>
      <c r="L454" s="91"/>
    </row>
    <row r="455" spans="11:12" s="86" customFormat="1">
      <c r="K455" s="91"/>
      <c r="L455" s="91"/>
    </row>
    <row r="456" spans="11:12" s="86" customFormat="1">
      <c r="K456" s="91"/>
      <c r="L456" s="91"/>
    </row>
    <row r="457" spans="11:12" s="86" customFormat="1">
      <c r="K457" s="91"/>
      <c r="L457" s="91"/>
    </row>
    <row r="458" spans="11:12" s="86" customFormat="1">
      <c r="K458" s="91"/>
      <c r="L458" s="91"/>
    </row>
    <row r="459" spans="11:12" s="86" customFormat="1">
      <c r="K459" s="91"/>
      <c r="L459" s="91"/>
    </row>
    <row r="460" spans="11:12" s="86" customFormat="1">
      <c r="K460" s="91"/>
      <c r="L460" s="91"/>
    </row>
    <row r="461" spans="11:12" s="86" customFormat="1">
      <c r="K461" s="91"/>
      <c r="L461" s="91"/>
    </row>
    <row r="462" spans="11:12" s="86" customFormat="1">
      <c r="K462" s="91"/>
      <c r="L462" s="91"/>
    </row>
    <row r="463" spans="11:12" s="86" customFormat="1">
      <c r="K463" s="91"/>
      <c r="L463" s="91"/>
    </row>
    <row r="464" spans="11:12" s="86" customFormat="1">
      <c r="K464" s="91"/>
      <c r="L464" s="91"/>
    </row>
    <row r="465" spans="11:12" s="86" customFormat="1">
      <c r="K465" s="91"/>
      <c r="L465" s="91"/>
    </row>
    <row r="466" spans="11:12" s="86" customFormat="1">
      <c r="K466" s="91"/>
      <c r="L466" s="91"/>
    </row>
    <row r="467" spans="11:12" s="86" customFormat="1">
      <c r="K467" s="91"/>
      <c r="L467" s="91"/>
    </row>
    <row r="468" spans="11:12" s="86" customFormat="1">
      <c r="K468" s="91"/>
      <c r="L468" s="91"/>
    </row>
    <row r="469" spans="11:12" s="86" customFormat="1">
      <c r="K469" s="91"/>
      <c r="L469" s="91"/>
    </row>
    <row r="470" spans="11:12" s="86" customFormat="1">
      <c r="K470" s="91"/>
      <c r="L470" s="91"/>
    </row>
    <row r="471" spans="11:12" s="86" customFormat="1">
      <c r="K471" s="91"/>
      <c r="L471" s="91"/>
    </row>
    <row r="472" spans="11:12" s="86" customFormat="1">
      <c r="K472" s="91"/>
      <c r="L472" s="91"/>
    </row>
    <row r="473" spans="11:12" s="86" customFormat="1">
      <c r="K473" s="91"/>
      <c r="L473" s="91"/>
    </row>
    <row r="474" spans="11:12" s="86" customFormat="1">
      <c r="K474" s="91"/>
      <c r="L474" s="91"/>
    </row>
    <row r="475" spans="11:12" s="86" customFormat="1">
      <c r="K475" s="91"/>
      <c r="L475" s="91"/>
    </row>
    <row r="476" spans="11:12" s="86" customFormat="1">
      <c r="K476" s="91"/>
      <c r="L476" s="91"/>
    </row>
    <row r="477" spans="11:12" s="86" customFormat="1">
      <c r="K477" s="91"/>
      <c r="L477" s="91"/>
    </row>
    <row r="478" spans="11:12" s="86" customFormat="1">
      <c r="K478" s="91"/>
      <c r="L478" s="91"/>
    </row>
    <row r="479" spans="11:12" s="86" customFormat="1">
      <c r="K479" s="91"/>
      <c r="L479" s="91"/>
    </row>
    <row r="480" spans="11:12" s="86" customFormat="1">
      <c r="K480" s="91"/>
      <c r="L480" s="91"/>
    </row>
    <row r="481" spans="11:12" s="86" customFormat="1">
      <c r="K481" s="91"/>
      <c r="L481" s="91"/>
    </row>
    <row r="482" spans="11:12" s="86" customFormat="1">
      <c r="K482" s="91"/>
      <c r="L482" s="91"/>
    </row>
    <row r="483" spans="11:12" s="86" customFormat="1">
      <c r="K483" s="91"/>
      <c r="L483" s="91"/>
    </row>
    <row r="484" spans="11:12" s="86" customFormat="1">
      <c r="K484" s="91"/>
      <c r="L484" s="91"/>
    </row>
    <row r="485" spans="11:12" s="86" customFormat="1">
      <c r="K485" s="91"/>
      <c r="L485" s="91"/>
    </row>
    <row r="486" spans="11:12" s="86" customFormat="1">
      <c r="K486" s="91"/>
      <c r="L486" s="91"/>
    </row>
    <row r="487" spans="11:12" s="86" customFormat="1">
      <c r="K487" s="91"/>
      <c r="L487" s="91"/>
    </row>
    <row r="488" spans="11:12" s="86" customFormat="1">
      <c r="K488" s="91"/>
      <c r="L488" s="91"/>
    </row>
    <row r="489" spans="11:12" s="86" customFormat="1">
      <c r="K489" s="91"/>
      <c r="L489" s="91"/>
    </row>
    <row r="490" spans="11:12" s="86" customFormat="1">
      <c r="K490" s="91"/>
      <c r="L490" s="91"/>
    </row>
    <row r="491" spans="11:12" s="86" customFormat="1">
      <c r="K491" s="91"/>
      <c r="L491" s="91"/>
    </row>
    <row r="492" spans="11:12" s="86" customFormat="1">
      <c r="K492" s="91"/>
      <c r="L492" s="91"/>
    </row>
    <row r="493" spans="11:12" s="86" customFormat="1">
      <c r="K493" s="91"/>
      <c r="L493" s="91"/>
    </row>
    <row r="494" spans="11:12" s="86" customFormat="1">
      <c r="K494" s="91"/>
      <c r="L494" s="91"/>
    </row>
    <row r="495" spans="11:12" s="86" customFormat="1">
      <c r="K495" s="91"/>
      <c r="L495" s="91"/>
    </row>
    <row r="496" spans="11:12" s="86" customFormat="1">
      <c r="K496" s="91"/>
      <c r="L496" s="91"/>
    </row>
    <row r="497" spans="11:12" s="86" customFormat="1">
      <c r="K497" s="91"/>
      <c r="L497" s="91"/>
    </row>
    <row r="498" spans="11:12" s="86" customFormat="1">
      <c r="K498" s="91"/>
      <c r="L498" s="91"/>
    </row>
    <row r="499" spans="11:12" s="86" customFormat="1">
      <c r="K499" s="91"/>
      <c r="L499" s="91"/>
    </row>
    <row r="500" spans="11:12" s="86" customFormat="1">
      <c r="K500" s="91"/>
      <c r="L500" s="91"/>
    </row>
    <row r="501" spans="11:12" s="86" customFormat="1">
      <c r="K501" s="91"/>
      <c r="L501" s="91"/>
    </row>
    <row r="502" spans="11:12" s="86" customFormat="1">
      <c r="K502" s="91"/>
      <c r="L502" s="91"/>
    </row>
    <row r="503" spans="11:12" s="86" customFormat="1">
      <c r="K503" s="91"/>
      <c r="L503" s="91"/>
    </row>
    <row r="504" spans="11:12" s="86" customFormat="1">
      <c r="K504" s="91"/>
      <c r="L504" s="91"/>
    </row>
    <row r="505" spans="11:12" s="86" customFormat="1">
      <c r="K505" s="91"/>
      <c r="L505" s="91"/>
    </row>
    <row r="506" spans="11:12" s="86" customFormat="1">
      <c r="K506" s="91"/>
      <c r="L506" s="91"/>
    </row>
    <row r="507" spans="11:12" s="86" customFormat="1">
      <c r="K507" s="91"/>
      <c r="L507" s="91"/>
    </row>
    <row r="508" spans="11:12" s="86" customFormat="1">
      <c r="K508" s="91"/>
      <c r="L508" s="91"/>
    </row>
    <row r="509" spans="11:12" s="86" customFormat="1">
      <c r="K509" s="91"/>
      <c r="L509" s="91"/>
    </row>
    <row r="510" spans="11:12" s="86" customFormat="1">
      <c r="K510" s="91"/>
      <c r="L510" s="91"/>
    </row>
    <row r="511" spans="11:12" s="86" customFormat="1">
      <c r="K511" s="91"/>
      <c r="L511" s="91"/>
    </row>
    <row r="512" spans="11:12" s="86" customFormat="1">
      <c r="K512" s="91"/>
      <c r="L512" s="91"/>
    </row>
    <row r="513" spans="2:12" s="86" customFormat="1">
      <c r="K513" s="91"/>
      <c r="L513" s="91"/>
    </row>
    <row r="514" spans="2:12" s="86" customFormat="1">
      <c r="K514" s="91"/>
      <c r="L514" s="91"/>
    </row>
    <row r="515" spans="2:12" s="86" customFormat="1">
      <c r="K515" s="91"/>
      <c r="L515" s="91"/>
    </row>
    <row r="516" spans="2:12" s="86" customFormat="1">
      <c r="K516" s="91"/>
      <c r="L516" s="91"/>
    </row>
    <row r="517" spans="2:12" s="86" customFormat="1">
      <c r="K517" s="91"/>
      <c r="L517" s="91"/>
    </row>
    <row r="518" spans="2:12" s="86" customFormat="1">
      <c r="K518" s="91"/>
      <c r="L518" s="91"/>
    </row>
    <row r="519" spans="2:12" s="86" customFormat="1">
      <c r="K519" s="91"/>
      <c r="L519" s="91"/>
    </row>
    <row r="520" spans="2:12" s="86" customFormat="1">
      <c r="K520" s="91"/>
      <c r="L520" s="91"/>
    </row>
    <row r="521" spans="2:12" s="86" customFormat="1">
      <c r="K521" s="91"/>
      <c r="L521" s="91"/>
    </row>
    <row r="522" spans="2:12">
      <c r="B522" s="86"/>
      <c r="C522" s="86"/>
      <c r="D522" s="86"/>
      <c r="E522" s="86"/>
      <c r="F522" s="86"/>
      <c r="G522" s="86"/>
      <c r="H522" s="86"/>
      <c r="I522" s="87"/>
    </row>
    <row r="523" spans="2:12">
      <c r="C523" s="87"/>
      <c r="D523" s="87"/>
      <c r="E523" s="87"/>
      <c r="F523" s="87"/>
      <c r="G523" s="87"/>
      <c r="H523" s="87"/>
      <c r="I523" s="87"/>
    </row>
    <row r="524" spans="2:12">
      <c r="C524" s="87"/>
      <c r="D524" s="87"/>
      <c r="E524" s="87"/>
      <c r="F524" s="87"/>
      <c r="G524" s="87"/>
      <c r="H524" s="87"/>
      <c r="I524" s="87"/>
    </row>
    <row r="525" spans="2:12">
      <c r="C525" s="87"/>
      <c r="D525" s="87"/>
      <c r="E525" s="87"/>
      <c r="F525" s="87"/>
      <c r="G525" s="87"/>
      <c r="H525" s="87"/>
      <c r="I525" s="87"/>
    </row>
    <row r="526" spans="2:12">
      <c r="C526" s="87"/>
      <c r="D526" s="87"/>
      <c r="E526" s="87"/>
      <c r="F526" s="87"/>
      <c r="G526" s="87"/>
      <c r="H526" s="87"/>
      <c r="I526" s="87"/>
    </row>
    <row r="527" spans="2:12">
      <c r="C527" s="87"/>
      <c r="D527" s="87"/>
      <c r="E527" s="87"/>
      <c r="F527" s="87"/>
      <c r="G527" s="87"/>
      <c r="H527" s="87"/>
      <c r="I527" s="87"/>
    </row>
    <row r="528" spans="2:12">
      <c r="C528" s="87"/>
      <c r="D528" s="87"/>
      <c r="E528" s="87"/>
      <c r="F528" s="87"/>
      <c r="G528" s="87"/>
      <c r="H528" s="87"/>
      <c r="I528" s="87"/>
    </row>
    <row r="529" spans="11:12" s="87" customFormat="1">
      <c r="K529" s="92"/>
      <c r="L529" s="92"/>
    </row>
    <row r="530" spans="11:12" s="87" customFormat="1">
      <c r="K530" s="92"/>
      <c r="L530" s="92"/>
    </row>
    <row r="531" spans="11:12" s="87" customFormat="1">
      <c r="K531" s="92"/>
      <c r="L531" s="92"/>
    </row>
    <row r="532" spans="11:12" s="87" customFormat="1">
      <c r="K532" s="92"/>
      <c r="L532" s="92"/>
    </row>
    <row r="533" spans="11:12" s="87" customFormat="1">
      <c r="K533" s="92"/>
      <c r="L533" s="92"/>
    </row>
    <row r="534" spans="11:12" s="87" customFormat="1">
      <c r="K534" s="92"/>
      <c r="L534" s="92"/>
    </row>
    <row r="535" spans="11:12" s="87" customFormat="1">
      <c r="K535" s="92"/>
      <c r="L535" s="92"/>
    </row>
    <row r="536" spans="11:12" s="87" customFormat="1">
      <c r="K536" s="92"/>
      <c r="L536" s="92"/>
    </row>
    <row r="537" spans="11:12" s="87" customFormat="1">
      <c r="K537" s="92"/>
      <c r="L537" s="92"/>
    </row>
    <row r="538" spans="11:12" s="87" customFormat="1">
      <c r="K538" s="92"/>
      <c r="L538" s="92"/>
    </row>
    <row r="539" spans="11:12" s="87" customFormat="1">
      <c r="K539" s="92"/>
      <c r="L539" s="92"/>
    </row>
    <row r="540" spans="11:12" s="87" customFormat="1">
      <c r="K540" s="92"/>
      <c r="L540" s="92"/>
    </row>
    <row r="541" spans="11:12" s="87" customFormat="1">
      <c r="K541" s="92"/>
      <c r="L541" s="92"/>
    </row>
    <row r="542" spans="11:12" s="87" customFormat="1">
      <c r="K542" s="92"/>
      <c r="L542" s="92"/>
    </row>
    <row r="543" spans="11:12" s="87" customFormat="1">
      <c r="K543" s="92"/>
      <c r="L543" s="92"/>
    </row>
    <row r="544" spans="11:12" s="87" customFormat="1">
      <c r="K544" s="92"/>
      <c r="L544" s="92"/>
    </row>
    <row r="545" spans="11:12" s="87" customFormat="1">
      <c r="K545" s="92"/>
      <c r="L545" s="92"/>
    </row>
    <row r="546" spans="11:12" s="87" customFormat="1">
      <c r="K546" s="92"/>
      <c r="L546" s="92"/>
    </row>
    <row r="547" spans="11:12" s="87" customFormat="1">
      <c r="K547" s="92"/>
      <c r="L547" s="92"/>
    </row>
    <row r="548" spans="11:12" s="87" customFormat="1">
      <c r="K548" s="92"/>
      <c r="L548" s="92"/>
    </row>
    <row r="549" spans="11:12" s="87" customFormat="1">
      <c r="K549" s="92"/>
      <c r="L549" s="92"/>
    </row>
    <row r="550" spans="11:12" s="87" customFormat="1">
      <c r="K550" s="92"/>
      <c r="L550" s="92"/>
    </row>
    <row r="551" spans="11:12" s="87" customFormat="1">
      <c r="K551" s="92"/>
      <c r="L551" s="92"/>
    </row>
    <row r="552" spans="11:12" s="87" customFormat="1">
      <c r="K552" s="92"/>
      <c r="L552" s="92"/>
    </row>
    <row r="553" spans="11:12" s="87" customFormat="1">
      <c r="K553" s="92"/>
      <c r="L553" s="92"/>
    </row>
    <row r="554" spans="11:12" s="87" customFormat="1">
      <c r="K554" s="92"/>
      <c r="L554" s="92"/>
    </row>
    <row r="555" spans="11:12" s="87" customFormat="1">
      <c r="K555" s="92"/>
      <c r="L555" s="92"/>
    </row>
    <row r="556" spans="11:12" s="87" customFormat="1">
      <c r="K556" s="92"/>
      <c r="L556" s="92"/>
    </row>
    <row r="557" spans="11:12" s="87" customFormat="1">
      <c r="K557" s="92"/>
      <c r="L557" s="92"/>
    </row>
    <row r="558" spans="11:12" s="87" customFormat="1">
      <c r="K558" s="92"/>
      <c r="L558" s="92"/>
    </row>
    <row r="559" spans="11:12" s="87" customFormat="1">
      <c r="K559" s="92"/>
      <c r="L559" s="92"/>
    </row>
    <row r="560" spans="11:12" s="87" customFormat="1">
      <c r="K560" s="92"/>
      <c r="L560" s="92"/>
    </row>
    <row r="561" spans="11:12" s="87" customFormat="1">
      <c r="K561" s="92"/>
      <c r="L561" s="92"/>
    </row>
    <row r="562" spans="11:12" s="87" customFormat="1">
      <c r="K562" s="92"/>
      <c r="L562" s="92"/>
    </row>
    <row r="563" spans="11:12" s="87" customFormat="1">
      <c r="K563" s="92"/>
      <c r="L563" s="92"/>
    </row>
    <row r="564" spans="11:12" s="87" customFormat="1">
      <c r="K564" s="92"/>
      <c r="L564" s="92"/>
    </row>
    <row r="565" spans="11:12" s="87" customFormat="1">
      <c r="K565" s="92"/>
      <c r="L565" s="92"/>
    </row>
    <row r="566" spans="11:12" s="87" customFormat="1">
      <c r="K566" s="92"/>
      <c r="L566" s="92"/>
    </row>
    <row r="567" spans="11:12" s="87" customFormat="1">
      <c r="K567" s="92"/>
      <c r="L567" s="92"/>
    </row>
    <row r="568" spans="11:12" s="87" customFormat="1">
      <c r="K568" s="92"/>
      <c r="L568" s="92"/>
    </row>
    <row r="569" spans="11:12" s="87" customFormat="1">
      <c r="K569" s="92"/>
      <c r="L569" s="92"/>
    </row>
    <row r="570" spans="11:12" s="87" customFormat="1">
      <c r="K570" s="92"/>
      <c r="L570" s="92"/>
    </row>
    <row r="571" spans="11:12" s="87" customFormat="1">
      <c r="K571" s="92"/>
      <c r="L571" s="92"/>
    </row>
    <row r="572" spans="11:12" s="87" customFormat="1">
      <c r="K572" s="92"/>
      <c r="L572" s="92"/>
    </row>
    <row r="573" spans="11:12" s="87" customFormat="1">
      <c r="K573" s="92"/>
      <c r="L573" s="92"/>
    </row>
    <row r="574" spans="11:12" s="87" customFormat="1">
      <c r="K574" s="92"/>
      <c r="L574" s="92"/>
    </row>
    <row r="575" spans="11:12" s="87" customFormat="1">
      <c r="K575" s="92"/>
      <c r="L575" s="92"/>
    </row>
    <row r="576" spans="11:12" s="87" customFormat="1">
      <c r="K576" s="92"/>
      <c r="L576" s="92"/>
    </row>
    <row r="577" spans="11:12" s="87" customFormat="1">
      <c r="K577" s="92"/>
      <c r="L577" s="92"/>
    </row>
    <row r="578" spans="11:12" s="87" customFormat="1">
      <c r="K578" s="92"/>
      <c r="L578" s="92"/>
    </row>
    <row r="579" spans="11:12" s="87" customFormat="1">
      <c r="K579" s="92"/>
      <c r="L579" s="92"/>
    </row>
    <row r="580" spans="11:12" s="87" customFormat="1">
      <c r="K580" s="92"/>
      <c r="L580" s="92"/>
    </row>
    <row r="581" spans="11:12" s="87" customFormat="1">
      <c r="K581" s="92"/>
      <c r="L581" s="92"/>
    </row>
    <row r="582" spans="11:12" s="87" customFormat="1">
      <c r="K582" s="92"/>
      <c r="L582" s="92"/>
    </row>
    <row r="583" spans="11:12" s="87" customFormat="1">
      <c r="K583" s="92"/>
      <c r="L583" s="92"/>
    </row>
    <row r="584" spans="11:12" s="87" customFormat="1">
      <c r="K584" s="92"/>
      <c r="L584" s="92"/>
    </row>
    <row r="585" spans="11:12" s="87" customFormat="1">
      <c r="K585" s="92"/>
      <c r="L585" s="92"/>
    </row>
    <row r="586" spans="11:12" s="87" customFormat="1">
      <c r="K586" s="92"/>
      <c r="L586" s="92"/>
    </row>
    <row r="587" spans="11:12" s="87" customFormat="1">
      <c r="K587" s="92"/>
      <c r="L587" s="92"/>
    </row>
    <row r="588" spans="11:12" s="87" customFormat="1">
      <c r="K588" s="92"/>
      <c r="L588" s="92"/>
    </row>
    <row r="589" spans="11:12" s="87" customFormat="1">
      <c r="K589" s="92"/>
      <c r="L589" s="92"/>
    </row>
    <row r="590" spans="11:12" s="87" customFormat="1">
      <c r="K590" s="92"/>
      <c r="L590" s="92"/>
    </row>
    <row r="591" spans="11:12" s="87" customFormat="1">
      <c r="K591" s="92"/>
      <c r="L591" s="92"/>
    </row>
    <row r="592" spans="11:12" s="87" customFormat="1">
      <c r="K592" s="92"/>
      <c r="L592" s="92"/>
    </row>
    <row r="593" spans="11:12" s="87" customFormat="1">
      <c r="K593" s="92"/>
      <c r="L593" s="92"/>
    </row>
    <row r="594" spans="11:12" s="87" customFormat="1">
      <c r="K594" s="92"/>
      <c r="L594" s="92"/>
    </row>
    <row r="595" spans="11:12" s="87" customFormat="1">
      <c r="K595" s="92"/>
      <c r="L595" s="92"/>
    </row>
    <row r="596" spans="11:12" s="87" customFormat="1">
      <c r="K596" s="92"/>
      <c r="L596" s="92"/>
    </row>
    <row r="597" spans="11:12" s="87" customFormat="1">
      <c r="K597" s="92"/>
      <c r="L597" s="92"/>
    </row>
    <row r="598" spans="11:12" s="87" customFormat="1">
      <c r="K598" s="92"/>
      <c r="L598" s="92"/>
    </row>
    <row r="599" spans="11:12" s="87" customFormat="1">
      <c r="K599" s="92"/>
      <c r="L599" s="92"/>
    </row>
    <row r="600" spans="11:12" s="87" customFormat="1">
      <c r="K600" s="92"/>
      <c r="L600" s="92"/>
    </row>
    <row r="601" spans="11:12" s="87" customFormat="1">
      <c r="K601" s="92"/>
      <c r="L601" s="92"/>
    </row>
    <row r="602" spans="11:12" s="87" customFormat="1">
      <c r="K602" s="92"/>
      <c r="L602" s="92"/>
    </row>
    <row r="603" spans="11:12" s="87" customFormat="1">
      <c r="K603" s="92"/>
      <c r="L603" s="92"/>
    </row>
    <row r="604" spans="11:12" s="87" customFormat="1">
      <c r="K604" s="92"/>
      <c r="L604" s="92"/>
    </row>
    <row r="605" spans="11:12" s="87" customFormat="1">
      <c r="K605" s="92"/>
      <c r="L605" s="92"/>
    </row>
    <row r="606" spans="11:12" s="87" customFormat="1">
      <c r="K606" s="92"/>
      <c r="L606" s="92"/>
    </row>
    <row r="607" spans="11:12" s="87" customFormat="1">
      <c r="K607" s="92"/>
      <c r="L607" s="92"/>
    </row>
    <row r="608" spans="11:12" s="87" customFormat="1">
      <c r="K608" s="92"/>
      <c r="L608" s="92"/>
    </row>
    <row r="609" spans="11:12" s="87" customFormat="1">
      <c r="K609" s="92"/>
      <c r="L609" s="92"/>
    </row>
    <row r="610" spans="11:12" s="87" customFormat="1">
      <c r="K610" s="92"/>
      <c r="L610" s="92"/>
    </row>
    <row r="611" spans="11:12" s="87" customFormat="1">
      <c r="K611" s="92"/>
      <c r="L611" s="92"/>
    </row>
    <row r="612" spans="11:12" s="87" customFormat="1">
      <c r="K612" s="92"/>
      <c r="L612" s="92"/>
    </row>
    <row r="613" spans="11:12" s="87" customFormat="1">
      <c r="K613" s="92"/>
      <c r="L613" s="92"/>
    </row>
    <row r="614" spans="11:12" s="87" customFormat="1">
      <c r="K614" s="92"/>
      <c r="L614" s="92"/>
    </row>
    <row r="615" spans="11:12" s="87" customFormat="1">
      <c r="K615" s="92"/>
      <c r="L615" s="92"/>
    </row>
    <row r="616" spans="11:12" s="87" customFormat="1">
      <c r="K616" s="92"/>
      <c r="L616" s="92"/>
    </row>
    <row r="617" spans="11:12" s="87" customFormat="1">
      <c r="K617" s="92"/>
      <c r="L617" s="92"/>
    </row>
    <row r="618" spans="11:12" s="87" customFormat="1">
      <c r="K618" s="92"/>
      <c r="L618" s="92"/>
    </row>
    <row r="619" spans="11:12" s="87" customFormat="1">
      <c r="K619" s="92"/>
      <c r="L619" s="92"/>
    </row>
    <row r="620" spans="11:12" s="87" customFormat="1">
      <c r="K620" s="92"/>
      <c r="L620" s="92"/>
    </row>
    <row r="621" spans="11:12" s="87" customFormat="1">
      <c r="K621" s="92"/>
      <c r="L621" s="92"/>
    </row>
    <row r="622" spans="11:12" s="87" customFormat="1">
      <c r="K622" s="92"/>
      <c r="L622" s="92"/>
    </row>
    <row r="623" spans="11:12" s="87" customFormat="1">
      <c r="K623" s="92"/>
      <c r="L623" s="92"/>
    </row>
    <row r="624" spans="11:12" s="87" customFormat="1">
      <c r="K624" s="92"/>
      <c r="L624" s="92"/>
    </row>
    <row r="625" spans="11:12" s="87" customFormat="1">
      <c r="K625" s="92"/>
      <c r="L625" s="92"/>
    </row>
    <row r="626" spans="11:12" s="87" customFormat="1">
      <c r="K626" s="92"/>
      <c r="L626" s="92"/>
    </row>
    <row r="627" spans="11:12" s="87" customFormat="1">
      <c r="K627" s="92"/>
      <c r="L627" s="92"/>
    </row>
    <row r="628" spans="11:12" s="87" customFormat="1">
      <c r="K628" s="92"/>
      <c r="L628" s="92"/>
    </row>
    <row r="629" spans="11:12" s="87" customFormat="1">
      <c r="K629" s="92"/>
      <c r="L629" s="92"/>
    </row>
    <row r="630" spans="11:12" s="87" customFormat="1">
      <c r="K630" s="92"/>
      <c r="L630" s="92"/>
    </row>
    <row r="631" spans="11:12" s="87" customFormat="1">
      <c r="K631" s="92"/>
      <c r="L631" s="92"/>
    </row>
    <row r="632" spans="11:12" s="87" customFormat="1">
      <c r="K632" s="92"/>
      <c r="L632" s="92"/>
    </row>
    <row r="633" spans="11:12" s="87" customFormat="1">
      <c r="K633" s="92"/>
      <c r="L633" s="92"/>
    </row>
    <row r="634" spans="11:12" s="87" customFormat="1">
      <c r="K634" s="92"/>
      <c r="L634" s="92"/>
    </row>
    <row r="635" spans="11:12" s="87" customFormat="1">
      <c r="K635" s="92"/>
      <c r="L635" s="92"/>
    </row>
    <row r="636" spans="11:12" s="87" customFormat="1">
      <c r="K636" s="92"/>
      <c r="L636" s="92"/>
    </row>
    <row r="637" spans="11:12" s="87" customFormat="1">
      <c r="K637" s="92"/>
      <c r="L637" s="92"/>
    </row>
    <row r="638" spans="11:12" s="87" customFormat="1">
      <c r="K638" s="92"/>
      <c r="L638" s="92"/>
    </row>
    <row r="639" spans="11:12" s="87" customFormat="1">
      <c r="K639" s="92"/>
      <c r="L639" s="92"/>
    </row>
    <row r="640" spans="11:12" s="87" customFormat="1">
      <c r="K640" s="92"/>
      <c r="L640" s="92"/>
    </row>
    <row r="641" spans="11:12" s="87" customFormat="1">
      <c r="K641" s="92"/>
      <c r="L641" s="92"/>
    </row>
    <row r="642" spans="11:12" s="87" customFormat="1">
      <c r="K642" s="92"/>
      <c r="L642" s="92"/>
    </row>
    <row r="643" spans="11:12" s="87" customFormat="1">
      <c r="K643" s="92"/>
      <c r="L643" s="92"/>
    </row>
    <row r="644" spans="11:12" s="87" customFormat="1">
      <c r="K644" s="92"/>
      <c r="L644" s="92"/>
    </row>
    <row r="645" spans="11:12" s="87" customFormat="1">
      <c r="K645" s="92"/>
      <c r="L645" s="92"/>
    </row>
    <row r="646" spans="11:12" s="87" customFormat="1">
      <c r="K646" s="92"/>
      <c r="L646" s="92"/>
    </row>
    <row r="647" spans="11:12" s="87" customFormat="1">
      <c r="K647" s="92"/>
      <c r="L647" s="92"/>
    </row>
    <row r="648" spans="11:12" s="87" customFormat="1">
      <c r="K648" s="92"/>
      <c r="L648" s="92"/>
    </row>
    <row r="649" spans="11:12" s="87" customFormat="1">
      <c r="K649" s="92"/>
      <c r="L649" s="92"/>
    </row>
    <row r="650" spans="11:12" s="87" customFormat="1">
      <c r="K650" s="92"/>
      <c r="L650" s="92"/>
    </row>
    <row r="651" spans="11:12" s="87" customFormat="1">
      <c r="K651" s="92"/>
      <c r="L651" s="92"/>
    </row>
    <row r="652" spans="11:12" s="87" customFormat="1">
      <c r="K652" s="92"/>
      <c r="L652" s="92"/>
    </row>
    <row r="653" spans="11:12" s="87" customFormat="1">
      <c r="K653" s="92"/>
      <c r="L653" s="92"/>
    </row>
    <row r="654" spans="11:12" s="87" customFormat="1">
      <c r="K654" s="92"/>
      <c r="L654" s="92"/>
    </row>
    <row r="655" spans="11:12" s="87" customFormat="1">
      <c r="K655" s="92"/>
      <c r="L655" s="92"/>
    </row>
    <row r="656" spans="11:12" s="87" customFormat="1">
      <c r="K656" s="92"/>
      <c r="L656" s="92"/>
    </row>
    <row r="657" spans="11:12" s="87" customFormat="1">
      <c r="K657" s="92"/>
      <c r="L657" s="92"/>
    </row>
    <row r="658" spans="11:12" s="87" customFormat="1">
      <c r="K658" s="92"/>
      <c r="L658" s="92"/>
    </row>
    <row r="659" spans="11:12" s="87" customFormat="1">
      <c r="K659" s="92"/>
      <c r="L659" s="92"/>
    </row>
    <row r="660" spans="11:12" s="87" customFormat="1">
      <c r="K660" s="92"/>
      <c r="L660" s="92"/>
    </row>
    <row r="661" spans="11:12" s="87" customFormat="1">
      <c r="K661" s="92"/>
      <c r="L661" s="92"/>
    </row>
    <row r="662" spans="11:12" s="87" customFormat="1">
      <c r="K662" s="92"/>
      <c r="L662" s="92"/>
    </row>
    <row r="663" spans="11:12" s="87" customFormat="1">
      <c r="K663" s="92"/>
      <c r="L663" s="92"/>
    </row>
    <row r="664" spans="11:12" s="87" customFormat="1">
      <c r="K664" s="92"/>
      <c r="L664" s="92"/>
    </row>
    <row r="665" spans="11:12" s="87" customFormat="1">
      <c r="K665" s="92"/>
      <c r="L665" s="92"/>
    </row>
    <row r="666" spans="11:12" s="87" customFormat="1">
      <c r="K666" s="92"/>
      <c r="L666" s="92"/>
    </row>
    <row r="667" spans="11:12" s="87" customFormat="1">
      <c r="K667" s="92"/>
      <c r="L667" s="92"/>
    </row>
    <row r="668" spans="11:12" s="87" customFormat="1">
      <c r="K668" s="92"/>
      <c r="L668" s="92"/>
    </row>
    <row r="669" spans="11:12" s="87" customFormat="1">
      <c r="K669" s="92"/>
      <c r="L669" s="92"/>
    </row>
    <row r="670" spans="11:12" s="87" customFormat="1">
      <c r="K670" s="92"/>
      <c r="L670" s="92"/>
    </row>
    <row r="671" spans="11:12" s="87" customFormat="1">
      <c r="K671" s="92"/>
      <c r="L671" s="92"/>
    </row>
    <row r="672" spans="11:12" s="87" customFormat="1">
      <c r="K672" s="92"/>
      <c r="L672" s="92"/>
    </row>
    <row r="673" spans="11:12" s="87" customFormat="1">
      <c r="K673" s="92"/>
      <c r="L673" s="92"/>
    </row>
    <row r="674" spans="11:12" s="87" customFormat="1">
      <c r="K674" s="92"/>
      <c r="L674" s="92"/>
    </row>
    <row r="675" spans="11:12" s="87" customFormat="1">
      <c r="K675" s="92"/>
      <c r="L675" s="92"/>
    </row>
    <row r="676" spans="11:12" s="87" customFormat="1">
      <c r="K676" s="92"/>
      <c r="L676" s="92"/>
    </row>
    <row r="677" spans="11:12" s="87" customFormat="1">
      <c r="K677" s="92"/>
      <c r="L677" s="92"/>
    </row>
    <row r="678" spans="11:12" s="87" customFormat="1">
      <c r="K678" s="92"/>
      <c r="L678" s="92"/>
    </row>
    <row r="679" spans="11:12" s="87" customFormat="1">
      <c r="K679" s="92"/>
      <c r="L679" s="92"/>
    </row>
    <row r="680" spans="11:12" s="87" customFormat="1">
      <c r="K680" s="92"/>
      <c r="L680" s="92"/>
    </row>
    <row r="681" spans="11:12" s="87" customFormat="1">
      <c r="K681" s="92"/>
      <c r="L681" s="92"/>
    </row>
    <row r="682" spans="11:12" s="87" customFormat="1">
      <c r="K682" s="92"/>
      <c r="L682" s="92"/>
    </row>
    <row r="683" spans="11:12" s="87" customFormat="1">
      <c r="K683" s="92"/>
      <c r="L683" s="92"/>
    </row>
    <row r="684" spans="11:12" s="87" customFormat="1">
      <c r="K684" s="92"/>
      <c r="L684" s="92"/>
    </row>
    <row r="685" spans="11:12" s="87" customFormat="1">
      <c r="K685" s="92"/>
      <c r="L685" s="92"/>
    </row>
    <row r="686" spans="11:12" s="87" customFormat="1">
      <c r="K686" s="92"/>
      <c r="L686" s="92"/>
    </row>
    <row r="687" spans="11:12" s="87" customFormat="1">
      <c r="K687" s="92"/>
      <c r="L687" s="92"/>
    </row>
    <row r="688" spans="11:12" s="87" customFormat="1">
      <c r="K688" s="92"/>
      <c r="L688" s="92"/>
    </row>
    <row r="689" spans="11:12" s="87" customFormat="1">
      <c r="K689" s="92"/>
      <c r="L689" s="92"/>
    </row>
    <row r="690" spans="11:12" s="87" customFormat="1">
      <c r="K690" s="92"/>
      <c r="L690" s="92"/>
    </row>
    <row r="691" spans="11:12" s="87" customFormat="1">
      <c r="K691" s="92"/>
      <c r="L691" s="92"/>
    </row>
    <row r="692" spans="11:12" s="87" customFormat="1">
      <c r="K692" s="92"/>
      <c r="L692" s="92"/>
    </row>
    <row r="693" spans="11:12" s="87" customFormat="1">
      <c r="K693" s="92"/>
      <c r="L693" s="92"/>
    </row>
    <row r="694" spans="11:12" s="87" customFormat="1">
      <c r="K694" s="92"/>
      <c r="L694" s="92"/>
    </row>
    <row r="695" spans="11:12" s="87" customFormat="1">
      <c r="K695" s="92"/>
      <c r="L695" s="92"/>
    </row>
    <row r="696" spans="11:12" s="87" customFormat="1">
      <c r="K696" s="92"/>
      <c r="L696" s="92"/>
    </row>
    <row r="697" spans="11:12" s="87" customFormat="1">
      <c r="K697" s="92"/>
      <c r="L697" s="92"/>
    </row>
    <row r="698" spans="11:12" s="87" customFormat="1">
      <c r="K698" s="92"/>
      <c r="L698" s="92"/>
    </row>
    <row r="699" spans="11:12" s="87" customFormat="1">
      <c r="K699" s="92"/>
      <c r="L699" s="92"/>
    </row>
    <row r="700" spans="11:12" s="87" customFormat="1">
      <c r="K700" s="92"/>
      <c r="L700" s="92"/>
    </row>
    <row r="701" spans="11:12" s="87" customFormat="1">
      <c r="K701" s="92"/>
      <c r="L701" s="92"/>
    </row>
    <row r="702" spans="11:12" s="87" customFormat="1">
      <c r="K702" s="92"/>
      <c r="L702" s="92"/>
    </row>
    <row r="703" spans="11:12" s="87" customFormat="1">
      <c r="K703" s="92"/>
      <c r="L703" s="92"/>
    </row>
    <row r="704" spans="11:12" s="87" customFormat="1">
      <c r="K704" s="92"/>
      <c r="L704" s="92"/>
    </row>
    <row r="705" spans="11:12" s="87" customFormat="1">
      <c r="K705" s="92"/>
      <c r="L705" s="92"/>
    </row>
    <row r="706" spans="11:12" s="87" customFormat="1">
      <c r="K706" s="92"/>
      <c r="L706" s="92"/>
    </row>
    <row r="707" spans="11:12" s="87" customFormat="1">
      <c r="K707" s="92"/>
      <c r="L707" s="92"/>
    </row>
    <row r="708" spans="11:12" s="87" customFormat="1">
      <c r="K708" s="92"/>
      <c r="L708" s="92"/>
    </row>
    <row r="709" spans="11:12" s="87" customFormat="1">
      <c r="K709" s="92"/>
      <c r="L709" s="92"/>
    </row>
    <row r="710" spans="11:12" s="87" customFormat="1">
      <c r="K710" s="92"/>
      <c r="L710" s="92"/>
    </row>
    <row r="711" spans="11:12" s="87" customFormat="1">
      <c r="K711" s="92"/>
      <c r="L711" s="92"/>
    </row>
    <row r="712" spans="11:12" s="87" customFormat="1">
      <c r="K712" s="92"/>
      <c r="L712" s="92"/>
    </row>
    <row r="713" spans="11:12" s="87" customFormat="1">
      <c r="K713" s="92"/>
      <c r="L713" s="92"/>
    </row>
    <row r="714" spans="11:12" s="87" customFormat="1">
      <c r="K714" s="92"/>
      <c r="L714" s="92"/>
    </row>
    <row r="715" spans="11:12" s="87" customFormat="1">
      <c r="K715" s="92"/>
      <c r="L715" s="92"/>
    </row>
    <row r="716" spans="11:12" s="87" customFormat="1">
      <c r="K716" s="92"/>
      <c r="L716" s="92"/>
    </row>
    <row r="717" spans="11:12" s="87" customFormat="1">
      <c r="K717" s="92"/>
      <c r="L717" s="92"/>
    </row>
    <row r="718" spans="11:12" s="87" customFormat="1">
      <c r="K718" s="92"/>
      <c r="L718" s="92"/>
    </row>
    <row r="719" spans="11:12" s="87" customFormat="1">
      <c r="K719" s="92"/>
      <c r="L719" s="92"/>
    </row>
    <row r="720" spans="11:12" s="87" customFormat="1">
      <c r="K720" s="92"/>
      <c r="L720" s="92"/>
    </row>
    <row r="721" spans="11:12" s="87" customFormat="1">
      <c r="K721" s="92"/>
      <c r="L721" s="92"/>
    </row>
    <row r="722" spans="11:12" s="87" customFormat="1">
      <c r="K722" s="92"/>
      <c r="L722" s="92"/>
    </row>
    <row r="723" spans="11:12" s="87" customFormat="1">
      <c r="K723" s="92"/>
      <c r="L723" s="92"/>
    </row>
    <row r="724" spans="11:12" s="87" customFormat="1">
      <c r="K724" s="92"/>
      <c r="L724" s="92"/>
    </row>
    <row r="725" spans="11:12" s="87" customFormat="1">
      <c r="K725" s="92"/>
      <c r="L725" s="92"/>
    </row>
    <row r="726" spans="11:12" s="87" customFormat="1">
      <c r="K726" s="92"/>
      <c r="L726" s="92"/>
    </row>
    <row r="727" spans="11:12" s="87" customFormat="1">
      <c r="K727" s="92"/>
      <c r="L727" s="92"/>
    </row>
    <row r="728" spans="11:12" s="87" customFormat="1">
      <c r="K728" s="92"/>
      <c r="L728" s="92"/>
    </row>
    <row r="729" spans="11:12" s="87" customFormat="1">
      <c r="K729" s="92"/>
      <c r="L729" s="92"/>
    </row>
    <row r="730" spans="11:12" s="87" customFormat="1">
      <c r="K730" s="92"/>
      <c r="L730" s="92"/>
    </row>
    <row r="731" spans="11:12" s="87" customFormat="1">
      <c r="K731" s="92"/>
      <c r="L731" s="92"/>
    </row>
    <row r="732" spans="11:12" s="87" customFormat="1">
      <c r="K732" s="92"/>
      <c r="L732" s="92"/>
    </row>
    <row r="733" spans="11:12" s="87" customFormat="1">
      <c r="K733" s="92"/>
      <c r="L733" s="92"/>
    </row>
    <row r="734" spans="11:12" s="87" customFormat="1">
      <c r="K734" s="92"/>
      <c r="L734" s="92"/>
    </row>
    <row r="735" spans="11:12" s="87" customFormat="1">
      <c r="K735" s="92"/>
      <c r="L735" s="92"/>
    </row>
    <row r="736" spans="11:12" s="87" customFormat="1">
      <c r="K736" s="92"/>
      <c r="L736" s="92"/>
    </row>
    <row r="737" spans="11:12" s="87" customFormat="1">
      <c r="K737" s="92"/>
      <c r="L737" s="92"/>
    </row>
    <row r="738" spans="11:12" s="87" customFormat="1">
      <c r="K738" s="92"/>
      <c r="L738" s="92"/>
    </row>
    <row r="739" spans="11:12" s="87" customFormat="1">
      <c r="K739" s="92"/>
      <c r="L739" s="92"/>
    </row>
    <row r="740" spans="11:12" s="87" customFormat="1">
      <c r="K740" s="92"/>
      <c r="L740" s="92"/>
    </row>
    <row r="741" spans="11:12" s="87" customFormat="1">
      <c r="K741" s="92"/>
      <c r="L741" s="92"/>
    </row>
    <row r="742" spans="11:12" s="87" customFormat="1">
      <c r="K742" s="92"/>
      <c r="L742" s="92"/>
    </row>
    <row r="743" spans="11:12" s="87" customFormat="1">
      <c r="K743" s="92"/>
      <c r="L743" s="92"/>
    </row>
    <row r="744" spans="11:12" s="87" customFormat="1">
      <c r="K744" s="92"/>
      <c r="L744" s="92"/>
    </row>
    <row r="745" spans="11:12" s="87" customFormat="1">
      <c r="K745" s="92"/>
      <c r="L745" s="92"/>
    </row>
    <row r="746" spans="11:12" s="87" customFormat="1">
      <c r="K746" s="92"/>
      <c r="L746" s="92"/>
    </row>
    <row r="747" spans="11:12" s="87" customFormat="1">
      <c r="K747" s="92"/>
      <c r="L747" s="92"/>
    </row>
    <row r="748" spans="11:12" s="87" customFormat="1">
      <c r="K748" s="92"/>
      <c r="L748" s="92"/>
    </row>
    <row r="749" spans="11:12" s="87" customFormat="1">
      <c r="K749" s="92"/>
      <c r="L749" s="92"/>
    </row>
    <row r="750" spans="11:12" s="87" customFormat="1">
      <c r="K750" s="92"/>
      <c r="L750" s="92"/>
    </row>
    <row r="751" spans="11:12" s="87" customFormat="1">
      <c r="K751" s="92"/>
      <c r="L751" s="92"/>
    </row>
    <row r="752" spans="11:12" s="87" customFormat="1">
      <c r="K752" s="92"/>
      <c r="L752" s="92"/>
    </row>
    <row r="753" spans="11:12" s="87" customFormat="1">
      <c r="K753" s="92"/>
      <c r="L753" s="92"/>
    </row>
    <row r="754" spans="11:12" s="87" customFormat="1">
      <c r="K754" s="92"/>
      <c r="L754" s="92"/>
    </row>
    <row r="755" spans="11:12" s="87" customFormat="1">
      <c r="K755" s="92"/>
      <c r="L755" s="92"/>
    </row>
    <row r="756" spans="11:12" s="87" customFormat="1">
      <c r="K756" s="92"/>
      <c r="L756" s="92"/>
    </row>
    <row r="757" spans="11:12" s="87" customFormat="1">
      <c r="K757" s="92"/>
      <c r="L757" s="92"/>
    </row>
    <row r="758" spans="11:12" s="87" customFormat="1">
      <c r="K758" s="92"/>
      <c r="L758" s="92"/>
    </row>
    <row r="759" spans="11:12" s="87" customFormat="1">
      <c r="K759" s="92"/>
      <c r="L759" s="92"/>
    </row>
    <row r="760" spans="11:12" s="87" customFormat="1">
      <c r="K760" s="92"/>
      <c r="L760" s="92"/>
    </row>
    <row r="761" spans="11:12" s="87" customFormat="1">
      <c r="K761" s="92"/>
      <c r="L761" s="92"/>
    </row>
    <row r="762" spans="11:12" s="87" customFormat="1">
      <c r="K762" s="92"/>
      <c r="L762" s="92"/>
    </row>
    <row r="763" spans="11:12" s="87" customFormat="1">
      <c r="K763" s="92"/>
      <c r="L763" s="92"/>
    </row>
    <row r="764" spans="11:12" s="87" customFormat="1">
      <c r="K764" s="92"/>
      <c r="L764" s="92"/>
    </row>
    <row r="765" spans="11:12" s="87" customFormat="1">
      <c r="K765" s="92"/>
      <c r="L765" s="92"/>
    </row>
    <row r="766" spans="11:12" s="87" customFormat="1">
      <c r="K766" s="92"/>
      <c r="L766" s="92"/>
    </row>
    <row r="767" spans="11:12" s="87" customFormat="1">
      <c r="K767" s="92"/>
      <c r="L767" s="92"/>
    </row>
    <row r="768" spans="11:12" s="87" customFormat="1">
      <c r="K768" s="92"/>
      <c r="L768" s="92"/>
    </row>
    <row r="769" spans="11:12" s="87" customFormat="1">
      <c r="K769" s="92"/>
      <c r="L769" s="92"/>
    </row>
    <row r="770" spans="11:12" s="87" customFormat="1">
      <c r="K770" s="92"/>
      <c r="L770" s="92"/>
    </row>
    <row r="771" spans="11:12" s="87" customFormat="1">
      <c r="K771" s="92"/>
      <c r="L771" s="92"/>
    </row>
    <row r="772" spans="11:12" s="87" customFormat="1">
      <c r="K772" s="92"/>
      <c r="L772" s="92"/>
    </row>
    <row r="773" spans="11:12" s="87" customFormat="1">
      <c r="K773" s="92"/>
      <c r="L773" s="92"/>
    </row>
    <row r="774" spans="11:12" s="87" customFormat="1">
      <c r="K774" s="92"/>
      <c r="L774" s="92"/>
    </row>
    <row r="775" spans="11:12" s="87" customFormat="1">
      <c r="K775" s="92"/>
      <c r="L775" s="92"/>
    </row>
    <row r="776" spans="11:12" s="87" customFormat="1">
      <c r="K776" s="92"/>
      <c r="L776" s="92"/>
    </row>
    <row r="777" spans="11:12" s="87" customFormat="1">
      <c r="K777" s="92"/>
      <c r="L777" s="92"/>
    </row>
    <row r="778" spans="11:12" s="87" customFormat="1">
      <c r="K778" s="92"/>
      <c r="L778" s="92"/>
    </row>
    <row r="779" spans="11:12" s="87" customFormat="1">
      <c r="K779" s="92"/>
      <c r="L779" s="92"/>
    </row>
    <row r="780" spans="11:12" s="87" customFormat="1">
      <c r="K780" s="92"/>
      <c r="L780" s="92"/>
    </row>
    <row r="781" spans="11:12" s="87" customFormat="1">
      <c r="K781" s="92"/>
      <c r="L781" s="92"/>
    </row>
    <row r="782" spans="11:12" s="87" customFormat="1">
      <c r="K782" s="92"/>
      <c r="L782" s="92"/>
    </row>
    <row r="783" spans="11:12" s="87" customFormat="1">
      <c r="K783" s="92"/>
      <c r="L783" s="92"/>
    </row>
    <row r="784" spans="11:12" s="87" customFormat="1">
      <c r="K784" s="92"/>
      <c r="L784" s="92"/>
    </row>
    <row r="785" spans="11:12" s="87" customFormat="1">
      <c r="K785" s="92"/>
      <c r="L785" s="92"/>
    </row>
    <row r="786" spans="11:12" s="87" customFormat="1">
      <c r="K786" s="92"/>
      <c r="L786" s="92"/>
    </row>
    <row r="787" spans="11:12" s="87" customFormat="1">
      <c r="K787" s="92"/>
      <c r="L787" s="92"/>
    </row>
    <row r="788" spans="11:12" s="87" customFormat="1">
      <c r="K788" s="92"/>
      <c r="L788" s="92"/>
    </row>
    <row r="789" spans="11:12" s="87" customFormat="1">
      <c r="K789" s="92"/>
      <c r="L789" s="92"/>
    </row>
    <row r="790" spans="11:12" s="87" customFormat="1">
      <c r="K790" s="92"/>
      <c r="L790" s="92"/>
    </row>
    <row r="791" spans="11:12" s="87" customFormat="1">
      <c r="K791" s="92"/>
      <c r="L791" s="92"/>
    </row>
    <row r="792" spans="11:12" s="87" customFormat="1">
      <c r="K792" s="92"/>
      <c r="L792" s="92"/>
    </row>
    <row r="793" spans="11:12" s="87" customFormat="1">
      <c r="K793" s="92"/>
      <c r="L793" s="92"/>
    </row>
    <row r="794" spans="11:12" s="87" customFormat="1">
      <c r="K794" s="92"/>
      <c r="L794" s="92"/>
    </row>
    <row r="795" spans="11:12" s="87" customFormat="1">
      <c r="K795" s="92"/>
      <c r="L795" s="92"/>
    </row>
    <row r="796" spans="11:12" s="87" customFormat="1">
      <c r="K796" s="92"/>
      <c r="L796" s="92"/>
    </row>
    <row r="797" spans="11:12" s="87" customFormat="1">
      <c r="K797" s="92"/>
      <c r="L797" s="92"/>
    </row>
    <row r="798" spans="11:12" s="87" customFormat="1">
      <c r="K798" s="92"/>
      <c r="L798" s="92"/>
    </row>
    <row r="799" spans="11:12" s="87" customFormat="1">
      <c r="K799" s="92"/>
      <c r="L799" s="92"/>
    </row>
    <row r="800" spans="11:12" s="87" customFormat="1">
      <c r="K800" s="92"/>
      <c r="L800" s="92"/>
    </row>
    <row r="801" spans="11:12" s="87" customFormat="1">
      <c r="K801" s="92"/>
      <c r="L801" s="92"/>
    </row>
    <row r="802" spans="11:12" s="87" customFormat="1">
      <c r="K802" s="92"/>
      <c r="L802" s="92"/>
    </row>
    <row r="803" spans="11:12" s="87" customFormat="1">
      <c r="K803" s="92"/>
      <c r="L803" s="92"/>
    </row>
    <row r="804" spans="11:12" s="87" customFormat="1">
      <c r="K804" s="92"/>
      <c r="L804" s="92"/>
    </row>
    <row r="805" spans="11:12" s="87" customFormat="1">
      <c r="K805" s="92"/>
      <c r="L805" s="92"/>
    </row>
    <row r="806" spans="11:12" s="87" customFormat="1">
      <c r="K806" s="92"/>
      <c r="L806" s="92"/>
    </row>
    <row r="807" spans="11:12" s="87" customFormat="1">
      <c r="K807" s="92"/>
      <c r="L807" s="92"/>
    </row>
    <row r="808" spans="11:12" s="87" customFormat="1">
      <c r="K808" s="92"/>
      <c r="L808" s="92"/>
    </row>
    <row r="809" spans="11:12" s="87" customFormat="1">
      <c r="K809" s="92"/>
      <c r="L809" s="92"/>
    </row>
    <row r="810" spans="11:12" s="87" customFormat="1">
      <c r="K810" s="92"/>
      <c r="L810" s="92"/>
    </row>
    <row r="811" spans="11:12" s="87" customFormat="1">
      <c r="K811" s="92"/>
      <c r="L811" s="92"/>
    </row>
    <row r="812" spans="11:12" s="87" customFormat="1">
      <c r="K812" s="92"/>
      <c r="L812" s="92"/>
    </row>
    <row r="813" spans="11:12" s="87" customFormat="1">
      <c r="K813" s="92"/>
      <c r="L813" s="92"/>
    </row>
    <row r="814" spans="11:12" s="87" customFormat="1">
      <c r="K814" s="92"/>
      <c r="L814" s="92"/>
    </row>
    <row r="815" spans="11:12" s="87" customFormat="1">
      <c r="K815" s="92"/>
      <c r="L815" s="92"/>
    </row>
    <row r="816" spans="11:12" s="87" customFormat="1">
      <c r="K816" s="92"/>
      <c r="L816" s="92"/>
    </row>
    <row r="817" spans="11:12" s="87" customFormat="1">
      <c r="K817" s="92"/>
      <c r="L817" s="92"/>
    </row>
    <row r="818" spans="11:12" s="87" customFormat="1">
      <c r="K818" s="92"/>
      <c r="L818" s="92"/>
    </row>
    <row r="819" spans="11:12" s="87" customFormat="1">
      <c r="K819" s="92"/>
      <c r="L819" s="92"/>
    </row>
    <row r="820" spans="11:12" s="87" customFormat="1">
      <c r="K820" s="92"/>
      <c r="L820" s="92"/>
    </row>
    <row r="821" spans="11:12" s="87" customFormat="1">
      <c r="K821" s="92"/>
      <c r="L821" s="92"/>
    </row>
    <row r="822" spans="11:12" s="87" customFormat="1">
      <c r="K822" s="92"/>
      <c r="L822" s="92"/>
    </row>
    <row r="823" spans="11:12" s="87" customFormat="1">
      <c r="K823" s="92"/>
      <c r="L823" s="92"/>
    </row>
    <row r="824" spans="11:12" s="87" customFormat="1">
      <c r="K824" s="92"/>
      <c r="L824" s="92"/>
    </row>
    <row r="825" spans="11:12" s="87" customFormat="1">
      <c r="K825" s="92"/>
      <c r="L825" s="92"/>
    </row>
    <row r="826" spans="11:12" s="87" customFormat="1">
      <c r="K826" s="92"/>
      <c r="L826" s="92"/>
    </row>
    <row r="827" spans="11:12" s="87" customFormat="1">
      <c r="K827" s="92"/>
      <c r="L827" s="92"/>
    </row>
    <row r="828" spans="11:12" s="87" customFormat="1">
      <c r="K828" s="92"/>
      <c r="L828" s="92"/>
    </row>
    <row r="829" spans="11:12" s="87" customFormat="1">
      <c r="K829" s="92"/>
      <c r="L829" s="92"/>
    </row>
    <row r="830" spans="11:12" s="87" customFormat="1">
      <c r="K830" s="92"/>
      <c r="L830" s="92"/>
    </row>
    <row r="831" spans="11:12" s="87" customFormat="1">
      <c r="K831" s="92"/>
      <c r="L831" s="92"/>
    </row>
    <row r="832" spans="11:12" s="87" customFormat="1">
      <c r="K832" s="92"/>
      <c r="L832" s="92"/>
    </row>
    <row r="833" spans="11:12" s="87" customFormat="1">
      <c r="K833" s="92"/>
      <c r="L833" s="92"/>
    </row>
    <row r="834" spans="11:12" s="87" customFormat="1">
      <c r="K834" s="92"/>
      <c r="L834" s="92"/>
    </row>
    <row r="835" spans="11:12" s="87" customFormat="1">
      <c r="K835" s="92"/>
      <c r="L835" s="92"/>
    </row>
    <row r="836" spans="11:12" s="87" customFormat="1">
      <c r="K836" s="92"/>
      <c r="L836" s="92"/>
    </row>
    <row r="837" spans="11:12" s="87" customFormat="1">
      <c r="K837" s="92"/>
      <c r="L837" s="92"/>
    </row>
    <row r="838" spans="11:12" s="87" customFormat="1">
      <c r="K838" s="92"/>
      <c r="L838" s="92"/>
    </row>
    <row r="839" spans="11:12" s="87" customFormat="1">
      <c r="K839" s="92"/>
      <c r="L839" s="92"/>
    </row>
    <row r="840" spans="11:12" s="87" customFormat="1">
      <c r="K840" s="92"/>
      <c r="L840" s="92"/>
    </row>
    <row r="841" spans="11:12" s="87" customFormat="1">
      <c r="K841" s="92"/>
      <c r="L841" s="92"/>
    </row>
    <row r="842" spans="11:12" s="87" customFormat="1">
      <c r="K842" s="92"/>
      <c r="L842" s="92"/>
    </row>
    <row r="843" spans="11:12" s="87" customFormat="1">
      <c r="K843" s="92"/>
      <c r="L843" s="92"/>
    </row>
    <row r="844" spans="11:12" s="87" customFormat="1">
      <c r="K844" s="92"/>
      <c r="L844" s="92"/>
    </row>
    <row r="845" spans="11:12" s="87" customFormat="1">
      <c r="K845" s="92"/>
      <c r="L845" s="92"/>
    </row>
    <row r="846" spans="11:12" s="87" customFormat="1">
      <c r="K846" s="92"/>
      <c r="L846" s="92"/>
    </row>
    <row r="847" spans="11:12" s="87" customFormat="1">
      <c r="K847" s="92"/>
      <c r="L847" s="92"/>
    </row>
    <row r="848" spans="11:12" s="87" customFormat="1">
      <c r="K848" s="92"/>
      <c r="L848" s="92"/>
    </row>
    <row r="849" spans="11:12" s="87" customFormat="1">
      <c r="K849" s="92"/>
      <c r="L849" s="92"/>
    </row>
    <row r="850" spans="11:12" s="87" customFormat="1">
      <c r="K850" s="92"/>
      <c r="L850" s="92"/>
    </row>
    <row r="851" spans="11:12" s="87" customFormat="1">
      <c r="K851" s="92"/>
      <c r="L851" s="92"/>
    </row>
    <row r="852" spans="11:12" s="87" customFormat="1">
      <c r="K852" s="92"/>
      <c r="L852" s="92"/>
    </row>
    <row r="853" spans="11:12" s="87" customFormat="1">
      <c r="K853" s="92"/>
      <c r="L853" s="92"/>
    </row>
    <row r="854" spans="11:12" s="87" customFormat="1">
      <c r="K854" s="92"/>
      <c r="L854" s="92"/>
    </row>
    <row r="855" spans="11:12" s="87" customFormat="1">
      <c r="K855" s="92"/>
      <c r="L855" s="92"/>
    </row>
    <row r="856" spans="11:12" s="87" customFormat="1">
      <c r="K856" s="92"/>
      <c r="L856" s="92"/>
    </row>
    <row r="857" spans="11:12" s="87" customFormat="1">
      <c r="K857" s="92"/>
      <c r="L857" s="92"/>
    </row>
    <row r="858" spans="11:12" s="87" customFormat="1">
      <c r="K858" s="92"/>
      <c r="L858" s="92"/>
    </row>
    <row r="859" spans="11:12" s="87" customFormat="1">
      <c r="K859" s="92"/>
      <c r="L859" s="92"/>
    </row>
    <row r="860" spans="11:12" s="87" customFormat="1">
      <c r="K860" s="92"/>
      <c r="L860" s="92"/>
    </row>
    <row r="861" spans="11:12" s="87" customFormat="1">
      <c r="K861" s="92"/>
      <c r="L861" s="92"/>
    </row>
    <row r="862" spans="11:12" s="87" customFormat="1">
      <c r="K862" s="92"/>
      <c r="L862" s="92"/>
    </row>
    <row r="863" spans="11:12" s="87" customFormat="1">
      <c r="K863" s="92"/>
      <c r="L863" s="92"/>
    </row>
    <row r="864" spans="11:12" s="87" customFormat="1">
      <c r="K864" s="92"/>
      <c r="L864" s="92"/>
    </row>
    <row r="865" spans="11:12" s="87" customFormat="1">
      <c r="K865" s="92"/>
      <c r="L865" s="92"/>
    </row>
    <row r="866" spans="11:12" s="87" customFormat="1">
      <c r="K866" s="92"/>
      <c r="L866" s="92"/>
    </row>
    <row r="867" spans="11:12" s="87" customFormat="1">
      <c r="K867" s="92"/>
      <c r="L867" s="92"/>
    </row>
    <row r="868" spans="11:12" s="87" customFormat="1">
      <c r="K868" s="92"/>
      <c r="L868" s="92"/>
    </row>
    <row r="869" spans="11:12" s="87" customFormat="1">
      <c r="K869" s="92"/>
      <c r="L869" s="92"/>
    </row>
    <row r="870" spans="11:12" s="87" customFormat="1">
      <c r="K870" s="92"/>
      <c r="L870" s="92"/>
    </row>
    <row r="871" spans="11:12" s="87" customFormat="1">
      <c r="K871" s="92"/>
      <c r="L871" s="92"/>
    </row>
    <row r="872" spans="11:12" s="87" customFormat="1">
      <c r="K872" s="92"/>
      <c r="L872" s="92"/>
    </row>
    <row r="873" spans="11:12" s="87" customFormat="1">
      <c r="K873" s="92"/>
      <c r="L873" s="92"/>
    </row>
    <row r="874" spans="11:12" s="87" customFormat="1">
      <c r="K874" s="92"/>
      <c r="L874" s="92"/>
    </row>
    <row r="875" spans="11:12" s="87" customFormat="1">
      <c r="K875" s="92"/>
      <c r="L875" s="92"/>
    </row>
    <row r="876" spans="11:12" s="87" customFormat="1">
      <c r="K876" s="92"/>
      <c r="L876" s="92"/>
    </row>
    <row r="877" spans="11:12" s="87" customFormat="1">
      <c r="K877" s="92"/>
      <c r="L877" s="92"/>
    </row>
    <row r="878" spans="11:12" s="87" customFormat="1">
      <c r="K878" s="92"/>
      <c r="L878" s="92"/>
    </row>
    <row r="879" spans="11:12" s="87" customFormat="1">
      <c r="K879" s="92"/>
      <c r="L879" s="92"/>
    </row>
    <row r="880" spans="11:12" s="87" customFormat="1">
      <c r="K880" s="92"/>
      <c r="L880" s="92"/>
    </row>
    <row r="881" spans="11:12" s="87" customFormat="1">
      <c r="K881" s="92"/>
      <c r="L881" s="92"/>
    </row>
    <row r="882" spans="11:12" s="87" customFormat="1">
      <c r="K882" s="92"/>
      <c r="L882" s="92"/>
    </row>
    <row r="883" spans="11:12" s="87" customFormat="1">
      <c r="K883" s="92"/>
      <c r="L883" s="92"/>
    </row>
    <row r="884" spans="11:12" s="87" customFormat="1">
      <c r="K884" s="92"/>
      <c r="L884" s="92"/>
    </row>
    <row r="885" spans="11:12" s="87" customFormat="1">
      <c r="K885" s="92"/>
      <c r="L885" s="92"/>
    </row>
    <row r="886" spans="11:12" s="87" customFormat="1">
      <c r="K886" s="92"/>
      <c r="L886" s="92"/>
    </row>
    <row r="887" spans="11:12" s="87" customFormat="1">
      <c r="K887" s="92"/>
      <c r="L887" s="92"/>
    </row>
    <row r="888" spans="11:12" s="87" customFormat="1">
      <c r="K888" s="92"/>
      <c r="L888" s="92"/>
    </row>
    <row r="889" spans="11:12" s="87" customFormat="1">
      <c r="K889" s="92"/>
      <c r="L889" s="92"/>
    </row>
    <row r="890" spans="11:12" s="87" customFormat="1">
      <c r="K890" s="92"/>
      <c r="L890" s="92"/>
    </row>
    <row r="891" spans="11:12" s="87" customFormat="1">
      <c r="K891" s="92"/>
      <c r="L891" s="92"/>
    </row>
    <row r="892" spans="11:12" s="87" customFormat="1">
      <c r="K892" s="92"/>
      <c r="L892" s="92"/>
    </row>
    <row r="893" spans="11:12" s="87" customFormat="1">
      <c r="K893" s="92"/>
      <c r="L893" s="92"/>
    </row>
    <row r="894" spans="11:12" s="87" customFormat="1">
      <c r="K894" s="92"/>
      <c r="L894" s="92"/>
    </row>
    <row r="895" spans="11:12" s="87" customFormat="1">
      <c r="K895" s="92"/>
      <c r="L895" s="92"/>
    </row>
    <row r="896" spans="11:12" s="87" customFormat="1">
      <c r="K896" s="92"/>
      <c r="L896" s="92"/>
    </row>
    <row r="897" spans="11:12" s="87" customFormat="1">
      <c r="K897" s="92"/>
      <c r="L897" s="92"/>
    </row>
    <row r="898" spans="11:12" s="87" customFormat="1">
      <c r="K898" s="92"/>
      <c r="L898" s="92"/>
    </row>
    <row r="899" spans="11:12" s="87" customFormat="1">
      <c r="K899" s="92"/>
      <c r="L899" s="92"/>
    </row>
    <row r="900" spans="11:12" s="87" customFormat="1">
      <c r="K900" s="92"/>
      <c r="L900" s="92"/>
    </row>
    <row r="901" spans="11:12" s="87" customFormat="1">
      <c r="K901" s="92"/>
      <c r="L901" s="92"/>
    </row>
    <row r="902" spans="11:12" s="87" customFormat="1">
      <c r="K902" s="92"/>
      <c r="L902" s="92"/>
    </row>
    <row r="903" spans="11:12" s="87" customFormat="1">
      <c r="K903" s="92"/>
      <c r="L903" s="92"/>
    </row>
    <row r="904" spans="11:12" s="87" customFormat="1">
      <c r="K904" s="92"/>
      <c r="L904" s="92"/>
    </row>
    <row r="905" spans="11:12" s="87" customFormat="1">
      <c r="K905" s="92"/>
      <c r="L905" s="92"/>
    </row>
    <row r="906" spans="11:12" s="87" customFormat="1">
      <c r="K906" s="92"/>
      <c r="L906" s="92"/>
    </row>
    <row r="907" spans="11:12" s="87" customFormat="1">
      <c r="K907" s="92"/>
      <c r="L907" s="92"/>
    </row>
    <row r="908" spans="11:12" s="87" customFormat="1">
      <c r="K908" s="92"/>
      <c r="L908" s="92"/>
    </row>
    <row r="909" spans="11:12" s="87" customFormat="1">
      <c r="K909" s="92"/>
      <c r="L909" s="92"/>
    </row>
    <row r="910" spans="11:12" s="87" customFormat="1">
      <c r="K910" s="92"/>
      <c r="L910" s="92"/>
    </row>
    <row r="911" spans="11:12" s="87" customFormat="1">
      <c r="K911" s="92"/>
      <c r="L911" s="92"/>
    </row>
    <row r="912" spans="11:12" s="87" customFormat="1">
      <c r="K912" s="92"/>
      <c r="L912" s="92"/>
    </row>
    <row r="913" spans="11:12" s="87" customFormat="1">
      <c r="K913" s="92"/>
      <c r="L913" s="92"/>
    </row>
    <row r="914" spans="11:12" s="87" customFormat="1">
      <c r="K914" s="92"/>
      <c r="L914" s="92"/>
    </row>
    <row r="915" spans="11:12" s="87" customFormat="1">
      <c r="K915" s="92"/>
      <c r="L915" s="92"/>
    </row>
    <row r="916" spans="11:12" s="87" customFormat="1">
      <c r="K916" s="92"/>
      <c r="L916" s="92"/>
    </row>
    <row r="917" spans="11:12" s="87" customFormat="1">
      <c r="K917" s="92"/>
      <c r="L917" s="92"/>
    </row>
    <row r="918" spans="11:12" s="87" customFormat="1">
      <c r="K918" s="92"/>
      <c r="L918" s="92"/>
    </row>
    <row r="919" spans="11:12" s="87" customFormat="1">
      <c r="K919" s="92"/>
      <c r="L919" s="92"/>
    </row>
    <row r="920" spans="11:12" s="87" customFormat="1">
      <c r="K920" s="92"/>
      <c r="L920" s="92"/>
    </row>
    <row r="921" spans="11:12" s="87" customFormat="1">
      <c r="K921" s="92"/>
      <c r="L921" s="92"/>
    </row>
    <row r="922" spans="11:12" s="87" customFormat="1">
      <c r="K922" s="92"/>
      <c r="L922" s="92"/>
    </row>
    <row r="923" spans="11:12" s="87" customFormat="1">
      <c r="K923" s="92"/>
      <c r="L923" s="92"/>
    </row>
    <row r="924" spans="11:12" s="87" customFormat="1">
      <c r="K924" s="92"/>
      <c r="L924" s="92"/>
    </row>
    <row r="925" spans="11:12" s="87" customFormat="1">
      <c r="K925" s="92"/>
      <c r="L925" s="92"/>
    </row>
    <row r="926" spans="11:12" s="87" customFormat="1">
      <c r="K926" s="92"/>
      <c r="L926" s="92"/>
    </row>
    <row r="927" spans="11:12" s="87" customFormat="1">
      <c r="K927" s="92"/>
      <c r="L927" s="92"/>
    </row>
    <row r="928" spans="11:12" s="87" customFormat="1">
      <c r="K928" s="92"/>
      <c r="L928" s="92"/>
    </row>
    <row r="929" spans="11:12" s="87" customFormat="1">
      <c r="K929" s="92"/>
      <c r="L929" s="92"/>
    </row>
    <row r="930" spans="11:12" s="87" customFormat="1">
      <c r="K930" s="92"/>
      <c r="L930" s="92"/>
    </row>
    <row r="931" spans="11:12" s="87" customFormat="1">
      <c r="K931" s="92"/>
      <c r="L931" s="92"/>
    </row>
    <row r="932" spans="11:12" s="87" customFormat="1">
      <c r="K932" s="92"/>
      <c r="L932" s="92"/>
    </row>
    <row r="933" spans="11:12" s="87" customFormat="1">
      <c r="K933" s="92"/>
      <c r="L933" s="92"/>
    </row>
    <row r="934" spans="11:12" s="87" customFormat="1">
      <c r="K934" s="92"/>
      <c r="L934" s="92"/>
    </row>
    <row r="935" spans="11:12" s="87" customFormat="1">
      <c r="K935" s="92"/>
      <c r="L935" s="92"/>
    </row>
    <row r="936" spans="11:12" s="87" customFormat="1">
      <c r="K936" s="92"/>
      <c r="L936" s="92"/>
    </row>
    <row r="937" spans="11:12" s="87" customFormat="1">
      <c r="K937" s="92"/>
      <c r="L937" s="92"/>
    </row>
    <row r="938" spans="11:12" s="87" customFormat="1">
      <c r="K938" s="92"/>
      <c r="L938" s="92"/>
    </row>
    <row r="939" spans="11:12" s="87" customFormat="1">
      <c r="K939" s="92"/>
      <c r="L939" s="92"/>
    </row>
    <row r="940" spans="11:12" s="87" customFormat="1">
      <c r="K940" s="92"/>
      <c r="L940" s="92"/>
    </row>
    <row r="941" spans="11:12" s="87" customFormat="1">
      <c r="K941" s="92"/>
      <c r="L941" s="92"/>
    </row>
    <row r="942" spans="11:12" s="87" customFormat="1">
      <c r="K942" s="92"/>
      <c r="L942" s="92"/>
    </row>
    <row r="943" spans="11:12" s="87" customFormat="1">
      <c r="K943" s="92"/>
      <c r="L943" s="92"/>
    </row>
    <row r="944" spans="11:12" s="87" customFormat="1">
      <c r="K944" s="92"/>
      <c r="L944" s="92"/>
    </row>
    <row r="945" spans="11:12" s="87" customFormat="1">
      <c r="K945" s="92"/>
      <c r="L945" s="92"/>
    </row>
    <row r="946" spans="11:12" s="87" customFormat="1">
      <c r="K946" s="92"/>
      <c r="L946" s="92"/>
    </row>
    <row r="947" spans="11:12" s="87" customFormat="1">
      <c r="K947" s="92"/>
      <c r="L947" s="92"/>
    </row>
    <row r="948" spans="11:12" s="87" customFormat="1">
      <c r="K948" s="92"/>
      <c r="L948" s="92"/>
    </row>
    <row r="949" spans="11:12" s="87" customFormat="1">
      <c r="K949" s="92"/>
      <c r="L949" s="92"/>
    </row>
    <row r="950" spans="11:12" s="87" customFormat="1">
      <c r="K950" s="92"/>
      <c r="L950" s="92"/>
    </row>
    <row r="951" spans="11:12" s="87" customFormat="1">
      <c r="K951" s="92"/>
      <c r="L951" s="92"/>
    </row>
    <row r="952" spans="11:12" s="87" customFormat="1">
      <c r="K952" s="92"/>
      <c r="L952" s="92"/>
    </row>
    <row r="953" spans="11:12" s="87" customFormat="1">
      <c r="K953" s="92"/>
      <c r="L953" s="92"/>
    </row>
    <row r="954" spans="11:12" s="87" customFormat="1">
      <c r="K954" s="92"/>
      <c r="L954" s="92"/>
    </row>
    <row r="955" spans="11:12" s="87" customFormat="1">
      <c r="K955" s="92"/>
      <c r="L955" s="92"/>
    </row>
    <row r="956" spans="11:12" s="87" customFormat="1">
      <c r="K956" s="92"/>
      <c r="L956" s="92"/>
    </row>
    <row r="957" spans="11:12" s="87" customFormat="1">
      <c r="K957" s="92"/>
      <c r="L957" s="92"/>
    </row>
    <row r="958" spans="11:12" s="87" customFormat="1">
      <c r="K958" s="92"/>
      <c r="L958" s="92"/>
    </row>
    <row r="959" spans="11:12" s="87" customFormat="1">
      <c r="K959" s="92"/>
      <c r="L959" s="92"/>
    </row>
    <row r="960" spans="11:12" s="87" customFormat="1">
      <c r="K960" s="92"/>
      <c r="L960" s="92"/>
    </row>
    <row r="961" spans="11:12" s="87" customFormat="1">
      <c r="K961" s="92"/>
      <c r="L961" s="92"/>
    </row>
    <row r="962" spans="11:12" s="87" customFormat="1">
      <c r="K962" s="92"/>
      <c r="L962" s="92"/>
    </row>
    <row r="963" spans="11:12" s="87" customFormat="1">
      <c r="K963" s="92"/>
      <c r="L963" s="92"/>
    </row>
    <row r="964" spans="11:12" s="87" customFormat="1">
      <c r="K964" s="92"/>
      <c r="L964" s="92"/>
    </row>
    <row r="965" spans="11:12" s="87" customFormat="1">
      <c r="K965" s="92"/>
      <c r="L965" s="92"/>
    </row>
    <row r="966" spans="11:12" s="87" customFormat="1">
      <c r="K966" s="92"/>
      <c r="L966" s="92"/>
    </row>
    <row r="967" spans="11:12" s="87" customFormat="1">
      <c r="K967" s="92"/>
      <c r="L967" s="92"/>
    </row>
    <row r="968" spans="11:12" s="87" customFormat="1">
      <c r="K968" s="92"/>
      <c r="L968" s="92"/>
    </row>
    <row r="969" spans="11:12" s="87" customFormat="1">
      <c r="K969" s="92"/>
      <c r="L969" s="92"/>
    </row>
    <row r="970" spans="11:12" s="87" customFormat="1">
      <c r="K970" s="92"/>
      <c r="L970" s="92"/>
    </row>
    <row r="971" spans="11:12" s="87" customFormat="1">
      <c r="K971" s="92"/>
      <c r="L971" s="92"/>
    </row>
    <row r="972" spans="11:12" s="87" customFormat="1">
      <c r="K972" s="92"/>
      <c r="L972" s="92"/>
    </row>
    <row r="973" spans="11:12" s="87" customFormat="1">
      <c r="K973" s="92"/>
      <c r="L973" s="92"/>
    </row>
    <row r="974" spans="11:12" s="87" customFormat="1">
      <c r="K974" s="92"/>
      <c r="L974" s="92"/>
    </row>
    <row r="975" spans="11:12" s="87" customFormat="1">
      <c r="K975" s="92"/>
      <c r="L975" s="92"/>
    </row>
    <row r="976" spans="11:12" s="87" customFormat="1">
      <c r="K976" s="92"/>
      <c r="L976" s="92"/>
    </row>
    <row r="977" spans="11:12" s="87" customFormat="1">
      <c r="K977" s="92"/>
      <c r="L977" s="92"/>
    </row>
    <row r="978" spans="11:12" s="87" customFormat="1">
      <c r="K978" s="92"/>
      <c r="L978" s="92"/>
    </row>
    <row r="979" spans="11:12" s="87" customFormat="1">
      <c r="K979" s="92"/>
      <c r="L979" s="92"/>
    </row>
    <row r="980" spans="11:12" s="87" customFormat="1">
      <c r="K980" s="92"/>
      <c r="L980" s="92"/>
    </row>
    <row r="981" spans="11:12" s="87" customFormat="1">
      <c r="K981" s="92"/>
      <c r="L981" s="92"/>
    </row>
    <row r="982" spans="11:12" s="87" customFormat="1">
      <c r="K982" s="92"/>
      <c r="L982" s="92"/>
    </row>
    <row r="983" spans="11:12" s="87" customFormat="1">
      <c r="K983" s="92"/>
      <c r="L983" s="92"/>
    </row>
    <row r="984" spans="11:12" s="87" customFormat="1">
      <c r="K984" s="92"/>
      <c r="L984" s="92"/>
    </row>
    <row r="985" spans="11:12" s="87" customFormat="1">
      <c r="K985" s="92"/>
      <c r="L985" s="92"/>
    </row>
    <row r="986" spans="11:12" s="87" customFormat="1">
      <c r="K986" s="92"/>
      <c r="L986" s="92"/>
    </row>
    <row r="987" spans="11:12" s="87" customFormat="1">
      <c r="K987" s="92"/>
      <c r="L987" s="92"/>
    </row>
    <row r="988" spans="11:12" s="87" customFormat="1">
      <c r="K988" s="92"/>
      <c r="L988" s="92"/>
    </row>
    <row r="989" spans="11:12" s="87" customFormat="1">
      <c r="K989" s="92"/>
      <c r="L989" s="92"/>
    </row>
    <row r="990" spans="11:12" s="87" customFormat="1">
      <c r="K990" s="92"/>
      <c r="L990" s="92"/>
    </row>
    <row r="991" spans="11:12" s="87" customFormat="1">
      <c r="K991" s="92"/>
      <c r="L991" s="92"/>
    </row>
    <row r="992" spans="11:12" s="87" customFormat="1">
      <c r="K992" s="92"/>
      <c r="L992" s="92"/>
    </row>
    <row r="993" spans="11:12" s="87" customFormat="1">
      <c r="K993" s="92"/>
      <c r="L993" s="92"/>
    </row>
    <row r="994" spans="11:12" s="87" customFormat="1">
      <c r="K994" s="92"/>
      <c r="L994" s="92"/>
    </row>
    <row r="995" spans="11:12" s="87" customFormat="1">
      <c r="K995" s="92"/>
      <c r="L995" s="92"/>
    </row>
    <row r="996" spans="11:12" s="87" customFormat="1">
      <c r="K996" s="92"/>
      <c r="L996" s="92"/>
    </row>
    <row r="997" spans="11:12" s="87" customFormat="1">
      <c r="K997" s="92"/>
      <c r="L997" s="92"/>
    </row>
    <row r="998" spans="11:12" s="87" customFormat="1">
      <c r="K998" s="92"/>
      <c r="L998" s="92"/>
    </row>
    <row r="999" spans="11:12" s="87" customFormat="1">
      <c r="K999" s="92"/>
      <c r="L999" s="92"/>
    </row>
    <row r="1000" spans="11:12" s="87" customFormat="1">
      <c r="K1000" s="92"/>
      <c r="L1000" s="92"/>
    </row>
    <row r="1001" spans="11:12" s="87" customFormat="1">
      <c r="K1001" s="92"/>
      <c r="L1001" s="92"/>
    </row>
    <row r="1002" spans="11:12" s="87" customFormat="1">
      <c r="K1002" s="92"/>
      <c r="L1002" s="92"/>
    </row>
    <row r="1003" spans="11:12" s="87" customFormat="1">
      <c r="K1003" s="92"/>
      <c r="L1003" s="92"/>
    </row>
    <row r="1004" spans="11:12" s="87" customFormat="1">
      <c r="K1004" s="92"/>
      <c r="L1004" s="92"/>
    </row>
    <row r="1005" spans="11:12" s="87" customFormat="1">
      <c r="K1005" s="92"/>
      <c r="L1005" s="92"/>
    </row>
    <row r="1006" spans="11:12" s="87" customFormat="1">
      <c r="K1006" s="92"/>
      <c r="L1006" s="92"/>
    </row>
    <row r="1007" spans="11:12" s="87" customFormat="1">
      <c r="K1007" s="92"/>
      <c r="L1007" s="92"/>
    </row>
    <row r="1008" spans="11:12" s="87" customFormat="1">
      <c r="K1008" s="92"/>
      <c r="L1008" s="92"/>
    </row>
    <row r="1009" spans="11:12" s="87" customFormat="1">
      <c r="K1009" s="92"/>
      <c r="L1009" s="92"/>
    </row>
    <row r="1010" spans="11:12" s="87" customFormat="1">
      <c r="K1010" s="92"/>
      <c r="L1010" s="92"/>
    </row>
    <row r="1011" spans="11:12" s="87" customFormat="1">
      <c r="K1011" s="92"/>
      <c r="L1011" s="92"/>
    </row>
    <row r="1012" spans="11:12" s="87" customFormat="1">
      <c r="K1012" s="92"/>
      <c r="L1012" s="92"/>
    </row>
    <row r="1013" spans="11:12" s="87" customFormat="1">
      <c r="K1013" s="92"/>
      <c r="L1013" s="92"/>
    </row>
    <row r="1014" spans="11:12" s="87" customFormat="1">
      <c r="K1014" s="92"/>
      <c r="L1014" s="92"/>
    </row>
    <row r="1015" spans="11:12" s="87" customFormat="1">
      <c r="K1015" s="92"/>
      <c r="L1015" s="92"/>
    </row>
    <row r="1016" spans="11:12" s="87" customFormat="1">
      <c r="K1016" s="92"/>
      <c r="L1016" s="92"/>
    </row>
    <row r="1017" spans="11:12" s="87" customFormat="1">
      <c r="K1017" s="92"/>
      <c r="L1017" s="92"/>
    </row>
    <row r="1018" spans="11:12" s="87" customFormat="1">
      <c r="K1018" s="92"/>
      <c r="L1018" s="92"/>
    </row>
    <row r="1019" spans="11:12" s="87" customFormat="1">
      <c r="K1019" s="92"/>
      <c r="L1019" s="92"/>
    </row>
    <row r="1020" spans="11:12" s="87" customFormat="1">
      <c r="K1020" s="92"/>
      <c r="L1020" s="92"/>
    </row>
    <row r="1021" spans="11:12" s="87" customFormat="1">
      <c r="K1021" s="92"/>
      <c r="L1021" s="92"/>
    </row>
    <row r="1022" spans="11:12" s="87" customFormat="1">
      <c r="K1022" s="92"/>
      <c r="L1022" s="92"/>
    </row>
    <row r="1023" spans="11:12" s="87" customFormat="1">
      <c r="K1023" s="92"/>
      <c r="L1023" s="92"/>
    </row>
    <row r="1024" spans="11:12" s="87" customFormat="1">
      <c r="K1024" s="92"/>
      <c r="L1024" s="92"/>
    </row>
    <row r="1025" spans="11:12" s="87" customFormat="1">
      <c r="K1025" s="92"/>
      <c r="L1025" s="92"/>
    </row>
    <row r="1026" spans="11:12" s="87" customFormat="1">
      <c r="K1026" s="92"/>
      <c r="L1026" s="92"/>
    </row>
    <row r="1027" spans="11:12" s="87" customFormat="1">
      <c r="K1027" s="92"/>
      <c r="L1027" s="92"/>
    </row>
    <row r="1028" spans="11:12" s="87" customFormat="1">
      <c r="K1028" s="92"/>
      <c r="L1028" s="92"/>
    </row>
    <row r="1029" spans="11:12" s="87" customFormat="1">
      <c r="K1029" s="92"/>
      <c r="L1029" s="92"/>
    </row>
    <row r="1030" spans="11:12" s="87" customFormat="1">
      <c r="K1030" s="92"/>
      <c r="L1030" s="92"/>
    </row>
    <row r="1031" spans="11:12" s="87" customFormat="1">
      <c r="K1031" s="92"/>
      <c r="L1031" s="92"/>
    </row>
    <row r="1032" spans="11:12" s="87" customFormat="1">
      <c r="K1032" s="92"/>
      <c r="L1032" s="92"/>
    </row>
    <row r="1033" spans="11:12" s="87" customFormat="1">
      <c r="K1033" s="92"/>
      <c r="L1033" s="92"/>
    </row>
    <row r="1034" spans="11:12" s="87" customFormat="1">
      <c r="K1034" s="92"/>
      <c r="L1034" s="92"/>
    </row>
    <row r="1035" spans="11:12" s="87" customFormat="1">
      <c r="K1035" s="92"/>
      <c r="L1035" s="92"/>
    </row>
    <row r="1036" spans="11:12" s="87" customFormat="1">
      <c r="K1036" s="92"/>
      <c r="L1036" s="92"/>
    </row>
    <row r="1037" spans="11:12" s="87" customFormat="1">
      <c r="K1037" s="92"/>
      <c r="L1037" s="92"/>
    </row>
    <row r="1038" spans="11:12" s="87" customFormat="1">
      <c r="K1038" s="92"/>
      <c r="L1038" s="92"/>
    </row>
    <row r="1039" spans="11:12" s="87" customFormat="1">
      <c r="K1039" s="92"/>
      <c r="L1039" s="92"/>
    </row>
    <row r="1040" spans="11:12" s="87" customFormat="1">
      <c r="K1040" s="92"/>
      <c r="L1040" s="92"/>
    </row>
    <row r="1041" spans="11:12" s="87" customFormat="1">
      <c r="K1041" s="92"/>
      <c r="L1041" s="92"/>
    </row>
    <row r="1042" spans="11:12" s="87" customFormat="1">
      <c r="K1042" s="92"/>
      <c r="L1042" s="92"/>
    </row>
    <row r="1043" spans="11:12" s="87" customFormat="1">
      <c r="K1043" s="92"/>
      <c r="L1043" s="92"/>
    </row>
    <row r="1044" spans="11:12" s="87" customFormat="1">
      <c r="K1044" s="92"/>
      <c r="L1044" s="92"/>
    </row>
    <row r="1045" spans="11:12" s="87" customFormat="1">
      <c r="K1045" s="92"/>
      <c r="L1045" s="92"/>
    </row>
    <row r="1046" spans="11:12" s="87" customFormat="1">
      <c r="K1046" s="92"/>
      <c r="L1046" s="92"/>
    </row>
    <row r="1047" spans="11:12" s="87" customFormat="1">
      <c r="K1047" s="92"/>
      <c r="L1047" s="92"/>
    </row>
    <row r="1048" spans="11:12" s="87" customFormat="1">
      <c r="K1048" s="92"/>
      <c r="L1048" s="92"/>
    </row>
    <row r="1049" spans="11:12" s="87" customFormat="1">
      <c r="K1049" s="92"/>
      <c r="L1049" s="92"/>
    </row>
    <row r="1050" spans="11:12" s="87" customFormat="1">
      <c r="K1050" s="92"/>
      <c r="L1050" s="92"/>
    </row>
    <row r="1051" spans="11:12" s="87" customFormat="1">
      <c r="K1051" s="92"/>
      <c r="L1051" s="92"/>
    </row>
    <row r="1052" spans="11:12" s="87" customFormat="1">
      <c r="K1052" s="92"/>
      <c r="L1052" s="92"/>
    </row>
    <row r="1053" spans="11:12" s="87" customFormat="1">
      <c r="K1053" s="92"/>
      <c r="L1053" s="92"/>
    </row>
    <row r="1054" spans="11:12" s="87" customFormat="1">
      <c r="K1054" s="92"/>
      <c r="L1054" s="92"/>
    </row>
    <row r="1055" spans="11:12" s="87" customFormat="1">
      <c r="K1055" s="92"/>
      <c r="L1055" s="92"/>
    </row>
    <row r="1056" spans="11:12" s="87" customFormat="1">
      <c r="K1056" s="92"/>
      <c r="L1056" s="92"/>
    </row>
    <row r="1057" spans="11:12" s="87" customFormat="1">
      <c r="K1057" s="92"/>
      <c r="L1057" s="92"/>
    </row>
    <row r="1058" spans="11:12" s="87" customFormat="1">
      <c r="K1058" s="92"/>
      <c r="L1058" s="92"/>
    </row>
    <row r="1059" spans="11:12" s="87" customFormat="1">
      <c r="K1059" s="92"/>
      <c r="L1059" s="92"/>
    </row>
    <row r="1060" spans="11:12" s="87" customFormat="1">
      <c r="K1060" s="92"/>
      <c r="L1060" s="92"/>
    </row>
    <row r="1061" spans="11:12" s="87" customFormat="1">
      <c r="K1061" s="92"/>
      <c r="L1061" s="92"/>
    </row>
    <row r="1062" spans="11:12" s="87" customFormat="1">
      <c r="K1062" s="92"/>
      <c r="L1062" s="92"/>
    </row>
    <row r="1063" spans="11:12" s="87" customFormat="1">
      <c r="K1063" s="92"/>
      <c r="L1063" s="92"/>
    </row>
    <row r="1064" spans="11:12" s="87" customFormat="1">
      <c r="K1064" s="92"/>
      <c r="L1064" s="92"/>
    </row>
    <row r="1065" spans="11:12" s="87" customFormat="1">
      <c r="K1065" s="92"/>
      <c r="L1065" s="92"/>
    </row>
    <row r="1066" spans="11:12" s="87" customFormat="1">
      <c r="K1066" s="92"/>
      <c r="L1066" s="92"/>
    </row>
    <row r="1067" spans="11:12" s="87" customFormat="1">
      <c r="K1067" s="92"/>
      <c r="L1067" s="92"/>
    </row>
    <row r="1068" spans="11:12" s="87" customFormat="1">
      <c r="K1068" s="92"/>
      <c r="L1068" s="92"/>
    </row>
    <row r="1069" spans="11:12" s="87" customFormat="1">
      <c r="K1069" s="92"/>
      <c r="L1069" s="92"/>
    </row>
    <row r="1070" spans="11:12" s="87" customFormat="1">
      <c r="K1070" s="92"/>
      <c r="L1070" s="92"/>
    </row>
    <row r="1071" spans="11:12" s="87" customFormat="1">
      <c r="K1071" s="92"/>
      <c r="L1071" s="92"/>
    </row>
    <row r="1072" spans="11:12" s="87" customFormat="1">
      <c r="K1072" s="92"/>
      <c r="L1072" s="92"/>
    </row>
    <row r="1073" spans="11:12" s="87" customFormat="1">
      <c r="K1073" s="92"/>
      <c r="L1073" s="92"/>
    </row>
    <row r="1074" spans="11:12" s="87" customFormat="1">
      <c r="K1074" s="92"/>
      <c r="L1074" s="92"/>
    </row>
    <row r="1075" spans="11:12" s="87" customFormat="1">
      <c r="K1075" s="92"/>
      <c r="L1075" s="92"/>
    </row>
    <row r="1076" spans="11:12" s="87" customFormat="1">
      <c r="K1076" s="92"/>
      <c r="L1076" s="92"/>
    </row>
    <row r="1077" spans="11:12" s="87" customFormat="1">
      <c r="K1077" s="92"/>
      <c r="L1077" s="92"/>
    </row>
    <row r="1078" spans="11:12" s="87" customFormat="1">
      <c r="K1078" s="92"/>
      <c r="L1078" s="92"/>
    </row>
    <row r="1079" spans="11:12" s="87" customFormat="1">
      <c r="K1079" s="92"/>
      <c r="L1079" s="92"/>
    </row>
    <row r="1080" spans="11:12" s="87" customFormat="1">
      <c r="K1080" s="92"/>
      <c r="L1080" s="92"/>
    </row>
    <row r="1081" spans="11:12" s="87" customFormat="1">
      <c r="K1081" s="92"/>
      <c r="L1081" s="92"/>
    </row>
    <row r="1082" spans="11:12" s="87" customFormat="1">
      <c r="K1082" s="92"/>
      <c r="L1082" s="92"/>
    </row>
    <row r="1083" spans="11:12" s="87" customFormat="1">
      <c r="K1083" s="92"/>
      <c r="L1083" s="92"/>
    </row>
    <row r="1084" spans="11:12" s="87" customFormat="1">
      <c r="K1084" s="92"/>
      <c r="L1084" s="92"/>
    </row>
    <row r="1085" spans="11:12" s="87" customFormat="1">
      <c r="K1085" s="92"/>
      <c r="L1085" s="92"/>
    </row>
    <row r="1086" spans="11:12" s="87" customFormat="1">
      <c r="K1086" s="92"/>
      <c r="L1086" s="92"/>
    </row>
    <row r="1087" spans="11:12" s="87" customFormat="1">
      <c r="K1087" s="92"/>
      <c r="L1087" s="92"/>
    </row>
    <row r="1088" spans="11:12" s="87" customFormat="1">
      <c r="K1088" s="92"/>
      <c r="L1088" s="92"/>
    </row>
    <row r="1089" spans="11:12" s="87" customFormat="1">
      <c r="K1089" s="92"/>
      <c r="L1089" s="92"/>
    </row>
    <row r="1090" spans="11:12" s="87" customFormat="1">
      <c r="K1090" s="92"/>
      <c r="L1090" s="92"/>
    </row>
    <row r="1091" spans="11:12" s="87" customFormat="1">
      <c r="K1091" s="92"/>
      <c r="L1091" s="92"/>
    </row>
    <row r="1092" spans="11:12" s="87" customFormat="1">
      <c r="K1092" s="92"/>
      <c r="L1092" s="92"/>
    </row>
    <row r="1093" spans="11:12" s="87" customFormat="1">
      <c r="K1093" s="92"/>
      <c r="L1093" s="92"/>
    </row>
    <row r="1094" spans="11:12" s="87" customFormat="1">
      <c r="K1094" s="92"/>
      <c r="L1094" s="92"/>
    </row>
    <row r="1095" spans="11:12" s="87" customFormat="1">
      <c r="K1095" s="92"/>
      <c r="L1095" s="92"/>
    </row>
    <row r="1096" spans="11:12" s="87" customFormat="1">
      <c r="K1096" s="92"/>
      <c r="L1096" s="92"/>
    </row>
    <row r="1097" spans="11:12" s="87" customFormat="1">
      <c r="K1097" s="92"/>
      <c r="L1097" s="92"/>
    </row>
    <row r="1098" spans="11:12" s="87" customFormat="1">
      <c r="K1098" s="92"/>
      <c r="L1098" s="92"/>
    </row>
    <row r="1099" spans="11:12" s="87" customFormat="1">
      <c r="K1099" s="92"/>
      <c r="L1099" s="92"/>
    </row>
    <row r="1100" spans="11:12" s="87" customFormat="1">
      <c r="K1100" s="92"/>
      <c r="L1100" s="92"/>
    </row>
    <row r="1101" spans="11:12" s="87" customFormat="1">
      <c r="K1101" s="92"/>
      <c r="L1101" s="92"/>
    </row>
    <row r="1102" spans="11:12" s="87" customFormat="1">
      <c r="K1102" s="92"/>
      <c r="L1102" s="92"/>
    </row>
    <row r="1103" spans="11:12" s="87" customFormat="1">
      <c r="K1103" s="92"/>
      <c r="L1103" s="92"/>
    </row>
    <row r="1104" spans="11:12" s="87" customFormat="1">
      <c r="K1104" s="92"/>
      <c r="L1104" s="92"/>
    </row>
    <row r="1105" spans="11:12" s="87" customFormat="1">
      <c r="K1105" s="92"/>
      <c r="L1105" s="92"/>
    </row>
    <row r="1106" spans="11:12" s="87" customFormat="1">
      <c r="K1106" s="92"/>
      <c r="L1106" s="92"/>
    </row>
    <row r="1107" spans="11:12" s="87" customFormat="1">
      <c r="K1107" s="92"/>
      <c r="L1107" s="92"/>
    </row>
    <row r="1108" spans="11:12" s="87" customFormat="1">
      <c r="K1108" s="92"/>
      <c r="L1108" s="92"/>
    </row>
    <row r="1109" spans="11:12" s="87" customFormat="1">
      <c r="K1109" s="92"/>
      <c r="L1109" s="92"/>
    </row>
    <row r="1110" spans="11:12" s="87" customFormat="1">
      <c r="K1110" s="92"/>
      <c r="L1110" s="92"/>
    </row>
    <row r="1111" spans="11:12" s="87" customFormat="1">
      <c r="K1111" s="92"/>
      <c r="L1111" s="92"/>
    </row>
    <row r="1112" spans="11:12" s="87" customFormat="1">
      <c r="K1112" s="92"/>
      <c r="L1112" s="92"/>
    </row>
    <row r="1113" spans="11:12" s="87" customFormat="1">
      <c r="K1113" s="92"/>
      <c r="L1113" s="92"/>
    </row>
    <row r="1114" spans="11:12" s="87" customFormat="1">
      <c r="K1114" s="92"/>
      <c r="L1114" s="92"/>
    </row>
    <row r="1115" spans="11:12" s="87" customFormat="1">
      <c r="K1115" s="92"/>
      <c r="L1115" s="92"/>
    </row>
    <row r="1116" spans="11:12" s="87" customFormat="1">
      <c r="K1116" s="92"/>
      <c r="L1116" s="92"/>
    </row>
    <row r="1117" spans="11:12" s="87" customFormat="1">
      <c r="K1117" s="92"/>
      <c r="L1117" s="92"/>
    </row>
    <row r="1118" spans="11:12" s="87" customFormat="1">
      <c r="K1118" s="92"/>
      <c r="L1118" s="92"/>
    </row>
    <row r="1119" spans="11:12" s="87" customFormat="1">
      <c r="K1119" s="92"/>
      <c r="L1119" s="92"/>
    </row>
    <row r="1120" spans="11:12" s="87" customFormat="1">
      <c r="K1120" s="92"/>
      <c r="L1120" s="92"/>
    </row>
    <row r="1121" spans="11:12" s="87" customFormat="1">
      <c r="K1121" s="92"/>
      <c r="L1121" s="92"/>
    </row>
    <row r="1122" spans="11:12" s="87" customFormat="1">
      <c r="K1122" s="92"/>
      <c r="L1122" s="92"/>
    </row>
    <row r="1123" spans="11:12" s="87" customFormat="1">
      <c r="K1123" s="92"/>
      <c r="L1123" s="92"/>
    </row>
    <row r="1124" spans="11:12" s="87" customFormat="1">
      <c r="K1124" s="92"/>
      <c r="L1124" s="92"/>
    </row>
    <row r="1125" spans="11:12" s="87" customFormat="1">
      <c r="K1125" s="92"/>
      <c r="L1125" s="92"/>
    </row>
    <row r="1126" spans="11:12" s="87" customFormat="1">
      <c r="K1126" s="92"/>
      <c r="L1126" s="92"/>
    </row>
    <row r="1127" spans="11:12" s="87" customFormat="1">
      <c r="K1127" s="92"/>
      <c r="L1127" s="92"/>
    </row>
    <row r="1128" spans="11:12" s="87" customFormat="1">
      <c r="K1128" s="92"/>
      <c r="L1128" s="92"/>
    </row>
    <row r="1129" spans="11:12" s="87" customFormat="1">
      <c r="K1129" s="92"/>
      <c r="L1129" s="92"/>
    </row>
    <row r="1130" spans="11:12" s="87" customFormat="1">
      <c r="K1130" s="92"/>
      <c r="L1130" s="92"/>
    </row>
    <row r="1131" spans="11:12" s="87" customFormat="1">
      <c r="K1131" s="92"/>
      <c r="L1131" s="92"/>
    </row>
    <row r="1132" spans="11:12" s="87" customFormat="1">
      <c r="K1132" s="92"/>
      <c r="L1132" s="92"/>
    </row>
    <row r="1133" spans="11:12" s="87" customFormat="1">
      <c r="K1133" s="92"/>
      <c r="L1133" s="92"/>
    </row>
    <row r="1134" spans="11:12" s="87" customFormat="1">
      <c r="K1134" s="92"/>
      <c r="L1134" s="92"/>
    </row>
    <row r="1135" spans="11:12" s="87" customFormat="1">
      <c r="K1135" s="92"/>
      <c r="L1135" s="92"/>
    </row>
    <row r="1136" spans="11:12" s="87" customFormat="1">
      <c r="K1136" s="92"/>
      <c r="L1136" s="92"/>
    </row>
    <row r="1137" spans="11:12" s="87" customFormat="1">
      <c r="K1137" s="92"/>
      <c r="L1137" s="92"/>
    </row>
    <row r="1138" spans="11:12" s="87" customFormat="1">
      <c r="K1138" s="92"/>
      <c r="L1138" s="92"/>
    </row>
    <row r="1139" spans="11:12" s="87" customFormat="1">
      <c r="K1139" s="92"/>
      <c r="L1139" s="92"/>
    </row>
    <row r="1140" spans="11:12" s="87" customFormat="1">
      <c r="K1140" s="92"/>
      <c r="L1140" s="92"/>
    </row>
    <row r="1141" spans="11:12" s="87" customFormat="1">
      <c r="K1141" s="92"/>
      <c r="L1141" s="92"/>
    </row>
    <row r="1142" spans="11:12" s="87" customFormat="1">
      <c r="K1142" s="92"/>
      <c r="L1142" s="92"/>
    </row>
    <row r="1143" spans="11:12" s="87" customFormat="1">
      <c r="K1143" s="92"/>
      <c r="L1143" s="92"/>
    </row>
    <row r="1144" spans="11:12" s="87" customFormat="1">
      <c r="K1144" s="92"/>
      <c r="L1144" s="92"/>
    </row>
    <row r="1145" spans="11:12" s="87" customFormat="1">
      <c r="K1145" s="92"/>
      <c r="L1145" s="92"/>
    </row>
    <row r="1146" spans="11:12" s="87" customFormat="1">
      <c r="K1146" s="92"/>
      <c r="L1146" s="92"/>
    </row>
    <row r="1147" spans="11:12" s="87" customFormat="1">
      <c r="K1147" s="92"/>
      <c r="L1147" s="92"/>
    </row>
    <row r="1148" spans="11:12" s="87" customFormat="1">
      <c r="K1148" s="92"/>
      <c r="L1148" s="92"/>
    </row>
    <row r="1149" spans="11:12" s="87" customFormat="1">
      <c r="K1149" s="92"/>
      <c r="L1149" s="92"/>
    </row>
    <row r="1150" spans="11:12" s="87" customFormat="1">
      <c r="K1150" s="92"/>
      <c r="L1150" s="92"/>
    </row>
    <row r="1151" spans="11:12" s="87" customFormat="1">
      <c r="K1151" s="92"/>
      <c r="L1151" s="92"/>
    </row>
    <row r="1152" spans="11:12" s="87" customFormat="1">
      <c r="K1152" s="92"/>
      <c r="L1152" s="92"/>
    </row>
    <row r="1153" spans="11:12" s="87" customFormat="1">
      <c r="K1153" s="92"/>
      <c r="L1153" s="92"/>
    </row>
    <row r="1154" spans="11:12" s="87" customFormat="1">
      <c r="K1154" s="92"/>
      <c r="L1154" s="92"/>
    </row>
    <row r="1155" spans="11:12" s="87" customFormat="1">
      <c r="K1155" s="92"/>
      <c r="L1155" s="92"/>
    </row>
    <row r="1156" spans="11:12" s="87" customFormat="1">
      <c r="K1156" s="92"/>
      <c r="L1156" s="92"/>
    </row>
    <row r="1157" spans="11:12" s="87" customFormat="1">
      <c r="K1157" s="92"/>
      <c r="L1157" s="92"/>
    </row>
    <row r="1158" spans="11:12" s="87" customFormat="1">
      <c r="K1158" s="92"/>
      <c r="L1158" s="92"/>
    </row>
    <row r="1159" spans="11:12" s="87" customFormat="1">
      <c r="K1159" s="92"/>
      <c r="L1159" s="92"/>
    </row>
    <row r="1160" spans="11:12" s="87" customFormat="1">
      <c r="K1160" s="92"/>
      <c r="L1160" s="92"/>
    </row>
    <row r="1161" spans="11:12" s="87" customFormat="1">
      <c r="K1161" s="92"/>
      <c r="L1161" s="92"/>
    </row>
    <row r="1162" spans="11:12" s="87" customFormat="1">
      <c r="K1162" s="92"/>
      <c r="L1162" s="92"/>
    </row>
    <row r="1163" spans="11:12" s="87" customFormat="1">
      <c r="K1163" s="92"/>
      <c r="L1163" s="92"/>
    </row>
    <row r="1164" spans="11:12" s="87" customFormat="1">
      <c r="K1164" s="92"/>
      <c r="L1164" s="92"/>
    </row>
    <row r="1165" spans="11:12" s="87" customFormat="1">
      <c r="K1165" s="92"/>
      <c r="L1165" s="92"/>
    </row>
    <row r="1166" spans="11:12" s="87" customFormat="1">
      <c r="K1166" s="92"/>
      <c r="L1166" s="92"/>
    </row>
    <row r="1167" spans="11:12" s="87" customFormat="1">
      <c r="K1167" s="92"/>
      <c r="L1167" s="92"/>
    </row>
    <row r="1168" spans="11:12" s="87" customFormat="1">
      <c r="K1168" s="92"/>
      <c r="L1168" s="92"/>
    </row>
    <row r="1169" spans="11:12" s="87" customFormat="1">
      <c r="K1169" s="92"/>
      <c r="L1169" s="92"/>
    </row>
    <row r="1170" spans="11:12" s="87" customFormat="1">
      <c r="K1170" s="92"/>
      <c r="L1170" s="92"/>
    </row>
    <row r="1171" spans="11:12" s="87" customFormat="1">
      <c r="K1171" s="92"/>
      <c r="L1171" s="92"/>
    </row>
    <row r="1172" spans="11:12" s="87" customFormat="1">
      <c r="K1172" s="92"/>
      <c r="L1172" s="92"/>
    </row>
    <row r="1173" spans="11:12" s="87" customFormat="1">
      <c r="K1173" s="92"/>
      <c r="L1173" s="92"/>
    </row>
    <row r="1174" spans="11:12" s="87" customFormat="1">
      <c r="K1174" s="92"/>
      <c r="L1174" s="92"/>
    </row>
    <row r="1175" spans="11:12" s="87" customFormat="1">
      <c r="K1175" s="92"/>
      <c r="L1175" s="92"/>
    </row>
    <row r="1176" spans="11:12" s="87" customFormat="1">
      <c r="K1176" s="92"/>
      <c r="L1176" s="92"/>
    </row>
    <row r="1177" spans="11:12" s="87" customFormat="1">
      <c r="K1177" s="92"/>
      <c r="L1177" s="92"/>
    </row>
    <row r="1178" spans="11:12" s="87" customFormat="1">
      <c r="K1178" s="92"/>
      <c r="L1178" s="92"/>
    </row>
    <row r="1179" spans="11:12" s="87" customFormat="1">
      <c r="K1179" s="92"/>
      <c r="L1179" s="92"/>
    </row>
    <row r="1180" spans="11:12" s="87" customFormat="1">
      <c r="K1180" s="92"/>
      <c r="L1180" s="92"/>
    </row>
    <row r="1181" spans="11:12" s="87" customFormat="1">
      <c r="K1181" s="92"/>
      <c r="L1181" s="92"/>
    </row>
    <row r="1182" spans="11:12" s="87" customFormat="1">
      <c r="K1182" s="92"/>
      <c r="L1182" s="92"/>
    </row>
    <row r="1183" spans="11:12" s="87" customFormat="1">
      <c r="K1183" s="92"/>
      <c r="L1183" s="92"/>
    </row>
    <row r="1184" spans="11:12" s="87" customFormat="1">
      <c r="K1184" s="92"/>
      <c r="L1184" s="92"/>
    </row>
    <row r="1185" spans="11:12" s="87" customFormat="1">
      <c r="K1185" s="92"/>
      <c r="L1185" s="92"/>
    </row>
    <row r="1186" spans="11:12" s="87" customFormat="1">
      <c r="K1186" s="92"/>
      <c r="L1186" s="92"/>
    </row>
    <row r="1187" spans="11:12" s="87" customFormat="1">
      <c r="K1187" s="92"/>
      <c r="L1187" s="92"/>
    </row>
    <row r="1188" spans="11:12" s="87" customFormat="1">
      <c r="K1188" s="92"/>
      <c r="L1188" s="92"/>
    </row>
    <row r="1189" spans="11:12" s="87" customFormat="1">
      <c r="K1189" s="92"/>
      <c r="L1189" s="92"/>
    </row>
    <row r="1190" spans="11:12" s="87" customFormat="1">
      <c r="K1190" s="92"/>
      <c r="L1190" s="92"/>
    </row>
    <row r="1191" spans="11:12" s="87" customFormat="1">
      <c r="K1191" s="92"/>
      <c r="L1191" s="92"/>
    </row>
    <row r="1192" spans="11:12" s="87" customFormat="1">
      <c r="K1192" s="92"/>
      <c r="L1192" s="92"/>
    </row>
    <row r="1193" spans="11:12" s="87" customFormat="1">
      <c r="K1193" s="92"/>
      <c r="L1193" s="92"/>
    </row>
    <row r="1194" spans="11:12" s="87" customFormat="1">
      <c r="K1194" s="92"/>
      <c r="L1194" s="92"/>
    </row>
    <row r="1195" spans="11:12" s="87" customFormat="1">
      <c r="K1195" s="92"/>
      <c r="L1195" s="92"/>
    </row>
    <row r="1196" spans="11:12" s="87" customFormat="1">
      <c r="K1196" s="92"/>
      <c r="L1196" s="92"/>
    </row>
    <row r="1197" spans="11:12" s="87" customFormat="1">
      <c r="K1197" s="92"/>
      <c r="L1197" s="92"/>
    </row>
    <row r="1198" spans="11:12" s="87" customFormat="1">
      <c r="K1198" s="92"/>
      <c r="L1198" s="92"/>
    </row>
    <row r="1199" spans="11:12" s="87" customFormat="1">
      <c r="K1199" s="92"/>
      <c r="L1199" s="92"/>
    </row>
    <row r="1200" spans="11:12" s="87" customFormat="1">
      <c r="K1200" s="92"/>
      <c r="L1200" s="92"/>
    </row>
    <row r="1201" spans="11:12" s="87" customFormat="1">
      <c r="K1201" s="92"/>
      <c r="L1201" s="92"/>
    </row>
    <row r="1202" spans="11:12" s="87" customFormat="1">
      <c r="K1202" s="92"/>
      <c r="L1202" s="92"/>
    </row>
    <row r="1203" spans="11:12" s="87" customFormat="1">
      <c r="K1203" s="92"/>
      <c r="L1203" s="92"/>
    </row>
    <row r="1204" spans="11:12" s="87" customFormat="1">
      <c r="K1204" s="92"/>
      <c r="L1204" s="92"/>
    </row>
    <row r="1205" spans="11:12" s="87" customFormat="1">
      <c r="K1205" s="92"/>
      <c r="L1205" s="92"/>
    </row>
    <row r="1206" spans="11:12" s="87" customFormat="1">
      <c r="K1206" s="92"/>
      <c r="L1206" s="92"/>
    </row>
    <row r="1207" spans="11:12" s="87" customFormat="1">
      <c r="K1207" s="92"/>
      <c r="L1207" s="92"/>
    </row>
    <row r="1208" spans="11:12" s="87" customFormat="1">
      <c r="K1208" s="92"/>
      <c r="L1208" s="92"/>
    </row>
    <row r="1209" spans="11:12" s="87" customFormat="1">
      <c r="K1209" s="92"/>
      <c r="L1209" s="92"/>
    </row>
    <row r="1210" spans="11:12" s="87" customFormat="1">
      <c r="K1210" s="92"/>
      <c r="L1210" s="92"/>
    </row>
    <row r="1211" spans="11:12" s="87" customFormat="1">
      <c r="K1211" s="92"/>
      <c r="L1211" s="92"/>
    </row>
    <row r="1212" spans="11:12" s="87" customFormat="1">
      <c r="K1212" s="92"/>
      <c r="L1212" s="92"/>
    </row>
    <row r="1213" spans="11:12" s="87" customFormat="1">
      <c r="K1213" s="92"/>
      <c r="L1213" s="92"/>
    </row>
    <row r="1214" spans="11:12" s="87" customFormat="1">
      <c r="K1214" s="92"/>
      <c r="L1214" s="92"/>
    </row>
    <row r="1215" spans="11:12" s="87" customFormat="1">
      <c r="K1215" s="92"/>
      <c r="L1215" s="92"/>
    </row>
    <row r="1216" spans="11:12" s="87" customFormat="1">
      <c r="K1216" s="92"/>
      <c r="L1216" s="92"/>
    </row>
    <row r="1217" spans="3:9">
      <c r="C1217" s="87"/>
      <c r="D1217" s="87"/>
      <c r="E1217" s="87"/>
      <c r="F1217" s="87"/>
      <c r="G1217" s="87"/>
      <c r="H1217" s="87"/>
      <c r="I1217" s="87"/>
    </row>
    <row r="1218" spans="3:9">
      <c r="C1218" s="87"/>
      <c r="D1218" s="87"/>
      <c r="E1218" s="87"/>
      <c r="F1218" s="87"/>
      <c r="G1218" s="87"/>
      <c r="H1218" s="87"/>
      <c r="I1218" s="87"/>
    </row>
    <row r="1219" spans="3:9">
      <c r="C1219" s="87"/>
      <c r="D1219" s="87"/>
      <c r="E1219" s="87"/>
      <c r="F1219" s="87"/>
      <c r="G1219" s="87"/>
      <c r="H1219" s="87"/>
      <c r="I1219" s="87"/>
    </row>
    <row r="1220" spans="3:9">
      <c r="C1220" s="87"/>
      <c r="D1220" s="87"/>
      <c r="E1220" s="87"/>
      <c r="F1220" s="87"/>
      <c r="G1220" s="87"/>
      <c r="H1220" s="87"/>
      <c r="I1220" s="87"/>
    </row>
    <row r="1221" spans="3:9">
      <c r="C1221" s="87"/>
      <c r="D1221" s="87"/>
      <c r="E1221" s="87"/>
      <c r="F1221" s="87"/>
      <c r="G1221" s="87"/>
      <c r="H1221" s="87"/>
      <c r="I1221" s="87"/>
    </row>
    <row r="1222" spans="3:9">
      <c r="C1222" s="87"/>
      <c r="D1222" s="87"/>
      <c r="E1222" s="87"/>
      <c r="F1222" s="87"/>
      <c r="G1222" s="87"/>
      <c r="H1222" s="87"/>
      <c r="I1222" s="87"/>
    </row>
    <row r="1223" spans="3:9">
      <c r="C1223" s="87"/>
      <c r="D1223" s="87"/>
      <c r="E1223" s="87"/>
      <c r="F1223" s="87"/>
      <c r="G1223" s="87"/>
      <c r="H1223" s="87"/>
      <c r="I1223" s="87"/>
    </row>
    <row r="1224" spans="3:9">
      <c r="C1224" s="87"/>
      <c r="D1224" s="87"/>
      <c r="E1224" s="87"/>
      <c r="F1224" s="87"/>
      <c r="G1224" s="87"/>
      <c r="H1224" s="87"/>
      <c r="I1224" s="87"/>
    </row>
    <row r="1225" spans="3:9">
      <c r="C1225" s="87"/>
      <c r="D1225" s="87"/>
      <c r="E1225" s="87"/>
      <c r="F1225" s="87"/>
      <c r="G1225" s="87"/>
      <c r="H1225" s="87"/>
      <c r="I1225" s="87"/>
    </row>
    <row r="1226" spans="3:9">
      <c r="C1226" s="87"/>
      <c r="D1226" s="87"/>
      <c r="E1226" s="87"/>
      <c r="F1226" s="87"/>
      <c r="G1226" s="87"/>
      <c r="H1226" s="87"/>
      <c r="I1226" s="87"/>
    </row>
    <row r="1227" spans="3:9">
      <c r="C1227" s="87"/>
      <c r="D1227" s="87"/>
      <c r="E1227" s="87"/>
      <c r="F1227" s="87"/>
      <c r="G1227" s="87"/>
      <c r="H1227" s="87"/>
      <c r="I1227" s="87"/>
    </row>
    <row r="1228" spans="3:9">
      <c r="C1228" s="87"/>
      <c r="D1228" s="87"/>
      <c r="E1228" s="87"/>
      <c r="F1228" s="87"/>
      <c r="G1228" s="87"/>
      <c r="H1228" s="87"/>
      <c r="I1228" s="87"/>
    </row>
    <row r="1229" spans="3:9">
      <c r="C1229" s="87"/>
      <c r="D1229" s="87"/>
      <c r="E1229" s="87"/>
      <c r="F1229" s="87"/>
      <c r="G1229" s="87"/>
      <c r="H1229" s="87"/>
    </row>
  </sheetData>
  <mergeCells count="3">
    <mergeCell ref="K6:L6"/>
    <mergeCell ref="N6:O6"/>
    <mergeCell ref="B6:H6"/>
  </mergeCells>
  <hyperlinks>
    <hyperlink ref="B1" location="'Main Menu'!A1" tooltip="Go to the main menu" display="&gt;&gt; Main Menu" xr:uid="{00000000-0004-0000-1400-000000000000}"/>
  </hyperlinks>
  <pageMargins left="0.7" right="0.7" top="0.75" bottom="0.75" header="0.3" footer="0.3"/>
  <pageSetup paperSize="9" orientation="portrait" r:id="rId1"/>
  <headerFooter>
    <oddFooter>&amp;C&amp;1#&amp;"Helvetica 75 Bold"&amp;8&amp;KED7D31Orange Restricted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72"/>
  <sheetViews>
    <sheetView workbookViewId="0">
      <selection activeCell="B335" sqref="B335:B369"/>
    </sheetView>
  </sheetViews>
  <sheetFormatPr defaultColWidth="9.28515625" defaultRowHeight="11.25"/>
  <cols>
    <col min="1" max="1" width="23.7109375" style="110" customWidth="1"/>
    <col min="2" max="2" width="9.28515625" style="110" customWidth="1"/>
    <col min="3" max="6" width="9.28515625" style="18"/>
    <col min="7" max="7" width="29.7109375" style="18" bestFit="1" customWidth="1"/>
    <col min="8" max="8" width="26.28515625" style="18" bestFit="1" customWidth="1"/>
    <col min="9" max="9" width="4.7109375" style="18" customWidth="1"/>
    <col min="10" max="16384" width="9.28515625" style="18"/>
  </cols>
  <sheetData>
    <row r="1" spans="1:9">
      <c r="A1" s="109" t="s">
        <v>625</v>
      </c>
      <c r="B1" s="112" t="s">
        <v>925</v>
      </c>
      <c r="C1" s="112" t="s">
        <v>926</v>
      </c>
      <c r="G1" s="121" t="s">
        <v>928</v>
      </c>
    </row>
    <row r="2" spans="1:9">
      <c r="A2" s="113" t="s">
        <v>171</v>
      </c>
      <c r="B2" s="113" t="s">
        <v>464</v>
      </c>
      <c r="C2" s="114" t="s">
        <v>630</v>
      </c>
      <c r="G2" s="121" t="s">
        <v>926</v>
      </c>
      <c r="H2" s="121" t="s">
        <v>625</v>
      </c>
      <c r="I2" s="18" t="s">
        <v>929</v>
      </c>
    </row>
    <row r="3" spans="1:9">
      <c r="A3" s="113" t="s">
        <v>172</v>
      </c>
      <c r="B3" s="113" t="s">
        <v>467</v>
      </c>
      <c r="C3" s="114" t="s">
        <v>636</v>
      </c>
      <c r="G3" s="18" t="s">
        <v>654</v>
      </c>
      <c r="H3" s="18" t="s">
        <v>175</v>
      </c>
      <c r="I3" s="122">
        <v>1</v>
      </c>
    </row>
    <row r="4" spans="1:9">
      <c r="A4" s="113" t="s">
        <v>173</v>
      </c>
      <c r="B4" s="113" t="s">
        <v>506</v>
      </c>
      <c r="C4" s="114" t="s">
        <v>640</v>
      </c>
      <c r="G4" s="18" t="s">
        <v>864</v>
      </c>
      <c r="H4" s="18" t="s">
        <v>102</v>
      </c>
      <c r="I4" s="122">
        <v>1</v>
      </c>
    </row>
    <row r="5" spans="1:9">
      <c r="A5" s="113" t="s">
        <v>174</v>
      </c>
      <c r="B5" s="113" t="s">
        <v>472</v>
      </c>
      <c r="C5" s="114" t="s">
        <v>649</v>
      </c>
      <c r="G5" s="18" t="s">
        <v>630</v>
      </c>
      <c r="H5" s="18" t="s">
        <v>171</v>
      </c>
      <c r="I5" s="122">
        <v>1</v>
      </c>
    </row>
    <row r="6" spans="1:9">
      <c r="A6" s="113" t="s">
        <v>175</v>
      </c>
      <c r="B6" s="113" t="s">
        <v>468</v>
      </c>
      <c r="C6" s="114" t="s">
        <v>654</v>
      </c>
      <c r="G6" s="18" t="s">
        <v>666</v>
      </c>
      <c r="H6" s="18" t="s">
        <v>178</v>
      </c>
      <c r="I6" s="122">
        <v>1</v>
      </c>
    </row>
    <row r="7" spans="1:9">
      <c r="A7" s="113" t="s">
        <v>176</v>
      </c>
      <c r="B7" s="113" t="s">
        <v>465</v>
      </c>
      <c r="C7" s="114" t="s">
        <v>659</v>
      </c>
      <c r="G7" s="18" t="s">
        <v>662</v>
      </c>
      <c r="H7" s="18" t="s">
        <v>177</v>
      </c>
      <c r="I7" s="122">
        <v>1</v>
      </c>
    </row>
    <row r="8" spans="1:9">
      <c r="A8" s="113" t="s">
        <v>177</v>
      </c>
      <c r="B8" s="113" t="s">
        <v>466</v>
      </c>
      <c r="C8" s="114" t="s">
        <v>662</v>
      </c>
      <c r="G8" s="18" t="s">
        <v>636</v>
      </c>
      <c r="H8" s="18" t="s">
        <v>172</v>
      </c>
      <c r="I8" s="122">
        <v>1</v>
      </c>
    </row>
    <row r="9" spans="1:9">
      <c r="A9" s="113" t="s">
        <v>23</v>
      </c>
      <c r="B9" s="113" t="s">
        <v>473</v>
      </c>
      <c r="C9" s="114" t="s">
        <v>664</v>
      </c>
      <c r="G9" s="18" t="s">
        <v>670</v>
      </c>
      <c r="H9" s="18" t="s">
        <v>179</v>
      </c>
      <c r="I9" s="122">
        <v>1</v>
      </c>
    </row>
    <row r="10" spans="1:9">
      <c r="A10" s="113" t="s">
        <v>178</v>
      </c>
      <c r="B10" s="113" t="s">
        <v>474</v>
      </c>
      <c r="C10" s="114" t="s">
        <v>666</v>
      </c>
      <c r="G10" s="18" t="s">
        <v>659</v>
      </c>
      <c r="H10" s="18" t="s">
        <v>176</v>
      </c>
      <c r="I10" s="122">
        <v>1</v>
      </c>
    </row>
    <row r="11" spans="1:9">
      <c r="A11" s="113" t="s">
        <v>68</v>
      </c>
      <c r="B11" s="113" t="s">
        <v>470</v>
      </c>
      <c r="C11" s="114" t="s">
        <v>669</v>
      </c>
      <c r="G11" s="18" t="s">
        <v>664</v>
      </c>
      <c r="H11" s="18" t="s">
        <v>23</v>
      </c>
      <c r="I11" s="122">
        <v>1</v>
      </c>
    </row>
    <row r="12" spans="1:9">
      <c r="A12" s="113" t="s">
        <v>179</v>
      </c>
      <c r="B12" s="113" t="s">
        <v>471</v>
      </c>
      <c r="C12" s="114" t="s">
        <v>670</v>
      </c>
      <c r="G12" s="18" t="s">
        <v>669</v>
      </c>
      <c r="H12" s="18" t="s">
        <v>68</v>
      </c>
      <c r="I12" s="122">
        <v>1</v>
      </c>
    </row>
    <row r="13" spans="1:9">
      <c r="A13" s="113" t="s">
        <v>180</v>
      </c>
      <c r="B13" s="113" t="s">
        <v>463</v>
      </c>
      <c r="C13" s="114" t="s">
        <v>671</v>
      </c>
      <c r="G13" s="18" t="s">
        <v>649</v>
      </c>
      <c r="H13" s="18" t="s">
        <v>174</v>
      </c>
      <c r="I13" s="122">
        <v>1</v>
      </c>
    </row>
    <row r="14" spans="1:9">
      <c r="A14" s="113" t="s">
        <v>43</v>
      </c>
      <c r="B14" s="113" t="s">
        <v>385</v>
      </c>
      <c r="C14" s="114" t="s">
        <v>294</v>
      </c>
      <c r="G14" s="18" t="s">
        <v>295</v>
      </c>
      <c r="H14" s="18" t="s">
        <v>44</v>
      </c>
      <c r="I14" s="122">
        <v>1</v>
      </c>
    </row>
    <row r="15" spans="1:9">
      <c r="A15" s="113" t="s">
        <v>44</v>
      </c>
      <c r="B15" s="113" t="s">
        <v>386</v>
      </c>
      <c r="C15" s="114" t="s">
        <v>295</v>
      </c>
      <c r="G15" s="18" t="s">
        <v>294</v>
      </c>
      <c r="H15" s="18" t="s">
        <v>43</v>
      </c>
      <c r="I15" s="122">
        <v>1</v>
      </c>
    </row>
    <row r="16" spans="1:9">
      <c r="A16" s="113" t="s">
        <v>181</v>
      </c>
      <c r="B16" s="113" t="s">
        <v>475</v>
      </c>
      <c r="C16" s="114" t="s">
        <v>675</v>
      </c>
      <c r="G16" s="18" t="s">
        <v>671</v>
      </c>
      <c r="H16" s="18" t="s">
        <v>180</v>
      </c>
      <c r="I16" s="122">
        <v>1</v>
      </c>
    </row>
    <row r="17" spans="1:9">
      <c r="A17" s="113" t="s">
        <v>183</v>
      </c>
      <c r="B17" s="113" t="s">
        <v>481</v>
      </c>
      <c r="C17" s="114" t="s">
        <v>676</v>
      </c>
      <c r="G17" s="18" t="s">
        <v>675</v>
      </c>
      <c r="H17" s="18" t="s">
        <v>181</v>
      </c>
      <c r="I17" s="122">
        <v>1</v>
      </c>
    </row>
    <row r="18" spans="1:9">
      <c r="A18" s="113" t="s">
        <v>69</v>
      </c>
      <c r="B18" s="113" t="s">
        <v>389</v>
      </c>
      <c r="C18" s="114" t="s">
        <v>677</v>
      </c>
      <c r="G18" s="18" t="s">
        <v>687</v>
      </c>
      <c r="H18" s="18" t="s">
        <v>197</v>
      </c>
      <c r="I18" s="122">
        <v>1</v>
      </c>
    </row>
    <row r="19" spans="1:9">
      <c r="A19" s="113" t="s">
        <v>184</v>
      </c>
      <c r="B19" s="115" t="s">
        <v>480</v>
      </c>
      <c r="C19" s="114" t="s">
        <v>678</v>
      </c>
      <c r="H19" s="18" t="s">
        <v>892</v>
      </c>
      <c r="I19" s="122">
        <v>1</v>
      </c>
    </row>
    <row r="20" spans="1:9">
      <c r="A20" s="113" t="s">
        <v>185</v>
      </c>
      <c r="B20" s="113" t="s">
        <v>486</v>
      </c>
      <c r="C20" s="114" t="s">
        <v>679</v>
      </c>
      <c r="H20" s="18" t="s">
        <v>301</v>
      </c>
      <c r="I20" s="122">
        <v>1</v>
      </c>
    </row>
    <row r="21" spans="1:9">
      <c r="A21" s="113" t="s">
        <v>186</v>
      </c>
      <c r="B21" s="113" t="s">
        <v>483</v>
      </c>
      <c r="C21" s="114" t="s">
        <v>680</v>
      </c>
      <c r="G21" s="18" t="s">
        <v>679</v>
      </c>
      <c r="H21" s="18" t="s">
        <v>185</v>
      </c>
      <c r="I21" s="122">
        <v>1</v>
      </c>
    </row>
    <row r="22" spans="1:9">
      <c r="A22" s="113" t="s">
        <v>65</v>
      </c>
      <c r="B22" s="113" t="s">
        <v>387</v>
      </c>
      <c r="C22" s="114" t="s">
        <v>296</v>
      </c>
      <c r="G22" s="18" t="s">
        <v>678</v>
      </c>
      <c r="H22" s="18" t="s">
        <v>184</v>
      </c>
      <c r="I22" s="122">
        <v>1</v>
      </c>
    </row>
    <row r="23" spans="1:9">
      <c r="A23" s="113" t="s">
        <v>187</v>
      </c>
      <c r="B23" s="113" t="s">
        <v>484</v>
      </c>
      <c r="C23" s="114" t="s">
        <v>681</v>
      </c>
      <c r="G23" s="18" t="s">
        <v>296</v>
      </c>
      <c r="H23" s="18" t="s">
        <v>65</v>
      </c>
      <c r="I23" s="122">
        <v>1</v>
      </c>
    </row>
    <row r="24" spans="1:9">
      <c r="A24" s="113" t="s">
        <v>188</v>
      </c>
      <c r="B24" s="113" t="s">
        <v>477</v>
      </c>
      <c r="C24" s="114" t="s">
        <v>682</v>
      </c>
      <c r="G24" s="18" t="s">
        <v>692</v>
      </c>
      <c r="H24" s="18" t="s">
        <v>893</v>
      </c>
      <c r="I24" s="122">
        <v>1</v>
      </c>
    </row>
    <row r="25" spans="1:9">
      <c r="A25" s="113" t="s">
        <v>189</v>
      </c>
      <c r="B25" s="113" t="s">
        <v>390</v>
      </c>
      <c r="C25" s="114" t="s">
        <v>683</v>
      </c>
      <c r="H25" s="18" t="s">
        <v>8</v>
      </c>
      <c r="I25" s="122">
        <v>1</v>
      </c>
    </row>
    <row r="26" spans="1:9">
      <c r="A26" s="113" t="s">
        <v>190</v>
      </c>
      <c r="B26" s="113" t="s">
        <v>488</v>
      </c>
      <c r="C26" s="114" t="s">
        <v>684</v>
      </c>
      <c r="G26" s="18" t="s">
        <v>691</v>
      </c>
      <c r="H26" s="18" t="s">
        <v>70</v>
      </c>
      <c r="I26" s="122">
        <v>1</v>
      </c>
    </row>
    <row r="27" spans="1:9">
      <c r="A27" s="113" t="s">
        <v>191</v>
      </c>
      <c r="B27" s="113" t="s">
        <v>485</v>
      </c>
      <c r="C27" s="114" t="s">
        <v>685</v>
      </c>
      <c r="G27" s="18" t="s">
        <v>677</v>
      </c>
      <c r="H27" s="18" t="s">
        <v>69</v>
      </c>
      <c r="I27" s="122">
        <v>1</v>
      </c>
    </row>
    <row r="28" spans="1:9">
      <c r="A28" s="113" t="s">
        <v>915</v>
      </c>
      <c r="B28" s="113" t="s">
        <v>478</v>
      </c>
      <c r="C28" s="114" t="s">
        <v>920</v>
      </c>
      <c r="G28" s="18" t="s">
        <v>693</v>
      </c>
      <c r="H28" s="18" t="s">
        <v>9</v>
      </c>
      <c r="I28" s="122">
        <v>1</v>
      </c>
    </row>
    <row r="29" spans="1:9">
      <c r="A29" s="113" t="s">
        <v>197</v>
      </c>
      <c r="B29" s="113" t="s">
        <v>482</v>
      </c>
      <c r="C29" s="114" t="s">
        <v>687</v>
      </c>
      <c r="G29" s="18" t="s">
        <v>682</v>
      </c>
      <c r="H29" s="18" t="s">
        <v>188</v>
      </c>
      <c r="I29" s="122">
        <v>1</v>
      </c>
    </row>
    <row r="30" spans="1:9">
      <c r="A30" s="113" t="s">
        <v>192</v>
      </c>
      <c r="B30" s="113" t="s">
        <v>489</v>
      </c>
      <c r="C30" s="114" t="s">
        <v>688</v>
      </c>
      <c r="G30" s="18" t="s">
        <v>683</v>
      </c>
      <c r="H30" s="18" t="s">
        <v>189</v>
      </c>
      <c r="I30" s="122">
        <v>1</v>
      </c>
    </row>
    <row r="31" spans="1:9">
      <c r="A31" s="113" t="s">
        <v>45</v>
      </c>
      <c r="B31" s="113" t="s">
        <v>391</v>
      </c>
      <c r="C31" s="114" t="s">
        <v>689</v>
      </c>
      <c r="G31" s="18" t="s">
        <v>690</v>
      </c>
      <c r="H31" s="18" t="s">
        <v>7</v>
      </c>
      <c r="I31" s="122">
        <v>1</v>
      </c>
    </row>
    <row r="32" spans="1:9">
      <c r="A32" s="113" t="s">
        <v>7</v>
      </c>
      <c r="B32" s="113" t="s">
        <v>487</v>
      </c>
      <c r="C32" s="114" t="s">
        <v>690</v>
      </c>
      <c r="G32" s="18" t="s">
        <v>685</v>
      </c>
      <c r="H32" s="18" t="s">
        <v>191</v>
      </c>
      <c r="I32" s="122">
        <v>1</v>
      </c>
    </row>
    <row r="33" spans="1:9">
      <c r="A33" s="113" t="s">
        <v>70</v>
      </c>
      <c r="B33" s="113" t="s">
        <v>388</v>
      </c>
      <c r="C33" s="114" t="s">
        <v>691</v>
      </c>
      <c r="G33" s="18" t="s">
        <v>920</v>
      </c>
      <c r="H33" s="18" t="s">
        <v>891</v>
      </c>
      <c r="I33" s="122">
        <v>1</v>
      </c>
    </row>
    <row r="34" spans="1:9">
      <c r="A34" s="113" t="s">
        <v>8</v>
      </c>
      <c r="B34" s="113" t="s">
        <v>479</v>
      </c>
      <c r="C34" s="114" t="s">
        <v>692</v>
      </c>
      <c r="H34" s="18" t="s">
        <v>915</v>
      </c>
      <c r="I34" s="122">
        <v>1</v>
      </c>
    </row>
    <row r="35" spans="1:9">
      <c r="A35" s="113" t="s">
        <v>9</v>
      </c>
      <c r="B35" s="113" t="s">
        <v>476</v>
      </c>
      <c r="C35" s="114" t="s">
        <v>693</v>
      </c>
      <c r="G35" s="18" t="s">
        <v>689</v>
      </c>
      <c r="H35" s="18" t="s">
        <v>45</v>
      </c>
      <c r="I35" s="122">
        <v>1</v>
      </c>
    </row>
    <row r="36" spans="1:9">
      <c r="A36" s="113" t="s">
        <v>10</v>
      </c>
      <c r="B36" s="113" t="s">
        <v>532</v>
      </c>
      <c r="C36" s="114" t="s">
        <v>694</v>
      </c>
      <c r="G36" s="18" t="s">
        <v>676</v>
      </c>
      <c r="H36" s="18" t="s">
        <v>183</v>
      </c>
      <c r="I36" s="122">
        <v>1</v>
      </c>
    </row>
    <row r="37" spans="1:9">
      <c r="A37" s="113" t="s">
        <v>11</v>
      </c>
      <c r="B37" s="113" t="s">
        <v>493</v>
      </c>
      <c r="C37" s="114" t="s">
        <v>695</v>
      </c>
      <c r="G37" s="18" t="s">
        <v>684</v>
      </c>
      <c r="H37" s="18" t="s">
        <v>190</v>
      </c>
      <c r="I37" s="122">
        <v>1</v>
      </c>
    </row>
    <row r="38" spans="1:9">
      <c r="A38" s="113" t="s">
        <v>46</v>
      </c>
      <c r="B38" s="113" t="s">
        <v>392</v>
      </c>
      <c r="C38" s="114" t="s">
        <v>696</v>
      </c>
      <c r="G38" s="18" t="s">
        <v>688</v>
      </c>
      <c r="H38" s="18" t="s">
        <v>192</v>
      </c>
      <c r="I38" s="122">
        <v>1</v>
      </c>
    </row>
    <row r="39" spans="1:9">
      <c r="A39" s="113" t="s">
        <v>13</v>
      </c>
      <c r="B39" s="113" t="s">
        <v>498</v>
      </c>
      <c r="C39" s="114" t="s">
        <v>697</v>
      </c>
      <c r="G39" s="18" t="s">
        <v>680</v>
      </c>
      <c r="H39" s="18" t="s">
        <v>186</v>
      </c>
      <c r="I39" s="122">
        <v>1</v>
      </c>
    </row>
    <row r="40" spans="1:9">
      <c r="A40" s="113" t="s">
        <v>14</v>
      </c>
      <c r="B40" s="113" t="s">
        <v>501</v>
      </c>
      <c r="C40" s="114" t="s">
        <v>698</v>
      </c>
      <c r="G40" s="18" t="s">
        <v>681</v>
      </c>
      <c r="H40" s="18" t="s">
        <v>187</v>
      </c>
      <c r="I40" s="122">
        <v>1</v>
      </c>
    </row>
    <row r="41" spans="1:9">
      <c r="A41" s="113" t="s">
        <v>15</v>
      </c>
      <c r="B41" s="113" t="s">
        <v>490</v>
      </c>
      <c r="C41" s="114" t="s">
        <v>699</v>
      </c>
      <c r="G41" s="18" t="s">
        <v>696</v>
      </c>
      <c r="H41" s="18" t="s">
        <v>46</v>
      </c>
      <c r="I41" s="122">
        <v>1</v>
      </c>
    </row>
    <row r="42" spans="1:9">
      <c r="A42" s="113" t="s">
        <v>16</v>
      </c>
      <c r="B42" s="113" t="s">
        <v>597</v>
      </c>
      <c r="C42" s="114" t="s">
        <v>700</v>
      </c>
      <c r="G42" s="18" t="s">
        <v>706</v>
      </c>
      <c r="H42" s="18" t="s">
        <v>198</v>
      </c>
      <c r="I42" s="122">
        <v>1</v>
      </c>
    </row>
    <row r="43" spans="1:9">
      <c r="A43" s="113" t="s">
        <v>71</v>
      </c>
      <c r="B43" s="113" t="s">
        <v>394</v>
      </c>
      <c r="C43" s="114" t="s">
        <v>701</v>
      </c>
      <c r="H43" s="18" t="s">
        <v>897</v>
      </c>
      <c r="I43" s="122">
        <v>1</v>
      </c>
    </row>
    <row r="44" spans="1:9">
      <c r="A44" s="113" t="s">
        <v>72</v>
      </c>
      <c r="B44" s="113" t="s">
        <v>395</v>
      </c>
      <c r="C44" s="114" t="s">
        <v>702</v>
      </c>
      <c r="G44" s="18" t="s">
        <v>699</v>
      </c>
      <c r="H44" s="18" t="s">
        <v>895</v>
      </c>
      <c r="I44" s="122">
        <v>1</v>
      </c>
    </row>
    <row r="45" spans="1:9">
      <c r="A45" s="113" t="s">
        <v>73</v>
      </c>
      <c r="B45" s="113" t="s">
        <v>496</v>
      </c>
      <c r="C45" s="114" t="s">
        <v>703</v>
      </c>
      <c r="H45" s="18" t="s">
        <v>15</v>
      </c>
      <c r="I45" s="122">
        <v>1</v>
      </c>
    </row>
    <row r="46" spans="1:9">
      <c r="A46" s="113" t="s">
        <v>17</v>
      </c>
      <c r="B46" s="113" t="s">
        <v>497</v>
      </c>
      <c r="C46" s="114" t="s">
        <v>704</v>
      </c>
      <c r="G46" s="18" t="s">
        <v>705</v>
      </c>
      <c r="H46" s="18" t="s">
        <v>18</v>
      </c>
      <c r="I46" s="122">
        <v>1</v>
      </c>
    </row>
    <row r="47" spans="1:9">
      <c r="A47" s="113" t="s">
        <v>18</v>
      </c>
      <c r="B47" s="113" t="s">
        <v>396</v>
      </c>
      <c r="C47" s="114" t="s">
        <v>705</v>
      </c>
      <c r="G47" s="18" t="s">
        <v>248</v>
      </c>
      <c r="H47" s="18" t="s">
        <v>61</v>
      </c>
      <c r="I47" s="122">
        <v>1</v>
      </c>
    </row>
    <row r="48" spans="1:9">
      <c r="A48" s="113" t="s">
        <v>198</v>
      </c>
      <c r="B48" s="115" t="s">
        <v>494</v>
      </c>
      <c r="C48" s="114" t="s">
        <v>706</v>
      </c>
      <c r="G48" s="18" t="s">
        <v>709</v>
      </c>
      <c r="H48" s="18" t="s">
        <v>492</v>
      </c>
      <c r="I48" s="122">
        <v>1</v>
      </c>
    </row>
    <row r="49" spans="1:9">
      <c r="A49" s="113" t="s">
        <v>19</v>
      </c>
      <c r="B49" s="113" t="s">
        <v>495</v>
      </c>
      <c r="C49" s="114" t="s">
        <v>707</v>
      </c>
      <c r="H49" s="18" t="s">
        <v>297</v>
      </c>
      <c r="I49" s="122">
        <v>1</v>
      </c>
    </row>
    <row r="50" spans="1:9">
      <c r="A50" s="113" t="s">
        <v>20</v>
      </c>
      <c r="B50" s="113" t="s">
        <v>397</v>
      </c>
      <c r="C50" s="114" t="s">
        <v>708</v>
      </c>
      <c r="G50" s="18" t="s">
        <v>707</v>
      </c>
      <c r="H50" s="18" t="s">
        <v>19</v>
      </c>
      <c r="I50" s="122">
        <v>1</v>
      </c>
    </row>
    <row r="51" spans="1:9">
      <c r="A51" s="113" t="s">
        <v>492</v>
      </c>
      <c r="B51" s="113" t="s">
        <v>491</v>
      </c>
      <c r="C51" s="114" t="s">
        <v>709</v>
      </c>
      <c r="H51" s="18" t="s">
        <v>896</v>
      </c>
      <c r="I51" s="122">
        <v>1</v>
      </c>
    </row>
    <row r="52" spans="1:9">
      <c r="A52" s="113" t="s">
        <v>21</v>
      </c>
      <c r="B52" s="113" t="s">
        <v>417</v>
      </c>
      <c r="C52" s="114" t="s">
        <v>710</v>
      </c>
      <c r="G52" s="18" t="s">
        <v>701</v>
      </c>
      <c r="H52" s="18" t="s">
        <v>71</v>
      </c>
      <c r="I52" s="122">
        <v>1</v>
      </c>
    </row>
    <row r="53" spans="1:9">
      <c r="A53" s="113" t="s">
        <v>22</v>
      </c>
      <c r="B53" s="113" t="s">
        <v>499</v>
      </c>
      <c r="C53" s="114" t="s">
        <v>711</v>
      </c>
      <c r="G53" s="18" t="s">
        <v>695</v>
      </c>
      <c r="H53" s="18" t="s">
        <v>11</v>
      </c>
      <c r="I53" s="122">
        <v>1</v>
      </c>
    </row>
    <row r="54" spans="1:9">
      <c r="A54" s="113" t="s">
        <v>238</v>
      </c>
      <c r="B54" s="113" t="s">
        <v>500</v>
      </c>
      <c r="C54" s="114" t="s">
        <v>919</v>
      </c>
      <c r="G54" s="18" t="s">
        <v>702</v>
      </c>
      <c r="H54" s="18" t="s">
        <v>72</v>
      </c>
      <c r="I54" s="122">
        <v>1</v>
      </c>
    </row>
    <row r="55" spans="1:9">
      <c r="A55" s="113" t="s">
        <v>240</v>
      </c>
      <c r="B55" s="113" t="s">
        <v>503</v>
      </c>
      <c r="C55" s="114" t="s">
        <v>712</v>
      </c>
      <c r="G55" s="18" t="s">
        <v>703</v>
      </c>
      <c r="H55" s="18" t="s">
        <v>73</v>
      </c>
      <c r="I55" s="122">
        <v>1</v>
      </c>
    </row>
    <row r="56" spans="1:9">
      <c r="A56" s="113" t="s">
        <v>74</v>
      </c>
      <c r="B56" s="113" t="s">
        <v>398</v>
      </c>
      <c r="C56" s="114" t="s">
        <v>713</v>
      </c>
      <c r="G56" s="18" t="s">
        <v>708</v>
      </c>
      <c r="H56" s="18" t="s">
        <v>20</v>
      </c>
      <c r="I56" s="122">
        <v>1</v>
      </c>
    </row>
    <row r="57" spans="1:9">
      <c r="A57" s="113" t="s">
        <v>47</v>
      </c>
      <c r="B57" s="113" t="s">
        <v>400</v>
      </c>
      <c r="C57" s="114" t="s">
        <v>216</v>
      </c>
      <c r="G57" s="18" t="s">
        <v>711</v>
      </c>
      <c r="H57" s="18" t="s">
        <v>22</v>
      </c>
      <c r="I57" s="122">
        <v>1</v>
      </c>
    </row>
    <row r="58" spans="1:9">
      <c r="A58" s="113" t="s">
        <v>242</v>
      </c>
      <c r="B58" s="113" t="s">
        <v>504</v>
      </c>
      <c r="C58" s="114" t="s">
        <v>715</v>
      </c>
      <c r="H58" s="18" t="s">
        <v>147</v>
      </c>
      <c r="I58" s="122">
        <v>1</v>
      </c>
    </row>
    <row r="59" spans="1:9">
      <c r="A59" s="113" t="s">
        <v>249</v>
      </c>
      <c r="B59" s="113" t="s">
        <v>505</v>
      </c>
      <c r="C59" s="114" t="s">
        <v>716</v>
      </c>
      <c r="G59" s="18" t="s">
        <v>697</v>
      </c>
      <c r="H59" s="18" t="s">
        <v>13</v>
      </c>
      <c r="I59" s="122">
        <v>1</v>
      </c>
    </row>
    <row r="60" spans="1:9">
      <c r="A60" s="113" t="s">
        <v>250</v>
      </c>
      <c r="B60" s="113" t="s">
        <v>401</v>
      </c>
      <c r="C60" s="114" t="s">
        <v>717</v>
      </c>
      <c r="G60" s="18" t="s">
        <v>919</v>
      </c>
      <c r="H60" s="18" t="s">
        <v>238</v>
      </c>
      <c r="I60" s="122">
        <v>1</v>
      </c>
    </row>
    <row r="61" spans="1:9">
      <c r="A61" s="113" t="s">
        <v>251</v>
      </c>
      <c r="B61" s="115" t="s">
        <v>603</v>
      </c>
      <c r="C61" s="114" t="s">
        <v>718</v>
      </c>
      <c r="G61" s="18" t="s">
        <v>712</v>
      </c>
      <c r="H61" s="18" t="s">
        <v>240</v>
      </c>
      <c r="I61" s="122">
        <v>1</v>
      </c>
    </row>
    <row r="62" spans="1:9">
      <c r="A62" s="113" t="s">
        <v>252</v>
      </c>
      <c r="B62" s="113" t="s">
        <v>507</v>
      </c>
      <c r="C62" s="114" t="s">
        <v>719</v>
      </c>
      <c r="G62" s="18" t="s">
        <v>713</v>
      </c>
      <c r="H62" s="18" t="s">
        <v>74</v>
      </c>
      <c r="I62" s="122">
        <v>1</v>
      </c>
    </row>
    <row r="63" spans="1:9">
      <c r="A63" s="113" t="s">
        <v>253</v>
      </c>
      <c r="B63" s="113" t="s">
        <v>508</v>
      </c>
      <c r="C63" s="114" t="s">
        <v>720</v>
      </c>
      <c r="G63" s="18" t="s">
        <v>3</v>
      </c>
      <c r="H63" s="18" t="s">
        <v>66</v>
      </c>
      <c r="I63" s="122">
        <v>1</v>
      </c>
    </row>
    <row r="64" spans="1:9">
      <c r="A64" s="113" t="s">
        <v>254</v>
      </c>
      <c r="B64" s="113" t="s">
        <v>586</v>
      </c>
      <c r="C64" s="114" t="s">
        <v>721</v>
      </c>
      <c r="G64" s="18" t="s">
        <v>715</v>
      </c>
      <c r="H64" s="18" t="s">
        <v>242</v>
      </c>
      <c r="I64" s="122">
        <v>1</v>
      </c>
    </row>
    <row r="65" spans="1:9">
      <c r="A65" s="113" t="s">
        <v>255</v>
      </c>
      <c r="B65" s="113" t="s">
        <v>518</v>
      </c>
      <c r="C65" s="114" t="s">
        <v>722</v>
      </c>
      <c r="G65" s="18" t="s">
        <v>216</v>
      </c>
      <c r="H65" s="18" t="s">
        <v>47</v>
      </c>
      <c r="I65" s="122">
        <v>1</v>
      </c>
    </row>
    <row r="66" spans="1:9">
      <c r="A66" s="113" t="s">
        <v>256</v>
      </c>
      <c r="B66" s="113" t="s">
        <v>509</v>
      </c>
      <c r="C66" s="114" t="s">
        <v>723</v>
      </c>
      <c r="G66" s="18" t="s">
        <v>716</v>
      </c>
      <c r="H66" s="18" t="s">
        <v>249</v>
      </c>
      <c r="I66" s="122">
        <v>1</v>
      </c>
    </row>
    <row r="67" spans="1:9">
      <c r="A67" s="113" t="s">
        <v>75</v>
      </c>
      <c r="B67" s="113" t="s">
        <v>403</v>
      </c>
      <c r="C67" s="114" t="s">
        <v>0</v>
      </c>
      <c r="G67" s="18" t="s">
        <v>717</v>
      </c>
      <c r="H67" s="18" t="s">
        <v>898</v>
      </c>
      <c r="I67" s="122">
        <v>1</v>
      </c>
    </row>
    <row r="68" spans="1:9">
      <c r="A68" s="113" t="s">
        <v>257</v>
      </c>
      <c r="B68" s="113" t="s">
        <v>510</v>
      </c>
      <c r="C68" s="114" t="s">
        <v>724</v>
      </c>
      <c r="H68" s="18" t="s">
        <v>250</v>
      </c>
      <c r="I68" s="122">
        <v>1</v>
      </c>
    </row>
    <row r="69" spans="1:9">
      <c r="A69" s="113" t="s">
        <v>258</v>
      </c>
      <c r="B69" s="113" t="s">
        <v>513</v>
      </c>
      <c r="C69" s="114" t="s">
        <v>725</v>
      </c>
      <c r="G69" s="18" t="s">
        <v>640</v>
      </c>
      <c r="H69" s="18" t="s">
        <v>173</v>
      </c>
      <c r="I69" s="122">
        <v>1</v>
      </c>
    </row>
    <row r="70" spans="1:9">
      <c r="A70" s="113" t="s">
        <v>259</v>
      </c>
      <c r="B70" s="113" t="s">
        <v>512</v>
      </c>
      <c r="C70" s="114" t="s">
        <v>726</v>
      </c>
      <c r="G70" s="18" t="s">
        <v>719</v>
      </c>
      <c r="H70" s="18" t="s">
        <v>252</v>
      </c>
      <c r="I70" s="122">
        <v>1</v>
      </c>
    </row>
    <row r="71" spans="1:9">
      <c r="A71" s="113" t="s">
        <v>260</v>
      </c>
      <c r="B71" s="113" t="s">
        <v>511</v>
      </c>
      <c r="C71" s="114" t="s">
        <v>727</v>
      </c>
      <c r="G71" s="18" t="s">
        <v>0</v>
      </c>
      <c r="H71" s="18" t="s">
        <v>75</v>
      </c>
      <c r="I71" s="122">
        <v>1</v>
      </c>
    </row>
    <row r="72" spans="1:9">
      <c r="A72" s="113" t="s">
        <v>48</v>
      </c>
      <c r="B72" s="113" t="s">
        <v>404</v>
      </c>
      <c r="C72" s="114" t="s">
        <v>1</v>
      </c>
      <c r="G72" s="18" t="s">
        <v>720</v>
      </c>
      <c r="H72" s="18" t="s">
        <v>253</v>
      </c>
      <c r="I72" s="122">
        <v>1</v>
      </c>
    </row>
    <row r="73" spans="1:9">
      <c r="A73" s="113" t="s">
        <v>67</v>
      </c>
      <c r="B73" s="113" t="s">
        <v>405</v>
      </c>
      <c r="C73" s="114" t="s">
        <v>2</v>
      </c>
      <c r="G73" s="18" t="s">
        <v>723</v>
      </c>
      <c r="H73" s="18" t="s">
        <v>256</v>
      </c>
      <c r="I73" s="122">
        <v>1</v>
      </c>
    </row>
    <row r="74" spans="1:9">
      <c r="A74" s="113" t="s">
        <v>199</v>
      </c>
      <c r="B74" s="113" t="s">
        <v>414</v>
      </c>
      <c r="C74" s="114" t="s">
        <v>728</v>
      </c>
      <c r="G74" s="18" t="s">
        <v>42</v>
      </c>
      <c r="H74" s="18" t="s">
        <v>59</v>
      </c>
      <c r="I74" s="122">
        <v>1</v>
      </c>
    </row>
    <row r="75" spans="1:9">
      <c r="A75" s="113" t="s">
        <v>141</v>
      </c>
      <c r="B75" s="113" t="s">
        <v>577</v>
      </c>
      <c r="C75" s="114" t="s">
        <v>729</v>
      </c>
      <c r="H75" s="18" t="s">
        <v>12</v>
      </c>
      <c r="I75" s="122">
        <v>1</v>
      </c>
    </row>
    <row r="76" spans="1:9">
      <c r="A76" s="113" t="s">
        <v>142</v>
      </c>
      <c r="B76" s="113" t="s">
        <v>515</v>
      </c>
      <c r="C76" s="114" t="s">
        <v>730</v>
      </c>
      <c r="G76" s="18" t="s">
        <v>724</v>
      </c>
      <c r="H76" s="18" t="s">
        <v>257</v>
      </c>
      <c r="I76" s="122">
        <v>1</v>
      </c>
    </row>
    <row r="77" spans="1:9">
      <c r="A77" s="113" t="s">
        <v>143</v>
      </c>
      <c r="B77" s="113" t="s">
        <v>516</v>
      </c>
      <c r="C77" s="114" t="s">
        <v>731</v>
      </c>
      <c r="G77" s="18" t="s">
        <v>1</v>
      </c>
      <c r="H77" s="18" t="s">
        <v>48</v>
      </c>
      <c r="I77" s="122">
        <v>1</v>
      </c>
    </row>
    <row r="78" spans="1:9">
      <c r="A78" s="113" t="s">
        <v>144</v>
      </c>
      <c r="B78" s="113" t="s">
        <v>407</v>
      </c>
      <c r="C78" s="114" t="s">
        <v>732</v>
      </c>
      <c r="G78" s="18" t="s">
        <v>727</v>
      </c>
      <c r="H78" s="18" t="s">
        <v>260</v>
      </c>
      <c r="I78" s="122">
        <v>1</v>
      </c>
    </row>
    <row r="79" spans="1:9">
      <c r="A79" s="113" t="s">
        <v>66</v>
      </c>
      <c r="B79" s="113" t="s">
        <v>399</v>
      </c>
      <c r="C79" s="114" t="s">
        <v>3</v>
      </c>
      <c r="G79" s="18" t="s">
        <v>726</v>
      </c>
      <c r="H79" s="18" t="s">
        <v>259</v>
      </c>
      <c r="I79" s="122">
        <v>1</v>
      </c>
    </row>
    <row r="80" spans="1:9">
      <c r="A80" s="113" t="s">
        <v>145</v>
      </c>
      <c r="B80" s="113" t="s">
        <v>408</v>
      </c>
      <c r="C80" s="114" t="s">
        <v>733</v>
      </c>
      <c r="H80" s="18" t="s">
        <v>900</v>
      </c>
      <c r="I80" s="122">
        <v>1</v>
      </c>
    </row>
    <row r="81" spans="1:9">
      <c r="A81" s="113" t="s">
        <v>159</v>
      </c>
      <c r="B81" s="113" t="s">
        <v>409</v>
      </c>
      <c r="C81" s="114" t="s">
        <v>734</v>
      </c>
      <c r="G81" s="18" t="s">
        <v>788</v>
      </c>
      <c r="H81" s="18" t="s">
        <v>214</v>
      </c>
      <c r="I81" s="122">
        <v>1</v>
      </c>
    </row>
    <row r="82" spans="1:9">
      <c r="A82" s="113" t="s">
        <v>76</v>
      </c>
      <c r="B82" s="113" t="s">
        <v>412</v>
      </c>
      <c r="C82" s="114" t="s">
        <v>736</v>
      </c>
      <c r="G82" s="18" t="s">
        <v>725</v>
      </c>
      <c r="H82" s="18" t="s">
        <v>258</v>
      </c>
      <c r="I82" s="122">
        <v>1</v>
      </c>
    </row>
    <row r="83" spans="1:9">
      <c r="A83" s="113" t="s">
        <v>160</v>
      </c>
      <c r="B83" s="113" t="s">
        <v>520</v>
      </c>
      <c r="C83" s="114" t="s">
        <v>737</v>
      </c>
      <c r="H83" s="18" t="s">
        <v>899</v>
      </c>
      <c r="I83" s="122">
        <v>1</v>
      </c>
    </row>
    <row r="84" spans="1:9">
      <c r="A84" s="113" t="s">
        <v>146</v>
      </c>
      <c r="B84" s="113" t="s">
        <v>519</v>
      </c>
      <c r="C84" s="114" t="s">
        <v>738</v>
      </c>
      <c r="G84" s="18" t="s">
        <v>2</v>
      </c>
      <c r="H84" s="18" t="s">
        <v>67</v>
      </c>
      <c r="I84" s="122">
        <v>1</v>
      </c>
    </row>
    <row r="85" spans="1:9">
      <c r="A85" s="113" t="s">
        <v>161</v>
      </c>
      <c r="B85" s="113" t="s">
        <v>411</v>
      </c>
      <c r="C85" s="114" t="s">
        <v>739</v>
      </c>
      <c r="G85" s="18" t="s">
        <v>730</v>
      </c>
      <c r="H85" s="18" t="s">
        <v>142</v>
      </c>
      <c r="I85" s="122">
        <v>1</v>
      </c>
    </row>
    <row r="86" spans="1:9">
      <c r="A86" s="113" t="s">
        <v>162</v>
      </c>
      <c r="B86" s="113" t="s">
        <v>415</v>
      </c>
      <c r="C86" s="114" t="s">
        <v>740</v>
      </c>
      <c r="G86" s="18" t="s">
        <v>140</v>
      </c>
      <c r="H86" s="18" t="s">
        <v>63</v>
      </c>
      <c r="I86" s="122">
        <v>1</v>
      </c>
    </row>
    <row r="87" spans="1:9">
      <c r="A87" s="113" t="s">
        <v>148</v>
      </c>
      <c r="B87" s="113" t="s">
        <v>521</v>
      </c>
      <c r="C87" s="114" t="s">
        <v>741</v>
      </c>
      <c r="G87" s="18" t="s">
        <v>738</v>
      </c>
      <c r="H87" s="18" t="s">
        <v>146</v>
      </c>
      <c r="I87" s="122">
        <v>1</v>
      </c>
    </row>
    <row r="88" spans="1:9">
      <c r="A88" s="113" t="s">
        <v>153</v>
      </c>
      <c r="B88" s="113" t="s">
        <v>410</v>
      </c>
      <c r="C88" s="114" t="s">
        <v>742</v>
      </c>
      <c r="G88" s="18" t="s">
        <v>732</v>
      </c>
      <c r="H88" s="18" t="s">
        <v>144</v>
      </c>
      <c r="I88" s="122">
        <v>1</v>
      </c>
    </row>
    <row r="89" spans="1:9">
      <c r="A89" s="113" t="s">
        <v>149</v>
      </c>
      <c r="B89" s="113" t="s">
        <v>517</v>
      </c>
      <c r="C89" s="114" t="s">
        <v>743</v>
      </c>
      <c r="G89" s="18" t="s">
        <v>728</v>
      </c>
      <c r="H89" s="18" t="s">
        <v>199</v>
      </c>
      <c r="I89" s="122">
        <v>1</v>
      </c>
    </row>
    <row r="90" spans="1:9">
      <c r="A90" s="113" t="s">
        <v>150</v>
      </c>
      <c r="B90" s="113" t="s">
        <v>522</v>
      </c>
      <c r="C90" s="114" t="s">
        <v>744</v>
      </c>
      <c r="H90" s="18" t="s">
        <v>413</v>
      </c>
      <c r="I90" s="122">
        <v>1</v>
      </c>
    </row>
    <row r="91" spans="1:9">
      <c r="A91" s="113" t="s">
        <v>151</v>
      </c>
      <c r="B91" s="113" t="s">
        <v>524</v>
      </c>
      <c r="C91" s="114" t="s">
        <v>745</v>
      </c>
      <c r="G91" s="18" t="s">
        <v>733</v>
      </c>
      <c r="H91" s="18" t="s">
        <v>145</v>
      </c>
      <c r="I91" s="122">
        <v>1</v>
      </c>
    </row>
    <row r="92" spans="1:9">
      <c r="A92" s="113" t="s">
        <v>152</v>
      </c>
      <c r="B92" s="113" t="s">
        <v>523</v>
      </c>
      <c r="C92" s="114" t="s">
        <v>746</v>
      </c>
      <c r="G92" s="18" t="s">
        <v>734</v>
      </c>
      <c r="H92" s="18" t="s">
        <v>159</v>
      </c>
      <c r="I92" s="122">
        <v>1</v>
      </c>
    </row>
    <row r="93" spans="1:9">
      <c r="A93" s="113" t="s">
        <v>77</v>
      </c>
      <c r="B93" s="113" t="s">
        <v>416</v>
      </c>
      <c r="C93" s="114" t="s">
        <v>139</v>
      </c>
      <c r="G93" s="18" t="s">
        <v>737</v>
      </c>
      <c r="H93" s="18" t="s">
        <v>160</v>
      </c>
      <c r="I93" s="122">
        <v>1</v>
      </c>
    </row>
    <row r="94" spans="1:9">
      <c r="A94" s="113" t="s">
        <v>78</v>
      </c>
      <c r="B94" s="113" t="s">
        <v>418</v>
      </c>
      <c r="C94" s="114" t="s">
        <v>747</v>
      </c>
      <c r="G94" s="18" t="s">
        <v>731</v>
      </c>
      <c r="H94" s="18" t="s">
        <v>143</v>
      </c>
      <c r="I94" s="122">
        <v>1</v>
      </c>
    </row>
    <row r="95" spans="1:9">
      <c r="A95" s="113" t="s">
        <v>79</v>
      </c>
      <c r="B95" s="113" t="s">
        <v>421</v>
      </c>
      <c r="C95" s="114" t="s">
        <v>748</v>
      </c>
      <c r="G95" s="18" t="s">
        <v>742</v>
      </c>
      <c r="H95" s="18" t="s">
        <v>153</v>
      </c>
      <c r="I95" s="122">
        <v>1</v>
      </c>
    </row>
    <row r="96" spans="1:9">
      <c r="A96" s="113" t="s">
        <v>80</v>
      </c>
      <c r="B96" s="113" t="s">
        <v>419</v>
      </c>
      <c r="C96" s="114" t="s">
        <v>749</v>
      </c>
      <c r="G96" s="18" t="s">
        <v>739</v>
      </c>
      <c r="H96" s="18" t="s">
        <v>161</v>
      </c>
      <c r="I96" s="122">
        <v>1</v>
      </c>
    </row>
    <row r="97" spans="1:9">
      <c r="A97" s="113" t="s">
        <v>81</v>
      </c>
      <c r="B97" s="113" t="s">
        <v>525</v>
      </c>
      <c r="C97" s="114" t="s">
        <v>750</v>
      </c>
      <c r="H97" s="18" t="s">
        <v>933</v>
      </c>
      <c r="I97" s="122">
        <v>1</v>
      </c>
    </row>
    <row r="98" spans="1:9">
      <c r="A98" s="113" t="s">
        <v>121</v>
      </c>
      <c r="B98" s="113" t="s">
        <v>527</v>
      </c>
      <c r="C98" s="114" t="s">
        <v>754</v>
      </c>
      <c r="G98" s="18" t="s">
        <v>722</v>
      </c>
      <c r="H98" s="18" t="s">
        <v>255</v>
      </c>
      <c r="I98" s="122">
        <v>1</v>
      </c>
    </row>
    <row r="99" spans="1:9">
      <c r="A99" s="113" t="s">
        <v>122</v>
      </c>
      <c r="B99" s="113" t="s">
        <v>528</v>
      </c>
      <c r="C99" s="114" t="s">
        <v>755</v>
      </c>
      <c r="G99" s="18" t="s">
        <v>736</v>
      </c>
      <c r="H99" s="18" t="s">
        <v>76</v>
      </c>
      <c r="I99" s="122">
        <v>1</v>
      </c>
    </row>
    <row r="100" spans="1:9">
      <c r="A100" s="113" t="s">
        <v>49</v>
      </c>
      <c r="B100" s="113" t="s">
        <v>420</v>
      </c>
      <c r="C100" s="114" t="s">
        <v>200</v>
      </c>
      <c r="G100" s="18" t="s">
        <v>741</v>
      </c>
      <c r="H100" s="18" t="s">
        <v>148</v>
      </c>
      <c r="I100" s="122">
        <v>1</v>
      </c>
    </row>
    <row r="101" spans="1:9">
      <c r="A101" s="113" t="s">
        <v>82</v>
      </c>
      <c r="B101" s="113" t="s">
        <v>422</v>
      </c>
      <c r="C101" s="114" t="s">
        <v>756</v>
      </c>
      <c r="G101" s="18" t="s">
        <v>740</v>
      </c>
      <c r="H101" s="18" t="s">
        <v>162</v>
      </c>
      <c r="I101" s="122">
        <v>1</v>
      </c>
    </row>
    <row r="102" spans="1:9">
      <c r="A102" s="113" t="s">
        <v>50</v>
      </c>
      <c r="B102" s="113" t="s">
        <v>423</v>
      </c>
      <c r="C102" s="114" t="s">
        <v>194</v>
      </c>
      <c r="G102" s="18" t="s">
        <v>743</v>
      </c>
      <c r="H102" s="18" t="s">
        <v>149</v>
      </c>
      <c r="I102" s="122">
        <v>1</v>
      </c>
    </row>
    <row r="103" spans="1:9">
      <c r="A103" s="113" t="s">
        <v>123</v>
      </c>
      <c r="B103" s="113" t="s">
        <v>424</v>
      </c>
      <c r="C103" s="114" t="s">
        <v>757</v>
      </c>
      <c r="G103" s="18" t="s">
        <v>744</v>
      </c>
      <c r="H103" s="18" t="s">
        <v>150</v>
      </c>
      <c r="I103" s="122">
        <v>1</v>
      </c>
    </row>
    <row r="104" spans="1:9">
      <c r="A104" s="113" t="s">
        <v>51</v>
      </c>
      <c r="B104" s="113" t="s">
        <v>425</v>
      </c>
      <c r="C104" s="114" t="s">
        <v>195</v>
      </c>
      <c r="G104" s="18" t="s">
        <v>139</v>
      </c>
      <c r="H104" s="18" t="s">
        <v>77</v>
      </c>
      <c r="I104" s="122">
        <v>1</v>
      </c>
    </row>
    <row r="105" spans="1:9">
      <c r="A105" s="113" t="s">
        <v>124</v>
      </c>
      <c r="B105" s="113" t="s">
        <v>529</v>
      </c>
      <c r="C105" s="114" t="s">
        <v>758</v>
      </c>
      <c r="G105" s="18" t="s">
        <v>746</v>
      </c>
      <c r="H105" s="18" t="s">
        <v>152</v>
      </c>
      <c r="I105" s="122">
        <v>1</v>
      </c>
    </row>
    <row r="106" spans="1:9">
      <c r="A106" s="113" t="s">
        <v>125</v>
      </c>
      <c r="B106" s="113" t="s">
        <v>530</v>
      </c>
      <c r="C106" s="114" t="s">
        <v>759</v>
      </c>
      <c r="G106" s="18" t="s">
        <v>710</v>
      </c>
      <c r="H106" s="18" t="s">
        <v>21</v>
      </c>
      <c r="I106" s="122">
        <v>1</v>
      </c>
    </row>
    <row r="107" spans="1:9">
      <c r="A107" s="113" t="s">
        <v>83</v>
      </c>
      <c r="B107" s="113" t="s">
        <v>426</v>
      </c>
      <c r="C107" s="114" t="s">
        <v>760</v>
      </c>
      <c r="G107" s="18" t="s">
        <v>745</v>
      </c>
      <c r="H107" s="18" t="s">
        <v>151</v>
      </c>
      <c r="I107" s="122">
        <v>1</v>
      </c>
    </row>
    <row r="108" spans="1:9">
      <c r="A108" s="113" t="s">
        <v>126</v>
      </c>
      <c r="B108" s="113" t="s">
        <v>533</v>
      </c>
      <c r="C108" s="114" t="s">
        <v>761</v>
      </c>
      <c r="G108" s="18" t="s">
        <v>747</v>
      </c>
      <c r="H108" s="18" t="s">
        <v>78</v>
      </c>
      <c r="I108" s="122">
        <v>1</v>
      </c>
    </row>
    <row r="109" spans="1:9">
      <c r="A109" s="113" t="s">
        <v>154</v>
      </c>
      <c r="B109" s="113" t="s">
        <v>573</v>
      </c>
      <c r="C109" s="114" t="s">
        <v>762</v>
      </c>
      <c r="G109" s="18" t="s">
        <v>750</v>
      </c>
      <c r="H109" s="18" t="s">
        <v>81</v>
      </c>
      <c r="I109" s="122">
        <v>1</v>
      </c>
    </row>
    <row r="110" spans="1:9">
      <c r="A110" s="113" t="s">
        <v>155</v>
      </c>
      <c r="B110" s="113" t="s">
        <v>427</v>
      </c>
      <c r="C110" s="114" t="s">
        <v>763</v>
      </c>
      <c r="G110" s="18" t="s">
        <v>200</v>
      </c>
      <c r="H110" s="18" t="s">
        <v>49</v>
      </c>
      <c r="I110" s="122">
        <v>1</v>
      </c>
    </row>
    <row r="111" spans="1:9">
      <c r="A111" s="113" t="s">
        <v>127</v>
      </c>
      <c r="B111" s="113" t="s">
        <v>535</v>
      </c>
      <c r="C111" s="114" t="s">
        <v>764</v>
      </c>
      <c r="G111" s="18" t="s">
        <v>756</v>
      </c>
      <c r="H111" s="18" t="s">
        <v>82</v>
      </c>
      <c r="I111" s="122">
        <v>1</v>
      </c>
    </row>
    <row r="112" spans="1:9">
      <c r="A112" s="113" t="s">
        <v>204</v>
      </c>
      <c r="B112" s="113" t="s">
        <v>531</v>
      </c>
      <c r="C112" s="114" t="s">
        <v>765</v>
      </c>
      <c r="G112" s="18" t="s">
        <v>749</v>
      </c>
      <c r="H112" s="18" t="s">
        <v>80</v>
      </c>
      <c r="I112" s="122">
        <v>1</v>
      </c>
    </row>
    <row r="113" spans="1:9">
      <c r="A113" s="113" t="s">
        <v>128</v>
      </c>
      <c r="B113" s="113" t="s">
        <v>536</v>
      </c>
      <c r="C113" s="114" t="s">
        <v>766</v>
      </c>
      <c r="G113" s="18" t="s">
        <v>755</v>
      </c>
      <c r="H113" s="18" t="s">
        <v>122</v>
      </c>
      <c r="I113" s="122">
        <v>1</v>
      </c>
    </row>
    <row r="114" spans="1:9">
      <c r="A114" s="113" t="s">
        <v>84</v>
      </c>
      <c r="B114" s="113" t="s">
        <v>431</v>
      </c>
      <c r="C114" s="114" t="s">
        <v>767</v>
      </c>
      <c r="G114" s="18" t="s">
        <v>754</v>
      </c>
      <c r="H114" s="18" t="s">
        <v>121</v>
      </c>
      <c r="I114" s="122">
        <v>1</v>
      </c>
    </row>
    <row r="115" spans="1:9">
      <c r="A115" s="113" t="s">
        <v>85</v>
      </c>
      <c r="B115" s="113" t="s">
        <v>537</v>
      </c>
      <c r="C115" s="114" t="s">
        <v>768</v>
      </c>
      <c r="G115" s="18" t="s">
        <v>748</v>
      </c>
      <c r="H115" s="18" t="s">
        <v>79</v>
      </c>
      <c r="I115" s="122">
        <v>1</v>
      </c>
    </row>
    <row r="116" spans="1:9">
      <c r="A116" s="113" t="s">
        <v>129</v>
      </c>
      <c r="B116" s="113" t="s">
        <v>542</v>
      </c>
      <c r="C116" s="114" t="s">
        <v>769</v>
      </c>
      <c r="G116" s="18" t="s">
        <v>194</v>
      </c>
      <c r="H116" s="18" t="s">
        <v>50</v>
      </c>
      <c r="I116" s="122">
        <v>1</v>
      </c>
    </row>
    <row r="117" spans="1:9">
      <c r="A117" s="113" t="s">
        <v>130</v>
      </c>
      <c r="B117" s="113" t="s">
        <v>538</v>
      </c>
      <c r="C117" s="114" t="s">
        <v>770</v>
      </c>
      <c r="G117" s="18" t="s">
        <v>757</v>
      </c>
      <c r="H117" s="18" t="s">
        <v>123</v>
      </c>
      <c r="I117" s="122">
        <v>1</v>
      </c>
    </row>
    <row r="118" spans="1:9">
      <c r="A118" s="113" t="s">
        <v>131</v>
      </c>
      <c r="B118" s="113" t="s">
        <v>539</v>
      </c>
      <c r="C118" s="114" t="s">
        <v>771</v>
      </c>
      <c r="G118" s="18" t="s">
        <v>758</v>
      </c>
      <c r="H118" s="18" t="s">
        <v>124</v>
      </c>
      <c r="I118" s="122">
        <v>1</v>
      </c>
    </row>
    <row r="119" spans="1:9">
      <c r="A119" s="113" t="s">
        <v>163</v>
      </c>
      <c r="B119" s="113" t="s">
        <v>428</v>
      </c>
      <c r="C119" s="114" t="s">
        <v>772</v>
      </c>
      <c r="G119" s="18" t="s">
        <v>195</v>
      </c>
      <c r="H119" s="18" t="s">
        <v>51</v>
      </c>
      <c r="I119" s="122">
        <v>1</v>
      </c>
    </row>
    <row r="120" spans="1:9">
      <c r="A120" s="113" t="s">
        <v>86</v>
      </c>
      <c r="B120" s="113" t="s">
        <v>429</v>
      </c>
      <c r="C120" s="114" t="s">
        <v>773</v>
      </c>
      <c r="G120" s="18" t="s">
        <v>760</v>
      </c>
      <c r="H120" s="18" t="s">
        <v>83</v>
      </c>
      <c r="I120" s="122">
        <v>1</v>
      </c>
    </row>
    <row r="121" spans="1:9">
      <c r="A121" s="113" t="s">
        <v>52</v>
      </c>
      <c r="B121" s="113" t="s">
        <v>430</v>
      </c>
      <c r="C121" s="114" t="s">
        <v>158</v>
      </c>
      <c r="G121" s="18" t="s">
        <v>765</v>
      </c>
      <c r="H121" s="18" t="s">
        <v>204</v>
      </c>
      <c r="I121" s="122">
        <v>1</v>
      </c>
    </row>
    <row r="122" spans="1:9">
      <c r="A122" s="113" t="s">
        <v>132</v>
      </c>
      <c r="B122" s="113" t="s">
        <v>543</v>
      </c>
      <c r="C122" s="114" t="s">
        <v>774</v>
      </c>
      <c r="G122" s="18" t="s">
        <v>694</v>
      </c>
      <c r="H122" s="18" t="s">
        <v>10</v>
      </c>
      <c r="I122" s="122">
        <v>1</v>
      </c>
    </row>
    <row r="123" spans="1:9">
      <c r="A123" s="113" t="s">
        <v>133</v>
      </c>
      <c r="B123" s="113" t="s">
        <v>548</v>
      </c>
      <c r="C123" s="114" t="s">
        <v>775</v>
      </c>
      <c r="G123" s="18" t="s">
        <v>761</v>
      </c>
      <c r="H123" s="18" t="s">
        <v>126</v>
      </c>
      <c r="I123" s="122">
        <v>1</v>
      </c>
    </row>
    <row r="124" spans="1:9">
      <c r="A124" s="113" t="s">
        <v>205</v>
      </c>
      <c r="B124" s="113" t="s">
        <v>545</v>
      </c>
      <c r="C124" s="114" t="s">
        <v>776</v>
      </c>
      <c r="G124" s="18" t="s">
        <v>704</v>
      </c>
      <c r="H124" s="18" t="s">
        <v>17</v>
      </c>
      <c r="I124" s="122">
        <v>1</v>
      </c>
    </row>
    <row r="125" spans="1:9">
      <c r="A125" s="113" t="s">
        <v>207</v>
      </c>
      <c r="B125" s="113" t="s">
        <v>557</v>
      </c>
      <c r="C125" s="114" t="s">
        <v>777</v>
      </c>
      <c r="G125" s="18" t="s">
        <v>841</v>
      </c>
      <c r="H125" s="18" t="s">
        <v>267</v>
      </c>
      <c r="I125" s="122">
        <v>1</v>
      </c>
    </row>
    <row r="126" spans="1:9">
      <c r="A126" s="113" t="s">
        <v>87</v>
      </c>
      <c r="B126" s="113" t="s">
        <v>439</v>
      </c>
      <c r="C126" s="114" t="s">
        <v>778</v>
      </c>
      <c r="H126" s="18" t="s">
        <v>908</v>
      </c>
      <c r="I126" s="122">
        <v>1</v>
      </c>
    </row>
    <row r="127" spans="1:9">
      <c r="A127" s="113" t="s">
        <v>208</v>
      </c>
      <c r="B127" s="113" t="s">
        <v>546</v>
      </c>
      <c r="C127" s="114" t="s">
        <v>779</v>
      </c>
      <c r="H127" s="18" t="s">
        <v>935</v>
      </c>
      <c r="I127" s="122">
        <v>1</v>
      </c>
    </row>
    <row r="128" spans="1:9">
      <c r="A128" s="113" t="s">
        <v>209</v>
      </c>
      <c r="B128" s="113" t="s">
        <v>435</v>
      </c>
      <c r="C128" s="114" t="s">
        <v>780</v>
      </c>
      <c r="G128" s="18" t="s">
        <v>762</v>
      </c>
      <c r="H128" s="18" t="s">
        <v>154</v>
      </c>
      <c r="I128" s="122">
        <v>1</v>
      </c>
    </row>
    <row r="129" spans="1:9">
      <c r="A129" s="113" t="s">
        <v>164</v>
      </c>
      <c r="B129" s="113" t="s">
        <v>436</v>
      </c>
      <c r="C129" s="114" t="s">
        <v>781</v>
      </c>
      <c r="H129" s="18" t="s">
        <v>574</v>
      </c>
      <c r="I129" s="122">
        <v>1</v>
      </c>
    </row>
    <row r="130" spans="1:9">
      <c r="A130" s="113" t="s">
        <v>210</v>
      </c>
      <c r="B130" s="113" t="s">
        <v>547</v>
      </c>
      <c r="C130" s="114" t="s">
        <v>782</v>
      </c>
      <c r="G130" s="18" t="s">
        <v>763</v>
      </c>
      <c r="H130" s="18" t="s">
        <v>155</v>
      </c>
      <c r="I130" s="122">
        <v>1</v>
      </c>
    </row>
    <row r="131" spans="1:9">
      <c r="A131" s="113" t="s">
        <v>165</v>
      </c>
      <c r="B131" s="113" t="s">
        <v>437</v>
      </c>
      <c r="C131" s="114" t="s">
        <v>783</v>
      </c>
      <c r="H131" s="18" t="s">
        <v>366</v>
      </c>
      <c r="I131" s="122">
        <v>1</v>
      </c>
    </row>
    <row r="132" spans="1:9">
      <c r="A132" s="113" t="s">
        <v>211</v>
      </c>
      <c r="B132" s="113" t="s">
        <v>555</v>
      </c>
      <c r="C132" s="114" t="s">
        <v>784</v>
      </c>
      <c r="G132" s="18" t="s">
        <v>923</v>
      </c>
      <c r="H132" s="18" t="s">
        <v>384</v>
      </c>
      <c r="I132" s="122">
        <v>1</v>
      </c>
    </row>
    <row r="133" spans="1:9">
      <c r="A133" s="113" t="s">
        <v>212</v>
      </c>
      <c r="B133" s="113" t="s">
        <v>438</v>
      </c>
      <c r="C133" s="114" t="s">
        <v>785</v>
      </c>
      <c r="G133" s="18" t="s">
        <v>764</v>
      </c>
      <c r="H133" s="18" t="s">
        <v>127</v>
      </c>
      <c r="I133" s="122">
        <v>1</v>
      </c>
    </row>
    <row r="134" spans="1:9">
      <c r="A134" s="113" t="s">
        <v>213</v>
      </c>
      <c r="B134" s="113" t="s">
        <v>440</v>
      </c>
      <c r="C134" s="114" t="s">
        <v>786</v>
      </c>
      <c r="G134" s="18" t="s">
        <v>698</v>
      </c>
      <c r="H134" s="18" t="s">
        <v>14</v>
      </c>
      <c r="I134" s="122">
        <v>1</v>
      </c>
    </row>
    <row r="135" spans="1:9">
      <c r="A135" s="113" t="s">
        <v>88</v>
      </c>
      <c r="B135" s="113" t="s">
        <v>434</v>
      </c>
      <c r="C135" s="114" t="s">
        <v>787</v>
      </c>
      <c r="H135" s="18" t="s">
        <v>894</v>
      </c>
      <c r="I135" s="122">
        <v>1</v>
      </c>
    </row>
    <row r="136" spans="1:9">
      <c r="A136" s="113" t="s">
        <v>214</v>
      </c>
      <c r="B136" s="113" t="s">
        <v>514</v>
      </c>
      <c r="C136" s="114" t="s">
        <v>788</v>
      </c>
      <c r="H136" s="18" t="s">
        <v>502</v>
      </c>
      <c r="I136" s="122">
        <v>1</v>
      </c>
    </row>
    <row r="137" spans="1:9">
      <c r="A137" s="113" t="s">
        <v>789</v>
      </c>
      <c r="B137" s="113" t="s">
        <v>790</v>
      </c>
      <c r="C137" s="114" t="s">
        <v>791</v>
      </c>
      <c r="G137" s="18" t="s">
        <v>759</v>
      </c>
      <c r="H137" s="18" t="s">
        <v>125</v>
      </c>
      <c r="I137" s="122">
        <v>1</v>
      </c>
    </row>
    <row r="138" spans="1:9">
      <c r="A138" s="113" t="s">
        <v>215</v>
      </c>
      <c r="B138" s="113" t="s">
        <v>544</v>
      </c>
      <c r="C138" s="114" t="s">
        <v>792</v>
      </c>
      <c r="G138" s="18" t="s">
        <v>766</v>
      </c>
      <c r="H138" s="18" t="s">
        <v>128</v>
      </c>
      <c r="I138" s="122">
        <v>1</v>
      </c>
    </row>
    <row r="139" spans="1:9">
      <c r="A139" s="113" t="s">
        <v>166</v>
      </c>
      <c r="B139" s="113" t="s">
        <v>433</v>
      </c>
      <c r="C139" s="114" t="s">
        <v>793</v>
      </c>
      <c r="G139" s="18" t="s">
        <v>768</v>
      </c>
      <c r="H139" s="18" t="s">
        <v>85</v>
      </c>
      <c r="I139" s="122">
        <v>1</v>
      </c>
    </row>
    <row r="140" spans="1:9">
      <c r="A140" s="113" t="s">
        <v>39</v>
      </c>
      <c r="B140" s="113" t="s">
        <v>551</v>
      </c>
      <c r="C140" s="114" t="s">
        <v>794</v>
      </c>
      <c r="G140" s="18" t="s">
        <v>842</v>
      </c>
      <c r="H140" s="18" t="s">
        <v>268</v>
      </c>
      <c r="I140" s="122">
        <v>1</v>
      </c>
    </row>
    <row r="141" spans="1:9">
      <c r="A141" s="113" t="s">
        <v>156</v>
      </c>
      <c r="B141" s="113" t="s">
        <v>550</v>
      </c>
      <c r="C141" s="114" t="s">
        <v>795</v>
      </c>
      <c r="H141" s="18" t="s">
        <v>909</v>
      </c>
      <c r="I141" s="122">
        <v>1</v>
      </c>
    </row>
    <row r="142" spans="1:9">
      <c r="A142" s="113" t="s">
        <v>40</v>
      </c>
      <c r="B142" s="113" t="s">
        <v>556</v>
      </c>
      <c r="C142" s="114" t="s">
        <v>796</v>
      </c>
      <c r="G142" s="18" t="s">
        <v>772</v>
      </c>
      <c r="H142" s="18" t="s">
        <v>163</v>
      </c>
      <c r="I142" s="122">
        <v>1</v>
      </c>
    </row>
    <row r="143" spans="1:9">
      <c r="A143" s="113" t="s">
        <v>89</v>
      </c>
      <c r="B143" s="113" t="s">
        <v>432</v>
      </c>
      <c r="C143" s="114" t="s">
        <v>797</v>
      </c>
      <c r="G143" s="18" t="s">
        <v>839</v>
      </c>
      <c r="H143" s="18" t="s">
        <v>265</v>
      </c>
      <c r="I143" s="122">
        <v>1</v>
      </c>
    </row>
    <row r="144" spans="1:9">
      <c r="A144" s="113" t="s">
        <v>221</v>
      </c>
      <c r="B144" s="113" t="s">
        <v>554</v>
      </c>
      <c r="C144" s="114" t="s">
        <v>798</v>
      </c>
      <c r="G144" s="18" t="s">
        <v>770</v>
      </c>
      <c r="H144" s="18" t="s">
        <v>130</v>
      </c>
      <c r="I144" s="122">
        <v>1</v>
      </c>
    </row>
    <row r="145" spans="1:9">
      <c r="A145" s="113" t="s">
        <v>157</v>
      </c>
      <c r="B145" s="113" t="s">
        <v>549</v>
      </c>
      <c r="C145" s="114" t="s">
        <v>799</v>
      </c>
      <c r="G145" s="18" t="s">
        <v>769</v>
      </c>
      <c r="H145" s="18" t="s">
        <v>129</v>
      </c>
      <c r="I145" s="122">
        <v>1</v>
      </c>
    </row>
    <row r="146" spans="1:9">
      <c r="A146" s="113" t="s">
        <v>222</v>
      </c>
      <c r="B146" s="113" t="s">
        <v>196</v>
      </c>
      <c r="C146" s="114" t="s">
        <v>800</v>
      </c>
      <c r="G146" s="18" t="s">
        <v>773</v>
      </c>
      <c r="H146" s="18" t="s">
        <v>86</v>
      </c>
      <c r="I146" s="122">
        <v>1</v>
      </c>
    </row>
    <row r="147" spans="1:9">
      <c r="A147" s="113" t="s">
        <v>223</v>
      </c>
      <c r="B147" s="113" t="s">
        <v>563</v>
      </c>
      <c r="C147" s="114" t="s">
        <v>801</v>
      </c>
      <c r="G147" s="18" t="s">
        <v>158</v>
      </c>
      <c r="H147" s="18" t="s">
        <v>52</v>
      </c>
      <c r="I147" s="122">
        <v>1</v>
      </c>
    </row>
    <row r="148" spans="1:9">
      <c r="A148" s="113" t="s">
        <v>224</v>
      </c>
      <c r="B148" s="113" t="s">
        <v>562</v>
      </c>
      <c r="C148" s="114" t="s">
        <v>802</v>
      </c>
      <c r="G148" s="18" t="s">
        <v>767</v>
      </c>
      <c r="H148" s="18" t="s">
        <v>84</v>
      </c>
      <c r="I148" s="122">
        <v>1</v>
      </c>
    </row>
    <row r="149" spans="1:9">
      <c r="A149" s="113" t="s">
        <v>53</v>
      </c>
      <c r="B149" s="113" t="s">
        <v>443</v>
      </c>
      <c r="C149" s="114" t="s">
        <v>193</v>
      </c>
      <c r="G149" s="18" t="s">
        <v>771</v>
      </c>
      <c r="H149" s="18" t="s">
        <v>131</v>
      </c>
      <c r="I149" s="122">
        <v>1</v>
      </c>
    </row>
    <row r="150" spans="1:9">
      <c r="A150" s="113" t="s">
        <v>225</v>
      </c>
      <c r="B150" s="113" t="s">
        <v>558</v>
      </c>
      <c r="C150" s="114" t="s">
        <v>805</v>
      </c>
      <c r="G150" s="18" t="s">
        <v>797</v>
      </c>
      <c r="H150" s="18" t="s">
        <v>89</v>
      </c>
      <c r="I150" s="122">
        <v>1</v>
      </c>
    </row>
    <row r="151" spans="1:9">
      <c r="A151" s="113" t="s">
        <v>54</v>
      </c>
      <c r="B151" s="113" t="s">
        <v>445</v>
      </c>
      <c r="C151" s="114" t="s">
        <v>806</v>
      </c>
      <c r="G151" s="18" t="s">
        <v>793</v>
      </c>
      <c r="H151" s="18" t="s">
        <v>166</v>
      </c>
      <c r="I151" s="122">
        <v>1</v>
      </c>
    </row>
    <row r="152" spans="1:9">
      <c r="A152" s="113" t="s">
        <v>167</v>
      </c>
      <c r="B152" s="113" t="s">
        <v>442</v>
      </c>
      <c r="C152" s="114" t="s">
        <v>807</v>
      </c>
      <c r="G152" s="18" t="s">
        <v>792</v>
      </c>
      <c r="H152" s="18" t="s">
        <v>215</v>
      </c>
      <c r="I152" s="122">
        <v>1</v>
      </c>
    </row>
    <row r="153" spans="1:9">
      <c r="A153" s="113" t="s">
        <v>226</v>
      </c>
      <c r="B153" s="113" t="s">
        <v>441</v>
      </c>
      <c r="C153" s="114" t="s">
        <v>808</v>
      </c>
      <c r="G153" s="18" t="s">
        <v>795</v>
      </c>
      <c r="H153" s="18" t="s">
        <v>156</v>
      </c>
      <c r="I153" s="122">
        <v>1</v>
      </c>
    </row>
    <row r="154" spans="1:9">
      <c r="A154" s="113" t="s">
        <v>227</v>
      </c>
      <c r="B154" s="113" t="s">
        <v>559</v>
      </c>
      <c r="C154" s="114" t="s">
        <v>809</v>
      </c>
      <c r="G154" s="18" t="s">
        <v>922</v>
      </c>
      <c r="H154" s="18" t="s">
        <v>879</v>
      </c>
      <c r="I154" s="122">
        <v>1</v>
      </c>
    </row>
    <row r="155" spans="1:9">
      <c r="A155" s="113" t="s">
        <v>228</v>
      </c>
      <c r="B155" s="113" t="s">
        <v>560</v>
      </c>
      <c r="C155" s="114" t="s">
        <v>810</v>
      </c>
      <c r="G155" s="18" t="s">
        <v>776</v>
      </c>
      <c r="H155" s="18" t="s">
        <v>205</v>
      </c>
      <c r="I155" s="122">
        <v>1</v>
      </c>
    </row>
    <row r="156" spans="1:9">
      <c r="A156" s="113" t="s">
        <v>4</v>
      </c>
      <c r="B156" s="113" t="s">
        <v>552</v>
      </c>
      <c r="C156" s="114" t="s">
        <v>812</v>
      </c>
      <c r="G156" s="18" t="s">
        <v>782</v>
      </c>
      <c r="H156" s="18" t="s">
        <v>210</v>
      </c>
      <c r="I156" s="122">
        <v>1</v>
      </c>
    </row>
    <row r="157" spans="1:9">
      <c r="A157" s="113" t="s">
        <v>55</v>
      </c>
      <c r="B157" s="113" t="s">
        <v>444</v>
      </c>
      <c r="C157" s="114" t="s">
        <v>289</v>
      </c>
      <c r="H157" s="18" t="s">
        <v>901</v>
      </c>
      <c r="I157" s="122">
        <v>1</v>
      </c>
    </row>
    <row r="158" spans="1:9">
      <c r="A158" s="113" t="s">
        <v>230</v>
      </c>
      <c r="B158" s="113" t="s">
        <v>565</v>
      </c>
      <c r="C158" s="114" t="s">
        <v>813</v>
      </c>
      <c r="G158" s="18" t="s">
        <v>775</v>
      </c>
      <c r="H158" s="18" t="s">
        <v>133</v>
      </c>
      <c r="I158" s="122">
        <v>1</v>
      </c>
    </row>
    <row r="159" spans="1:9">
      <c r="A159" s="113" t="s">
        <v>231</v>
      </c>
      <c r="B159" s="113" t="s">
        <v>566</v>
      </c>
      <c r="C159" s="114" t="s">
        <v>814</v>
      </c>
      <c r="G159" s="18" t="s">
        <v>780</v>
      </c>
      <c r="H159" s="18" t="s">
        <v>209</v>
      </c>
      <c r="I159" s="122">
        <v>1</v>
      </c>
    </row>
    <row r="160" spans="1:9">
      <c r="A160" s="113" t="s">
        <v>232</v>
      </c>
      <c r="B160" s="113" t="s">
        <v>570</v>
      </c>
      <c r="C160" s="114" t="s">
        <v>815</v>
      </c>
      <c r="G160" s="18" t="s">
        <v>799</v>
      </c>
      <c r="H160" s="18" t="s">
        <v>157</v>
      </c>
      <c r="I160" s="122">
        <v>1</v>
      </c>
    </row>
    <row r="161" spans="1:9">
      <c r="A161" s="113" t="s">
        <v>233</v>
      </c>
      <c r="B161" s="113" t="s">
        <v>576</v>
      </c>
      <c r="C161" s="114" t="s">
        <v>816</v>
      </c>
      <c r="G161" s="18" t="s">
        <v>794</v>
      </c>
      <c r="H161" s="18" t="s">
        <v>39</v>
      </c>
      <c r="I161" s="122">
        <v>1</v>
      </c>
    </row>
    <row r="162" spans="1:9">
      <c r="A162" s="113" t="s">
        <v>119</v>
      </c>
      <c r="B162" s="113" t="s">
        <v>567</v>
      </c>
      <c r="C162" s="114" t="s">
        <v>817</v>
      </c>
      <c r="G162" s="18" t="s">
        <v>774</v>
      </c>
      <c r="H162" s="18" t="s">
        <v>132</v>
      </c>
      <c r="I162" s="122">
        <v>1</v>
      </c>
    </row>
    <row r="163" spans="1:9">
      <c r="A163" s="113" t="s">
        <v>234</v>
      </c>
      <c r="B163" s="113" t="s">
        <v>571</v>
      </c>
      <c r="C163" s="114" t="s">
        <v>818</v>
      </c>
      <c r="G163" s="18" t="s">
        <v>812</v>
      </c>
      <c r="H163" s="18" t="s">
        <v>4</v>
      </c>
      <c r="I163" s="122">
        <v>1</v>
      </c>
    </row>
    <row r="164" spans="1:9">
      <c r="A164" s="113" t="s">
        <v>235</v>
      </c>
      <c r="B164" s="113" t="s">
        <v>575</v>
      </c>
      <c r="C164" s="114" t="s">
        <v>819</v>
      </c>
      <c r="H164" s="18" t="s">
        <v>553</v>
      </c>
      <c r="I164" s="122">
        <v>1</v>
      </c>
    </row>
    <row r="165" spans="1:9">
      <c r="A165" s="113" t="s">
        <v>90</v>
      </c>
      <c r="B165" s="113" t="s">
        <v>568</v>
      </c>
      <c r="C165" s="114" t="s">
        <v>820</v>
      </c>
      <c r="H165" s="18" t="s">
        <v>934</v>
      </c>
      <c r="I165" s="122">
        <v>1</v>
      </c>
    </row>
    <row r="166" spans="1:9">
      <c r="A166" s="113" t="s">
        <v>91</v>
      </c>
      <c r="B166" s="113" t="s">
        <v>569</v>
      </c>
      <c r="C166" s="114" t="s">
        <v>821</v>
      </c>
      <c r="G166" s="18" t="s">
        <v>783</v>
      </c>
      <c r="H166" s="18" t="s">
        <v>165</v>
      </c>
      <c r="I166" s="122">
        <v>1</v>
      </c>
    </row>
    <row r="167" spans="1:9">
      <c r="A167" s="113" t="s">
        <v>92</v>
      </c>
      <c r="B167" s="113" t="s">
        <v>446</v>
      </c>
      <c r="C167" s="114" t="s">
        <v>243</v>
      </c>
      <c r="G167" s="18" t="s">
        <v>784</v>
      </c>
      <c r="H167" s="18" t="s">
        <v>211</v>
      </c>
      <c r="I167" s="122">
        <v>1</v>
      </c>
    </row>
    <row r="168" spans="1:9">
      <c r="A168" s="113" t="s">
        <v>56</v>
      </c>
      <c r="B168" s="113" t="s">
        <v>447</v>
      </c>
      <c r="C168" s="114" t="s">
        <v>244</v>
      </c>
      <c r="G168" s="18" t="s">
        <v>796</v>
      </c>
      <c r="H168" s="18" t="s">
        <v>40</v>
      </c>
      <c r="I168" s="122">
        <v>1</v>
      </c>
    </row>
    <row r="169" spans="1:9">
      <c r="A169" s="113" t="s">
        <v>93</v>
      </c>
      <c r="B169" s="113" t="s">
        <v>572</v>
      </c>
      <c r="C169" s="114" t="s">
        <v>822</v>
      </c>
      <c r="G169" s="18" t="s">
        <v>781</v>
      </c>
      <c r="H169" s="18" t="s">
        <v>164</v>
      </c>
      <c r="I169" s="122">
        <v>1</v>
      </c>
    </row>
    <row r="170" spans="1:9">
      <c r="A170" s="113" t="s">
        <v>134</v>
      </c>
      <c r="B170" s="113" t="s">
        <v>578</v>
      </c>
      <c r="C170" s="114" t="s">
        <v>823</v>
      </c>
      <c r="G170" s="18" t="s">
        <v>785</v>
      </c>
      <c r="H170" s="18" t="s">
        <v>212</v>
      </c>
      <c r="I170" s="122">
        <v>1</v>
      </c>
    </row>
    <row r="171" spans="1:9">
      <c r="A171" s="113" t="s">
        <v>168</v>
      </c>
      <c r="B171" s="113" t="s">
        <v>449</v>
      </c>
      <c r="C171" s="114" t="s">
        <v>824</v>
      </c>
      <c r="G171" s="18" t="s">
        <v>779</v>
      </c>
      <c r="H171" s="18" t="s">
        <v>208</v>
      </c>
      <c r="I171" s="122">
        <v>1</v>
      </c>
    </row>
    <row r="172" spans="1:9">
      <c r="A172" s="113" t="s">
        <v>94</v>
      </c>
      <c r="B172" s="113" t="s">
        <v>825</v>
      </c>
      <c r="C172" s="114" t="s">
        <v>826</v>
      </c>
      <c r="G172" s="18" t="s">
        <v>777</v>
      </c>
      <c r="H172" s="18" t="s">
        <v>207</v>
      </c>
      <c r="I172" s="122">
        <v>1</v>
      </c>
    </row>
    <row r="173" spans="1:9">
      <c r="A173" s="113" t="s">
        <v>57</v>
      </c>
      <c r="B173" s="113" t="s">
        <v>450</v>
      </c>
      <c r="C173" s="114" t="s">
        <v>290</v>
      </c>
      <c r="G173" s="18" t="s">
        <v>787</v>
      </c>
      <c r="H173" s="18" t="s">
        <v>88</v>
      </c>
      <c r="I173" s="122">
        <v>1</v>
      </c>
    </row>
    <row r="174" spans="1:9">
      <c r="A174" s="113" t="s">
        <v>137</v>
      </c>
      <c r="B174" s="113" t="s">
        <v>579</v>
      </c>
      <c r="C174" s="114" t="s">
        <v>827</v>
      </c>
      <c r="G174" s="18" t="s">
        <v>778</v>
      </c>
      <c r="H174" s="18" t="s">
        <v>87</v>
      </c>
      <c r="I174" s="122">
        <v>1</v>
      </c>
    </row>
    <row r="175" spans="1:9">
      <c r="A175" s="113" t="s">
        <v>237</v>
      </c>
      <c r="B175" s="113" t="s">
        <v>619</v>
      </c>
      <c r="C175" s="114" t="s">
        <v>828</v>
      </c>
      <c r="G175" s="18" t="s">
        <v>798</v>
      </c>
      <c r="H175" s="18" t="s">
        <v>221</v>
      </c>
      <c r="I175" s="122">
        <v>1</v>
      </c>
    </row>
    <row r="176" spans="1:9">
      <c r="A176" s="113" t="s">
        <v>169</v>
      </c>
      <c r="B176" s="113" t="s">
        <v>452</v>
      </c>
      <c r="C176" s="114" t="s">
        <v>829</v>
      </c>
      <c r="G176" s="18" t="s">
        <v>800</v>
      </c>
      <c r="H176" s="18" t="s">
        <v>222</v>
      </c>
      <c r="I176" s="122">
        <v>1</v>
      </c>
    </row>
    <row r="177" spans="1:9">
      <c r="A177" s="113" t="s">
        <v>138</v>
      </c>
      <c r="B177" s="113" t="s">
        <v>590</v>
      </c>
      <c r="C177" s="114" t="s">
        <v>830</v>
      </c>
      <c r="G177" s="18" t="s">
        <v>805</v>
      </c>
      <c r="H177" s="18" t="s">
        <v>225</v>
      </c>
      <c r="I177" s="122">
        <v>1</v>
      </c>
    </row>
    <row r="178" spans="1:9">
      <c r="A178" s="113" t="s">
        <v>95</v>
      </c>
      <c r="B178" s="113" t="s">
        <v>580</v>
      </c>
      <c r="C178" s="114" t="s">
        <v>831</v>
      </c>
      <c r="G178" s="18" t="s">
        <v>808</v>
      </c>
      <c r="H178" s="18" t="s">
        <v>226</v>
      </c>
      <c r="I178" s="122">
        <v>1</v>
      </c>
    </row>
    <row r="179" spans="1:9">
      <c r="A179" s="113" t="s">
        <v>96</v>
      </c>
      <c r="B179" s="113" t="s">
        <v>582</v>
      </c>
      <c r="C179" s="114" t="s">
        <v>832</v>
      </c>
      <c r="G179" s="18" t="s">
        <v>809</v>
      </c>
      <c r="H179" s="18" t="s">
        <v>227</v>
      </c>
      <c r="I179" s="122">
        <v>1</v>
      </c>
    </row>
    <row r="180" spans="1:9">
      <c r="A180" s="113" t="s">
        <v>239</v>
      </c>
      <c r="B180" s="113" t="s">
        <v>588</v>
      </c>
      <c r="C180" s="114" t="s">
        <v>924</v>
      </c>
      <c r="G180" s="18" t="s">
        <v>807</v>
      </c>
      <c r="H180" s="18" t="s">
        <v>167</v>
      </c>
      <c r="I180" s="122">
        <v>1</v>
      </c>
    </row>
    <row r="181" spans="1:9">
      <c r="A181" s="113" t="s">
        <v>261</v>
      </c>
      <c r="B181" s="113" t="s">
        <v>594</v>
      </c>
      <c r="C181" s="114" t="s">
        <v>833</v>
      </c>
      <c r="G181" s="18" t="s">
        <v>193</v>
      </c>
      <c r="H181" s="18" t="s">
        <v>53</v>
      </c>
      <c r="I181" s="122">
        <v>1</v>
      </c>
    </row>
    <row r="182" spans="1:9">
      <c r="A182" s="113" t="s">
        <v>262</v>
      </c>
      <c r="B182" s="113" t="s">
        <v>585</v>
      </c>
      <c r="C182" s="114" t="s">
        <v>834</v>
      </c>
      <c r="G182" s="18" t="s">
        <v>289</v>
      </c>
      <c r="H182" s="18" t="s">
        <v>55</v>
      </c>
      <c r="I182" s="122">
        <v>1</v>
      </c>
    </row>
    <row r="183" spans="1:9">
      <c r="A183" s="113" t="s">
        <v>58</v>
      </c>
      <c r="B183" s="113" t="s">
        <v>451</v>
      </c>
      <c r="C183" s="114" t="s">
        <v>292</v>
      </c>
      <c r="G183" s="18" t="s">
        <v>802</v>
      </c>
      <c r="H183" s="18" t="s">
        <v>224</v>
      </c>
      <c r="I183" s="122">
        <v>1</v>
      </c>
    </row>
    <row r="184" spans="1:9">
      <c r="A184" s="113" t="s">
        <v>916</v>
      </c>
      <c r="B184" s="113" t="s">
        <v>593</v>
      </c>
      <c r="C184" s="114" t="s">
        <v>918</v>
      </c>
      <c r="G184" s="18" t="s">
        <v>801</v>
      </c>
      <c r="H184" s="18" t="s">
        <v>564</v>
      </c>
      <c r="I184" s="122">
        <v>1</v>
      </c>
    </row>
    <row r="185" spans="1:9">
      <c r="A185" s="113" t="s">
        <v>97</v>
      </c>
      <c r="B185" s="113" t="s">
        <v>454</v>
      </c>
      <c r="C185" s="114" t="s">
        <v>835</v>
      </c>
      <c r="H185" s="18" t="s">
        <v>223</v>
      </c>
      <c r="I185" s="122">
        <v>1</v>
      </c>
    </row>
    <row r="186" spans="1:9">
      <c r="A186" s="113" t="s">
        <v>170</v>
      </c>
      <c r="B186" s="113" t="s">
        <v>455</v>
      </c>
      <c r="C186" s="114" t="s">
        <v>836</v>
      </c>
      <c r="G186" s="18" t="s">
        <v>810</v>
      </c>
      <c r="H186" s="18" t="s">
        <v>561</v>
      </c>
      <c r="I186" s="122">
        <v>1</v>
      </c>
    </row>
    <row r="187" spans="1:9">
      <c r="A187" s="113" t="s">
        <v>263</v>
      </c>
      <c r="B187" s="113" t="s">
        <v>584</v>
      </c>
      <c r="C187" s="114" t="s">
        <v>837</v>
      </c>
      <c r="H187" s="18" t="s">
        <v>228</v>
      </c>
      <c r="I187" s="122">
        <v>1</v>
      </c>
    </row>
    <row r="188" spans="1:9">
      <c r="A188" s="113" t="s">
        <v>264</v>
      </c>
      <c r="B188" s="113" t="s">
        <v>587</v>
      </c>
      <c r="C188" s="114" t="s">
        <v>838</v>
      </c>
      <c r="G188" s="18" t="s">
        <v>806</v>
      </c>
      <c r="H188" s="18" t="s">
        <v>54</v>
      </c>
      <c r="I188" s="122">
        <v>1</v>
      </c>
    </row>
    <row r="189" spans="1:9">
      <c r="A189" s="113" t="s">
        <v>98</v>
      </c>
      <c r="B189" s="113" t="s">
        <v>462</v>
      </c>
      <c r="C189" s="114" t="s">
        <v>41</v>
      </c>
      <c r="G189" s="18" t="s">
        <v>813</v>
      </c>
      <c r="H189" s="18" t="s">
        <v>230</v>
      </c>
      <c r="I189" s="122">
        <v>1</v>
      </c>
    </row>
    <row r="190" spans="1:9">
      <c r="A190" s="113" t="s">
        <v>298</v>
      </c>
      <c r="B190" s="113" t="s">
        <v>589</v>
      </c>
      <c r="C190" s="114" t="s">
        <v>921</v>
      </c>
      <c r="G190" s="18" t="s">
        <v>817</v>
      </c>
      <c r="H190" s="18" t="s">
        <v>119</v>
      </c>
      <c r="I190" s="122">
        <v>1</v>
      </c>
    </row>
    <row r="191" spans="1:9">
      <c r="A191" s="113" t="s">
        <v>59</v>
      </c>
      <c r="B191" s="113" t="s">
        <v>402</v>
      </c>
      <c r="C191" s="114" t="s">
        <v>42</v>
      </c>
      <c r="G191" s="18" t="s">
        <v>820</v>
      </c>
      <c r="H191" s="18" t="s">
        <v>90</v>
      </c>
      <c r="I191" s="122">
        <v>1</v>
      </c>
    </row>
    <row r="192" spans="1:9">
      <c r="A192" s="113" t="s">
        <v>265</v>
      </c>
      <c r="B192" s="113" t="s">
        <v>541</v>
      </c>
      <c r="C192" s="114" t="s">
        <v>839</v>
      </c>
      <c r="G192" s="18" t="s">
        <v>729</v>
      </c>
      <c r="H192" s="18" t="s">
        <v>141</v>
      </c>
      <c r="I192" s="122">
        <v>1</v>
      </c>
    </row>
    <row r="193" spans="1:9">
      <c r="A193" s="113" t="s">
        <v>266</v>
      </c>
      <c r="B193" s="113" t="s">
        <v>583</v>
      </c>
      <c r="C193" s="114" t="s">
        <v>840</v>
      </c>
      <c r="G193" s="18" t="s">
        <v>818</v>
      </c>
      <c r="H193" s="18" t="s">
        <v>234</v>
      </c>
      <c r="I193" s="122">
        <v>1</v>
      </c>
    </row>
    <row r="194" spans="1:9">
      <c r="A194" s="113" t="s">
        <v>267</v>
      </c>
      <c r="B194" s="113" t="s">
        <v>534</v>
      </c>
      <c r="C194" s="114" t="s">
        <v>841</v>
      </c>
      <c r="G194" s="18" t="s">
        <v>821</v>
      </c>
      <c r="H194" s="18" t="s">
        <v>91</v>
      </c>
      <c r="I194" s="122">
        <v>1</v>
      </c>
    </row>
    <row r="195" spans="1:9">
      <c r="A195" s="113" t="s">
        <v>268</v>
      </c>
      <c r="B195" s="113" t="s">
        <v>540</v>
      </c>
      <c r="C195" s="114" t="s">
        <v>842</v>
      </c>
      <c r="G195" s="18" t="s">
        <v>814</v>
      </c>
      <c r="H195" s="18" t="s">
        <v>231</v>
      </c>
      <c r="I195" s="122">
        <v>1</v>
      </c>
    </row>
    <row r="196" spans="1:9">
      <c r="A196" s="113" t="s">
        <v>269</v>
      </c>
      <c r="B196" s="113" t="s">
        <v>453</v>
      </c>
      <c r="C196" s="114" t="s">
        <v>843</v>
      </c>
      <c r="G196" s="18" t="s">
        <v>243</v>
      </c>
      <c r="H196" s="18" t="s">
        <v>92</v>
      </c>
      <c r="I196" s="122">
        <v>1</v>
      </c>
    </row>
    <row r="197" spans="1:9">
      <c r="A197" s="113" t="s">
        <v>844</v>
      </c>
      <c r="B197" s="113" t="s">
        <v>612</v>
      </c>
      <c r="C197" s="114" t="s">
        <v>845</v>
      </c>
      <c r="G197" s="18" t="s">
        <v>843</v>
      </c>
      <c r="H197" s="18" t="s">
        <v>269</v>
      </c>
      <c r="I197" s="122">
        <v>1</v>
      </c>
    </row>
    <row r="198" spans="1:9">
      <c r="A198" s="113" t="s">
        <v>270</v>
      </c>
      <c r="B198" s="113" t="s">
        <v>581</v>
      </c>
      <c r="C198" s="114" t="s">
        <v>846</v>
      </c>
      <c r="H198" s="18" t="s">
        <v>910</v>
      </c>
      <c r="I198" s="122">
        <v>1</v>
      </c>
    </row>
    <row r="199" spans="1:9">
      <c r="A199" s="113" t="s">
        <v>271</v>
      </c>
      <c r="B199" s="113" t="s">
        <v>591</v>
      </c>
      <c r="C199" s="114" t="s">
        <v>847</v>
      </c>
      <c r="G199" s="18" t="s">
        <v>822</v>
      </c>
      <c r="H199" s="18" t="s">
        <v>93</v>
      </c>
      <c r="I199" s="122">
        <v>1</v>
      </c>
    </row>
    <row r="200" spans="1:9">
      <c r="A200" s="113" t="s">
        <v>272</v>
      </c>
      <c r="B200" s="113" t="s">
        <v>592</v>
      </c>
      <c r="C200" s="114" t="s">
        <v>848</v>
      </c>
      <c r="G200" s="18" t="s">
        <v>816</v>
      </c>
      <c r="H200" s="18" t="s">
        <v>233</v>
      </c>
      <c r="I200" s="122">
        <v>1</v>
      </c>
    </row>
    <row r="201" spans="1:9">
      <c r="A201" s="113" t="s">
        <v>60</v>
      </c>
      <c r="B201" s="113" t="s">
        <v>456</v>
      </c>
      <c r="C201" s="114" t="s">
        <v>247</v>
      </c>
      <c r="H201" s="18" t="s">
        <v>903</v>
      </c>
      <c r="I201" s="122">
        <v>1</v>
      </c>
    </row>
    <row r="202" spans="1:9">
      <c r="A202" s="113" t="s">
        <v>61</v>
      </c>
      <c r="B202" s="113" t="s">
        <v>393</v>
      </c>
      <c r="C202" s="114" t="s">
        <v>248</v>
      </c>
      <c r="G202" s="18" t="s">
        <v>244</v>
      </c>
      <c r="H202" s="18" t="s">
        <v>56</v>
      </c>
      <c r="I202" s="122">
        <v>1</v>
      </c>
    </row>
    <row r="203" spans="1:9">
      <c r="A203" s="113" t="s">
        <v>273</v>
      </c>
      <c r="B203" s="113" t="s">
        <v>595</v>
      </c>
      <c r="C203" s="114" t="s">
        <v>849</v>
      </c>
      <c r="H203" s="18" t="s">
        <v>182</v>
      </c>
      <c r="I203" s="122">
        <v>1</v>
      </c>
    </row>
    <row r="204" spans="1:9">
      <c r="A204" s="113" t="s">
        <v>62</v>
      </c>
      <c r="B204" s="113" t="s">
        <v>458</v>
      </c>
      <c r="C204" s="114" t="s">
        <v>236</v>
      </c>
      <c r="H204" s="18" t="s">
        <v>206</v>
      </c>
      <c r="I204" s="122">
        <v>1</v>
      </c>
    </row>
    <row r="205" spans="1:9">
      <c r="A205" s="113" t="s">
        <v>274</v>
      </c>
      <c r="B205" s="113" t="s">
        <v>600</v>
      </c>
      <c r="C205" s="114" t="s">
        <v>850</v>
      </c>
      <c r="G205" s="18" t="s">
        <v>815</v>
      </c>
      <c r="H205" s="18" t="s">
        <v>232</v>
      </c>
      <c r="I205" s="122">
        <v>1</v>
      </c>
    </row>
    <row r="206" spans="1:9">
      <c r="A206" s="113" t="s">
        <v>275</v>
      </c>
      <c r="B206" s="113" t="s">
        <v>459</v>
      </c>
      <c r="C206" s="114" t="s">
        <v>851</v>
      </c>
      <c r="G206" s="18" t="s">
        <v>819</v>
      </c>
      <c r="H206" s="18" t="s">
        <v>235</v>
      </c>
      <c r="I206" s="122">
        <v>1</v>
      </c>
    </row>
    <row r="207" spans="1:9">
      <c r="A207" s="113" t="s">
        <v>99</v>
      </c>
      <c r="B207" s="113" t="s">
        <v>599</v>
      </c>
      <c r="C207" s="114" t="s">
        <v>852</v>
      </c>
      <c r="G207" s="18" t="s">
        <v>823</v>
      </c>
      <c r="H207" s="18" t="s">
        <v>134</v>
      </c>
      <c r="I207" s="122">
        <v>1</v>
      </c>
    </row>
    <row r="208" spans="1:9">
      <c r="A208" s="113" t="s">
        <v>276</v>
      </c>
      <c r="B208" s="113" t="s">
        <v>598</v>
      </c>
      <c r="C208" s="114" t="s">
        <v>853</v>
      </c>
      <c r="G208" s="18" t="s">
        <v>824</v>
      </c>
      <c r="H208" s="18" t="s">
        <v>168</v>
      </c>
      <c r="I208" s="122">
        <v>1</v>
      </c>
    </row>
    <row r="209" spans="1:9">
      <c r="A209" s="113" t="s">
        <v>277</v>
      </c>
      <c r="B209" s="113" t="s">
        <v>601</v>
      </c>
      <c r="C209" s="114" t="s">
        <v>854</v>
      </c>
      <c r="H209" s="18" t="s">
        <v>448</v>
      </c>
      <c r="I209" s="122">
        <v>1</v>
      </c>
    </row>
    <row r="210" spans="1:9">
      <c r="A210" s="113" t="s">
        <v>278</v>
      </c>
      <c r="B210" s="113" t="s">
        <v>604</v>
      </c>
      <c r="C210" s="114" t="s">
        <v>855</v>
      </c>
      <c r="G210" s="18" t="s">
        <v>826</v>
      </c>
      <c r="H210" s="18" t="s">
        <v>94</v>
      </c>
      <c r="I210" s="122">
        <v>1</v>
      </c>
    </row>
    <row r="211" spans="1:9">
      <c r="A211" s="113" t="s">
        <v>279</v>
      </c>
      <c r="B211" s="113" t="s">
        <v>605</v>
      </c>
      <c r="C211" s="114" t="s">
        <v>856</v>
      </c>
      <c r="G211" s="18" t="s">
        <v>924</v>
      </c>
      <c r="H211" s="18" t="s">
        <v>239</v>
      </c>
      <c r="I211" s="122">
        <v>1</v>
      </c>
    </row>
    <row r="212" spans="1:9">
      <c r="A212" s="113" t="s">
        <v>100</v>
      </c>
      <c r="B212" s="113" t="s">
        <v>606</v>
      </c>
      <c r="C212" s="114" t="s">
        <v>857</v>
      </c>
      <c r="G212" s="18" t="s">
        <v>290</v>
      </c>
      <c r="H212" s="18" t="s">
        <v>57</v>
      </c>
      <c r="I212" s="122">
        <v>1</v>
      </c>
    </row>
    <row r="213" spans="1:9">
      <c r="A213" s="113" t="s">
        <v>245</v>
      </c>
      <c r="B213" s="113" t="s">
        <v>596</v>
      </c>
      <c r="C213" s="114" t="s">
        <v>860</v>
      </c>
      <c r="H213" s="18" t="s">
        <v>291</v>
      </c>
      <c r="I213" s="122">
        <v>1</v>
      </c>
    </row>
    <row r="214" spans="1:9">
      <c r="A214" s="113" t="s">
        <v>101</v>
      </c>
      <c r="B214" s="113" t="s">
        <v>457</v>
      </c>
      <c r="C214" s="114" t="s">
        <v>858</v>
      </c>
      <c r="H214" s="18" t="s">
        <v>135</v>
      </c>
      <c r="I214" s="122">
        <v>1</v>
      </c>
    </row>
    <row r="215" spans="1:9">
      <c r="A215" s="113" t="s">
        <v>280</v>
      </c>
      <c r="B215" s="113" t="s">
        <v>602</v>
      </c>
      <c r="C215" s="114" t="s">
        <v>859</v>
      </c>
      <c r="H215" s="18" t="s">
        <v>136</v>
      </c>
      <c r="I215" s="122">
        <v>1</v>
      </c>
    </row>
    <row r="216" spans="1:9">
      <c r="A216" s="113" t="s">
        <v>281</v>
      </c>
      <c r="B216" s="113" t="s">
        <v>607</v>
      </c>
      <c r="C216" s="114" t="s">
        <v>861</v>
      </c>
      <c r="H216" s="18" t="s">
        <v>374</v>
      </c>
      <c r="I216" s="122">
        <v>1</v>
      </c>
    </row>
    <row r="217" spans="1:9">
      <c r="A217" s="113" t="s">
        <v>282</v>
      </c>
      <c r="B217" s="113" t="s">
        <v>608</v>
      </c>
      <c r="C217" s="114" t="s">
        <v>862</v>
      </c>
      <c r="G217" s="18" t="s">
        <v>827</v>
      </c>
      <c r="H217" s="18" t="s">
        <v>137</v>
      </c>
      <c r="I217" s="122">
        <v>1</v>
      </c>
    </row>
    <row r="218" spans="1:9">
      <c r="A218" s="113" t="s">
        <v>283</v>
      </c>
      <c r="B218" s="113" t="s">
        <v>609</v>
      </c>
      <c r="C218" s="114" t="s">
        <v>863</v>
      </c>
      <c r="G218" s="18" t="s">
        <v>831</v>
      </c>
      <c r="H218" s="18" t="s">
        <v>95</v>
      </c>
      <c r="I218" s="122">
        <v>1</v>
      </c>
    </row>
    <row r="219" spans="1:9">
      <c r="A219" s="113" t="s">
        <v>102</v>
      </c>
      <c r="B219" s="115" t="s">
        <v>469</v>
      </c>
      <c r="C219" s="114" t="s">
        <v>864</v>
      </c>
      <c r="G219" s="18" t="s">
        <v>837</v>
      </c>
      <c r="H219" s="18" t="s">
        <v>263</v>
      </c>
      <c r="I219" s="122">
        <v>1</v>
      </c>
    </row>
    <row r="220" spans="1:9">
      <c r="A220" s="113" t="s">
        <v>63</v>
      </c>
      <c r="B220" s="113" t="s">
        <v>406</v>
      </c>
      <c r="C220" s="114" t="s">
        <v>140</v>
      </c>
      <c r="H220" s="18" t="s">
        <v>906</v>
      </c>
      <c r="I220" s="122">
        <v>1</v>
      </c>
    </row>
    <row r="221" spans="1:9">
      <c r="A221" s="113" t="s">
        <v>284</v>
      </c>
      <c r="B221" s="113" t="s">
        <v>610</v>
      </c>
      <c r="C221" s="114" t="s">
        <v>866</v>
      </c>
      <c r="G221" s="18" t="s">
        <v>833</v>
      </c>
      <c r="H221" s="18" t="s">
        <v>261</v>
      </c>
      <c r="I221" s="122">
        <v>1</v>
      </c>
    </row>
    <row r="222" spans="1:9">
      <c r="A222" s="113" t="s">
        <v>64</v>
      </c>
      <c r="B222" s="113" t="s">
        <v>64</v>
      </c>
      <c r="C222" s="114" t="s">
        <v>293</v>
      </c>
      <c r="G222" s="18" t="s">
        <v>846</v>
      </c>
      <c r="H222" s="18" t="s">
        <v>270</v>
      </c>
      <c r="I222" s="122">
        <v>1</v>
      </c>
    </row>
    <row r="223" spans="1:9">
      <c r="A223" s="113" t="s">
        <v>285</v>
      </c>
      <c r="B223" s="113" t="s">
        <v>611</v>
      </c>
      <c r="C223" s="114" t="s">
        <v>867</v>
      </c>
      <c r="G223" s="18" t="s">
        <v>247</v>
      </c>
      <c r="H223" s="18" t="s">
        <v>60</v>
      </c>
      <c r="I223" s="122">
        <v>1</v>
      </c>
    </row>
    <row r="224" spans="1:9">
      <c r="A224" s="113" t="s">
        <v>286</v>
      </c>
      <c r="B224" s="113" t="s">
        <v>617</v>
      </c>
      <c r="C224" s="114" t="s">
        <v>868</v>
      </c>
      <c r="G224" s="18" t="s">
        <v>292</v>
      </c>
      <c r="H224" s="18" t="s">
        <v>58</v>
      </c>
      <c r="I224" s="122">
        <v>1</v>
      </c>
    </row>
    <row r="225" spans="1:9">
      <c r="A225" s="113" t="s">
        <v>287</v>
      </c>
      <c r="B225" s="113" t="s">
        <v>460</v>
      </c>
      <c r="C225" s="114" t="s">
        <v>869</v>
      </c>
      <c r="G225" s="18" t="s">
        <v>840</v>
      </c>
      <c r="H225" s="18" t="s">
        <v>266</v>
      </c>
      <c r="I225" s="122">
        <v>1</v>
      </c>
    </row>
    <row r="226" spans="1:9">
      <c r="A226" s="113" t="s">
        <v>103</v>
      </c>
      <c r="B226" s="113" t="s">
        <v>613</v>
      </c>
      <c r="C226" s="114" t="s">
        <v>870</v>
      </c>
      <c r="H226" s="18" t="s">
        <v>907</v>
      </c>
      <c r="I226" s="122">
        <v>1</v>
      </c>
    </row>
    <row r="227" spans="1:9">
      <c r="A227" s="113" t="s">
        <v>288</v>
      </c>
      <c r="B227" s="113" t="s">
        <v>616</v>
      </c>
      <c r="C227" s="114" t="s">
        <v>871</v>
      </c>
      <c r="G227" s="18" t="s">
        <v>836</v>
      </c>
      <c r="H227" s="18" t="s">
        <v>170</v>
      </c>
      <c r="I227" s="122">
        <v>1</v>
      </c>
    </row>
    <row r="228" spans="1:9">
      <c r="A228" s="113" t="s">
        <v>615</v>
      </c>
      <c r="B228" s="113" t="s">
        <v>614</v>
      </c>
      <c r="C228" s="114" t="s">
        <v>872</v>
      </c>
      <c r="G228" s="18" t="s">
        <v>835</v>
      </c>
      <c r="H228" s="18" t="s">
        <v>97</v>
      </c>
      <c r="I228" s="122">
        <v>1</v>
      </c>
    </row>
    <row r="229" spans="1:9">
      <c r="A229" s="113" t="s">
        <v>873</v>
      </c>
      <c r="B229" s="113" t="s">
        <v>461</v>
      </c>
      <c r="C229" s="114" t="s">
        <v>874</v>
      </c>
      <c r="G229" s="18" t="s">
        <v>834</v>
      </c>
      <c r="H229" s="18" t="s">
        <v>262</v>
      </c>
      <c r="I229" s="122">
        <v>1</v>
      </c>
    </row>
    <row r="230" spans="1:9">
      <c r="A230" s="113" t="s">
        <v>201</v>
      </c>
      <c r="B230" s="113" t="s">
        <v>618</v>
      </c>
      <c r="C230" s="114" t="s">
        <v>875</v>
      </c>
      <c r="G230" s="18" t="s">
        <v>829</v>
      </c>
      <c r="H230" s="18" t="s">
        <v>169</v>
      </c>
      <c r="I230" s="122">
        <v>1</v>
      </c>
    </row>
    <row r="231" spans="1:9">
      <c r="A231" s="113" t="s">
        <v>202</v>
      </c>
      <c r="B231" s="113" t="s">
        <v>620</v>
      </c>
      <c r="C231" s="114" t="s">
        <v>876</v>
      </c>
      <c r="G231" s="18" t="s">
        <v>832</v>
      </c>
      <c r="H231" s="18" t="s">
        <v>96</v>
      </c>
      <c r="I231" s="122">
        <v>1</v>
      </c>
    </row>
    <row r="232" spans="1:9">
      <c r="A232" s="113" t="s">
        <v>203</v>
      </c>
      <c r="B232" s="113" t="s">
        <v>621</v>
      </c>
      <c r="C232" s="114" t="s">
        <v>877</v>
      </c>
      <c r="G232" s="18" t="s">
        <v>838</v>
      </c>
      <c r="H232" s="18" t="s">
        <v>264</v>
      </c>
      <c r="I232" s="122">
        <v>1</v>
      </c>
    </row>
    <row r="233" spans="1:9">
      <c r="A233" s="113" t="s">
        <v>104</v>
      </c>
      <c r="B233" s="113" t="s">
        <v>622</v>
      </c>
      <c r="C233" s="114" t="s">
        <v>878</v>
      </c>
      <c r="G233" s="18" t="s">
        <v>847</v>
      </c>
      <c r="H233" s="18" t="s">
        <v>271</v>
      </c>
      <c r="I233" s="122">
        <v>1</v>
      </c>
    </row>
    <row r="234" spans="1:9">
      <c r="A234" s="116" t="s">
        <v>879</v>
      </c>
      <c r="B234" s="117" t="s">
        <v>880</v>
      </c>
      <c r="C234" s="114" t="s">
        <v>922</v>
      </c>
      <c r="G234" s="18" t="s">
        <v>921</v>
      </c>
      <c r="H234" s="18" t="s">
        <v>298</v>
      </c>
      <c r="I234" s="122">
        <v>1</v>
      </c>
    </row>
    <row r="235" spans="1:9">
      <c r="A235" s="116" t="s">
        <v>384</v>
      </c>
      <c r="B235" s="116" t="s">
        <v>917</v>
      </c>
      <c r="C235" s="114" t="s">
        <v>923</v>
      </c>
      <c r="G235" s="18" t="s">
        <v>830</v>
      </c>
      <c r="H235" s="18" t="s">
        <v>138</v>
      </c>
      <c r="I235" s="122">
        <v>1</v>
      </c>
    </row>
    <row r="236" spans="1:9">
      <c r="A236" s="111" t="s">
        <v>891</v>
      </c>
      <c r="B236" s="113" t="s">
        <v>478</v>
      </c>
      <c r="C236" s="114" t="s">
        <v>920</v>
      </c>
      <c r="H236" s="18" t="s">
        <v>905</v>
      </c>
      <c r="I236" s="122">
        <v>1</v>
      </c>
    </row>
    <row r="237" spans="1:9">
      <c r="A237" s="111" t="s">
        <v>892</v>
      </c>
      <c r="B237" s="113" t="s">
        <v>482</v>
      </c>
      <c r="C237" s="114" t="s">
        <v>687</v>
      </c>
      <c r="G237" s="18" t="s">
        <v>721</v>
      </c>
      <c r="H237" s="18" t="s">
        <v>254</v>
      </c>
      <c r="I237" s="122">
        <v>1</v>
      </c>
    </row>
    <row r="238" spans="1:9">
      <c r="A238" s="111" t="s">
        <v>893</v>
      </c>
      <c r="B238" s="113" t="s">
        <v>479</v>
      </c>
      <c r="C238" s="114" t="s">
        <v>692</v>
      </c>
      <c r="G238" s="18" t="s">
        <v>918</v>
      </c>
      <c r="H238" s="18" t="s">
        <v>302</v>
      </c>
      <c r="I238" s="122">
        <v>1</v>
      </c>
    </row>
    <row r="239" spans="1:9">
      <c r="A239" s="111" t="s">
        <v>894</v>
      </c>
      <c r="B239" s="113" t="s">
        <v>501</v>
      </c>
      <c r="C239" s="114" t="s">
        <v>698</v>
      </c>
      <c r="H239" s="18" t="s">
        <v>916</v>
      </c>
      <c r="I239" s="122">
        <v>1</v>
      </c>
    </row>
    <row r="240" spans="1:9">
      <c r="A240" s="111" t="s">
        <v>895</v>
      </c>
      <c r="B240" s="113" t="s">
        <v>490</v>
      </c>
      <c r="C240" s="114" t="s">
        <v>699</v>
      </c>
      <c r="G240" s="18" t="s">
        <v>849</v>
      </c>
      <c r="H240" s="18" t="s">
        <v>273</v>
      </c>
      <c r="I240" s="122">
        <v>1</v>
      </c>
    </row>
    <row r="241" spans="1:9">
      <c r="A241" s="111" t="s">
        <v>896</v>
      </c>
      <c r="B241" s="113" t="s">
        <v>495</v>
      </c>
      <c r="C241" s="114" t="s">
        <v>707</v>
      </c>
      <c r="G241" s="18" t="s">
        <v>848</v>
      </c>
      <c r="H241" s="18" t="s">
        <v>272</v>
      </c>
      <c r="I241" s="122">
        <v>1</v>
      </c>
    </row>
    <row r="242" spans="1:9">
      <c r="A242" s="111" t="s">
        <v>897</v>
      </c>
      <c r="B242" s="115" t="s">
        <v>494</v>
      </c>
      <c r="C242" s="114" t="s">
        <v>706</v>
      </c>
      <c r="G242" s="18" t="s">
        <v>860</v>
      </c>
      <c r="H242" s="18" t="s">
        <v>245</v>
      </c>
      <c r="I242" s="122">
        <v>1</v>
      </c>
    </row>
    <row r="243" spans="1:9">
      <c r="A243" s="111" t="s">
        <v>898</v>
      </c>
      <c r="B243" s="113" t="s">
        <v>401</v>
      </c>
      <c r="C243" s="114" t="s">
        <v>717</v>
      </c>
      <c r="H243" s="18" t="s">
        <v>912</v>
      </c>
      <c r="I243" s="122">
        <v>1</v>
      </c>
    </row>
    <row r="244" spans="1:9">
      <c r="A244" s="111" t="s">
        <v>899</v>
      </c>
      <c r="B244" s="113" t="s">
        <v>513</v>
      </c>
      <c r="C244" s="114" t="s">
        <v>725</v>
      </c>
      <c r="H244" s="18" t="s">
        <v>937</v>
      </c>
      <c r="I244" s="122">
        <v>1</v>
      </c>
    </row>
    <row r="245" spans="1:9">
      <c r="A245" s="111" t="s">
        <v>900</v>
      </c>
      <c r="B245" s="113" t="s">
        <v>512</v>
      </c>
      <c r="C245" s="114" t="s">
        <v>726</v>
      </c>
      <c r="G245" s="18" t="s">
        <v>700</v>
      </c>
      <c r="H245" s="18" t="s">
        <v>16</v>
      </c>
      <c r="I245" s="122">
        <v>1</v>
      </c>
    </row>
    <row r="246" spans="1:9">
      <c r="A246" s="111" t="s">
        <v>413</v>
      </c>
      <c r="B246" s="113" t="s">
        <v>414</v>
      </c>
      <c r="C246" s="114" t="s">
        <v>728</v>
      </c>
      <c r="G246" s="18" t="s">
        <v>853</v>
      </c>
      <c r="H246" s="18" t="s">
        <v>276</v>
      </c>
      <c r="I246" s="122">
        <v>1</v>
      </c>
    </row>
    <row r="247" spans="1:9">
      <c r="A247" s="111" t="s">
        <v>297</v>
      </c>
      <c r="B247" s="113" t="s">
        <v>491</v>
      </c>
      <c r="C247" s="114" t="s">
        <v>709</v>
      </c>
      <c r="G247" s="18" t="s">
        <v>852</v>
      </c>
      <c r="H247" s="18" t="s">
        <v>99</v>
      </c>
      <c r="I247" s="122">
        <v>1</v>
      </c>
    </row>
    <row r="248" spans="1:9">
      <c r="A248" s="111" t="s">
        <v>901</v>
      </c>
      <c r="B248" s="113" t="s">
        <v>547</v>
      </c>
      <c r="C248" s="114" t="s">
        <v>782</v>
      </c>
      <c r="G248" s="18" t="s">
        <v>850</v>
      </c>
      <c r="H248" s="18" t="s">
        <v>274</v>
      </c>
      <c r="I248" s="122">
        <v>1</v>
      </c>
    </row>
    <row r="249" spans="1:9">
      <c r="A249" s="111" t="s">
        <v>902</v>
      </c>
      <c r="B249" s="113" t="s">
        <v>440</v>
      </c>
      <c r="C249" s="114" t="s">
        <v>786</v>
      </c>
      <c r="G249" s="18" t="s">
        <v>854</v>
      </c>
      <c r="H249" s="18" t="s">
        <v>277</v>
      </c>
      <c r="I249" s="122">
        <v>1</v>
      </c>
    </row>
    <row r="250" spans="1:9">
      <c r="A250" s="111" t="s">
        <v>564</v>
      </c>
      <c r="B250" s="113" t="s">
        <v>563</v>
      </c>
      <c r="C250" s="114" t="s">
        <v>801</v>
      </c>
      <c r="G250" s="18" t="s">
        <v>718</v>
      </c>
      <c r="H250" s="18" t="s">
        <v>251</v>
      </c>
      <c r="I250" s="122">
        <v>1</v>
      </c>
    </row>
    <row r="251" spans="1:9">
      <c r="A251" s="111" t="s">
        <v>561</v>
      </c>
      <c r="B251" s="113" t="s">
        <v>560</v>
      </c>
      <c r="C251" s="114" t="s">
        <v>810</v>
      </c>
      <c r="G251" s="18" t="s">
        <v>859</v>
      </c>
      <c r="H251" s="18" t="s">
        <v>280</v>
      </c>
      <c r="I251" s="122">
        <v>1</v>
      </c>
    </row>
    <row r="252" spans="1:9">
      <c r="A252" s="111" t="s">
        <v>574</v>
      </c>
      <c r="B252" s="113" t="s">
        <v>573</v>
      </c>
      <c r="C252" s="114" t="s">
        <v>762</v>
      </c>
      <c r="G252" s="18" t="s">
        <v>857</v>
      </c>
      <c r="H252" s="18" t="s">
        <v>100</v>
      </c>
      <c r="I252" s="122">
        <v>1</v>
      </c>
    </row>
    <row r="253" spans="1:9">
      <c r="A253" s="111" t="s">
        <v>553</v>
      </c>
      <c r="B253" s="113" t="s">
        <v>552</v>
      </c>
      <c r="C253" s="114" t="s">
        <v>812</v>
      </c>
      <c r="G253" s="18" t="s">
        <v>855</v>
      </c>
      <c r="H253" s="18" t="s">
        <v>278</v>
      </c>
      <c r="I253" s="122">
        <v>1</v>
      </c>
    </row>
    <row r="254" spans="1:9">
      <c r="A254" s="111" t="s">
        <v>903</v>
      </c>
      <c r="B254" s="118" t="s">
        <v>576</v>
      </c>
      <c r="C254" s="114" t="s">
        <v>816</v>
      </c>
      <c r="G254" s="18" t="s">
        <v>858</v>
      </c>
      <c r="H254" s="18" t="s">
        <v>101</v>
      </c>
      <c r="I254" s="122">
        <v>1</v>
      </c>
    </row>
    <row r="255" spans="1:9">
      <c r="A255" s="111" t="s">
        <v>302</v>
      </c>
      <c r="B255" s="118" t="s">
        <v>593</v>
      </c>
      <c r="C255" s="114" t="s">
        <v>918</v>
      </c>
      <c r="H255" s="18" t="s">
        <v>246</v>
      </c>
      <c r="I255" s="122">
        <v>1</v>
      </c>
    </row>
    <row r="256" spans="1:9">
      <c r="A256" s="111" t="s">
        <v>904</v>
      </c>
      <c r="B256" s="118" t="s">
        <v>619</v>
      </c>
      <c r="C256" s="114" t="s">
        <v>828</v>
      </c>
      <c r="G256" s="18" t="s">
        <v>856</v>
      </c>
      <c r="H256" s="18" t="s">
        <v>279</v>
      </c>
      <c r="I256" s="122">
        <v>1</v>
      </c>
    </row>
    <row r="257" spans="1:9">
      <c r="A257" s="111" t="s">
        <v>905</v>
      </c>
      <c r="B257" s="113" t="s">
        <v>590</v>
      </c>
      <c r="C257" s="114" t="s">
        <v>830</v>
      </c>
      <c r="G257" s="18" t="s">
        <v>861</v>
      </c>
      <c r="H257" s="18" t="s">
        <v>281</v>
      </c>
      <c r="I257" s="122">
        <v>1</v>
      </c>
    </row>
    <row r="258" spans="1:9">
      <c r="A258" s="111" t="s">
        <v>906</v>
      </c>
      <c r="B258" s="113" t="s">
        <v>584</v>
      </c>
      <c r="C258" s="114" t="s">
        <v>837</v>
      </c>
      <c r="G258" s="18" t="s">
        <v>236</v>
      </c>
      <c r="H258" s="18" t="s">
        <v>62</v>
      </c>
      <c r="I258" s="122">
        <v>1</v>
      </c>
    </row>
    <row r="259" spans="1:9">
      <c r="A259" s="111" t="s">
        <v>366</v>
      </c>
      <c r="B259" s="113" t="s">
        <v>427</v>
      </c>
      <c r="C259" s="114" t="s">
        <v>763</v>
      </c>
      <c r="G259" s="18" t="s">
        <v>851</v>
      </c>
      <c r="H259" s="18" t="s">
        <v>275</v>
      </c>
      <c r="I259" s="122">
        <v>1</v>
      </c>
    </row>
    <row r="260" spans="1:9">
      <c r="A260" s="111" t="s">
        <v>907</v>
      </c>
      <c r="B260" s="113" t="s">
        <v>583</v>
      </c>
      <c r="C260" s="114" t="s">
        <v>840</v>
      </c>
      <c r="G260" s="18" t="s">
        <v>863</v>
      </c>
      <c r="H260" s="18" t="s">
        <v>283</v>
      </c>
      <c r="I260" s="122">
        <v>1</v>
      </c>
    </row>
    <row r="261" spans="1:9">
      <c r="A261" s="111" t="s">
        <v>908</v>
      </c>
      <c r="B261" s="113" t="s">
        <v>534</v>
      </c>
      <c r="C261" s="114" t="s">
        <v>841</v>
      </c>
      <c r="G261" s="18" t="s">
        <v>862</v>
      </c>
      <c r="H261" s="18" t="s">
        <v>282</v>
      </c>
      <c r="I261" s="122">
        <v>1</v>
      </c>
    </row>
    <row r="262" spans="1:9">
      <c r="A262" s="111" t="s">
        <v>909</v>
      </c>
      <c r="B262" s="113" t="s">
        <v>540</v>
      </c>
      <c r="C262" s="114" t="s">
        <v>842</v>
      </c>
      <c r="G262" s="18" t="s">
        <v>791</v>
      </c>
      <c r="H262" s="18" t="s">
        <v>789</v>
      </c>
      <c r="I262" s="122">
        <v>1</v>
      </c>
    </row>
    <row r="263" spans="1:9">
      <c r="A263" s="111" t="s">
        <v>910</v>
      </c>
      <c r="B263" s="113" t="s">
        <v>453</v>
      </c>
      <c r="C263" s="114" t="s">
        <v>843</v>
      </c>
      <c r="G263" s="18" t="s">
        <v>293</v>
      </c>
      <c r="H263" s="18" t="s">
        <v>64</v>
      </c>
      <c r="I263" s="122">
        <v>1</v>
      </c>
    </row>
    <row r="264" spans="1:9">
      <c r="A264" s="111" t="s">
        <v>911</v>
      </c>
      <c r="B264" s="113" t="s">
        <v>612</v>
      </c>
      <c r="C264" s="114" t="s">
        <v>845</v>
      </c>
      <c r="H264" s="18" t="s">
        <v>304</v>
      </c>
      <c r="I264" s="122">
        <v>1</v>
      </c>
    </row>
    <row r="265" spans="1:9">
      <c r="A265" s="111" t="s">
        <v>912</v>
      </c>
      <c r="B265" s="113" t="s">
        <v>596</v>
      </c>
      <c r="C265" s="114" t="s">
        <v>860</v>
      </c>
      <c r="H265" s="18" t="s">
        <v>305</v>
      </c>
      <c r="I265" s="122">
        <v>1</v>
      </c>
    </row>
    <row r="266" spans="1:9">
      <c r="A266" s="111" t="s">
        <v>913</v>
      </c>
      <c r="B266" s="113" t="s">
        <v>614</v>
      </c>
      <c r="C266" s="114" t="s">
        <v>872</v>
      </c>
      <c r="H266" s="18" t="s">
        <v>306</v>
      </c>
      <c r="I266" s="122">
        <v>1</v>
      </c>
    </row>
    <row r="267" spans="1:9">
      <c r="A267" s="111" t="s">
        <v>914</v>
      </c>
      <c r="B267" s="113" t="s">
        <v>618</v>
      </c>
      <c r="C267" s="114" t="s">
        <v>875</v>
      </c>
      <c r="H267" s="18" t="s">
        <v>307</v>
      </c>
      <c r="I267" s="122">
        <v>1</v>
      </c>
    </row>
    <row r="268" spans="1:9">
      <c r="A268" s="114" t="s">
        <v>241</v>
      </c>
      <c r="B268" s="118" t="s">
        <v>526</v>
      </c>
      <c r="C268" s="114" t="s">
        <v>714</v>
      </c>
      <c r="H268" s="18" t="s">
        <v>308</v>
      </c>
      <c r="I268" s="122">
        <v>1</v>
      </c>
    </row>
    <row r="269" spans="1:9">
      <c r="A269" s="114" t="s">
        <v>301</v>
      </c>
      <c r="B269" s="118" t="s">
        <v>482</v>
      </c>
      <c r="C269" s="114" t="s">
        <v>687</v>
      </c>
      <c r="H269" s="18" t="s">
        <v>309</v>
      </c>
      <c r="I269" s="122">
        <v>1</v>
      </c>
    </row>
    <row r="270" spans="1:9">
      <c r="A270" s="114" t="s">
        <v>932</v>
      </c>
      <c r="B270" s="118" t="s">
        <v>614</v>
      </c>
      <c r="C270" s="114" t="s">
        <v>872</v>
      </c>
      <c r="H270" s="18" t="s">
        <v>310</v>
      </c>
      <c r="I270" s="122">
        <v>1</v>
      </c>
    </row>
    <row r="271" spans="1:9">
      <c r="A271" s="114" t="s">
        <v>502</v>
      </c>
      <c r="B271" s="113" t="s">
        <v>501</v>
      </c>
      <c r="C271" s="114" t="s">
        <v>698</v>
      </c>
      <c r="H271" s="18" t="s">
        <v>311</v>
      </c>
      <c r="I271" s="122">
        <v>1</v>
      </c>
    </row>
    <row r="272" spans="1:9">
      <c r="A272" s="114" t="s">
        <v>933</v>
      </c>
      <c r="B272" s="113" t="s">
        <v>411</v>
      </c>
      <c r="C272" s="114" t="s">
        <v>739</v>
      </c>
      <c r="H272" s="18" t="s">
        <v>312</v>
      </c>
      <c r="I272" s="122">
        <v>1</v>
      </c>
    </row>
    <row r="273" spans="1:9">
      <c r="A273" s="114" t="s">
        <v>934</v>
      </c>
      <c r="B273" s="118" t="s">
        <v>552</v>
      </c>
      <c r="C273" s="114" t="s">
        <v>812</v>
      </c>
      <c r="H273" s="18" t="s">
        <v>313</v>
      </c>
      <c r="I273" s="122">
        <v>1</v>
      </c>
    </row>
    <row r="274" spans="1:9">
      <c r="A274" s="114" t="s">
        <v>448</v>
      </c>
      <c r="B274" s="113" t="s">
        <v>449</v>
      </c>
      <c r="C274" s="114" t="s">
        <v>824</v>
      </c>
      <c r="H274" s="18" t="s">
        <v>314</v>
      </c>
      <c r="I274" s="122">
        <v>1</v>
      </c>
    </row>
    <row r="275" spans="1:9">
      <c r="A275" s="114" t="s">
        <v>935</v>
      </c>
      <c r="B275" s="118" t="s">
        <v>534</v>
      </c>
      <c r="C275" s="114" t="s">
        <v>841</v>
      </c>
      <c r="H275" s="18" t="s">
        <v>315</v>
      </c>
      <c r="I275" s="122">
        <v>1</v>
      </c>
    </row>
    <row r="276" spans="1:9">
      <c r="A276" s="114" t="s">
        <v>936</v>
      </c>
      <c r="B276" s="118" t="s">
        <v>612</v>
      </c>
      <c r="C276" s="114" t="s">
        <v>845</v>
      </c>
      <c r="H276" s="18" t="s">
        <v>316</v>
      </c>
      <c r="I276" s="122">
        <v>1</v>
      </c>
    </row>
    <row r="277" spans="1:9">
      <c r="A277" s="114" t="s">
        <v>937</v>
      </c>
      <c r="B277" s="113" t="s">
        <v>596</v>
      </c>
      <c r="C277" s="114" t="s">
        <v>860</v>
      </c>
      <c r="H277" s="18" t="s">
        <v>317</v>
      </c>
      <c r="I277" s="122">
        <v>1</v>
      </c>
    </row>
    <row r="278" spans="1:9">
      <c r="A278" s="114" t="s">
        <v>938</v>
      </c>
      <c r="B278" s="113" t="s">
        <v>461</v>
      </c>
      <c r="C278" s="114" t="s">
        <v>874</v>
      </c>
      <c r="H278" s="18" t="s">
        <v>318</v>
      </c>
      <c r="I278" s="122">
        <v>1</v>
      </c>
    </row>
    <row r="279" spans="1:9">
      <c r="A279" s="34" t="s">
        <v>304</v>
      </c>
      <c r="B279" s="118" t="s">
        <v>64</v>
      </c>
      <c r="C279" s="114" t="s">
        <v>293</v>
      </c>
      <c r="H279" s="18" t="s">
        <v>319</v>
      </c>
      <c r="I279" s="122">
        <v>1</v>
      </c>
    </row>
    <row r="280" spans="1:9">
      <c r="A280" s="34" t="s">
        <v>305</v>
      </c>
      <c r="B280" s="118" t="s">
        <v>64</v>
      </c>
      <c r="C280" s="114" t="s">
        <v>293</v>
      </c>
      <c r="H280" s="18" t="s">
        <v>320</v>
      </c>
      <c r="I280" s="122">
        <v>1</v>
      </c>
    </row>
    <row r="281" spans="1:9">
      <c r="A281" s="34" t="s">
        <v>306</v>
      </c>
      <c r="B281" s="118" t="s">
        <v>64</v>
      </c>
      <c r="C281" s="114" t="s">
        <v>293</v>
      </c>
      <c r="H281" s="18" t="s">
        <v>321</v>
      </c>
      <c r="I281" s="122">
        <v>1</v>
      </c>
    </row>
    <row r="282" spans="1:9">
      <c r="A282" s="34" t="s">
        <v>307</v>
      </c>
      <c r="B282" s="118" t="s">
        <v>64</v>
      </c>
      <c r="C282" s="114" t="s">
        <v>293</v>
      </c>
      <c r="H282" s="18" t="s">
        <v>322</v>
      </c>
      <c r="I282" s="122">
        <v>1</v>
      </c>
    </row>
    <row r="283" spans="1:9">
      <c r="A283" s="34" t="s">
        <v>308</v>
      </c>
      <c r="B283" s="118" t="s">
        <v>64</v>
      </c>
      <c r="C283" s="114" t="s">
        <v>293</v>
      </c>
      <c r="H283" s="18" t="s">
        <v>323</v>
      </c>
      <c r="I283" s="122">
        <v>1</v>
      </c>
    </row>
    <row r="284" spans="1:9">
      <c r="A284" s="34" t="s">
        <v>309</v>
      </c>
      <c r="B284" s="118" t="s">
        <v>64</v>
      </c>
      <c r="C284" s="114" t="s">
        <v>293</v>
      </c>
      <c r="H284" s="18" t="s">
        <v>324</v>
      </c>
      <c r="I284" s="122">
        <v>1</v>
      </c>
    </row>
    <row r="285" spans="1:9">
      <c r="A285" s="34" t="s">
        <v>310</v>
      </c>
      <c r="B285" s="118" t="s">
        <v>64</v>
      </c>
      <c r="C285" s="114" t="s">
        <v>293</v>
      </c>
      <c r="H285" s="18" t="s">
        <v>325</v>
      </c>
      <c r="I285" s="122">
        <v>1</v>
      </c>
    </row>
    <row r="286" spans="1:9">
      <c r="A286" s="34" t="s">
        <v>311</v>
      </c>
      <c r="B286" s="118" t="s">
        <v>64</v>
      </c>
      <c r="C286" s="114" t="s">
        <v>293</v>
      </c>
      <c r="H286" s="18" t="s">
        <v>326</v>
      </c>
      <c r="I286" s="122">
        <v>1</v>
      </c>
    </row>
    <row r="287" spans="1:9">
      <c r="A287" s="34" t="s">
        <v>312</v>
      </c>
      <c r="B287" s="118" t="s">
        <v>64</v>
      </c>
      <c r="C287" s="114" t="s">
        <v>293</v>
      </c>
      <c r="H287" s="18" t="s">
        <v>327</v>
      </c>
      <c r="I287" s="122">
        <v>1</v>
      </c>
    </row>
    <row r="288" spans="1:9">
      <c r="A288" s="34" t="s">
        <v>313</v>
      </c>
      <c r="B288" s="118" t="s">
        <v>64</v>
      </c>
      <c r="C288" s="114" t="s">
        <v>293</v>
      </c>
      <c r="H288" s="18" t="s">
        <v>328</v>
      </c>
      <c r="I288" s="122">
        <v>1</v>
      </c>
    </row>
    <row r="289" spans="1:9">
      <c r="A289" s="34" t="s">
        <v>314</v>
      </c>
      <c r="B289" s="118" t="s">
        <v>64</v>
      </c>
      <c r="C289" s="114" t="s">
        <v>293</v>
      </c>
      <c r="H289" s="18" t="s">
        <v>329</v>
      </c>
      <c r="I289" s="122">
        <v>1</v>
      </c>
    </row>
    <row r="290" spans="1:9">
      <c r="A290" s="34" t="s">
        <v>315</v>
      </c>
      <c r="B290" s="118" t="s">
        <v>64</v>
      </c>
      <c r="C290" s="114" t="s">
        <v>293</v>
      </c>
      <c r="H290" s="18" t="s">
        <v>330</v>
      </c>
      <c r="I290" s="122">
        <v>1</v>
      </c>
    </row>
    <row r="291" spans="1:9">
      <c r="A291" s="34" t="s">
        <v>316</v>
      </c>
      <c r="B291" s="118" t="s">
        <v>64</v>
      </c>
      <c r="C291" s="114" t="s">
        <v>293</v>
      </c>
      <c r="H291" s="18" t="s">
        <v>331</v>
      </c>
      <c r="I291" s="122">
        <v>1</v>
      </c>
    </row>
    <row r="292" spans="1:9">
      <c r="A292" s="34" t="s">
        <v>317</v>
      </c>
      <c r="B292" s="118" t="s">
        <v>64</v>
      </c>
      <c r="C292" s="114" t="s">
        <v>293</v>
      </c>
      <c r="H292" s="18" t="s">
        <v>332</v>
      </c>
      <c r="I292" s="122">
        <v>1</v>
      </c>
    </row>
    <row r="293" spans="1:9">
      <c r="A293" s="34" t="s">
        <v>318</v>
      </c>
      <c r="B293" s="118" t="s">
        <v>64</v>
      </c>
      <c r="C293" s="114" t="s">
        <v>293</v>
      </c>
      <c r="H293" s="18" t="s">
        <v>333</v>
      </c>
      <c r="I293" s="122">
        <v>1</v>
      </c>
    </row>
    <row r="294" spans="1:9">
      <c r="A294" s="34" t="s">
        <v>319</v>
      </c>
      <c r="B294" s="118" t="s">
        <v>64</v>
      </c>
      <c r="C294" s="114" t="s">
        <v>293</v>
      </c>
      <c r="H294" s="18" t="s">
        <v>334</v>
      </c>
      <c r="I294" s="122">
        <v>1</v>
      </c>
    </row>
    <row r="295" spans="1:9">
      <c r="A295" s="34" t="s">
        <v>320</v>
      </c>
      <c r="B295" s="118" t="s">
        <v>64</v>
      </c>
      <c r="C295" s="114" t="s">
        <v>293</v>
      </c>
      <c r="H295" s="18" t="s">
        <v>335</v>
      </c>
      <c r="I295" s="122">
        <v>1</v>
      </c>
    </row>
    <row r="296" spans="1:9">
      <c r="A296" s="34" t="s">
        <v>321</v>
      </c>
      <c r="B296" s="118" t="s">
        <v>64</v>
      </c>
      <c r="C296" s="114" t="s">
        <v>293</v>
      </c>
      <c r="H296" s="18" t="s">
        <v>336</v>
      </c>
      <c r="I296" s="122">
        <v>1</v>
      </c>
    </row>
    <row r="297" spans="1:9">
      <c r="A297" s="34" t="s">
        <v>322</v>
      </c>
      <c r="B297" s="118" t="s">
        <v>64</v>
      </c>
      <c r="C297" s="114" t="s">
        <v>293</v>
      </c>
      <c r="H297" s="18" t="s">
        <v>337</v>
      </c>
      <c r="I297" s="122">
        <v>1</v>
      </c>
    </row>
    <row r="298" spans="1:9">
      <c r="A298" s="34" t="s">
        <v>323</v>
      </c>
      <c r="B298" s="118" t="s">
        <v>64</v>
      </c>
      <c r="C298" s="114" t="s">
        <v>293</v>
      </c>
      <c r="H298" s="18" t="s">
        <v>338</v>
      </c>
      <c r="I298" s="122">
        <v>1</v>
      </c>
    </row>
    <row r="299" spans="1:9">
      <c r="A299" s="34" t="s">
        <v>324</v>
      </c>
      <c r="B299" s="118" t="s">
        <v>64</v>
      </c>
      <c r="C299" s="114" t="s">
        <v>293</v>
      </c>
      <c r="H299" s="18" t="s">
        <v>339</v>
      </c>
      <c r="I299" s="122">
        <v>1</v>
      </c>
    </row>
    <row r="300" spans="1:9">
      <c r="A300" s="34" t="s">
        <v>325</v>
      </c>
      <c r="B300" s="118" t="s">
        <v>64</v>
      </c>
      <c r="C300" s="114" t="s">
        <v>293</v>
      </c>
      <c r="H300" s="18" t="s">
        <v>340</v>
      </c>
      <c r="I300" s="122">
        <v>1</v>
      </c>
    </row>
    <row r="301" spans="1:9">
      <c r="A301" s="34" t="s">
        <v>326</v>
      </c>
      <c r="B301" s="118" t="s">
        <v>64</v>
      </c>
      <c r="C301" s="114" t="s">
        <v>293</v>
      </c>
      <c r="H301" s="18" t="s">
        <v>341</v>
      </c>
      <c r="I301" s="122">
        <v>1</v>
      </c>
    </row>
    <row r="302" spans="1:9">
      <c r="A302" s="34" t="s">
        <v>327</v>
      </c>
      <c r="B302" s="118" t="s">
        <v>64</v>
      </c>
      <c r="C302" s="114" t="s">
        <v>293</v>
      </c>
      <c r="H302" s="18" t="s">
        <v>342</v>
      </c>
      <c r="I302" s="122">
        <v>1</v>
      </c>
    </row>
    <row r="303" spans="1:9">
      <c r="A303" s="34" t="s">
        <v>328</v>
      </c>
      <c r="B303" s="118" t="s">
        <v>64</v>
      </c>
      <c r="C303" s="114" t="s">
        <v>293</v>
      </c>
      <c r="H303" s="18" t="s">
        <v>343</v>
      </c>
      <c r="I303" s="122">
        <v>1</v>
      </c>
    </row>
    <row r="304" spans="1:9">
      <c r="A304" s="34" t="s">
        <v>329</v>
      </c>
      <c r="B304" s="118" t="s">
        <v>64</v>
      </c>
      <c r="C304" s="114" t="s">
        <v>293</v>
      </c>
      <c r="H304" s="18" t="s">
        <v>344</v>
      </c>
      <c r="I304" s="122">
        <v>1</v>
      </c>
    </row>
    <row r="305" spans="1:9">
      <c r="A305" s="34" t="s">
        <v>330</v>
      </c>
      <c r="B305" s="118" t="s">
        <v>64</v>
      </c>
      <c r="C305" s="114" t="s">
        <v>293</v>
      </c>
      <c r="H305" s="18" t="s">
        <v>345</v>
      </c>
      <c r="I305" s="122">
        <v>1</v>
      </c>
    </row>
    <row r="306" spans="1:9">
      <c r="A306" s="34" t="s">
        <v>331</v>
      </c>
      <c r="B306" s="118" t="s">
        <v>64</v>
      </c>
      <c r="C306" s="114" t="s">
        <v>293</v>
      </c>
      <c r="H306" s="18" t="s">
        <v>346</v>
      </c>
      <c r="I306" s="122">
        <v>1</v>
      </c>
    </row>
    <row r="307" spans="1:9">
      <c r="A307" s="34" t="s">
        <v>332</v>
      </c>
      <c r="B307" s="118" t="s">
        <v>64</v>
      </c>
      <c r="C307" s="114" t="s">
        <v>293</v>
      </c>
      <c r="H307" s="18" t="s">
        <v>347</v>
      </c>
      <c r="I307" s="122">
        <v>1</v>
      </c>
    </row>
    <row r="308" spans="1:9">
      <c r="A308" s="34" t="s">
        <v>333</v>
      </c>
      <c r="B308" s="118" t="s">
        <v>64</v>
      </c>
      <c r="C308" s="114" t="s">
        <v>293</v>
      </c>
      <c r="H308" s="18" t="s">
        <v>348</v>
      </c>
      <c r="I308" s="122">
        <v>1</v>
      </c>
    </row>
    <row r="309" spans="1:9">
      <c r="A309" s="34" t="s">
        <v>334</v>
      </c>
      <c r="B309" s="118" t="s">
        <v>64</v>
      </c>
      <c r="C309" s="114" t="s">
        <v>293</v>
      </c>
      <c r="H309" s="18" t="s">
        <v>349</v>
      </c>
      <c r="I309" s="122">
        <v>1</v>
      </c>
    </row>
    <row r="310" spans="1:9">
      <c r="A310" s="34" t="s">
        <v>335</v>
      </c>
      <c r="B310" s="118" t="s">
        <v>64</v>
      </c>
      <c r="C310" s="114" t="s">
        <v>293</v>
      </c>
      <c r="H310" s="18" t="s">
        <v>350</v>
      </c>
      <c r="I310" s="122">
        <v>1</v>
      </c>
    </row>
    <row r="311" spans="1:9">
      <c r="A311" s="34" t="s">
        <v>336</v>
      </c>
      <c r="B311" s="118" t="s">
        <v>64</v>
      </c>
      <c r="C311" s="114" t="s">
        <v>293</v>
      </c>
      <c r="H311" s="18" t="s">
        <v>351</v>
      </c>
      <c r="I311" s="122">
        <v>1</v>
      </c>
    </row>
    <row r="312" spans="1:9">
      <c r="A312" s="34" t="s">
        <v>337</v>
      </c>
      <c r="B312" s="118" t="s">
        <v>64</v>
      </c>
      <c r="C312" s="114" t="s">
        <v>293</v>
      </c>
      <c r="H312" s="18" t="s">
        <v>352</v>
      </c>
      <c r="I312" s="122">
        <v>1</v>
      </c>
    </row>
    <row r="313" spans="1:9">
      <c r="A313" s="34" t="s">
        <v>338</v>
      </c>
      <c r="B313" s="118" t="s">
        <v>64</v>
      </c>
      <c r="C313" s="114" t="s">
        <v>293</v>
      </c>
      <c r="H313" s="18" t="s">
        <v>353</v>
      </c>
      <c r="I313" s="122">
        <v>1</v>
      </c>
    </row>
    <row r="314" spans="1:9">
      <c r="A314" s="34" t="s">
        <v>339</v>
      </c>
      <c r="B314" s="118" t="s">
        <v>64</v>
      </c>
      <c r="C314" s="114" t="s">
        <v>293</v>
      </c>
      <c r="H314" s="18" t="s">
        <v>354</v>
      </c>
      <c r="I314" s="122">
        <v>1</v>
      </c>
    </row>
    <row r="315" spans="1:9">
      <c r="A315" s="34" t="s">
        <v>340</v>
      </c>
      <c r="B315" s="118" t="s">
        <v>64</v>
      </c>
      <c r="C315" s="114" t="s">
        <v>293</v>
      </c>
      <c r="H315" s="18" t="s">
        <v>363</v>
      </c>
      <c r="I315" s="122">
        <v>1</v>
      </c>
    </row>
    <row r="316" spans="1:9">
      <c r="A316" s="34" t="s">
        <v>341</v>
      </c>
      <c r="B316" s="118" t="s">
        <v>64</v>
      </c>
      <c r="C316" s="114" t="s">
        <v>293</v>
      </c>
      <c r="G316" s="18" t="s">
        <v>866</v>
      </c>
      <c r="H316" s="18" t="s">
        <v>284</v>
      </c>
      <c r="I316" s="122">
        <v>1</v>
      </c>
    </row>
    <row r="317" spans="1:9">
      <c r="A317" s="34" t="s">
        <v>342</v>
      </c>
      <c r="B317" s="118" t="s">
        <v>64</v>
      </c>
      <c r="C317" s="114" t="s">
        <v>293</v>
      </c>
      <c r="G317" s="18" t="s">
        <v>867</v>
      </c>
      <c r="H317" s="18" t="s">
        <v>285</v>
      </c>
      <c r="I317" s="122">
        <v>1</v>
      </c>
    </row>
    <row r="318" spans="1:9">
      <c r="A318" s="34" t="s">
        <v>343</v>
      </c>
      <c r="B318" s="118" t="s">
        <v>64</v>
      </c>
      <c r="C318" s="114" t="s">
        <v>293</v>
      </c>
      <c r="G318" s="18" t="s">
        <v>869</v>
      </c>
      <c r="H318" s="18" t="s">
        <v>287</v>
      </c>
      <c r="I318" s="122">
        <v>1</v>
      </c>
    </row>
    <row r="319" spans="1:9">
      <c r="A319" s="34" t="s">
        <v>344</v>
      </c>
      <c r="B319" s="118" t="s">
        <v>64</v>
      </c>
      <c r="C319" s="114" t="s">
        <v>293</v>
      </c>
      <c r="G319" s="18" t="s">
        <v>845</v>
      </c>
      <c r="H319" s="18" t="s">
        <v>844</v>
      </c>
      <c r="I319" s="122">
        <v>1</v>
      </c>
    </row>
    <row r="320" spans="1:9">
      <c r="A320" s="34" t="s">
        <v>345</v>
      </c>
      <c r="B320" s="118" t="s">
        <v>64</v>
      </c>
      <c r="C320" s="114" t="s">
        <v>293</v>
      </c>
      <c r="H320" s="18" t="s">
        <v>911</v>
      </c>
      <c r="I320" s="122">
        <v>1</v>
      </c>
    </row>
    <row r="321" spans="1:9">
      <c r="A321" s="34" t="s">
        <v>346</v>
      </c>
      <c r="B321" s="118" t="s">
        <v>64</v>
      </c>
      <c r="C321" s="114" t="s">
        <v>293</v>
      </c>
      <c r="H321" s="18" t="s">
        <v>936</v>
      </c>
      <c r="I321" s="122">
        <v>1</v>
      </c>
    </row>
    <row r="322" spans="1:9">
      <c r="A322" s="34" t="s">
        <v>347</v>
      </c>
      <c r="B322" s="118" t="s">
        <v>64</v>
      </c>
      <c r="C322" s="114" t="s">
        <v>293</v>
      </c>
      <c r="G322" s="18" t="s">
        <v>870</v>
      </c>
      <c r="H322" s="18" t="s">
        <v>103</v>
      </c>
      <c r="I322" s="122">
        <v>1</v>
      </c>
    </row>
    <row r="323" spans="1:9">
      <c r="A323" s="34" t="s">
        <v>348</v>
      </c>
      <c r="B323" s="118" t="s">
        <v>64</v>
      </c>
      <c r="C323" s="114" t="s">
        <v>293</v>
      </c>
      <c r="G323" s="18" t="s">
        <v>872</v>
      </c>
      <c r="H323" s="18" t="s">
        <v>615</v>
      </c>
      <c r="I323" s="122">
        <v>1</v>
      </c>
    </row>
    <row r="324" spans="1:9">
      <c r="A324" s="34" t="s">
        <v>349</v>
      </c>
      <c r="B324" s="118" t="s">
        <v>64</v>
      </c>
      <c r="C324" s="114" t="s">
        <v>293</v>
      </c>
      <c r="H324" s="18" t="s">
        <v>913</v>
      </c>
      <c r="I324" s="122">
        <v>1</v>
      </c>
    </row>
    <row r="325" spans="1:9">
      <c r="A325" s="34" t="s">
        <v>350</v>
      </c>
      <c r="B325" s="118" t="s">
        <v>64</v>
      </c>
      <c r="C325" s="114" t="s">
        <v>293</v>
      </c>
      <c r="H325" s="18" t="s">
        <v>932</v>
      </c>
      <c r="I325" s="122">
        <v>1</v>
      </c>
    </row>
    <row r="326" spans="1:9">
      <c r="A326" s="34" t="s">
        <v>351</v>
      </c>
      <c r="B326" s="118" t="s">
        <v>64</v>
      </c>
      <c r="C326" s="114" t="s">
        <v>293</v>
      </c>
      <c r="G326" s="18" t="s">
        <v>874</v>
      </c>
      <c r="H326" s="18" t="s">
        <v>873</v>
      </c>
      <c r="I326" s="122">
        <v>1</v>
      </c>
    </row>
    <row r="327" spans="1:9">
      <c r="A327" s="34" t="s">
        <v>352</v>
      </c>
      <c r="B327" s="118" t="s">
        <v>64</v>
      </c>
      <c r="C327" s="114" t="s">
        <v>293</v>
      </c>
      <c r="H327" s="18" t="s">
        <v>938</v>
      </c>
      <c r="I327" s="122">
        <v>1</v>
      </c>
    </row>
    <row r="328" spans="1:9">
      <c r="A328" s="34" t="s">
        <v>353</v>
      </c>
      <c r="B328" s="118" t="s">
        <v>64</v>
      </c>
      <c r="C328" s="114" t="s">
        <v>293</v>
      </c>
      <c r="G328" s="18" t="s">
        <v>871</v>
      </c>
      <c r="H328" s="18" t="s">
        <v>288</v>
      </c>
      <c r="I328" s="122">
        <v>1</v>
      </c>
    </row>
    <row r="329" spans="1:9">
      <c r="A329" s="34" t="s">
        <v>354</v>
      </c>
      <c r="B329" s="118" t="s">
        <v>64</v>
      </c>
      <c r="C329" s="114" t="s">
        <v>293</v>
      </c>
      <c r="G329" s="18" t="s">
        <v>868</v>
      </c>
      <c r="H329" s="18" t="s">
        <v>286</v>
      </c>
      <c r="I329" s="122">
        <v>1</v>
      </c>
    </row>
    <row r="330" spans="1:9">
      <c r="A330" s="118" t="s">
        <v>672</v>
      </c>
      <c r="B330" s="118" t="str">
        <f>VLOOKUP(A330,'[9]country mapping'!A7:E250,5,0)</f>
        <v>ASC</v>
      </c>
      <c r="C330" s="114" t="str">
        <f>VLOOKUP(B330,'[9]country mapping'!E7:F250,2,0)</f>
        <v>AC</v>
      </c>
      <c r="G330" s="18" t="s">
        <v>875</v>
      </c>
      <c r="H330" s="18" t="s">
        <v>201</v>
      </c>
      <c r="I330" s="122">
        <v>1</v>
      </c>
    </row>
    <row r="331" spans="1:9">
      <c r="A331" s="118" t="s">
        <v>182</v>
      </c>
      <c r="B331" s="118" t="e">
        <f>VLOOKUP(A331,#REF!,2,0)</f>
        <v>#REF!</v>
      </c>
      <c r="C331" s="114" t="e">
        <f>VLOOKUP(B331,'[9]country mapping'!E8:F251,2,0)</f>
        <v>#REF!</v>
      </c>
      <c r="H331" s="18" t="s">
        <v>914</v>
      </c>
      <c r="I331" s="122">
        <v>1</v>
      </c>
    </row>
    <row r="332" spans="1:9">
      <c r="A332" s="118" t="s">
        <v>355</v>
      </c>
      <c r="B332" s="118" t="e">
        <f>VLOOKUP(A332,#REF!,2,0)</f>
        <v>#REF!</v>
      </c>
      <c r="C332" s="114" t="e">
        <f>VLOOKUP(B332,'[9]country mapping'!E9:F252,2,0)</f>
        <v>#REF!</v>
      </c>
      <c r="G332" s="18" t="s">
        <v>828</v>
      </c>
      <c r="H332" s="18" t="s">
        <v>237</v>
      </c>
      <c r="I332" s="122">
        <v>1</v>
      </c>
    </row>
    <row r="333" spans="1:9">
      <c r="A333" s="118" t="s">
        <v>356</v>
      </c>
      <c r="B333" s="118" t="e">
        <f>VLOOKUP(A333,#REF!,2,0)</f>
        <v>#REF!</v>
      </c>
      <c r="C333" s="114" t="e">
        <f>VLOOKUP(B333,'[9]country mapping'!E10:F253,2,0)</f>
        <v>#REF!</v>
      </c>
      <c r="H333" s="18" t="s">
        <v>904</v>
      </c>
      <c r="I333" s="122">
        <v>1</v>
      </c>
    </row>
    <row r="334" spans="1:9">
      <c r="A334" s="118" t="s">
        <v>12</v>
      </c>
      <c r="B334" s="118" t="e">
        <f>VLOOKUP(A334,#REF!,2,0)</f>
        <v>#REF!</v>
      </c>
      <c r="C334" s="114" t="e">
        <f>VLOOKUP(B334,'[9]country mapping'!E11:F254,2,0)</f>
        <v>#REF!</v>
      </c>
      <c r="G334" s="18" t="s">
        <v>876</v>
      </c>
      <c r="H334" s="18" t="s">
        <v>202</v>
      </c>
      <c r="I334" s="122">
        <v>1</v>
      </c>
    </row>
    <row r="335" spans="1:9">
      <c r="A335" s="118" t="s">
        <v>30</v>
      </c>
      <c r="B335" s="118" t="s">
        <v>940</v>
      </c>
      <c r="C335" s="114" t="e">
        <f>VLOOKUP(B335,'[9]country mapping'!E12:F255,2,0)</f>
        <v>#N/A</v>
      </c>
      <c r="G335" s="18" t="s">
        <v>786</v>
      </c>
      <c r="H335" s="18" t="s">
        <v>213</v>
      </c>
      <c r="I335" s="122">
        <v>1</v>
      </c>
    </row>
    <row r="336" spans="1:9">
      <c r="A336" s="118" t="s">
        <v>357</v>
      </c>
      <c r="B336" s="118" t="s">
        <v>940</v>
      </c>
      <c r="C336" s="114" t="e">
        <f>VLOOKUP(B336,'[9]country mapping'!E13:F256,2,0)</f>
        <v>#N/A</v>
      </c>
      <c r="H336" s="18" t="s">
        <v>902</v>
      </c>
      <c r="I336" s="122">
        <v>1</v>
      </c>
    </row>
    <row r="337" spans="1:9">
      <c r="A337" s="118" t="s">
        <v>368</v>
      </c>
      <c r="B337" s="118" t="s">
        <v>940</v>
      </c>
      <c r="C337" s="114" t="e">
        <f>VLOOKUP(B337,'[9]country mapping'!E14:F257,2,0)</f>
        <v>#N/A</v>
      </c>
      <c r="G337" s="18" t="s">
        <v>41</v>
      </c>
      <c r="H337" s="18" t="s">
        <v>98</v>
      </c>
      <c r="I337" s="122">
        <v>1</v>
      </c>
    </row>
    <row r="338" spans="1:9">
      <c r="A338" s="118" t="s">
        <v>147</v>
      </c>
      <c r="B338" s="118" t="e">
        <f>VLOOKUP(A338,#REF!,2,0)</f>
        <v>#REF!</v>
      </c>
      <c r="C338" s="114" t="e">
        <f>VLOOKUP(B338,'[9]country mapping'!E15:F258,2,0)</f>
        <v>#REF!</v>
      </c>
      <c r="G338" s="18" t="s">
        <v>877</v>
      </c>
      <c r="H338" s="18" t="s">
        <v>203</v>
      </c>
      <c r="I338" s="122">
        <v>1</v>
      </c>
    </row>
    <row r="339" spans="1:9">
      <c r="A339" s="118" t="s">
        <v>32</v>
      </c>
      <c r="B339" s="118" t="s">
        <v>940</v>
      </c>
      <c r="C339" s="114" t="e">
        <f>VLOOKUP(B339,'[9]country mapping'!E16:F259,2,0)</f>
        <v>#N/A</v>
      </c>
      <c r="G339" s="18" t="s">
        <v>878</v>
      </c>
      <c r="H339" s="18" t="s">
        <v>104</v>
      </c>
      <c r="I339" s="122">
        <v>1</v>
      </c>
    </row>
    <row r="340" spans="1:9">
      <c r="A340" s="118" t="s">
        <v>33</v>
      </c>
      <c r="B340" s="118" t="s">
        <v>940</v>
      </c>
      <c r="C340" s="114" t="e">
        <f>VLOOKUP(B340,'[9]country mapping'!E17:F260,2,0)</f>
        <v>#N/A</v>
      </c>
      <c r="G340" s="18" t="s">
        <v>714</v>
      </c>
      <c r="H340" s="18" t="s">
        <v>241</v>
      </c>
      <c r="I340" s="122">
        <v>1</v>
      </c>
    </row>
    <row r="341" spans="1:9">
      <c r="A341" s="118" t="s">
        <v>358</v>
      </c>
      <c r="B341" s="118" t="s">
        <v>940</v>
      </c>
      <c r="C341" s="114" t="e">
        <f>VLOOKUP(B341,'[9]country mapping'!E18:F261,2,0)</f>
        <v>#N/A</v>
      </c>
      <c r="G341" s="18" t="s">
        <v>674</v>
      </c>
      <c r="H341" s="18" t="s">
        <v>672</v>
      </c>
      <c r="I341" s="122">
        <v>1</v>
      </c>
    </row>
    <row r="342" spans="1:9">
      <c r="A342" s="118" t="s">
        <v>359</v>
      </c>
      <c r="B342" s="118" t="s">
        <v>940</v>
      </c>
      <c r="C342" s="114" t="e">
        <f>VLOOKUP(B342,'[9]country mapping'!E19:F262,2,0)</f>
        <v>#N/A</v>
      </c>
      <c r="G342" s="18" t="s">
        <v>686</v>
      </c>
      <c r="H342" s="18" t="s">
        <v>355</v>
      </c>
      <c r="I342" s="122">
        <v>1</v>
      </c>
    </row>
    <row r="343" spans="1:9">
      <c r="A343" s="118" t="s">
        <v>360</v>
      </c>
      <c r="B343" s="118" t="s">
        <v>940</v>
      </c>
      <c r="C343" s="114" t="e">
        <f>VLOOKUP(B343,'[9]country mapping'!E20:F263,2,0)</f>
        <v>#N/A</v>
      </c>
      <c r="H343" s="18" t="s">
        <v>356</v>
      </c>
      <c r="I343" s="122">
        <v>1</v>
      </c>
    </row>
    <row r="344" spans="1:9">
      <c r="A344" s="118" t="s">
        <v>881</v>
      </c>
      <c r="B344" s="118" t="s">
        <v>940</v>
      </c>
      <c r="C344" s="114" t="e">
        <f>VLOOKUP(B344,'[9]country mapping'!E21:F264,2,0)</f>
        <v>#N/A</v>
      </c>
      <c r="G344" s="18" t="s">
        <v>939</v>
      </c>
      <c r="H344" s="18" t="s">
        <v>30</v>
      </c>
      <c r="I344" s="122">
        <v>1</v>
      </c>
    </row>
    <row r="345" spans="1:9">
      <c r="A345" s="118" t="s">
        <v>34</v>
      </c>
      <c r="B345" s="118" t="s">
        <v>940</v>
      </c>
      <c r="C345" s="114" t="e">
        <f>VLOOKUP(B345,'[9]country mapping'!E22:F265,2,0)</f>
        <v>#N/A</v>
      </c>
      <c r="H345" s="18" t="s">
        <v>357</v>
      </c>
      <c r="I345" s="122">
        <v>1</v>
      </c>
    </row>
    <row r="346" spans="1:9">
      <c r="A346" s="118" t="s">
        <v>361</v>
      </c>
      <c r="B346" s="118" t="s">
        <v>940</v>
      </c>
      <c r="C346" s="114" t="e">
        <f>VLOOKUP(B346,'[9]country mapping'!E23:F266,2,0)</f>
        <v>#N/A</v>
      </c>
      <c r="H346" s="18" t="s">
        <v>368</v>
      </c>
      <c r="I346" s="122">
        <v>1</v>
      </c>
    </row>
    <row r="347" spans="1:9">
      <c r="A347" s="118" t="s">
        <v>362</v>
      </c>
      <c r="B347" s="118" t="s">
        <v>940</v>
      </c>
      <c r="C347" s="114" t="e">
        <f>VLOOKUP(B347,'[9]country mapping'!E24:F267,2,0)</f>
        <v>#N/A</v>
      </c>
      <c r="H347" s="18" t="s">
        <v>32</v>
      </c>
      <c r="I347" s="122">
        <v>1</v>
      </c>
    </row>
    <row r="348" spans="1:9">
      <c r="A348" s="118" t="s">
        <v>31</v>
      </c>
      <c r="B348" s="118" t="s">
        <v>940</v>
      </c>
      <c r="C348" s="114" t="e">
        <f>VLOOKUP(B348,'[9]country mapping'!E25:F268,2,0)</f>
        <v>#N/A</v>
      </c>
      <c r="H348" s="18" t="s">
        <v>33</v>
      </c>
      <c r="I348" s="122">
        <v>1</v>
      </c>
    </row>
    <row r="349" spans="1:9">
      <c r="A349" s="118" t="s">
        <v>35</v>
      </c>
      <c r="B349" s="118" t="e">
        <f>VLOOKUP(A349,#REF!,2,0)</f>
        <v>#REF!</v>
      </c>
      <c r="C349" s="114" t="e">
        <f>VLOOKUP(B349,'[9]country mapping'!E26:F269,2,0)</f>
        <v>#REF!</v>
      </c>
      <c r="H349" s="18" t="s">
        <v>358</v>
      </c>
      <c r="I349" s="122">
        <v>1</v>
      </c>
    </row>
    <row r="350" spans="1:9">
      <c r="A350" s="118" t="s">
        <v>206</v>
      </c>
      <c r="B350" s="118" t="e">
        <f>VLOOKUP(A350,#REF!,2,0)</f>
        <v>#REF!</v>
      </c>
      <c r="C350" s="114" t="e">
        <f>VLOOKUP(B350,'[9]country mapping'!E27:F270,2,0)</f>
        <v>#REF!</v>
      </c>
      <c r="H350" s="18" t="s">
        <v>359</v>
      </c>
      <c r="I350" s="122">
        <v>1</v>
      </c>
    </row>
    <row r="351" spans="1:9">
      <c r="A351" s="118" t="s">
        <v>36</v>
      </c>
      <c r="B351" s="118" t="s">
        <v>940</v>
      </c>
      <c r="C351" s="114" t="e">
        <f>VLOOKUP(B351,'[9]country mapping'!E28:F271,2,0)</f>
        <v>#N/A</v>
      </c>
      <c r="H351" s="18" t="s">
        <v>360</v>
      </c>
      <c r="I351" s="122">
        <v>1</v>
      </c>
    </row>
    <row r="352" spans="1:9">
      <c r="A352" s="118" t="s">
        <v>363</v>
      </c>
      <c r="B352" s="118" t="e">
        <f>VLOOKUP(A352,#REF!,2,0)</f>
        <v>#REF!</v>
      </c>
      <c r="C352" s="114" t="e">
        <f>VLOOKUP(B352,'[9]country mapping'!E29:F272,2,0)</f>
        <v>#REF!</v>
      </c>
      <c r="H352" s="18" t="s">
        <v>881</v>
      </c>
      <c r="I352" s="122">
        <v>1</v>
      </c>
    </row>
    <row r="353" spans="1:9">
      <c r="A353" s="118" t="s">
        <v>371</v>
      </c>
      <c r="B353" s="118" t="s">
        <v>940</v>
      </c>
      <c r="C353" s="114" t="e">
        <f>VLOOKUP(B353,'[9]country mapping'!E30:F273,2,0)</f>
        <v>#N/A</v>
      </c>
      <c r="H353" s="18" t="s">
        <v>34</v>
      </c>
      <c r="I353" s="122">
        <v>1</v>
      </c>
    </row>
    <row r="354" spans="1:9">
      <c r="A354" s="118" t="s">
        <v>882</v>
      </c>
      <c r="B354" s="118" t="s">
        <v>940</v>
      </c>
      <c r="C354" s="114" t="e">
        <f>VLOOKUP(B354,'[9]country mapping'!E31:F274,2,0)</f>
        <v>#N/A</v>
      </c>
      <c r="H354" s="18" t="s">
        <v>361</v>
      </c>
      <c r="I354" s="122">
        <v>1</v>
      </c>
    </row>
    <row r="355" spans="1:9">
      <c r="A355" s="118" t="s">
        <v>883</v>
      </c>
      <c r="B355" s="118" t="s">
        <v>940</v>
      </c>
      <c r="C355" s="114" t="e">
        <f>VLOOKUP(B355,'[9]country mapping'!E32:F275,2,0)</f>
        <v>#N/A</v>
      </c>
      <c r="H355" s="18" t="s">
        <v>362</v>
      </c>
      <c r="I355" s="122">
        <v>1</v>
      </c>
    </row>
    <row r="356" spans="1:9">
      <c r="A356" s="118" t="s">
        <v>884</v>
      </c>
      <c r="B356" s="118" t="s">
        <v>940</v>
      </c>
      <c r="C356" s="114" t="e">
        <f>VLOOKUP(B356,'[9]country mapping'!E33:F276,2,0)</f>
        <v>#N/A</v>
      </c>
      <c r="H356" s="18" t="s">
        <v>31</v>
      </c>
      <c r="I356" s="122">
        <v>1</v>
      </c>
    </row>
    <row r="357" spans="1:9">
      <c r="A357" s="118" t="s">
        <v>372</v>
      </c>
      <c r="B357" s="118" t="s">
        <v>940</v>
      </c>
      <c r="C357" s="114" t="e">
        <f>VLOOKUP(B357,'[9]country mapping'!E34:F277,2,0)</f>
        <v>#N/A</v>
      </c>
      <c r="H357" s="18" t="s">
        <v>35</v>
      </c>
      <c r="I357" s="122">
        <v>1</v>
      </c>
    </row>
    <row r="358" spans="1:9">
      <c r="A358" s="118" t="s">
        <v>885</v>
      </c>
      <c r="B358" s="118" t="s">
        <v>940</v>
      </c>
      <c r="C358" s="114" t="e">
        <f>VLOOKUP(B358,'[9]country mapping'!E35:F278,2,0)</f>
        <v>#N/A</v>
      </c>
      <c r="H358" s="18" t="s">
        <v>36</v>
      </c>
      <c r="I358" s="122">
        <v>1</v>
      </c>
    </row>
    <row r="359" spans="1:9">
      <c r="A359" s="118" t="s">
        <v>373</v>
      </c>
      <c r="B359" s="118" t="s">
        <v>940</v>
      </c>
      <c r="C359" s="114" t="e">
        <f>VLOOKUP(B359,'[9]country mapping'!E36:F279,2,0)</f>
        <v>#N/A</v>
      </c>
      <c r="H359" s="18" t="s">
        <v>371</v>
      </c>
      <c r="I359" s="122">
        <v>1</v>
      </c>
    </row>
    <row r="360" spans="1:9">
      <c r="A360" s="118" t="s">
        <v>229</v>
      </c>
      <c r="B360" s="118" t="e">
        <f>VLOOKUP(A360,#REF!,2,0)</f>
        <v>#REF!</v>
      </c>
      <c r="C360" s="114" t="e">
        <f>VLOOKUP(B360,'[9]country mapping'!E37:F280,2,0)</f>
        <v>#REF!</v>
      </c>
      <c r="H360" s="18" t="s">
        <v>882</v>
      </c>
      <c r="I360" s="122">
        <v>1</v>
      </c>
    </row>
    <row r="361" spans="1:9">
      <c r="A361" s="118" t="s">
        <v>291</v>
      </c>
      <c r="B361" s="118" t="e">
        <f>VLOOKUP(A361,#REF!,2,0)</f>
        <v>#REF!</v>
      </c>
      <c r="C361" s="114" t="e">
        <f>VLOOKUP(B361,'[9]country mapping'!E38:F281,2,0)</f>
        <v>#REF!</v>
      </c>
      <c r="H361" s="18" t="s">
        <v>883</v>
      </c>
      <c r="I361" s="122">
        <v>1</v>
      </c>
    </row>
    <row r="362" spans="1:9">
      <c r="A362" s="118" t="s">
        <v>135</v>
      </c>
      <c r="B362" s="118" t="e">
        <f>VLOOKUP(A362,#REF!,2,0)</f>
        <v>#REF!</v>
      </c>
      <c r="C362" s="114" t="e">
        <f>VLOOKUP(B362,'[9]country mapping'!E39:F282,2,0)</f>
        <v>#REF!</v>
      </c>
      <c r="H362" s="18" t="s">
        <v>884</v>
      </c>
      <c r="I362" s="122">
        <v>1</v>
      </c>
    </row>
    <row r="363" spans="1:9">
      <c r="A363" s="118" t="s">
        <v>136</v>
      </c>
      <c r="B363" s="118" t="e">
        <f>VLOOKUP(A363,#REF!,2,0)</f>
        <v>#REF!</v>
      </c>
      <c r="C363" s="114" t="e">
        <f>VLOOKUP(B363,'[9]country mapping'!E40:F283,2,0)</f>
        <v>#REF!</v>
      </c>
      <c r="H363" s="18" t="s">
        <v>372</v>
      </c>
      <c r="I363" s="122">
        <v>1</v>
      </c>
    </row>
    <row r="364" spans="1:9">
      <c r="A364" s="118" t="s">
        <v>374</v>
      </c>
      <c r="B364" s="118" t="e">
        <f>VLOOKUP(A364,#REF!,2,0)</f>
        <v>#REF!</v>
      </c>
      <c r="C364" s="114" t="e">
        <f>VLOOKUP(B364,'[9]country mapping'!E41:F284,2,0)</f>
        <v>#REF!</v>
      </c>
      <c r="H364" s="18" t="s">
        <v>885</v>
      </c>
      <c r="I364" s="122">
        <v>1</v>
      </c>
    </row>
    <row r="365" spans="1:9">
      <c r="A365" s="118" t="s">
        <v>886</v>
      </c>
      <c r="B365" s="118" t="s">
        <v>940</v>
      </c>
      <c r="C365" s="114" t="e">
        <f>VLOOKUP(B365,'[9]country mapping'!E42:F285,2,0)</f>
        <v>#N/A</v>
      </c>
      <c r="H365" s="18" t="s">
        <v>373</v>
      </c>
      <c r="I365" s="122">
        <v>1</v>
      </c>
    </row>
    <row r="366" spans="1:9">
      <c r="A366" s="118" t="s">
        <v>887</v>
      </c>
      <c r="B366" s="118" t="s">
        <v>940</v>
      </c>
      <c r="C366" s="114" t="e">
        <f>VLOOKUP(B366,'[9]country mapping'!E43:F286,2,0)</f>
        <v>#N/A</v>
      </c>
      <c r="H366" s="18" t="s">
        <v>229</v>
      </c>
      <c r="I366" s="122">
        <v>1</v>
      </c>
    </row>
    <row r="367" spans="1:9">
      <c r="A367" s="118" t="s">
        <v>375</v>
      </c>
      <c r="B367" s="118" t="s">
        <v>940</v>
      </c>
      <c r="C367" s="114" t="e">
        <f>VLOOKUP(B367,'[9]country mapping'!E44:F287,2,0)</f>
        <v>#N/A</v>
      </c>
      <c r="H367" s="18" t="s">
        <v>886</v>
      </c>
      <c r="I367" s="122">
        <v>1</v>
      </c>
    </row>
    <row r="368" spans="1:9">
      <c r="A368" s="118" t="s">
        <v>37</v>
      </c>
      <c r="B368" s="118" t="s">
        <v>940</v>
      </c>
      <c r="C368" s="114" t="e">
        <f>VLOOKUP(B368,'[9]country mapping'!E45:F288,2,0)</f>
        <v>#N/A</v>
      </c>
      <c r="H368" s="18" t="s">
        <v>887</v>
      </c>
      <c r="I368" s="122">
        <v>1</v>
      </c>
    </row>
    <row r="369" spans="1:9">
      <c r="A369" s="118" t="s">
        <v>38</v>
      </c>
      <c r="B369" s="118" t="s">
        <v>940</v>
      </c>
      <c r="C369" s="114" t="e">
        <f>VLOOKUP(B369,'[9]country mapping'!E46:F289,2,0)</f>
        <v>#N/A</v>
      </c>
      <c r="H369" s="18" t="s">
        <v>375</v>
      </c>
      <c r="I369" s="122">
        <v>1</v>
      </c>
    </row>
    <row r="370" spans="1:9">
      <c r="A370" s="118" t="s">
        <v>246</v>
      </c>
      <c r="B370" s="118" t="e">
        <f>VLOOKUP(A370,#REF!,2,0)</f>
        <v>#REF!</v>
      </c>
      <c r="C370" s="114" t="e">
        <f>VLOOKUP(B370,'[9]country mapping'!E47:F290,2,0)</f>
        <v>#REF!</v>
      </c>
      <c r="H370" s="18" t="s">
        <v>37</v>
      </c>
      <c r="I370" s="122">
        <v>1</v>
      </c>
    </row>
    <row r="371" spans="1:9">
      <c r="H371" s="18" t="s">
        <v>38</v>
      </c>
      <c r="I371" s="122">
        <v>1</v>
      </c>
    </row>
    <row r="372" spans="1:9">
      <c r="G372" s="18" t="s">
        <v>927</v>
      </c>
      <c r="I372" s="122">
        <v>369</v>
      </c>
    </row>
  </sheetData>
  <autoFilter ref="A1:C370" xr:uid="{00000000-0009-0000-0000-000016000000}"/>
  <pageMargins left="0.7" right="0.7" top="0.75" bottom="0.75" header="0.3" footer="0.3"/>
  <pageSetup paperSize="9" orientation="portrait" verticalDpi="0" r:id="rId2"/>
  <headerFooter>
    <oddFooter>&amp;C&amp;1#&amp;"Helvetica 75 Bold"&amp;8&amp;KED7D31Orange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DocSource xmlns="9c97f8e9-86c7-4e99-9925-cc9540b321fe">Internal</DocSource>
    <Language xmlns="9c97f8e9-86c7-4e99-9925-cc9540b321fe">English</Language>
    <DocType xmlns="9c97f8e9-86c7-4e99-9925-cc9540b321fe">Pricebook</DocType>
    <DocState xmlns="9c97f8e9-86c7-4e99-9925-cc9540b321fe">Done</DocState>
    <Author0 xmlns="9c97f8e9-86c7-4e99-9925-cc9540b321fe">Gillian Mogerley</Author0>
    <Description0 xmlns="9c97f8e9-86c7-4e99-9925-cc9540b321fe">Contact Center, Business Talk Global, Flexible Contact Center</Description0>
    <DocConf xmlns="9c97f8e9-86c7-4e99-9925-cc9540b321fe">Internal FT</DocCon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10ADB61686C45A75A7A744D7D5C8E0017AE8743B1987240876A31327591F402" ma:contentTypeVersion="4" ma:contentTypeDescription="Create a new document." ma:contentTypeScope="" ma:versionID="95ff83c937a9ae7c9138eb77afe76b75">
  <xsd:schema xmlns:xsd="http://www.w3.org/2001/XMLSchema" xmlns:xs="http://www.w3.org/2001/XMLSchema" xmlns:p="http://schemas.microsoft.com/office/2006/metadata/properties" xmlns:ns2="9c97f8e9-86c7-4e99-9925-cc9540b321fe" targetNamespace="http://schemas.microsoft.com/office/2006/metadata/properties" ma:root="true" ma:fieldsID="caafed3ff3009659cc883d8f561fef59" ns2:_="">
    <xsd:import namespace="9c97f8e9-86c7-4e99-9925-cc9540b321fe"/>
    <xsd:element name="properties">
      <xsd:complexType>
        <xsd:sequence>
          <xsd:element name="documentManagement">
            <xsd:complexType>
              <xsd:all>
                <xsd:element ref="ns2:Author0" minOccurs="0"/>
                <xsd:element ref="ns2:Description0" minOccurs="0"/>
                <xsd:element ref="ns2:Language" minOccurs="0"/>
                <xsd:element ref="ns2:DocType" minOccurs="0"/>
                <xsd:element ref="ns2:DocSource" minOccurs="0"/>
                <xsd:element ref="ns2:DocConf" minOccurs="0"/>
                <xsd:element ref="ns2:Doc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7f8e9-86c7-4e99-9925-cc9540b321fe" elementFormDefault="qualified">
    <xsd:import namespace="http://schemas.microsoft.com/office/2006/documentManagement/types"/>
    <xsd:import namespace="http://schemas.microsoft.com/office/infopath/2007/PartnerControls"/>
    <xsd:element name="Author0" ma:index="8" nillable="true" ma:displayName="Author" ma:internalName="Author0">
      <xsd:simpleType>
        <xsd:restriction base="dms:Text">
          <xsd:maxLength value="255"/>
        </xsd:restriction>
      </xsd:simpleType>
    </xsd:element>
    <xsd:element name="Description0" ma:index="9" nillable="true" ma:displayName="Description" ma:internalName="Description0">
      <xsd:simpleType>
        <xsd:restriction base="dms:Text">
          <xsd:maxLength value="255"/>
        </xsd:restriction>
      </xsd:simpleType>
    </xsd:element>
    <xsd:element name="Language" ma:index="10" nillable="true" ma:displayName="Language" ma:default="English" ma:format="Dropdown" ma:internalName="Language">
      <xsd:simpleType>
        <xsd:restriction base="dms:Choice">
          <xsd:enumeration value="English"/>
          <xsd:enumeration value="Spanish"/>
          <xsd:enumeration value="French"/>
          <xsd:enumeration value="Other"/>
        </xsd:restriction>
      </xsd:simpleType>
    </xsd:element>
    <xsd:element name="DocType" ma:index="12" nillable="true" ma:displayName="Document Type" ma:default="Pricebook" ma:format="Dropdown" ma:internalName="DocType">
      <xsd:simpleType>
        <xsd:restriction base="dms:Choice">
          <xsd:enumeration value="Pricebook"/>
          <xsd:enumeration value="Commercial Propsal"/>
          <xsd:enumeration value="Other"/>
          <xsd:enumeration value="Specifications"/>
          <xsd:enumeration value="Report"/>
          <xsd:enumeration value="Mail"/>
          <xsd:enumeration value="Decisions Made"/>
          <xsd:enumeration value="Decree/Law/Regulation"/>
          <xsd:enumeration value="Directive"/>
          <xsd:enumeration value="Document contractuel"/>
          <xsd:enumeration value="External report"/>
          <xsd:enumeration value="Internal report"/>
          <xsd:enumeration value="Manual/guide/training"/>
          <xsd:enumeration value="Method/quality/organisation/procedure"/>
          <xsd:enumeration value="Template"/>
          <xsd:enumeration value="Memorandum"/>
          <xsd:enumeration value="Prospectus"/>
          <xsd:enumeration value="Presentation"/>
          <xsd:enumeration value="Specification file"/>
          <xsd:enumeration value="Standby"/>
        </xsd:restriction>
      </xsd:simpleType>
    </xsd:element>
    <xsd:element name="DocSource" ma:index="13" nillable="true" ma:displayName="Origin" ma:default="Internal" ma:format="Dropdown" ma:internalName="DocSource">
      <xsd:simpleType>
        <xsd:restriction base="dms:Choice">
          <xsd:enumeration value="Internal"/>
          <xsd:enumeration value="External"/>
        </xsd:restriction>
      </xsd:simpleType>
    </xsd:element>
    <xsd:element name="DocConf" ma:index="14" nillable="true" ma:displayName="Confidentiality" ma:default="Internal FT" ma:format="Dropdown" ma:internalName="DocConf">
      <xsd:simpleType>
        <xsd:restriction base="dms:Choice">
          <xsd:enumeration value="Internal FT"/>
          <xsd:enumeration value="Open access"/>
        </xsd:restriction>
      </xsd:simpleType>
    </xsd:element>
    <xsd:element name="DocState" ma:index="15" nillable="true" ma:displayName="Status" ma:default="Done" ma:format="Dropdown" ma:internalName="DocState">
      <xsd:simpleType>
        <xsd:restriction base="dms:Choice">
          <xsd:enumeration value="Draft"/>
          <xsd:enumeration value="Done"/>
          <xsd:enumeration value="Validat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11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898A8D-94ED-4E59-811A-50114EB6CD2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9c97f8e9-86c7-4e99-9925-cc9540b321fe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24E2091-1225-4F8C-BB01-C46483D499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F0A3D0-316F-427D-87F5-98EEE23E17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97f8e9-86c7-4e99-9925-cc9540b32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Menu</vt:lpstr>
      <vt:lpstr>PSTN Termination</vt:lpstr>
      <vt:lpstr>PSTN</vt:lpstr>
      <vt:lpstr>Toll Free</vt:lpstr>
      <vt:lpstr>UIFN</vt:lpstr>
      <vt:lpstr>Toll Share Surcharge</vt:lpstr>
      <vt:lpstr>Country &amp; dest. codes</vt:lpstr>
      <vt:lpstr>country code mapping</vt:lpstr>
    </vt:vector>
  </TitlesOfParts>
  <Company>GLOBAL 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VOICE Final PBy16 - v1.7</dc:title>
  <dc:creator>vangucht</dc:creator>
  <cp:keywords>Contact Center, Business Talk Global, Flexible Contact Center</cp:keywords>
  <cp:lastModifiedBy>John Spencer</cp:lastModifiedBy>
  <cp:lastPrinted>2018-07-10T14:49:44Z</cp:lastPrinted>
  <dcterms:created xsi:type="dcterms:W3CDTF">2002-05-16T10:07:07Z</dcterms:created>
  <dcterms:modified xsi:type="dcterms:W3CDTF">2026-05-24T22:15:55Z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0x01010066910ADB61686C45A75A7A744D7D5C8E0017AE8743B1987240876A31327591F402</vt:lpwstr>
  </property>
  <property fmtid="{D5CDD505-2E9C-101B-9397-08002B2CF9AE}" pid="3" name="Offisync_ProviderInitializationData">
    <vt:lpwstr>https://customer-communities.orange-business.com</vt:lpwstr>
  </property>
  <property fmtid="{D5CDD505-2E9C-101B-9397-08002B2CF9AE}" pid="4" name="Jive_VersionGuid">
    <vt:lpwstr>9a7facbe-8e96-41dd-965e-965ea6773053</vt:lpwstr>
  </property>
  <property fmtid="{D5CDD505-2E9C-101B-9397-08002B2CF9AE}" pid="5" name="Offisync_UpdateToken">
    <vt:lpwstr>1</vt:lpwstr>
  </property>
  <property fmtid="{D5CDD505-2E9C-101B-9397-08002B2CF9AE}" pid="6" name="Jive_LatestUserAccountName">
    <vt:lpwstr>natalia.szamborska@orange.com</vt:lpwstr>
  </property>
  <property fmtid="{D5CDD505-2E9C-101B-9397-08002B2CF9AE}" pid="7" name="Offisync_UniqueId">
    <vt:lpwstr>29579</vt:lpwstr>
  </property>
  <property fmtid="{D5CDD505-2E9C-101B-9397-08002B2CF9AE}" pid="8" name="Offisync_ServerID">
    <vt:lpwstr>32fd0e7c-e715-425e-9e59-4e2a32e847e4</vt:lpwstr>
  </property>
  <property fmtid="{D5CDD505-2E9C-101B-9397-08002B2CF9AE}" pid="9" name="MSIP_Label_e6c818a6-e1a0-4a6e-a969-20d857c5dc62_Enabled">
    <vt:lpwstr>true</vt:lpwstr>
  </property>
  <property fmtid="{D5CDD505-2E9C-101B-9397-08002B2CF9AE}" pid="10" name="MSIP_Label_e6c818a6-e1a0-4a6e-a969-20d857c5dc62_SetDate">
    <vt:lpwstr>2021-10-12T12:25:29Z</vt:lpwstr>
  </property>
  <property fmtid="{D5CDD505-2E9C-101B-9397-08002B2CF9AE}" pid="11" name="MSIP_Label_e6c818a6-e1a0-4a6e-a969-20d857c5dc62_Method">
    <vt:lpwstr>Standard</vt:lpwstr>
  </property>
  <property fmtid="{D5CDD505-2E9C-101B-9397-08002B2CF9AE}" pid="12" name="MSIP_Label_e6c818a6-e1a0-4a6e-a969-20d857c5dc62_Name">
    <vt:lpwstr>Orange_restricted_internal.2</vt:lpwstr>
  </property>
  <property fmtid="{D5CDD505-2E9C-101B-9397-08002B2CF9AE}" pid="13" name="MSIP_Label_e6c818a6-e1a0-4a6e-a969-20d857c5dc62_SiteId">
    <vt:lpwstr>90c7a20a-f34b-40bf-bc48-b9253b6f5d20</vt:lpwstr>
  </property>
  <property fmtid="{D5CDD505-2E9C-101B-9397-08002B2CF9AE}" pid="14" name="MSIP_Label_e6c818a6-e1a0-4a6e-a969-20d857c5dc62_ActionId">
    <vt:lpwstr>89184e48-3077-4aed-a7cd-7037c20bdbcf</vt:lpwstr>
  </property>
  <property fmtid="{D5CDD505-2E9C-101B-9397-08002B2CF9AE}" pid="15" name="MSIP_Label_e6c818a6-e1a0-4a6e-a969-20d857c5dc62_ContentBits">
    <vt:lpwstr>2</vt:lpwstr>
  </property>
</Properties>
</file>